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5a7e6b5eadec5/Documents/"/>
    </mc:Choice>
  </mc:AlternateContent>
  <xr:revisionPtr revIDLastSave="49" documentId="8_{540DE29A-B2E7-4159-8D08-8C7DFF8BA35D}" xr6:coauthVersionLast="47" xr6:coauthVersionMax="47" xr10:uidLastSave="{DED935C4-9A92-423B-9960-453E2D5B2A70}"/>
  <bookViews>
    <workbookView xWindow="-108" yWindow="-108" windowWidth="23256" windowHeight="12456" xr2:uid="{7E3116DF-EC29-4DA6-896A-A75AEC9AD960}"/>
  </bookViews>
  <sheets>
    <sheet name="behavior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0" i="1" l="1"/>
  <c r="AH10" i="1" s="1"/>
  <c r="AG67" i="1"/>
  <c r="AH67" i="1" s="1"/>
  <c r="AG98" i="1"/>
  <c r="AH98" i="1" s="1"/>
  <c r="AG208" i="1"/>
  <c r="AH208" i="1" s="1"/>
  <c r="AG253" i="1"/>
  <c r="AH253" i="1" s="1"/>
  <c r="AG274" i="1"/>
  <c r="AH274" i="1" s="1"/>
  <c r="AG390" i="1"/>
  <c r="AH390" i="1" s="1"/>
  <c r="AG440" i="1"/>
  <c r="AH440" i="1" s="1"/>
  <c r="AG487" i="1"/>
  <c r="AH487" i="1" s="1"/>
  <c r="AG495" i="1"/>
  <c r="AH495" i="1" s="1"/>
  <c r="AG633" i="1"/>
  <c r="AH633" i="1" s="1"/>
  <c r="AG638" i="1"/>
  <c r="AH638" i="1" s="1"/>
  <c r="AG646" i="1"/>
  <c r="AH646" i="1" s="1"/>
  <c r="AG661" i="1"/>
  <c r="AH661" i="1" s="1"/>
  <c r="AG696" i="1"/>
  <c r="AH696" i="1" s="1"/>
  <c r="AG730" i="1"/>
  <c r="AH730" i="1" s="1"/>
  <c r="AG781" i="1"/>
  <c r="AH781" i="1" s="1"/>
  <c r="AG868" i="1"/>
  <c r="AH868" i="1" s="1"/>
  <c r="AG982" i="1"/>
  <c r="AH982" i="1" s="1"/>
  <c r="AF10" i="1"/>
  <c r="AF67" i="1"/>
  <c r="AF98" i="1"/>
  <c r="AF208" i="1"/>
  <c r="AF249" i="1"/>
  <c r="AF253" i="1"/>
  <c r="AF274" i="1"/>
  <c r="AF390" i="1"/>
  <c r="AF440" i="1"/>
  <c r="AF487" i="1"/>
  <c r="AF495" i="1"/>
  <c r="AF633" i="1"/>
  <c r="AF638" i="1"/>
  <c r="AF646" i="1"/>
  <c r="AF661" i="1"/>
  <c r="AF696" i="1"/>
  <c r="AF730" i="1"/>
  <c r="AF781" i="1"/>
  <c r="AF868" i="1"/>
  <c r="AF982" i="1"/>
  <c r="AE250" i="1"/>
  <c r="AE253" i="1"/>
  <c r="AE314" i="1"/>
  <c r="AE317" i="1"/>
  <c r="AE369" i="1"/>
  <c r="AE371" i="1"/>
  <c r="AE442" i="1"/>
  <c r="AE481" i="1"/>
  <c r="AE517" i="1"/>
  <c r="AE554" i="1"/>
  <c r="AE625" i="1"/>
  <c r="AE627" i="1"/>
  <c r="AE698" i="1"/>
  <c r="AE723" i="1"/>
  <c r="AE746" i="1"/>
  <c r="AE769" i="1"/>
  <c r="AE771" i="1"/>
  <c r="AE817" i="1"/>
  <c r="AE819" i="1"/>
  <c r="AE841" i="1"/>
  <c r="AE843" i="1"/>
  <c r="AE873" i="1"/>
  <c r="AE882" i="1"/>
  <c r="AE883" i="1"/>
  <c r="AE894" i="1"/>
  <c r="AE905" i="1"/>
  <c r="AE914" i="1"/>
  <c r="AE915" i="1"/>
  <c r="AE926" i="1"/>
  <c r="AE937" i="1"/>
  <c r="AE946" i="1"/>
  <c r="AE947" i="1"/>
  <c r="AE974" i="1"/>
  <c r="AE993" i="1"/>
  <c r="AE1001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E116" i="1" s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E405" i="1" s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E444" i="1" s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E515" i="1" s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E588" i="1" s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E661" i="1" s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E796" i="1" s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E859" i="1" s="1"/>
  <c r="AC860" i="1"/>
  <c r="AC861" i="1"/>
  <c r="AE861" i="1" s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E893" i="1" s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E925" i="1" s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E955" i="1" s="1"/>
  <c r="AC956" i="1"/>
  <c r="AE956" i="1" s="1"/>
  <c r="AC957" i="1"/>
  <c r="AC958" i="1"/>
  <c r="AC959" i="1"/>
  <c r="AC960" i="1"/>
  <c r="AC961" i="1"/>
  <c r="AC962" i="1"/>
  <c r="AC963" i="1"/>
  <c r="AC964" i="1"/>
  <c r="AC965" i="1"/>
  <c r="AE965" i="1" s="1"/>
  <c r="AC966" i="1"/>
  <c r="AC967" i="1"/>
  <c r="AC968" i="1"/>
  <c r="AC969" i="1"/>
  <c r="AC970" i="1"/>
  <c r="AC971" i="1"/>
  <c r="AC972" i="1"/>
  <c r="AC973" i="1"/>
  <c r="AE973" i="1" s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3" i="1"/>
  <c r="AE3" i="1"/>
  <c r="AC2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2" i="1"/>
  <c r="AB25" i="1"/>
  <c r="AE25" i="1" s="1"/>
  <c r="AB26" i="1"/>
  <c r="AE26" i="1" s="1"/>
  <c r="AB27" i="1"/>
  <c r="AB28" i="1"/>
  <c r="AB29" i="1"/>
  <c r="AE29" i="1" s="1"/>
  <c r="AB30" i="1"/>
  <c r="AE30" i="1" s="1"/>
  <c r="AB31" i="1"/>
  <c r="AE31" i="1" s="1"/>
  <c r="AB32" i="1"/>
  <c r="AE32" i="1" s="1"/>
  <c r="AB33" i="1"/>
  <c r="AE33" i="1" s="1"/>
  <c r="AB34" i="1"/>
  <c r="AE34" i="1" s="1"/>
  <c r="AB35" i="1"/>
  <c r="AB36" i="1"/>
  <c r="AB37" i="1"/>
  <c r="AE37" i="1" s="1"/>
  <c r="AB38" i="1"/>
  <c r="AE38" i="1" s="1"/>
  <c r="AB39" i="1"/>
  <c r="AE39" i="1" s="1"/>
  <c r="AB40" i="1"/>
  <c r="AE40" i="1" s="1"/>
  <c r="AB41" i="1"/>
  <c r="AE41" i="1" s="1"/>
  <c r="AB42" i="1"/>
  <c r="AE42" i="1" s="1"/>
  <c r="AB43" i="1"/>
  <c r="AB44" i="1"/>
  <c r="AB45" i="1"/>
  <c r="AE45" i="1" s="1"/>
  <c r="AB46" i="1"/>
  <c r="AE46" i="1" s="1"/>
  <c r="AB47" i="1"/>
  <c r="AE47" i="1" s="1"/>
  <c r="AB48" i="1"/>
  <c r="AE48" i="1" s="1"/>
  <c r="AB49" i="1"/>
  <c r="AE49" i="1" s="1"/>
  <c r="AB50" i="1"/>
  <c r="AE50" i="1" s="1"/>
  <c r="AB51" i="1"/>
  <c r="AB52" i="1"/>
  <c r="AE52" i="1" s="1"/>
  <c r="AB53" i="1"/>
  <c r="AE53" i="1" s="1"/>
  <c r="AB54" i="1"/>
  <c r="AE54" i="1" s="1"/>
  <c r="AB55" i="1"/>
  <c r="AE55" i="1" s="1"/>
  <c r="AB56" i="1"/>
  <c r="AE56" i="1" s="1"/>
  <c r="AB57" i="1"/>
  <c r="AE57" i="1" s="1"/>
  <c r="AB58" i="1"/>
  <c r="AE58" i="1" s="1"/>
  <c r="AB59" i="1"/>
  <c r="AB60" i="1"/>
  <c r="AB61" i="1"/>
  <c r="AE61" i="1" s="1"/>
  <c r="AB62" i="1"/>
  <c r="AE62" i="1" s="1"/>
  <c r="AB63" i="1"/>
  <c r="AE63" i="1" s="1"/>
  <c r="AB64" i="1"/>
  <c r="AE64" i="1" s="1"/>
  <c r="AB65" i="1"/>
  <c r="AE65" i="1" s="1"/>
  <c r="AB66" i="1"/>
  <c r="AE66" i="1" s="1"/>
  <c r="AB67" i="1"/>
  <c r="AB68" i="1"/>
  <c r="AB69" i="1"/>
  <c r="AE69" i="1" s="1"/>
  <c r="AB70" i="1"/>
  <c r="AE70" i="1" s="1"/>
  <c r="AB71" i="1"/>
  <c r="AE71" i="1" s="1"/>
  <c r="AB72" i="1"/>
  <c r="AE72" i="1" s="1"/>
  <c r="AB73" i="1"/>
  <c r="AE73" i="1" s="1"/>
  <c r="AB74" i="1"/>
  <c r="AE74" i="1" s="1"/>
  <c r="AB75" i="1"/>
  <c r="AB76" i="1"/>
  <c r="AB77" i="1"/>
  <c r="AE77" i="1" s="1"/>
  <c r="AB78" i="1"/>
  <c r="AE78" i="1" s="1"/>
  <c r="AB79" i="1"/>
  <c r="AE79" i="1" s="1"/>
  <c r="AB80" i="1"/>
  <c r="AE80" i="1" s="1"/>
  <c r="AB81" i="1"/>
  <c r="AE81" i="1" s="1"/>
  <c r="AB82" i="1"/>
  <c r="AE82" i="1" s="1"/>
  <c r="AB83" i="1"/>
  <c r="AB84" i="1"/>
  <c r="AB85" i="1"/>
  <c r="AE85" i="1" s="1"/>
  <c r="AB86" i="1"/>
  <c r="AE86" i="1" s="1"/>
  <c r="AB87" i="1"/>
  <c r="AE87" i="1" s="1"/>
  <c r="AB88" i="1"/>
  <c r="AE88" i="1" s="1"/>
  <c r="AB89" i="1"/>
  <c r="AE89" i="1" s="1"/>
  <c r="AB90" i="1"/>
  <c r="AE90" i="1" s="1"/>
  <c r="AB91" i="1"/>
  <c r="AB92" i="1"/>
  <c r="AB93" i="1"/>
  <c r="AE93" i="1" s="1"/>
  <c r="AB94" i="1"/>
  <c r="AE94" i="1" s="1"/>
  <c r="AB95" i="1"/>
  <c r="AE95" i="1" s="1"/>
  <c r="AB96" i="1"/>
  <c r="AE96" i="1" s="1"/>
  <c r="AB97" i="1"/>
  <c r="AE97" i="1" s="1"/>
  <c r="AB98" i="1"/>
  <c r="AE98" i="1" s="1"/>
  <c r="AB99" i="1"/>
  <c r="AB100" i="1"/>
  <c r="AB101" i="1"/>
  <c r="AE101" i="1" s="1"/>
  <c r="AB102" i="1"/>
  <c r="AE102" i="1" s="1"/>
  <c r="AB103" i="1"/>
  <c r="AE103" i="1" s="1"/>
  <c r="AB104" i="1"/>
  <c r="AE104" i="1" s="1"/>
  <c r="AB105" i="1"/>
  <c r="AE105" i="1" s="1"/>
  <c r="AB106" i="1"/>
  <c r="AE106" i="1" s="1"/>
  <c r="AB107" i="1"/>
  <c r="AB108" i="1"/>
  <c r="AB109" i="1"/>
  <c r="AE109" i="1" s="1"/>
  <c r="AB110" i="1"/>
  <c r="AE110" i="1" s="1"/>
  <c r="AB111" i="1"/>
  <c r="AE111" i="1" s="1"/>
  <c r="AB112" i="1"/>
  <c r="AE112" i="1" s="1"/>
  <c r="AB113" i="1"/>
  <c r="AE113" i="1" s="1"/>
  <c r="AB114" i="1"/>
  <c r="AE114" i="1" s="1"/>
  <c r="AB115" i="1"/>
  <c r="AB116" i="1"/>
  <c r="AB117" i="1"/>
  <c r="AE117" i="1" s="1"/>
  <c r="AB118" i="1"/>
  <c r="AE118" i="1" s="1"/>
  <c r="AB119" i="1"/>
  <c r="AE119" i="1" s="1"/>
  <c r="AB120" i="1"/>
  <c r="AE120" i="1" s="1"/>
  <c r="AB121" i="1"/>
  <c r="AE121" i="1" s="1"/>
  <c r="AB122" i="1"/>
  <c r="AE122" i="1" s="1"/>
  <c r="AB123" i="1"/>
  <c r="AB124" i="1"/>
  <c r="AB125" i="1"/>
  <c r="AE125" i="1" s="1"/>
  <c r="AB126" i="1"/>
  <c r="AE126" i="1" s="1"/>
  <c r="AB127" i="1"/>
  <c r="AE127" i="1" s="1"/>
  <c r="AB128" i="1"/>
  <c r="AE128" i="1" s="1"/>
  <c r="AB129" i="1"/>
  <c r="AE129" i="1" s="1"/>
  <c r="AB130" i="1"/>
  <c r="AE130" i="1" s="1"/>
  <c r="AB131" i="1"/>
  <c r="AB132" i="1"/>
  <c r="AB133" i="1"/>
  <c r="AE133" i="1" s="1"/>
  <c r="AB134" i="1"/>
  <c r="AE134" i="1" s="1"/>
  <c r="AB135" i="1"/>
  <c r="AE135" i="1" s="1"/>
  <c r="AB136" i="1"/>
  <c r="AE136" i="1" s="1"/>
  <c r="AB137" i="1"/>
  <c r="AE137" i="1" s="1"/>
  <c r="AB138" i="1"/>
  <c r="AE138" i="1" s="1"/>
  <c r="AB139" i="1"/>
  <c r="AB140" i="1"/>
  <c r="AB141" i="1"/>
  <c r="AE141" i="1" s="1"/>
  <c r="AB142" i="1"/>
  <c r="AE142" i="1" s="1"/>
  <c r="AB143" i="1"/>
  <c r="AE143" i="1" s="1"/>
  <c r="AB144" i="1"/>
  <c r="AE144" i="1" s="1"/>
  <c r="AB145" i="1"/>
  <c r="AE145" i="1" s="1"/>
  <c r="AB146" i="1"/>
  <c r="AE146" i="1" s="1"/>
  <c r="AB147" i="1"/>
  <c r="AB148" i="1"/>
  <c r="AB149" i="1"/>
  <c r="AE149" i="1" s="1"/>
  <c r="AB150" i="1"/>
  <c r="AE150" i="1" s="1"/>
  <c r="AB151" i="1"/>
  <c r="AE151" i="1" s="1"/>
  <c r="AB152" i="1"/>
  <c r="AE152" i="1" s="1"/>
  <c r="AB153" i="1"/>
  <c r="AE153" i="1" s="1"/>
  <c r="AB154" i="1"/>
  <c r="AE154" i="1" s="1"/>
  <c r="AB155" i="1"/>
  <c r="AB156" i="1"/>
  <c r="AB157" i="1"/>
  <c r="AE157" i="1" s="1"/>
  <c r="AB158" i="1"/>
  <c r="AE158" i="1" s="1"/>
  <c r="AB159" i="1"/>
  <c r="AE159" i="1" s="1"/>
  <c r="AB160" i="1"/>
  <c r="AE160" i="1" s="1"/>
  <c r="AB161" i="1"/>
  <c r="AE161" i="1" s="1"/>
  <c r="AB162" i="1"/>
  <c r="AE162" i="1" s="1"/>
  <c r="AB163" i="1"/>
  <c r="AB164" i="1"/>
  <c r="AB165" i="1"/>
  <c r="AE165" i="1" s="1"/>
  <c r="AB166" i="1"/>
  <c r="AE166" i="1" s="1"/>
  <c r="AB167" i="1"/>
  <c r="AE167" i="1" s="1"/>
  <c r="AB168" i="1"/>
  <c r="AE168" i="1" s="1"/>
  <c r="AB169" i="1"/>
  <c r="AE169" i="1" s="1"/>
  <c r="AB170" i="1"/>
  <c r="AE170" i="1" s="1"/>
  <c r="AB171" i="1"/>
  <c r="AB172" i="1"/>
  <c r="AB173" i="1"/>
  <c r="AE173" i="1" s="1"/>
  <c r="AB174" i="1"/>
  <c r="AE174" i="1" s="1"/>
  <c r="AB175" i="1"/>
  <c r="AE175" i="1" s="1"/>
  <c r="AB176" i="1"/>
  <c r="AE176" i="1" s="1"/>
  <c r="AB177" i="1"/>
  <c r="AE177" i="1" s="1"/>
  <c r="AB178" i="1"/>
  <c r="AE178" i="1" s="1"/>
  <c r="AB179" i="1"/>
  <c r="AB180" i="1"/>
  <c r="AE180" i="1" s="1"/>
  <c r="AB181" i="1"/>
  <c r="AE181" i="1" s="1"/>
  <c r="AB182" i="1"/>
  <c r="AE182" i="1" s="1"/>
  <c r="AB183" i="1"/>
  <c r="AE183" i="1" s="1"/>
  <c r="AB184" i="1"/>
  <c r="AE184" i="1" s="1"/>
  <c r="AB185" i="1"/>
  <c r="AE185" i="1" s="1"/>
  <c r="AB186" i="1"/>
  <c r="AE186" i="1" s="1"/>
  <c r="AB187" i="1"/>
  <c r="AB188" i="1"/>
  <c r="AB189" i="1"/>
  <c r="AE189" i="1" s="1"/>
  <c r="AB190" i="1"/>
  <c r="AE190" i="1" s="1"/>
  <c r="AB191" i="1"/>
  <c r="AE191" i="1" s="1"/>
  <c r="AB192" i="1"/>
  <c r="AE192" i="1" s="1"/>
  <c r="AB193" i="1"/>
  <c r="AE193" i="1" s="1"/>
  <c r="AB194" i="1"/>
  <c r="AE194" i="1" s="1"/>
  <c r="AB195" i="1"/>
  <c r="AB196" i="1"/>
  <c r="AB197" i="1"/>
  <c r="AE197" i="1" s="1"/>
  <c r="AB198" i="1"/>
  <c r="AE198" i="1" s="1"/>
  <c r="AB199" i="1"/>
  <c r="AE199" i="1" s="1"/>
  <c r="AB200" i="1"/>
  <c r="AE200" i="1" s="1"/>
  <c r="AB201" i="1"/>
  <c r="AE201" i="1" s="1"/>
  <c r="AB202" i="1"/>
  <c r="AE202" i="1" s="1"/>
  <c r="AB203" i="1"/>
  <c r="AB204" i="1"/>
  <c r="AB205" i="1"/>
  <c r="AE205" i="1" s="1"/>
  <c r="AB206" i="1"/>
  <c r="AE206" i="1" s="1"/>
  <c r="AB207" i="1"/>
  <c r="AE207" i="1" s="1"/>
  <c r="AB208" i="1"/>
  <c r="AE208" i="1" s="1"/>
  <c r="AB209" i="1"/>
  <c r="AE209" i="1" s="1"/>
  <c r="AB210" i="1"/>
  <c r="AE210" i="1" s="1"/>
  <c r="AB211" i="1"/>
  <c r="AB212" i="1"/>
  <c r="AB213" i="1"/>
  <c r="AE213" i="1" s="1"/>
  <c r="AB214" i="1"/>
  <c r="AE214" i="1" s="1"/>
  <c r="AB215" i="1"/>
  <c r="AE215" i="1" s="1"/>
  <c r="AB216" i="1"/>
  <c r="AE216" i="1" s="1"/>
  <c r="AB217" i="1"/>
  <c r="AE217" i="1" s="1"/>
  <c r="AB218" i="1"/>
  <c r="AE218" i="1" s="1"/>
  <c r="AB219" i="1"/>
  <c r="AB220" i="1"/>
  <c r="AB221" i="1"/>
  <c r="AE221" i="1" s="1"/>
  <c r="AB222" i="1"/>
  <c r="AE222" i="1" s="1"/>
  <c r="AB223" i="1"/>
  <c r="AE223" i="1" s="1"/>
  <c r="AB224" i="1"/>
  <c r="AE224" i="1" s="1"/>
  <c r="AB225" i="1"/>
  <c r="AE225" i="1" s="1"/>
  <c r="AB226" i="1"/>
  <c r="AE226" i="1" s="1"/>
  <c r="AB227" i="1"/>
  <c r="AB228" i="1"/>
  <c r="AB229" i="1"/>
  <c r="AE229" i="1" s="1"/>
  <c r="AB230" i="1"/>
  <c r="AE230" i="1" s="1"/>
  <c r="AB231" i="1"/>
  <c r="AE231" i="1" s="1"/>
  <c r="AB232" i="1"/>
  <c r="AE232" i="1" s="1"/>
  <c r="AB233" i="1"/>
  <c r="AE233" i="1" s="1"/>
  <c r="AB234" i="1"/>
  <c r="AE234" i="1" s="1"/>
  <c r="AB235" i="1"/>
  <c r="AB236" i="1"/>
  <c r="AB237" i="1"/>
  <c r="AE237" i="1" s="1"/>
  <c r="AB238" i="1"/>
  <c r="AE238" i="1" s="1"/>
  <c r="AB239" i="1"/>
  <c r="AE239" i="1" s="1"/>
  <c r="AB240" i="1"/>
  <c r="AE240" i="1" s="1"/>
  <c r="AB241" i="1"/>
  <c r="AE241" i="1" s="1"/>
  <c r="AB242" i="1"/>
  <c r="AE242" i="1" s="1"/>
  <c r="AB243" i="1"/>
  <c r="AB244" i="1"/>
  <c r="AB245" i="1"/>
  <c r="AE245" i="1" s="1"/>
  <c r="AB246" i="1"/>
  <c r="AE246" i="1" s="1"/>
  <c r="AB247" i="1"/>
  <c r="AE247" i="1" s="1"/>
  <c r="AB248" i="1"/>
  <c r="AE248" i="1" s="1"/>
  <c r="AB249" i="1"/>
  <c r="AE249" i="1" s="1"/>
  <c r="AG249" i="1" s="1"/>
  <c r="AH249" i="1" s="1"/>
  <c r="AB250" i="1"/>
  <c r="AB251" i="1"/>
  <c r="AB252" i="1"/>
  <c r="AB253" i="1"/>
  <c r="AB254" i="1"/>
  <c r="AE254" i="1" s="1"/>
  <c r="AB255" i="1"/>
  <c r="AE255" i="1" s="1"/>
  <c r="AB256" i="1"/>
  <c r="AE256" i="1" s="1"/>
  <c r="AB257" i="1"/>
  <c r="AE257" i="1" s="1"/>
  <c r="AB258" i="1"/>
  <c r="AE258" i="1" s="1"/>
  <c r="AB259" i="1"/>
  <c r="AB260" i="1"/>
  <c r="AB261" i="1"/>
  <c r="AE261" i="1" s="1"/>
  <c r="AB262" i="1"/>
  <c r="AE262" i="1" s="1"/>
  <c r="AB263" i="1"/>
  <c r="AE263" i="1" s="1"/>
  <c r="AB264" i="1"/>
  <c r="AE264" i="1" s="1"/>
  <c r="AB265" i="1"/>
  <c r="AE265" i="1" s="1"/>
  <c r="AB266" i="1"/>
  <c r="AE266" i="1" s="1"/>
  <c r="AB267" i="1"/>
  <c r="AB268" i="1"/>
  <c r="AB269" i="1"/>
  <c r="AE269" i="1" s="1"/>
  <c r="AB270" i="1"/>
  <c r="AE270" i="1" s="1"/>
  <c r="AB271" i="1"/>
  <c r="AE271" i="1" s="1"/>
  <c r="AB272" i="1"/>
  <c r="AE272" i="1" s="1"/>
  <c r="AB273" i="1"/>
  <c r="AE273" i="1" s="1"/>
  <c r="AB274" i="1"/>
  <c r="AE274" i="1" s="1"/>
  <c r="AB275" i="1"/>
  <c r="AB276" i="1"/>
  <c r="AB277" i="1"/>
  <c r="AE277" i="1" s="1"/>
  <c r="AB278" i="1"/>
  <c r="AE278" i="1" s="1"/>
  <c r="AB279" i="1"/>
  <c r="AE279" i="1" s="1"/>
  <c r="AB280" i="1"/>
  <c r="AE280" i="1" s="1"/>
  <c r="AB281" i="1"/>
  <c r="AE281" i="1" s="1"/>
  <c r="AB282" i="1"/>
  <c r="AE282" i="1" s="1"/>
  <c r="AB283" i="1"/>
  <c r="AB284" i="1"/>
  <c r="AB285" i="1"/>
  <c r="AE285" i="1" s="1"/>
  <c r="AB286" i="1"/>
  <c r="AE286" i="1" s="1"/>
  <c r="AB287" i="1"/>
  <c r="AE287" i="1" s="1"/>
  <c r="AB288" i="1"/>
  <c r="AE288" i="1" s="1"/>
  <c r="AB289" i="1"/>
  <c r="AE289" i="1" s="1"/>
  <c r="AB290" i="1"/>
  <c r="AE290" i="1" s="1"/>
  <c r="AB291" i="1"/>
  <c r="AB292" i="1"/>
  <c r="AB293" i="1"/>
  <c r="AB294" i="1"/>
  <c r="AE294" i="1" s="1"/>
  <c r="AB295" i="1"/>
  <c r="AE295" i="1" s="1"/>
  <c r="AB296" i="1"/>
  <c r="AE296" i="1" s="1"/>
  <c r="AB297" i="1"/>
  <c r="AE297" i="1" s="1"/>
  <c r="AB298" i="1"/>
  <c r="AE298" i="1" s="1"/>
  <c r="AB299" i="1"/>
  <c r="AB300" i="1"/>
  <c r="AB301" i="1"/>
  <c r="AE301" i="1" s="1"/>
  <c r="AB302" i="1"/>
  <c r="AE302" i="1" s="1"/>
  <c r="AB303" i="1"/>
  <c r="AE303" i="1" s="1"/>
  <c r="AB304" i="1"/>
  <c r="AE304" i="1" s="1"/>
  <c r="AB305" i="1"/>
  <c r="AE305" i="1" s="1"/>
  <c r="AB306" i="1"/>
  <c r="AE306" i="1" s="1"/>
  <c r="AB307" i="1"/>
  <c r="AB308" i="1"/>
  <c r="AB309" i="1"/>
  <c r="AB310" i="1"/>
  <c r="AE310" i="1" s="1"/>
  <c r="AB311" i="1"/>
  <c r="AE311" i="1" s="1"/>
  <c r="AB312" i="1"/>
  <c r="AE312" i="1" s="1"/>
  <c r="AB313" i="1"/>
  <c r="AE313" i="1" s="1"/>
  <c r="AB314" i="1"/>
  <c r="AB315" i="1"/>
  <c r="AB316" i="1"/>
  <c r="AB317" i="1"/>
  <c r="AB318" i="1"/>
  <c r="AE318" i="1" s="1"/>
  <c r="AB319" i="1"/>
  <c r="AE319" i="1" s="1"/>
  <c r="AB320" i="1"/>
  <c r="AE320" i="1" s="1"/>
  <c r="AB321" i="1"/>
  <c r="AE321" i="1" s="1"/>
  <c r="AB322" i="1"/>
  <c r="AE322" i="1" s="1"/>
  <c r="AB323" i="1"/>
  <c r="AB324" i="1"/>
  <c r="AB325" i="1"/>
  <c r="AB326" i="1"/>
  <c r="AE326" i="1" s="1"/>
  <c r="AB327" i="1"/>
  <c r="AE327" i="1" s="1"/>
  <c r="AB328" i="1"/>
  <c r="AE328" i="1" s="1"/>
  <c r="AB329" i="1"/>
  <c r="AE329" i="1" s="1"/>
  <c r="AB330" i="1"/>
  <c r="AE330" i="1" s="1"/>
  <c r="AB331" i="1"/>
  <c r="AB332" i="1"/>
  <c r="AB333" i="1"/>
  <c r="AE333" i="1" s="1"/>
  <c r="AB334" i="1"/>
  <c r="AE334" i="1" s="1"/>
  <c r="AB335" i="1"/>
  <c r="AE335" i="1" s="1"/>
  <c r="AB336" i="1"/>
  <c r="AE336" i="1" s="1"/>
  <c r="AB337" i="1"/>
  <c r="AE337" i="1" s="1"/>
  <c r="AB338" i="1"/>
  <c r="AE338" i="1" s="1"/>
  <c r="AB339" i="1"/>
  <c r="AB340" i="1"/>
  <c r="AB341" i="1"/>
  <c r="AB342" i="1"/>
  <c r="AE342" i="1" s="1"/>
  <c r="AB343" i="1"/>
  <c r="AE343" i="1" s="1"/>
  <c r="AB344" i="1"/>
  <c r="AE344" i="1" s="1"/>
  <c r="AB345" i="1"/>
  <c r="AE345" i="1" s="1"/>
  <c r="AB346" i="1"/>
  <c r="AE346" i="1" s="1"/>
  <c r="AB347" i="1"/>
  <c r="AB348" i="1"/>
  <c r="AB349" i="1"/>
  <c r="AE349" i="1" s="1"/>
  <c r="AB350" i="1"/>
  <c r="AE350" i="1" s="1"/>
  <c r="AB351" i="1"/>
  <c r="AE351" i="1" s="1"/>
  <c r="AB352" i="1"/>
  <c r="AE352" i="1" s="1"/>
  <c r="AB353" i="1"/>
  <c r="AE353" i="1" s="1"/>
  <c r="AB354" i="1"/>
  <c r="AE354" i="1" s="1"/>
  <c r="AB355" i="1"/>
  <c r="AB356" i="1"/>
  <c r="AB357" i="1"/>
  <c r="AB358" i="1"/>
  <c r="AE358" i="1" s="1"/>
  <c r="AB359" i="1"/>
  <c r="AE359" i="1" s="1"/>
  <c r="AB360" i="1"/>
  <c r="AE360" i="1" s="1"/>
  <c r="AB361" i="1"/>
  <c r="AE361" i="1" s="1"/>
  <c r="AB362" i="1"/>
  <c r="AE362" i="1" s="1"/>
  <c r="AB363" i="1"/>
  <c r="AB364" i="1"/>
  <c r="AB365" i="1"/>
  <c r="AB366" i="1"/>
  <c r="AE366" i="1" s="1"/>
  <c r="AB367" i="1"/>
  <c r="AE367" i="1" s="1"/>
  <c r="AB368" i="1"/>
  <c r="AE368" i="1" s="1"/>
  <c r="AB369" i="1"/>
  <c r="AB370" i="1"/>
  <c r="AE370" i="1" s="1"/>
  <c r="AB371" i="1"/>
  <c r="AB372" i="1"/>
  <c r="AB373" i="1"/>
  <c r="AB374" i="1"/>
  <c r="AE374" i="1" s="1"/>
  <c r="AB375" i="1"/>
  <c r="AE375" i="1" s="1"/>
  <c r="AB376" i="1"/>
  <c r="AE376" i="1" s="1"/>
  <c r="AB377" i="1"/>
  <c r="AE377" i="1" s="1"/>
  <c r="AB378" i="1"/>
  <c r="AE378" i="1" s="1"/>
  <c r="AB379" i="1"/>
  <c r="AB380" i="1"/>
  <c r="AE380" i="1" s="1"/>
  <c r="AB381" i="1"/>
  <c r="AB382" i="1"/>
  <c r="AE382" i="1" s="1"/>
  <c r="AB383" i="1"/>
  <c r="AE383" i="1" s="1"/>
  <c r="AB384" i="1"/>
  <c r="AE384" i="1" s="1"/>
  <c r="AB385" i="1"/>
  <c r="AE385" i="1" s="1"/>
  <c r="AB386" i="1"/>
  <c r="AE386" i="1" s="1"/>
  <c r="AB387" i="1"/>
  <c r="AE387" i="1" s="1"/>
  <c r="AB388" i="1"/>
  <c r="AB389" i="1"/>
  <c r="AE389" i="1" s="1"/>
  <c r="AB390" i="1"/>
  <c r="AE390" i="1" s="1"/>
  <c r="AB391" i="1"/>
  <c r="AE391" i="1" s="1"/>
  <c r="AB392" i="1"/>
  <c r="AE392" i="1" s="1"/>
  <c r="AB393" i="1"/>
  <c r="AE393" i="1" s="1"/>
  <c r="AB394" i="1"/>
  <c r="AE394" i="1" s="1"/>
  <c r="AB395" i="1"/>
  <c r="AB396" i="1"/>
  <c r="AE396" i="1" s="1"/>
  <c r="AB397" i="1"/>
  <c r="AB398" i="1"/>
  <c r="AE398" i="1" s="1"/>
  <c r="AB399" i="1"/>
  <c r="AE399" i="1" s="1"/>
  <c r="AB400" i="1"/>
  <c r="AE400" i="1" s="1"/>
  <c r="AB401" i="1"/>
  <c r="AE401" i="1" s="1"/>
  <c r="AB402" i="1"/>
  <c r="AE402" i="1" s="1"/>
  <c r="AB403" i="1"/>
  <c r="AB404" i="1"/>
  <c r="AB405" i="1"/>
  <c r="AB406" i="1"/>
  <c r="AE406" i="1" s="1"/>
  <c r="AB407" i="1"/>
  <c r="AE407" i="1" s="1"/>
  <c r="AB408" i="1"/>
  <c r="AE408" i="1" s="1"/>
  <c r="AB409" i="1"/>
  <c r="AE409" i="1" s="1"/>
  <c r="AG409" i="1" s="1"/>
  <c r="AH409" i="1" s="1"/>
  <c r="AB410" i="1"/>
  <c r="AE410" i="1" s="1"/>
  <c r="AB411" i="1"/>
  <c r="AB412" i="1"/>
  <c r="AB413" i="1"/>
  <c r="AB414" i="1"/>
  <c r="AE414" i="1" s="1"/>
  <c r="AB415" i="1"/>
  <c r="AE415" i="1" s="1"/>
  <c r="AB416" i="1"/>
  <c r="AE416" i="1" s="1"/>
  <c r="AB417" i="1"/>
  <c r="AE417" i="1" s="1"/>
  <c r="AB418" i="1"/>
  <c r="AE418" i="1" s="1"/>
  <c r="AB419" i="1"/>
  <c r="AB420" i="1"/>
  <c r="AB421" i="1"/>
  <c r="AB422" i="1"/>
  <c r="AE422" i="1" s="1"/>
  <c r="AB423" i="1"/>
  <c r="AE423" i="1" s="1"/>
  <c r="AB424" i="1"/>
  <c r="AE424" i="1" s="1"/>
  <c r="AB425" i="1"/>
  <c r="AE425" i="1" s="1"/>
  <c r="AB426" i="1"/>
  <c r="AE426" i="1" s="1"/>
  <c r="AB427" i="1"/>
  <c r="AB428" i="1"/>
  <c r="AB429" i="1"/>
  <c r="AB430" i="1"/>
  <c r="AE430" i="1" s="1"/>
  <c r="AB431" i="1"/>
  <c r="AE431" i="1" s="1"/>
  <c r="AB432" i="1"/>
  <c r="AE432" i="1" s="1"/>
  <c r="AB433" i="1"/>
  <c r="AE433" i="1" s="1"/>
  <c r="AB434" i="1"/>
  <c r="AE434" i="1" s="1"/>
  <c r="AB435" i="1"/>
  <c r="AE435" i="1" s="1"/>
  <c r="AB436" i="1"/>
  <c r="AB437" i="1"/>
  <c r="AB438" i="1"/>
  <c r="AE438" i="1" s="1"/>
  <c r="AB439" i="1"/>
  <c r="AE439" i="1" s="1"/>
  <c r="AB440" i="1"/>
  <c r="AE440" i="1" s="1"/>
  <c r="AB441" i="1"/>
  <c r="AE441" i="1" s="1"/>
  <c r="AB442" i="1"/>
  <c r="AB443" i="1"/>
  <c r="AB444" i="1"/>
  <c r="AB445" i="1"/>
  <c r="AB446" i="1"/>
  <c r="AE446" i="1" s="1"/>
  <c r="AB447" i="1"/>
  <c r="AE447" i="1" s="1"/>
  <c r="AB448" i="1"/>
  <c r="AE448" i="1" s="1"/>
  <c r="AB449" i="1"/>
  <c r="AE449" i="1" s="1"/>
  <c r="AB450" i="1"/>
  <c r="AE450" i="1" s="1"/>
  <c r="AB451" i="1"/>
  <c r="AE451" i="1" s="1"/>
  <c r="AB452" i="1"/>
  <c r="AB453" i="1"/>
  <c r="AE453" i="1" s="1"/>
  <c r="AB454" i="1"/>
  <c r="AE454" i="1" s="1"/>
  <c r="AB455" i="1"/>
  <c r="AE455" i="1" s="1"/>
  <c r="AB456" i="1"/>
  <c r="AE456" i="1" s="1"/>
  <c r="AB457" i="1"/>
  <c r="AE457" i="1" s="1"/>
  <c r="AB458" i="1"/>
  <c r="AE458" i="1" s="1"/>
  <c r="AB459" i="1"/>
  <c r="AB460" i="1"/>
  <c r="AE460" i="1" s="1"/>
  <c r="AB461" i="1"/>
  <c r="AB462" i="1"/>
  <c r="AE462" i="1" s="1"/>
  <c r="AB463" i="1"/>
  <c r="AE463" i="1" s="1"/>
  <c r="AB464" i="1"/>
  <c r="AE464" i="1" s="1"/>
  <c r="AB465" i="1"/>
  <c r="AE465" i="1" s="1"/>
  <c r="AB466" i="1"/>
  <c r="AE466" i="1" s="1"/>
  <c r="AB467" i="1"/>
  <c r="AB468" i="1"/>
  <c r="AB469" i="1"/>
  <c r="AE469" i="1" s="1"/>
  <c r="AB470" i="1"/>
  <c r="AE470" i="1" s="1"/>
  <c r="AB471" i="1"/>
  <c r="AE471" i="1" s="1"/>
  <c r="AB472" i="1"/>
  <c r="AE472" i="1" s="1"/>
  <c r="AB473" i="1"/>
  <c r="AE473" i="1" s="1"/>
  <c r="AB474" i="1"/>
  <c r="AE474" i="1" s="1"/>
  <c r="AB475" i="1"/>
  <c r="AB476" i="1"/>
  <c r="AB477" i="1"/>
  <c r="AB478" i="1"/>
  <c r="AE478" i="1" s="1"/>
  <c r="AB479" i="1"/>
  <c r="AE479" i="1" s="1"/>
  <c r="AB480" i="1"/>
  <c r="AE480" i="1" s="1"/>
  <c r="AB481" i="1"/>
  <c r="AB482" i="1"/>
  <c r="AE482" i="1" s="1"/>
  <c r="AB483" i="1"/>
  <c r="AB484" i="1"/>
  <c r="AB485" i="1"/>
  <c r="AB486" i="1"/>
  <c r="AE486" i="1" s="1"/>
  <c r="AB487" i="1"/>
  <c r="AE487" i="1" s="1"/>
  <c r="AB488" i="1"/>
  <c r="AE488" i="1" s="1"/>
  <c r="AB489" i="1"/>
  <c r="AE489" i="1" s="1"/>
  <c r="AB490" i="1"/>
  <c r="AE490" i="1" s="1"/>
  <c r="AB491" i="1"/>
  <c r="AB492" i="1"/>
  <c r="AB493" i="1"/>
  <c r="AB494" i="1"/>
  <c r="AE494" i="1" s="1"/>
  <c r="AB495" i="1"/>
  <c r="AE495" i="1" s="1"/>
  <c r="AB496" i="1"/>
  <c r="AE496" i="1" s="1"/>
  <c r="AB497" i="1"/>
  <c r="AE497" i="1" s="1"/>
  <c r="AB498" i="1"/>
  <c r="AE498" i="1" s="1"/>
  <c r="AB499" i="1"/>
  <c r="AE499" i="1" s="1"/>
  <c r="AB500" i="1"/>
  <c r="AB501" i="1"/>
  <c r="AB502" i="1"/>
  <c r="AE502" i="1" s="1"/>
  <c r="AB503" i="1"/>
  <c r="AE503" i="1" s="1"/>
  <c r="AB504" i="1"/>
  <c r="AE504" i="1" s="1"/>
  <c r="AB505" i="1"/>
  <c r="AE505" i="1" s="1"/>
  <c r="AB506" i="1"/>
  <c r="AE506" i="1" s="1"/>
  <c r="AB507" i="1"/>
  <c r="AB508" i="1"/>
  <c r="AE508" i="1" s="1"/>
  <c r="AB509" i="1"/>
  <c r="AB510" i="1"/>
  <c r="AE510" i="1" s="1"/>
  <c r="AB511" i="1"/>
  <c r="AE511" i="1" s="1"/>
  <c r="AB512" i="1"/>
  <c r="AE512" i="1" s="1"/>
  <c r="AB513" i="1"/>
  <c r="AE513" i="1" s="1"/>
  <c r="AB514" i="1"/>
  <c r="AE514" i="1" s="1"/>
  <c r="AB515" i="1"/>
  <c r="AB516" i="1"/>
  <c r="AB517" i="1"/>
  <c r="AB518" i="1"/>
  <c r="AE518" i="1" s="1"/>
  <c r="AB519" i="1"/>
  <c r="AE519" i="1" s="1"/>
  <c r="AB520" i="1"/>
  <c r="AE520" i="1" s="1"/>
  <c r="AB521" i="1"/>
  <c r="AE521" i="1" s="1"/>
  <c r="AB522" i="1"/>
  <c r="AE522" i="1" s="1"/>
  <c r="AB523" i="1"/>
  <c r="AB524" i="1"/>
  <c r="AE524" i="1" s="1"/>
  <c r="AB525" i="1"/>
  <c r="AB526" i="1"/>
  <c r="AE526" i="1" s="1"/>
  <c r="AB527" i="1"/>
  <c r="AE527" i="1" s="1"/>
  <c r="AB528" i="1"/>
  <c r="AE528" i="1" s="1"/>
  <c r="AB529" i="1"/>
  <c r="AE529" i="1" s="1"/>
  <c r="AB530" i="1"/>
  <c r="AE530" i="1" s="1"/>
  <c r="AB531" i="1"/>
  <c r="AB532" i="1"/>
  <c r="AB533" i="1"/>
  <c r="AE533" i="1" s="1"/>
  <c r="AB534" i="1"/>
  <c r="AE534" i="1" s="1"/>
  <c r="AB535" i="1"/>
  <c r="AE535" i="1" s="1"/>
  <c r="AB536" i="1"/>
  <c r="AE536" i="1" s="1"/>
  <c r="AB537" i="1"/>
  <c r="AE537" i="1" s="1"/>
  <c r="AB538" i="1"/>
  <c r="AE538" i="1" s="1"/>
  <c r="AB539" i="1"/>
  <c r="AB540" i="1"/>
  <c r="AB541" i="1"/>
  <c r="AB542" i="1"/>
  <c r="AE542" i="1" s="1"/>
  <c r="AB543" i="1"/>
  <c r="AE543" i="1" s="1"/>
  <c r="AB544" i="1"/>
  <c r="AE544" i="1" s="1"/>
  <c r="AB545" i="1"/>
  <c r="AE545" i="1" s="1"/>
  <c r="AB546" i="1"/>
  <c r="AE546" i="1" s="1"/>
  <c r="AB547" i="1"/>
  <c r="AB548" i="1"/>
  <c r="AB549" i="1"/>
  <c r="AB550" i="1"/>
  <c r="AE550" i="1" s="1"/>
  <c r="AB551" i="1"/>
  <c r="AE551" i="1" s="1"/>
  <c r="AB552" i="1"/>
  <c r="AE552" i="1" s="1"/>
  <c r="AB553" i="1"/>
  <c r="AE553" i="1" s="1"/>
  <c r="AB554" i="1"/>
  <c r="AB555" i="1"/>
  <c r="AB556" i="1"/>
  <c r="AB557" i="1"/>
  <c r="AB558" i="1"/>
  <c r="AE558" i="1" s="1"/>
  <c r="AB559" i="1"/>
  <c r="AE559" i="1" s="1"/>
  <c r="AB560" i="1"/>
  <c r="AE560" i="1" s="1"/>
  <c r="AB561" i="1"/>
  <c r="AE561" i="1" s="1"/>
  <c r="AB562" i="1"/>
  <c r="AE562" i="1" s="1"/>
  <c r="AB563" i="1"/>
  <c r="AE563" i="1" s="1"/>
  <c r="AB564" i="1"/>
  <c r="AB565" i="1"/>
  <c r="AB566" i="1"/>
  <c r="AE566" i="1" s="1"/>
  <c r="AB567" i="1"/>
  <c r="AE567" i="1" s="1"/>
  <c r="AB568" i="1"/>
  <c r="AE568" i="1" s="1"/>
  <c r="AB569" i="1"/>
  <c r="AE569" i="1" s="1"/>
  <c r="AB570" i="1"/>
  <c r="AE570" i="1" s="1"/>
  <c r="AB571" i="1"/>
  <c r="AB572" i="1"/>
  <c r="AE572" i="1" s="1"/>
  <c r="AB573" i="1"/>
  <c r="AB574" i="1"/>
  <c r="AE574" i="1" s="1"/>
  <c r="AB575" i="1"/>
  <c r="AE575" i="1" s="1"/>
  <c r="AB576" i="1"/>
  <c r="AE576" i="1" s="1"/>
  <c r="AB577" i="1"/>
  <c r="AE577" i="1" s="1"/>
  <c r="AB578" i="1"/>
  <c r="AE578" i="1" s="1"/>
  <c r="AB579" i="1"/>
  <c r="AE579" i="1" s="1"/>
  <c r="AB580" i="1"/>
  <c r="AB581" i="1"/>
  <c r="AE581" i="1" s="1"/>
  <c r="AB582" i="1"/>
  <c r="AE582" i="1" s="1"/>
  <c r="AB583" i="1"/>
  <c r="AE583" i="1" s="1"/>
  <c r="AB584" i="1"/>
  <c r="AE584" i="1" s="1"/>
  <c r="AB585" i="1"/>
  <c r="AE585" i="1" s="1"/>
  <c r="AB586" i="1"/>
  <c r="AE586" i="1" s="1"/>
  <c r="AB587" i="1"/>
  <c r="AB588" i="1"/>
  <c r="AB589" i="1"/>
  <c r="AB590" i="1"/>
  <c r="AE590" i="1" s="1"/>
  <c r="AB591" i="1"/>
  <c r="AE591" i="1" s="1"/>
  <c r="AB592" i="1"/>
  <c r="AE592" i="1" s="1"/>
  <c r="AB593" i="1"/>
  <c r="AE593" i="1" s="1"/>
  <c r="AB594" i="1"/>
  <c r="AE594" i="1" s="1"/>
  <c r="AB595" i="1"/>
  <c r="AB596" i="1"/>
  <c r="AB597" i="1"/>
  <c r="AE597" i="1" s="1"/>
  <c r="AB598" i="1"/>
  <c r="AE598" i="1" s="1"/>
  <c r="AB599" i="1"/>
  <c r="AE599" i="1" s="1"/>
  <c r="AB600" i="1"/>
  <c r="AE600" i="1" s="1"/>
  <c r="AB601" i="1"/>
  <c r="AE601" i="1" s="1"/>
  <c r="AB602" i="1"/>
  <c r="AE602" i="1" s="1"/>
  <c r="AB603" i="1"/>
  <c r="AB604" i="1"/>
  <c r="AB605" i="1"/>
  <c r="AB606" i="1"/>
  <c r="AE606" i="1" s="1"/>
  <c r="AB607" i="1"/>
  <c r="AE607" i="1" s="1"/>
  <c r="AB608" i="1"/>
  <c r="AE608" i="1" s="1"/>
  <c r="AB609" i="1"/>
  <c r="AE609" i="1" s="1"/>
  <c r="AB610" i="1"/>
  <c r="AE610" i="1" s="1"/>
  <c r="AB611" i="1"/>
  <c r="AB612" i="1"/>
  <c r="AB613" i="1"/>
  <c r="AB614" i="1"/>
  <c r="AE614" i="1" s="1"/>
  <c r="AB615" i="1"/>
  <c r="AE615" i="1" s="1"/>
  <c r="AB616" i="1"/>
  <c r="AE616" i="1" s="1"/>
  <c r="AB617" i="1"/>
  <c r="AE617" i="1" s="1"/>
  <c r="AB618" i="1"/>
  <c r="AE618" i="1" s="1"/>
  <c r="AB619" i="1"/>
  <c r="AB620" i="1"/>
  <c r="AB621" i="1"/>
  <c r="AB622" i="1"/>
  <c r="AE622" i="1" s="1"/>
  <c r="AB623" i="1"/>
  <c r="AE623" i="1" s="1"/>
  <c r="AB624" i="1"/>
  <c r="AE624" i="1" s="1"/>
  <c r="AB625" i="1"/>
  <c r="AB626" i="1"/>
  <c r="AE626" i="1" s="1"/>
  <c r="AB627" i="1"/>
  <c r="AB628" i="1"/>
  <c r="AB629" i="1"/>
  <c r="AB630" i="1"/>
  <c r="AE630" i="1" s="1"/>
  <c r="AB631" i="1"/>
  <c r="AE631" i="1" s="1"/>
  <c r="AB632" i="1"/>
  <c r="AE632" i="1" s="1"/>
  <c r="AB633" i="1"/>
  <c r="AE633" i="1" s="1"/>
  <c r="AB634" i="1"/>
  <c r="AE634" i="1" s="1"/>
  <c r="AB635" i="1"/>
  <c r="AB636" i="1"/>
  <c r="AE636" i="1" s="1"/>
  <c r="AB637" i="1"/>
  <c r="AB638" i="1"/>
  <c r="AE638" i="1" s="1"/>
  <c r="AB639" i="1"/>
  <c r="AE639" i="1" s="1"/>
  <c r="AB640" i="1"/>
  <c r="AE640" i="1" s="1"/>
  <c r="AB641" i="1"/>
  <c r="AE641" i="1" s="1"/>
  <c r="AB642" i="1"/>
  <c r="AE642" i="1" s="1"/>
  <c r="AB643" i="1"/>
  <c r="AE643" i="1" s="1"/>
  <c r="AB644" i="1"/>
  <c r="AB645" i="1"/>
  <c r="AE645" i="1" s="1"/>
  <c r="AB646" i="1"/>
  <c r="AE646" i="1" s="1"/>
  <c r="AB647" i="1"/>
  <c r="AE647" i="1" s="1"/>
  <c r="AB648" i="1"/>
  <c r="AE648" i="1" s="1"/>
  <c r="AB649" i="1"/>
  <c r="AE649" i="1" s="1"/>
  <c r="AB650" i="1"/>
  <c r="AE650" i="1" s="1"/>
  <c r="AB651" i="1"/>
  <c r="AB652" i="1"/>
  <c r="AE652" i="1" s="1"/>
  <c r="AB653" i="1"/>
  <c r="AB654" i="1"/>
  <c r="AE654" i="1" s="1"/>
  <c r="AB655" i="1"/>
  <c r="AE655" i="1" s="1"/>
  <c r="AB656" i="1"/>
  <c r="AE656" i="1" s="1"/>
  <c r="AB657" i="1"/>
  <c r="AE657" i="1" s="1"/>
  <c r="AB658" i="1"/>
  <c r="AE658" i="1" s="1"/>
  <c r="AB659" i="1"/>
  <c r="AB660" i="1"/>
  <c r="AB661" i="1"/>
  <c r="AB662" i="1"/>
  <c r="AE662" i="1" s="1"/>
  <c r="AB663" i="1"/>
  <c r="AE663" i="1" s="1"/>
  <c r="AB664" i="1"/>
  <c r="AE664" i="1" s="1"/>
  <c r="AB665" i="1"/>
  <c r="AE665" i="1" s="1"/>
  <c r="AB666" i="1"/>
  <c r="AE666" i="1" s="1"/>
  <c r="AB667" i="1"/>
  <c r="AB668" i="1"/>
  <c r="AB669" i="1"/>
  <c r="AB670" i="1"/>
  <c r="AE670" i="1" s="1"/>
  <c r="AB671" i="1"/>
  <c r="AE671" i="1" s="1"/>
  <c r="AB672" i="1"/>
  <c r="AE672" i="1" s="1"/>
  <c r="AB673" i="1"/>
  <c r="AE673" i="1" s="1"/>
  <c r="AB674" i="1"/>
  <c r="AE674" i="1" s="1"/>
  <c r="AB675" i="1"/>
  <c r="AB676" i="1"/>
  <c r="AB677" i="1"/>
  <c r="AB678" i="1"/>
  <c r="AE678" i="1" s="1"/>
  <c r="AB679" i="1"/>
  <c r="AE679" i="1" s="1"/>
  <c r="AB680" i="1"/>
  <c r="AE680" i="1" s="1"/>
  <c r="AB681" i="1"/>
  <c r="AE681" i="1" s="1"/>
  <c r="AB682" i="1"/>
  <c r="AE682" i="1" s="1"/>
  <c r="AB683" i="1"/>
  <c r="AB684" i="1"/>
  <c r="AB685" i="1"/>
  <c r="AB686" i="1"/>
  <c r="AE686" i="1" s="1"/>
  <c r="AB687" i="1"/>
  <c r="AE687" i="1" s="1"/>
  <c r="AB688" i="1"/>
  <c r="AE688" i="1" s="1"/>
  <c r="AB689" i="1"/>
  <c r="AE689" i="1" s="1"/>
  <c r="AB690" i="1"/>
  <c r="AE690" i="1" s="1"/>
  <c r="AB691" i="1"/>
  <c r="AE691" i="1" s="1"/>
  <c r="AB692" i="1"/>
  <c r="AB693" i="1"/>
  <c r="AB694" i="1"/>
  <c r="AE694" i="1" s="1"/>
  <c r="AB695" i="1"/>
  <c r="AE695" i="1" s="1"/>
  <c r="AB696" i="1"/>
  <c r="AE696" i="1" s="1"/>
  <c r="AB697" i="1"/>
  <c r="AE697" i="1" s="1"/>
  <c r="AB698" i="1"/>
  <c r="AB699" i="1"/>
  <c r="AB700" i="1"/>
  <c r="AE700" i="1" s="1"/>
  <c r="AB701" i="1"/>
  <c r="AB702" i="1"/>
  <c r="AE702" i="1" s="1"/>
  <c r="AB703" i="1"/>
  <c r="AE703" i="1" s="1"/>
  <c r="AB704" i="1"/>
  <c r="AE704" i="1" s="1"/>
  <c r="AB705" i="1"/>
  <c r="AE705" i="1" s="1"/>
  <c r="AB706" i="1"/>
  <c r="AE706" i="1" s="1"/>
  <c r="AB707" i="1"/>
  <c r="AE707" i="1" s="1"/>
  <c r="AB708" i="1"/>
  <c r="AB709" i="1"/>
  <c r="AE709" i="1" s="1"/>
  <c r="AB710" i="1"/>
  <c r="AE710" i="1" s="1"/>
  <c r="AB711" i="1"/>
  <c r="AE711" i="1" s="1"/>
  <c r="AB712" i="1"/>
  <c r="AE712" i="1" s="1"/>
  <c r="AB713" i="1"/>
  <c r="AE713" i="1" s="1"/>
  <c r="AB714" i="1"/>
  <c r="AE714" i="1" s="1"/>
  <c r="AB715" i="1"/>
  <c r="AB716" i="1"/>
  <c r="AE716" i="1" s="1"/>
  <c r="AB717" i="1"/>
  <c r="AB718" i="1"/>
  <c r="AE718" i="1" s="1"/>
  <c r="AB719" i="1"/>
  <c r="AE719" i="1" s="1"/>
  <c r="AB720" i="1"/>
  <c r="AE720" i="1" s="1"/>
  <c r="AB721" i="1"/>
  <c r="AE721" i="1" s="1"/>
  <c r="AB722" i="1"/>
  <c r="AE722" i="1" s="1"/>
  <c r="AB723" i="1"/>
  <c r="AB724" i="1"/>
  <c r="AB725" i="1"/>
  <c r="AE725" i="1" s="1"/>
  <c r="AB726" i="1"/>
  <c r="AE726" i="1" s="1"/>
  <c r="AB727" i="1"/>
  <c r="AE727" i="1" s="1"/>
  <c r="AB728" i="1"/>
  <c r="AE728" i="1" s="1"/>
  <c r="AB729" i="1"/>
  <c r="AE729" i="1" s="1"/>
  <c r="AB730" i="1"/>
  <c r="AE730" i="1" s="1"/>
  <c r="AB731" i="1"/>
  <c r="AB732" i="1"/>
  <c r="AE732" i="1" s="1"/>
  <c r="AB733" i="1"/>
  <c r="AB734" i="1"/>
  <c r="AE734" i="1" s="1"/>
  <c r="AB735" i="1"/>
  <c r="AE735" i="1" s="1"/>
  <c r="AB736" i="1"/>
  <c r="AE736" i="1" s="1"/>
  <c r="AB737" i="1"/>
  <c r="AE737" i="1" s="1"/>
  <c r="AB738" i="1"/>
  <c r="AE738" i="1" s="1"/>
  <c r="AB739" i="1"/>
  <c r="AB740" i="1"/>
  <c r="AB741" i="1"/>
  <c r="AE741" i="1" s="1"/>
  <c r="AB742" i="1"/>
  <c r="AE742" i="1" s="1"/>
  <c r="AB743" i="1"/>
  <c r="AE743" i="1" s="1"/>
  <c r="AB744" i="1"/>
  <c r="AE744" i="1" s="1"/>
  <c r="AB745" i="1"/>
  <c r="AE745" i="1" s="1"/>
  <c r="AB746" i="1"/>
  <c r="AB747" i="1"/>
  <c r="AB748" i="1"/>
  <c r="AB749" i="1"/>
  <c r="AB750" i="1"/>
  <c r="AE750" i="1" s="1"/>
  <c r="AB751" i="1"/>
  <c r="AE751" i="1" s="1"/>
  <c r="AB752" i="1"/>
  <c r="AE752" i="1" s="1"/>
  <c r="AB753" i="1"/>
  <c r="AE753" i="1" s="1"/>
  <c r="AB754" i="1"/>
  <c r="AE754" i="1" s="1"/>
  <c r="AB755" i="1"/>
  <c r="AE755" i="1" s="1"/>
  <c r="AB756" i="1"/>
  <c r="AB757" i="1"/>
  <c r="AB758" i="1"/>
  <c r="AE758" i="1" s="1"/>
  <c r="AB759" i="1"/>
  <c r="AE759" i="1" s="1"/>
  <c r="AB760" i="1"/>
  <c r="AE760" i="1" s="1"/>
  <c r="AB761" i="1"/>
  <c r="AE761" i="1" s="1"/>
  <c r="AB762" i="1"/>
  <c r="AE762" i="1" s="1"/>
  <c r="AB763" i="1"/>
  <c r="AB764" i="1"/>
  <c r="AE764" i="1" s="1"/>
  <c r="AB765" i="1"/>
  <c r="AB766" i="1"/>
  <c r="AE766" i="1" s="1"/>
  <c r="AB767" i="1"/>
  <c r="AE767" i="1" s="1"/>
  <c r="AB768" i="1"/>
  <c r="AE768" i="1" s="1"/>
  <c r="AB769" i="1"/>
  <c r="AB770" i="1"/>
  <c r="AE770" i="1" s="1"/>
  <c r="AB771" i="1"/>
  <c r="AB772" i="1"/>
  <c r="AB773" i="1"/>
  <c r="AE773" i="1" s="1"/>
  <c r="AB774" i="1"/>
  <c r="AE774" i="1" s="1"/>
  <c r="AB775" i="1"/>
  <c r="AE775" i="1" s="1"/>
  <c r="AB776" i="1"/>
  <c r="AE776" i="1" s="1"/>
  <c r="AB777" i="1"/>
  <c r="AE777" i="1" s="1"/>
  <c r="AB778" i="1"/>
  <c r="AE778" i="1" s="1"/>
  <c r="AB779" i="1"/>
  <c r="AB780" i="1"/>
  <c r="AE780" i="1" s="1"/>
  <c r="AB781" i="1"/>
  <c r="AB782" i="1"/>
  <c r="AE782" i="1" s="1"/>
  <c r="AB783" i="1"/>
  <c r="AE783" i="1" s="1"/>
  <c r="AB784" i="1"/>
  <c r="AE784" i="1" s="1"/>
  <c r="AB785" i="1"/>
  <c r="AE785" i="1" s="1"/>
  <c r="AB786" i="1"/>
  <c r="AE786" i="1" s="1"/>
  <c r="AB787" i="1"/>
  <c r="AE787" i="1" s="1"/>
  <c r="AB788" i="1"/>
  <c r="AB789" i="1"/>
  <c r="AE789" i="1" s="1"/>
  <c r="AB790" i="1"/>
  <c r="AE790" i="1" s="1"/>
  <c r="AB791" i="1"/>
  <c r="AE791" i="1" s="1"/>
  <c r="AB792" i="1"/>
  <c r="AE792" i="1" s="1"/>
  <c r="AB793" i="1"/>
  <c r="AE793" i="1" s="1"/>
  <c r="AB794" i="1"/>
  <c r="AE794" i="1" s="1"/>
  <c r="AB795" i="1"/>
  <c r="AB796" i="1"/>
  <c r="AB797" i="1"/>
  <c r="AB798" i="1"/>
  <c r="AE798" i="1" s="1"/>
  <c r="AB799" i="1"/>
  <c r="AE799" i="1" s="1"/>
  <c r="AB800" i="1"/>
  <c r="AE800" i="1" s="1"/>
  <c r="AB801" i="1"/>
  <c r="AE801" i="1" s="1"/>
  <c r="AB802" i="1"/>
  <c r="AE802" i="1" s="1"/>
  <c r="AB803" i="1"/>
  <c r="AB804" i="1"/>
  <c r="AB805" i="1"/>
  <c r="AE805" i="1" s="1"/>
  <c r="AB806" i="1"/>
  <c r="AE806" i="1" s="1"/>
  <c r="AB807" i="1"/>
  <c r="AE807" i="1" s="1"/>
  <c r="AB808" i="1"/>
  <c r="AE808" i="1" s="1"/>
  <c r="AB809" i="1"/>
  <c r="AE809" i="1" s="1"/>
  <c r="AB810" i="1"/>
  <c r="AE810" i="1" s="1"/>
  <c r="AB811" i="1"/>
  <c r="AB812" i="1"/>
  <c r="AB813" i="1"/>
  <c r="AB814" i="1"/>
  <c r="AE814" i="1" s="1"/>
  <c r="AB815" i="1"/>
  <c r="AE815" i="1" s="1"/>
  <c r="AB816" i="1"/>
  <c r="AE816" i="1" s="1"/>
  <c r="AB817" i="1"/>
  <c r="AB818" i="1"/>
  <c r="AE818" i="1" s="1"/>
  <c r="AB819" i="1"/>
  <c r="AB820" i="1"/>
  <c r="AB821" i="1"/>
  <c r="AB822" i="1"/>
  <c r="AE822" i="1" s="1"/>
  <c r="AB823" i="1"/>
  <c r="AE823" i="1" s="1"/>
  <c r="AB824" i="1"/>
  <c r="AE824" i="1" s="1"/>
  <c r="AB825" i="1"/>
  <c r="AE825" i="1" s="1"/>
  <c r="AB826" i="1"/>
  <c r="AE826" i="1" s="1"/>
  <c r="AB827" i="1"/>
  <c r="AB828" i="1"/>
  <c r="AE828" i="1" s="1"/>
  <c r="AB829" i="1"/>
  <c r="AB830" i="1"/>
  <c r="AE830" i="1" s="1"/>
  <c r="AB831" i="1"/>
  <c r="AE831" i="1" s="1"/>
  <c r="AB832" i="1"/>
  <c r="AE832" i="1" s="1"/>
  <c r="AB833" i="1"/>
  <c r="AE833" i="1" s="1"/>
  <c r="AB834" i="1"/>
  <c r="AE834" i="1" s="1"/>
  <c r="AB835" i="1"/>
  <c r="AE835" i="1" s="1"/>
  <c r="AB836" i="1"/>
  <c r="AB837" i="1"/>
  <c r="AE837" i="1" s="1"/>
  <c r="AB838" i="1"/>
  <c r="AE838" i="1" s="1"/>
  <c r="AB839" i="1"/>
  <c r="AE839" i="1" s="1"/>
  <c r="AB840" i="1"/>
  <c r="AE840" i="1" s="1"/>
  <c r="AB841" i="1"/>
  <c r="AB842" i="1"/>
  <c r="AE842" i="1" s="1"/>
  <c r="AB843" i="1"/>
  <c r="AB844" i="1"/>
  <c r="AB845" i="1"/>
  <c r="AE845" i="1" s="1"/>
  <c r="AB846" i="1"/>
  <c r="AE846" i="1" s="1"/>
  <c r="AB847" i="1"/>
  <c r="AE847" i="1" s="1"/>
  <c r="AB848" i="1"/>
  <c r="AE848" i="1" s="1"/>
  <c r="AB849" i="1"/>
  <c r="AE849" i="1" s="1"/>
  <c r="AB850" i="1"/>
  <c r="AE850" i="1" s="1"/>
  <c r="AB851" i="1"/>
  <c r="AE851" i="1" s="1"/>
  <c r="AB852" i="1"/>
  <c r="AB853" i="1"/>
  <c r="AE853" i="1" s="1"/>
  <c r="AB854" i="1"/>
  <c r="AE854" i="1" s="1"/>
  <c r="AB855" i="1"/>
  <c r="AE855" i="1" s="1"/>
  <c r="AB856" i="1"/>
  <c r="AE856" i="1" s="1"/>
  <c r="AB857" i="1"/>
  <c r="AE857" i="1" s="1"/>
  <c r="AB858" i="1"/>
  <c r="AE858" i="1" s="1"/>
  <c r="AB859" i="1"/>
  <c r="AB860" i="1"/>
  <c r="AB861" i="1"/>
  <c r="AB862" i="1"/>
  <c r="AE862" i="1" s="1"/>
  <c r="AB863" i="1"/>
  <c r="AE863" i="1" s="1"/>
  <c r="AB864" i="1"/>
  <c r="AE864" i="1" s="1"/>
  <c r="AB865" i="1"/>
  <c r="AE865" i="1" s="1"/>
  <c r="AB866" i="1"/>
  <c r="AE866" i="1" s="1"/>
  <c r="AB867" i="1"/>
  <c r="AE867" i="1" s="1"/>
  <c r="AB868" i="1"/>
  <c r="AB869" i="1"/>
  <c r="AE869" i="1" s="1"/>
  <c r="AB870" i="1"/>
  <c r="AE870" i="1" s="1"/>
  <c r="AB871" i="1"/>
  <c r="AE871" i="1" s="1"/>
  <c r="AB872" i="1"/>
  <c r="AE872" i="1" s="1"/>
  <c r="AB873" i="1"/>
  <c r="AB874" i="1"/>
  <c r="AE874" i="1" s="1"/>
  <c r="AB875" i="1"/>
  <c r="AE875" i="1" s="1"/>
  <c r="AB876" i="1"/>
  <c r="AB877" i="1"/>
  <c r="AE877" i="1" s="1"/>
  <c r="AB878" i="1"/>
  <c r="AE878" i="1" s="1"/>
  <c r="AB879" i="1"/>
  <c r="AE879" i="1" s="1"/>
  <c r="AB880" i="1"/>
  <c r="AE880" i="1" s="1"/>
  <c r="AB881" i="1"/>
  <c r="AE881" i="1" s="1"/>
  <c r="AB882" i="1"/>
  <c r="AB883" i="1"/>
  <c r="AB884" i="1"/>
  <c r="AB885" i="1"/>
  <c r="AE885" i="1" s="1"/>
  <c r="AB886" i="1"/>
  <c r="AE886" i="1" s="1"/>
  <c r="AB887" i="1"/>
  <c r="AE887" i="1" s="1"/>
  <c r="AB888" i="1"/>
  <c r="AE888" i="1" s="1"/>
  <c r="AB889" i="1"/>
  <c r="AE889" i="1" s="1"/>
  <c r="AB890" i="1"/>
  <c r="AE890" i="1" s="1"/>
  <c r="AB891" i="1"/>
  <c r="AE891" i="1" s="1"/>
  <c r="AB892" i="1"/>
  <c r="AB893" i="1"/>
  <c r="AB894" i="1"/>
  <c r="AB895" i="1"/>
  <c r="AE895" i="1" s="1"/>
  <c r="AB896" i="1"/>
  <c r="AE896" i="1" s="1"/>
  <c r="AB897" i="1"/>
  <c r="AE897" i="1" s="1"/>
  <c r="AB898" i="1"/>
  <c r="AE898" i="1" s="1"/>
  <c r="AB899" i="1"/>
  <c r="AE899" i="1" s="1"/>
  <c r="AB900" i="1"/>
  <c r="AB901" i="1"/>
  <c r="AE901" i="1" s="1"/>
  <c r="AB902" i="1"/>
  <c r="AE902" i="1" s="1"/>
  <c r="AB903" i="1"/>
  <c r="AE903" i="1" s="1"/>
  <c r="AB904" i="1"/>
  <c r="AE904" i="1" s="1"/>
  <c r="AB905" i="1"/>
  <c r="AB906" i="1"/>
  <c r="AE906" i="1" s="1"/>
  <c r="AB907" i="1"/>
  <c r="AE907" i="1" s="1"/>
  <c r="AB908" i="1"/>
  <c r="AB909" i="1"/>
  <c r="AE909" i="1" s="1"/>
  <c r="AB910" i="1"/>
  <c r="AE910" i="1" s="1"/>
  <c r="AB911" i="1"/>
  <c r="AE911" i="1" s="1"/>
  <c r="AB912" i="1"/>
  <c r="AE912" i="1" s="1"/>
  <c r="AB913" i="1"/>
  <c r="AE913" i="1" s="1"/>
  <c r="AB914" i="1"/>
  <c r="AB915" i="1"/>
  <c r="AB916" i="1"/>
  <c r="AB917" i="1"/>
  <c r="AE917" i="1" s="1"/>
  <c r="AB918" i="1"/>
  <c r="AE918" i="1" s="1"/>
  <c r="AB919" i="1"/>
  <c r="AE919" i="1" s="1"/>
  <c r="AB920" i="1"/>
  <c r="AE920" i="1" s="1"/>
  <c r="AB921" i="1"/>
  <c r="AE921" i="1" s="1"/>
  <c r="AB922" i="1"/>
  <c r="AE922" i="1" s="1"/>
  <c r="AB923" i="1"/>
  <c r="AE923" i="1" s="1"/>
  <c r="AB924" i="1"/>
  <c r="AB925" i="1"/>
  <c r="AB926" i="1"/>
  <c r="AB927" i="1"/>
  <c r="AE927" i="1" s="1"/>
  <c r="AB928" i="1"/>
  <c r="AE928" i="1" s="1"/>
  <c r="AB929" i="1"/>
  <c r="AE929" i="1" s="1"/>
  <c r="AB930" i="1"/>
  <c r="AE930" i="1" s="1"/>
  <c r="AB931" i="1"/>
  <c r="AE931" i="1" s="1"/>
  <c r="AB932" i="1"/>
  <c r="AB933" i="1"/>
  <c r="AE933" i="1" s="1"/>
  <c r="AB934" i="1"/>
  <c r="AE934" i="1" s="1"/>
  <c r="AB935" i="1"/>
  <c r="AE935" i="1" s="1"/>
  <c r="AB936" i="1"/>
  <c r="AE936" i="1" s="1"/>
  <c r="AB937" i="1"/>
  <c r="AB938" i="1"/>
  <c r="AE938" i="1" s="1"/>
  <c r="AB939" i="1"/>
  <c r="AE939" i="1" s="1"/>
  <c r="AB940" i="1"/>
  <c r="AB941" i="1"/>
  <c r="AE941" i="1" s="1"/>
  <c r="AB942" i="1"/>
  <c r="AE942" i="1" s="1"/>
  <c r="AB943" i="1"/>
  <c r="AE943" i="1" s="1"/>
  <c r="AB944" i="1"/>
  <c r="AE944" i="1" s="1"/>
  <c r="AB945" i="1"/>
  <c r="AE945" i="1" s="1"/>
  <c r="AB946" i="1"/>
  <c r="AB947" i="1"/>
  <c r="AB948" i="1"/>
  <c r="AE948" i="1" s="1"/>
  <c r="AB949" i="1"/>
  <c r="AE949" i="1" s="1"/>
  <c r="AB950" i="1"/>
  <c r="AE950" i="1" s="1"/>
  <c r="AB951" i="1"/>
  <c r="AE951" i="1" s="1"/>
  <c r="AB952" i="1"/>
  <c r="AE952" i="1" s="1"/>
  <c r="AB953" i="1"/>
  <c r="AE953" i="1" s="1"/>
  <c r="AB954" i="1"/>
  <c r="AE954" i="1" s="1"/>
  <c r="AB955" i="1"/>
  <c r="AB956" i="1"/>
  <c r="AB957" i="1"/>
  <c r="AE957" i="1" s="1"/>
  <c r="AB958" i="1"/>
  <c r="AE958" i="1" s="1"/>
  <c r="AB959" i="1"/>
  <c r="AE959" i="1" s="1"/>
  <c r="AB960" i="1"/>
  <c r="AE960" i="1" s="1"/>
  <c r="AB961" i="1"/>
  <c r="AE961" i="1" s="1"/>
  <c r="AB962" i="1"/>
  <c r="AE962" i="1" s="1"/>
  <c r="AB963" i="1"/>
  <c r="AE963" i="1" s="1"/>
  <c r="AB964" i="1"/>
  <c r="AE964" i="1" s="1"/>
  <c r="AB965" i="1"/>
  <c r="AB966" i="1"/>
  <c r="AE966" i="1" s="1"/>
  <c r="AB967" i="1"/>
  <c r="AE967" i="1" s="1"/>
  <c r="AB968" i="1"/>
  <c r="AE968" i="1" s="1"/>
  <c r="AB969" i="1"/>
  <c r="AE969" i="1" s="1"/>
  <c r="AB970" i="1"/>
  <c r="AE970" i="1" s="1"/>
  <c r="AB971" i="1"/>
  <c r="AE971" i="1" s="1"/>
  <c r="AB972" i="1"/>
  <c r="AE972" i="1" s="1"/>
  <c r="AB973" i="1"/>
  <c r="AB974" i="1"/>
  <c r="AB975" i="1"/>
  <c r="AE975" i="1" s="1"/>
  <c r="AB976" i="1"/>
  <c r="AE976" i="1" s="1"/>
  <c r="AB977" i="1"/>
  <c r="AE977" i="1" s="1"/>
  <c r="AB978" i="1"/>
  <c r="AE978" i="1" s="1"/>
  <c r="AB979" i="1"/>
  <c r="AE979" i="1" s="1"/>
  <c r="AB980" i="1"/>
  <c r="AE980" i="1" s="1"/>
  <c r="AB981" i="1"/>
  <c r="AE981" i="1" s="1"/>
  <c r="AB982" i="1"/>
  <c r="AE982" i="1" s="1"/>
  <c r="AB983" i="1"/>
  <c r="AE983" i="1" s="1"/>
  <c r="AB984" i="1"/>
  <c r="AE984" i="1" s="1"/>
  <c r="AB985" i="1"/>
  <c r="AE985" i="1" s="1"/>
  <c r="AB986" i="1"/>
  <c r="AE986" i="1" s="1"/>
  <c r="AB987" i="1"/>
  <c r="AE987" i="1" s="1"/>
  <c r="AB988" i="1"/>
  <c r="AE988" i="1" s="1"/>
  <c r="AB989" i="1"/>
  <c r="AE989" i="1" s="1"/>
  <c r="AB990" i="1"/>
  <c r="AE990" i="1" s="1"/>
  <c r="AB991" i="1"/>
  <c r="AE991" i="1" s="1"/>
  <c r="AB992" i="1"/>
  <c r="AE992" i="1" s="1"/>
  <c r="AB993" i="1"/>
  <c r="AB994" i="1"/>
  <c r="AE994" i="1" s="1"/>
  <c r="AB995" i="1"/>
  <c r="AE995" i="1" s="1"/>
  <c r="AB996" i="1"/>
  <c r="AE996" i="1" s="1"/>
  <c r="AB997" i="1"/>
  <c r="AE997" i="1" s="1"/>
  <c r="AB998" i="1"/>
  <c r="AE998" i="1" s="1"/>
  <c r="AB999" i="1"/>
  <c r="AE999" i="1" s="1"/>
  <c r="AB1000" i="1"/>
  <c r="AE1000" i="1" s="1"/>
  <c r="AB1001" i="1"/>
  <c r="AB14" i="1"/>
  <c r="AE14" i="1" s="1"/>
  <c r="AB15" i="1"/>
  <c r="AB16" i="1"/>
  <c r="AB17" i="1"/>
  <c r="AE17" i="1" s="1"/>
  <c r="AB18" i="1"/>
  <c r="AE18" i="1" s="1"/>
  <c r="AB19" i="1"/>
  <c r="AE19" i="1" s="1"/>
  <c r="AB20" i="1"/>
  <c r="AE20" i="1" s="1"/>
  <c r="AB21" i="1"/>
  <c r="AE21" i="1" s="1"/>
  <c r="AB22" i="1"/>
  <c r="AB23" i="1"/>
  <c r="AB24" i="1"/>
  <c r="AB3" i="1"/>
  <c r="AB4" i="1"/>
  <c r="AB5" i="1"/>
  <c r="AE5" i="1" s="1"/>
  <c r="AB6" i="1"/>
  <c r="AE6" i="1" s="1"/>
  <c r="AB7" i="1"/>
  <c r="AE7" i="1" s="1"/>
  <c r="AB8" i="1"/>
  <c r="AB9" i="1"/>
  <c r="AB10" i="1"/>
  <c r="AE10" i="1" s="1"/>
  <c r="AB11" i="1"/>
  <c r="AB12" i="1"/>
  <c r="AB13" i="1"/>
  <c r="AE13" i="1" s="1"/>
  <c r="AB2" i="1"/>
  <c r="AE2" i="1" s="1"/>
  <c r="AG2" i="1" s="1"/>
  <c r="AH2" i="1" s="1"/>
  <c r="AG980" i="1" l="1"/>
  <c r="AH980" i="1" s="1"/>
  <c r="AF980" i="1"/>
  <c r="AG652" i="1"/>
  <c r="AH652" i="1" s="1"/>
  <c r="AF652" i="1"/>
  <c r="AG979" i="1"/>
  <c r="AH979" i="1" s="1"/>
  <c r="AF979" i="1"/>
  <c r="AG923" i="1"/>
  <c r="AH923" i="1" s="1"/>
  <c r="AF923" i="1"/>
  <c r="AG891" i="1"/>
  <c r="AH891" i="1" s="1"/>
  <c r="AF891" i="1"/>
  <c r="AG851" i="1"/>
  <c r="AH851" i="1" s="1"/>
  <c r="AF851" i="1"/>
  <c r="AG787" i="1"/>
  <c r="AH787" i="1" s="1"/>
  <c r="AF787" i="1"/>
  <c r="AG643" i="1"/>
  <c r="AH643" i="1" s="1"/>
  <c r="AF643" i="1"/>
  <c r="AG579" i="1"/>
  <c r="AH579" i="1" s="1"/>
  <c r="AF579" i="1"/>
  <c r="AG451" i="1"/>
  <c r="AH451" i="1" s="1"/>
  <c r="AF451" i="1"/>
  <c r="AG387" i="1"/>
  <c r="AH387" i="1" s="1"/>
  <c r="AF387" i="1"/>
  <c r="AG986" i="1"/>
  <c r="AH986" i="1" s="1"/>
  <c r="AF986" i="1"/>
  <c r="AG962" i="1"/>
  <c r="AH962" i="1" s="1"/>
  <c r="AF962" i="1"/>
  <c r="AG938" i="1"/>
  <c r="AH938" i="1" s="1"/>
  <c r="AF938" i="1"/>
  <c r="AG922" i="1"/>
  <c r="AH922" i="1" s="1"/>
  <c r="AF922" i="1"/>
  <c r="AG898" i="1"/>
  <c r="AH898" i="1" s="1"/>
  <c r="AF898" i="1"/>
  <c r="AG874" i="1"/>
  <c r="AH874" i="1" s="1"/>
  <c r="AF874" i="1"/>
  <c r="AG858" i="1"/>
  <c r="AH858" i="1" s="1"/>
  <c r="AF858" i="1"/>
  <c r="AG810" i="1"/>
  <c r="AH810" i="1" s="1"/>
  <c r="AF810" i="1"/>
  <c r="AG762" i="1"/>
  <c r="AH762" i="1" s="1"/>
  <c r="AF762" i="1"/>
  <c r="AG682" i="1"/>
  <c r="AH682" i="1" s="1"/>
  <c r="AF682" i="1"/>
  <c r="AG618" i="1"/>
  <c r="AH618" i="1" s="1"/>
  <c r="AF618" i="1"/>
  <c r="AF490" i="1"/>
  <c r="AG490" i="1"/>
  <c r="AH490" i="1" s="1"/>
  <c r="AF378" i="1"/>
  <c r="AG378" i="1"/>
  <c r="AH378" i="1" s="1"/>
  <c r="AG362" i="1"/>
  <c r="AH362" i="1" s="1"/>
  <c r="AF362" i="1"/>
  <c r="AG346" i="1"/>
  <c r="AH346" i="1" s="1"/>
  <c r="AF346" i="1"/>
  <c r="AG330" i="1"/>
  <c r="AH330" i="1" s="1"/>
  <c r="AF330" i="1"/>
  <c r="AG298" i="1"/>
  <c r="AH298" i="1" s="1"/>
  <c r="AF298" i="1"/>
  <c r="AG282" i="1"/>
  <c r="AH282" i="1" s="1"/>
  <c r="AF282" i="1"/>
  <c r="AG266" i="1"/>
  <c r="AH266" i="1" s="1"/>
  <c r="AF266" i="1"/>
  <c r="AG234" i="1"/>
  <c r="AH234" i="1" s="1"/>
  <c r="AF234" i="1"/>
  <c r="AG996" i="1"/>
  <c r="AH996" i="1" s="1"/>
  <c r="AF996" i="1"/>
  <c r="AG764" i="1"/>
  <c r="AH764" i="1" s="1"/>
  <c r="AF764" i="1"/>
  <c r="AG636" i="1"/>
  <c r="AH636" i="1" s="1"/>
  <c r="AF636" i="1"/>
  <c r="AG524" i="1"/>
  <c r="AH524" i="1" s="1"/>
  <c r="AF524" i="1"/>
  <c r="AG995" i="1"/>
  <c r="AH995" i="1" s="1"/>
  <c r="AF995" i="1"/>
  <c r="AG971" i="1"/>
  <c r="AH971" i="1" s="1"/>
  <c r="AF971" i="1"/>
  <c r="AG939" i="1"/>
  <c r="AH939" i="1" s="1"/>
  <c r="AF939" i="1"/>
  <c r="AG907" i="1"/>
  <c r="AH907" i="1" s="1"/>
  <c r="AF907" i="1"/>
  <c r="AG875" i="1"/>
  <c r="AH875" i="1" s="1"/>
  <c r="AF875" i="1"/>
  <c r="AG835" i="1"/>
  <c r="AH835" i="1" s="1"/>
  <c r="AF835" i="1"/>
  <c r="AG707" i="1"/>
  <c r="AH707" i="1" s="1"/>
  <c r="AF707" i="1"/>
  <c r="AG563" i="1"/>
  <c r="AH563" i="1" s="1"/>
  <c r="AF563" i="1"/>
  <c r="AG499" i="1"/>
  <c r="AH499" i="1" s="1"/>
  <c r="AF499" i="1"/>
  <c r="AG435" i="1"/>
  <c r="AH435" i="1" s="1"/>
  <c r="AF435" i="1"/>
  <c r="AG994" i="1"/>
  <c r="AH994" i="1" s="1"/>
  <c r="AF994" i="1"/>
  <c r="AG978" i="1"/>
  <c r="AH978" i="1" s="1"/>
  <c r="AF978" i="1"/>
  <c r="AG970" i="1"/>
  <c r="AH970" i="1" s="1"/>
  <c r="AF970" i="1"/>
  <c r="AG954" i="1"/>
  <c r="AH954" i="1" s="1"/>
  <c r="AF954" i="1"/>
  <c r="AG930" i="1"/>
  <c r="AH930" i="1" s="1"/>
  <c r="AF930" i="1"/>
  <c r="AG906" i="1"/>
  <c r="AH906" i="1" s="1"/>
  <c r="AF906" i="1"/>
  <c r="AG890" i="1"/>
  <c r="AH890" i="1" s="1"/>
  <c r="AF890" i="1"/>
  <c r="AG866" i="1"/>
  <c r="AH866" i="1" s="1"/>
  <c r="AF866" i="1"/>
  <c r="AG826" i="1"/>
  <c r="AH826" i="1" s="1"/>
  <c r="AF826" i="1"/>
  <c r="AG778" i="1"/>
  <c r="AH778" i="1" s="1"/>
  <c r="AF778" i="1"/>
  <c r="AG714" i="1"/>
  <c r="AH714" i="1" s="1"/>
  <c r="AF714" i="1"/>
  <c r="AG634" i="1"/>
  <c r="AH634" i="1" s="1"/>
  <c r="AF634" i="1"/>
  <c r="AG570" i="1"/>
  <c r="AH570" i="1" s="1"/>
  <c r="AF570" i="1"/>
  <c r="AG506" i="1"/>
  <c r="AH506" i="1" s="1"/>
  <c r="AF506" i="1"/>
  <c r="AG426" i="1"/>
  <c r="AH426" i="1" s="1"/>
  <c r="AF426" i="1"/>
  <c r="AG7" i="1"/>
  <c r="AH7" i="1" s="1"/>
  <c r="AF7" i="1"/>
  <c r="AG985" i="1"/>
  <c r="AH985" i="1" s="1"/>
  <c r="AF985" i="1"/>
  <c r="AG977" i="1"/>
  <c r="AH977" i="1" s="1"/>
  <c r="AF977" i="1"/>
  <c r="AG969" i="1"/>
  <c r="AH969" i="1" s="1"/>
  <c r="AF969" i="1"/>
  <c r="AG961" i="1"/>
  <c r="AH961" i="1" s="1"/>
  <c r="AF961" i="1"/>
  <c r="AG953" i="1"/>
  <c r="AH953" i="1" s="1"/>
  <c r="AF953" i="1"/>
  <c r="AG945" i="1"/>
  <c r="AH945" i="1" s="1"/>
  <c r="AF945" i="1"/>
  <c r="AG929" i="1"/>
  <c r="AH929" i="1" s="1"/>
  <c r="AF929" i="1"/>
  <c r="AG921" i="1"/>
  <c r="AH921" i="1" s="1"/>
  <c r="AF921" i="1"/>
  <c r="AG913" i="1"/>
  <c r="AH913" i="1" s="1"/>
  <c r="AF913" i="1"/>
  <c r="AG897" i="1"/>
  <c r="AH897" i="1" s="1"/>
  <c r="AF897" i="1"/>
  <c r="AG889" i="1"/>
  <c r="AH889" i="1" s="1"/>
  <c r="AF889" i="1"/>
  <c r="AG881" i="1"/>
  <c r="AH881" i="1" s="1"/>
  <c r="AF881" i="1"/>
  <c r="AG865" i="1"/>
  <c r="AH865" i="1" s="1"/>
  <c r="AF865" i="1"/>
  <c r="AG857" i="1"/>
  <c r="AH857" i="1" s="1"/>
  <c r="AF857" i="1"/>
  <c r="AG849" i="1"/>
  <c r="AH849" i="1" s="1"/>
  <c r="AF849" i="1"/>
  <c r="AG833" i="1"/>
  <c r="AH833" i="1" s="1"/>
  <c r="AF833" i="1"/>
  <c r="AG801" i="1"/>
  <c r="AH801" i="1" s="1"/>
  <c r="AF801" i="1"/>
  <c r="AG753" i="1"/>
  <c r="AH753" i="1" s="1"/>
  <c r="AF753" i="1"/>
  <c r="AG737" i="1"/>
  <c r="AH737" i="1" s="1"/>
  <c r="AF737" i="1"/>
  <c r="AG705" i="1"/>
  <c r="AH705" i="1" s="1"/>
  <c r="AF705" i="1"/>
  <c r="AG689" i="1"/>
  <c r="AH689" i="1" s="1"/>
  <c r="AF689" i="1"/>
  <c r="AG673" i="1"/>
  <c r="AH673" i="1" s="1"/>
  <c r="AF673" i="1"/>
  <c r="AG609" i="1"/>
  <c r="AH609" i="1" s="1"/>
  <c r="AF609" i="1"/>
  <c r="AG561" i="1"/>
  <c r="AH561" i="1" s="1"/>
  <c r="AF561" i="1"/>
  <c r="AG545" i="1"/>
  <c r="AH545" i="1" s="1"/>
  <c r="AF545" i="1"/>
  <c r="AG497" i="1"/>
  <c r="AH497" i="1" s="1"/>
  <c r="AF497" i="1"/>
  <c r="AG433" i="1"/>
  <c r="AH433" i="1" s="1"/>
  <c r="AF433" i="1"/>
  <c r="AG417" i="1"/>
  <c r="AH417" i="1" s="1"/>
  <c r="AF417" i="1"/>
  <c r="AG973" i="1"/>
  <c r="AH973" i="1" s="1"/>
  <c r="AF973" i="1"/>
  <c r="AF965" i="1"/>
  <c r="AG965" i="1"/>
  <c r="AH965" i="1" s="1"/>
  <c r="AG925" i="1"/>
  <c r="AH925" i="1" s="1"/>
  <c r="AF925" i="1"/>
  <c r="AG893" i="1"/>
  <c r="AH893" i="1" s="1"/>
  <c r="AF893" i="1"/>
  <c r="AG861" i="1"/>
  <c r="AH861" i="1" s="1"/>
  <c r="AF861" i="1"/>
  <c r="AG405" i="1"/>
  <c r="AH405" i="1" s="1"/>
  <c r="AF405" i="1"/>
  <c r="AG972" i="1"/>
  <c r="AH972" i="1" s="1"/>
  <c r="AF972" i="1"/>
  <c r="AG780" i="1"/>
  <c r="AH780" i="1" s="1"/>
  <c r="AF780" i="1"/>
  <c r="AG716" i="1"/>
  <c r="AH716" i="1" s="1"/>
  <c r="AF716" i="1"/>
  <c r="AG460" i="1"/>
  <c r="AH460" i="1" s="1"/>
  <c r="AF460" i="1"/>
  <c r="AG691" i="1"/>
  <c r="AH691" i="1" s="1"/>
  <c r="AF691" i="1"/>
  <c r="AG20" i="1"/>
  <c r="AH20" i="1" s="1"/>
  <c r="AF20" i="1"/>
  <c r="AG984" i="1"/>
  <c r="AH984" i="1" s="1"/>
  <c r="AF984" i="1"/>
  <c r="AG952" i="1"/>
  <c r="AH952" i="1" s="1"/>
  <c r="AF952" i="1"/>
  <c r="AG920" i="1"/>
  <c r="AH920" i="1" s="1"/>
  <c r="AF920" i="1"/>
  <c r="AG872" i="1"/>
  <c r="AH872" i="1" s="1"/>
  <c r="AF872" i="1"/>
  <c r="AG848" i="1"/>
  <c r="AH848" i="1" s="1"/>
  <c r="AF848" i="1"/>
  <c r="AG824" i="1"/>
  <c r="AH824" i="1" s="1"/>
  <c r="AF824" i="1"/>
  <c r="AG784" i="1"/>
  <c r="AH784" i="1" s="1"/>
  <c r="AF784" i="1"/>
  <c r="AG752" i="1"/>
  <c r="AH752" i="1" s="1"/>
  <c r="AF752" i="1"/>
  <c r="AG720" i="1"/>
  <c r="AH720" i="1" s="1"/>
  <c r="AF720" i="1"/>
  <c r="AG680" i="1"/>
  <c r="AH680" i="1" s="1"/>
  <c r="AF680" i="1"/>
  <c r="AG648" i="1"/>
  <c r="AH648" i="1" s="1"/>
  <c r="AF648" i="1"/>
  <c r="AG616" i="1"/>
  <c r="AH616" i="1" s="1"/>
  <c r="AF616" i="1"/>
  <c r="AG584" i="1"/>
  <c r="AH584" i="1" s="1"/>
  <c r="AF584" i="1"/>
  <c r="AG552" i="1"/>
  <c r="AH552" i="1" s="1"/>
  <c r="AF552" i="1"/>
  <c r="AG512" i="1"/>
  <c r="AH512" i="1" s="1"/>
  <c r="AF512" i="1"/>
  <c r="AG488" i="1"/>
  <c r="AH488" i="1" s="1"/>
  <c r="AF488" i="1"/>
  <c r="AG456" i="1"/>
  <c r="AH456" i="1" s="1"/>
  <c r="AF456" i="1"/>
  <c r="AG416" i="1"/>
  <c r="AH416" i="1" s="1"/>
  <c r="AF416" i="1"/>
  <c r="AG384" i="1"/>
  <c r="AH384" i="1" s="1"/>
  <c r="AF384" i="1"/>
  <c r="AG352" i="1"/>
  <c r="AH352" i="1" s="1"/>
  <c r="AF352" i="1"/>
  <c r="AG320" i="1"/>
  <c r="AH320" i="1" s="1"/>
  <c r="AF320" i="1"/>
  <c r="AG288" i="1"/>
  <c r="AH288" i="1" s="1"/>
  <c r="AF288" i="1"/>
  <c r="AG264" i="1"/>
  <c r="AH264" i="1" s="1"/>
  <c r="AF264" i="1"/>
  <c r="AG232" i="1"/>
  <c r="AH232" i="1" s="1"/>
  <c r="AF232" i="1"/>
  <c r="AG224" i="1"/>
  <c r="AH224" i="1" s="1"/>
  <c r="AF224" i="1"/>
  <c r="AG216" i="1"/>
  <c r="AH216" i="1" s="1"/>
  <c r="AF216" i="1"/>
  <c r="AG192" i="1"/>
  <c r="AH192" i="1" s="1"/>
  <c r="AF192" i="1"/>
  <c r="AG168" i="1"/>
  <c r="AH168" i="1" s="1"/>
  <c r="AF168" i="1"/>
  <c r="AG160" i="1"/>
  <c r="AH160" i="1" s="1"/>
  <c r="AF160" i="1"/>
  <c r="AG152" i="1"/>
  <c r="AH152" i="1" s="1"/>
  <c r="AF152" i="1"/>
  <c r="AG144" i="1"/>
  <c r="AH144" i="1" s="1"/>
  <c r="AF144" i="1"/>
  <c r="AG136" i="1"/>
  <c r="AH136" i="1" s="1"/>
  <c r="AF136" i="1"/>
  <c r="AG128" i="1"/>
  <c r="AH128" i="1" s="1"/>
  <c r="AF128" i="1"/>
  <c r="AG120" i="1"/>
  <c r="AH120" i="1" s="1"/>
  <c r="AF120" i="1"/>
  <c r="AG112" i="1"/>
  <c r="AH112" i="1" s="1"/>
  <c r="AF112" i="1"/>
  <c r="AG104" i="1"/>
  <c r="AH104" i="1" s="1"/>
  <c r="AF104" i="1"/>
  <c r="AG96" i="1"/>
  <c r="AH96" i="1" s="1"/>
  <c r="AF96" i="1"/>
  <c r="AG88" i="1"/>
  <c r="AH88" i="1" s="1"/>
  <c r="AF88" i="1"/>
  <c r="AG80" i="1"/>
  <c r="AH80" i="1" s="1"/>
  <c r="AF80" i="1"/>
  <c r="AG72" i="1"/>
  <c r="AH72" i="1" s="1"/>
  <c r="AF72" i="1"/>
  <c r="AG64" i="1"/>
  <c r="AH64" i="1" s="1"/>
  <c r="AF64" i="1"/>
  <c r="AG56" i="1"/>
  <c r="AH56" i="1" s="1"/>
  <c r="AF56" i="1"/>
  <c r="AG48" i="1"/>
  <c r="AH48" i="1" s="1"/>
  <c r="AF48" i="1"/>
  <c r="AG40" i="1"/>
  <c r="AH40" i="1" s="1"/>
  <c r="AF40" i="1"/>
  <c r="AG32" i="1"/>
  <c r="AH32" i="1" s="1"/>
  <c r="AF32" i="1"/>
  <c r="AG956" i="1"/>
  <c r="AH956" i="1" s="1"/>
  <c r="AF956" i="1"/>
  <c r="AG796" i="1"/>
  <c r="AH796" i="1" s="1"/>
  <c r="AF796" i="1"/>
  <c r="AG588" i="1"/>
  <c r="AH588" i="1" s="1"/>
  <c r="AF588" i="1"/>
  <c r="AG444" i="1"/>
  <c r="AH444" i="1" s="1"/>
  <c r="AF444" i="1"/>
  <c r="AG116" i="1"/>
  <c r="AH116" i="1" s="1"/>
  <c r="AF116" i="1"/>
  <c r="AG948" i="1"/>
  <c r="AH948" i="1" s="1"/>
  <c r="AF948" i="1"/>
  <c r="AG828" i="1"/>
  <c r="AH828" i="1" s="1"/>
  <c r="AF828" i="1"/>
  <c r="AG508" i="1"/>
  <c r="AH508" i="1" s="1"/>
  <c r="AF508" i="1"/>
  <c r="AG396" i="1"/>
  <c r="AH396" i="1" s="1"/>
  <c r="AF396" i="1"/>
  <c r="AG180" i="1"/>
  <c r="AH180" i="1" s="1"/>
  <c r="AF180" i="1"/>
  <c r="AG6" i="1"/>
  <c r="AH6" i="1" s="1"/>
  <c r="AF6" i="1"/>
  <c r="AG976" i="1"/>
  <c r="AH976" i="1" s="1"/>
  <c r="AF976" i="1"/>
  <c r="AG944" i="1"/>
  <c r="AH944" i="1" s="1"/>
  <c r="AF944" i="1"/>
  <c r="AG904" i="1"/>
  <c r="AH904" i="1" s="1"/>
  <c r="AF904" i="1"/>
  <c r="AG888" i="1"/>
  <c r="AH888" i="1" s="1"/>
  <c r="AF888" i="1"/>
  <c r="AG840" i="1"/>
  <c r="AH840" i="1" s="1"/>
  <c r="AF840" i="1"/>
  <c r="AG808" i="1"/>
  <c r="AH808" i="1" s="1"/>
  <c r="AF808" i="1"/>
  <c r="AG776" i="1"/>
  <c r="AH776" i="1" s="1"/>
  <c r="AF776" i="1"/>
  <c r="AG744" i="1"/>
  <c r="AH744" i="1" s="1"/>
  <c r="AF744" i="1"/>
  <c r="AG712" i="1"/>
  <c r="AH712" i="1" s="1"/>
  <c r="AF712" i="1"/>
  <c r="AG688" i="1"/>
  <c r="AH688" i="1" s="1"/>
  <c r="AF688" i="1"/>
  <c r="AG656" i="1"/>
  <c r="AH656" i="1" s="1"/>
  <c r="AF656" i="1"/>
  <c r="AG624" i="1"/>
  <c r="AH624" i="1" s="1"/>
  <c r="AF624" i="1"/>
  <c r="AG600" i="1"/>
  <c r="AH600" i="1" s="1"/>
  <c r="AF600" i="1"/>
  <c r="AG576" i="1"/>
  <c r="AH576" i="1" s="1"/>
  <c r="AF576" i="1"/>
  <c r="AG544" i="1"/>
  <c r="AH544" i="1" s="1"/>
  <c r="AF544" i="1"/>
  <c r="AG520" i="1"/>
  <c r="AH520" i="1" s="1"/>
  <c r="AF520" i="1"/>
  <c r="AG480" i="1"/>
  <c r="AH480" i="1" s="1"/>
  <c r="AF480" i="1"/>
  <c r="AG448" i="1"/>
  <c r="AH448" i="1" s="1"/>
  <c r="AF448" i="1"/>
  <c r="AG424" i="1"/>
  <c r="AH424" i="1" s="1"/>
  <c r="AF424" i="1"/>
  <c r="AG392" i="1"/>
  <c r="AH392" i="1" s="1"/>
  <c r="AF392" i="1"/>
  <c r="AG360" i="1"/>
  <c r="AH360" i="1" s="1"/>
  <c r="AF360" i="1"/>
  <c r="AG328" i="1"/>
  <c r="AH328" i="1" s="1"/>
  <c r="AF328" i="1"/>
  <c r="AF296" i="1"/>
  <c r="AG296" i="1"/>
  <c r="AH296" i="1" s="1"/>
  <c r="AG256" i="1"/>
  <c r="AH256" i="1" s="1"/>
  <c r="AF256" i="1"/>
  <c r="AG200" i="1"/>
  <c r="AH200" i="1" s="1"/>
  <c r="AF200" i="1"/>
  <c r="AG5" i="1"/>
  <c r="AH5" i="1" s="1"/>
  <c r="AF5" i="1"/>
  <c r="AG991" i="1"/>
  <c r="AH991" i="1" s="1"/>
  <c r="AF991" i="1"/>
  <c r="AG967" i="1"/>
  <c r="AH967" i="1" s="1"/>
  <c r="AF967" i="1"/>
  <c r="AG943" i="1"/>
  <c r="AH943" i="1" s="1"/>
  <c r="AF943" i="1"/>
  <c r="AG919" i="1"/>
  <c r="AH919" i="1" s="1"/>
  <c r="AF919" i="1"/>
  <c r="AG887" i="1"/>
  <c r="AH887" i="1" s="1"/>
  <c r="AF887" i="1"/>
  <c r="AG863" i="1"/>
  <c r="AH863" i="1" s="1"/>
  <c r="AF863" i="1"/>
  <c r="AG839" i="1"/>
  <c r="AH839" i="1" s="1"/>
  <c r="AF839" i="1"/>
  <c r="AG815" i="1"/>
  <c r="AH815" i="1" s="1"/>
  <c r="AF815" i="1"/>
  <c r="AG791" i="1"/>
  <c r="AH791" i="1" s="1"/>
  <c r="AF791" i="1"/>
  <c r="AG767" i="1"/>
  <c r="AH767" i="1" s="1"/>
  <c r="AF767" i="1"/>
  <c r="AG735" i="1"/>
  <c r="AH735" i="1" s="1"/>
  <c r="AF735" i="1"/>
  <c r="AG671" i="1"/>
  <c r="AH671" i="1" s="1"/>
  <c r="AF671" i="1"/>
  <c r="AG655" i="1"/>
  <c r="AH655" i="1" s="1"/>
  <c r="AF655" i="1"/>
  <c r="AF607" i="1"/>
  <c r="AG607" i="1"/>
  <c r="AH607" i="1" s="1"/>
  <c r="AG591" i="1"/>
  <c r="AH591" i="1" s="1"/>
  <c r="AF591" i="1"/>
  <c r="AG543" i="1"/>
  <c r="AH543" i="1" s="1"/>
  <c r="AF543" i="1"/>
  <c r="AG527" i="1"/>
  <c r="AH527" i="1" s="1"/>
  <c r="AF527" i="1"/>
  <c r="AG479" i="1"/>
  <c r="AH479" i="1" s="1"/>
  <c r="AF479" i="1"/>
  <c r="AG463" i="1"/>
  <c r="AH463" i="1" s="1"/>
  <c r="AF463" i="1"/>
  <c r="AG415" i="1"/>
  <c r="AH415" i="1" s="1"/>
  <c r="AF415" i="1"/>
  <c r="AG399" i="1"/>
  <c r="AH399" i="1" s="1"/>
  <c r="AF399" i="1"/>
  <c r="AG359" i="1"/>
  <c r="AH359" i="1" s="1"/>
  <c r="AF359" i="1"/>
  <c r="AG199" i="1"/>
  <c r="AH199" i="1" s="1"/>
  <c r="AF199" i="1"/>
  <c r="AG135" i="1"/>
  <c r="AH135" i="1" s="1"/>
  <c r="AF135" i="1"/>
  <c r="AG71" i="1"/>
  <c r="AH71" i="1" s="1"/>
  <c r="AF71" i="1"/>
  <c r="AG955" i="1"/>
  <c r="AH955" i="1" s="1"/>
  <c r="AF955" i="1"/>
  <c r="AG859" i="1"/>
  <c r="AH859" i="1" s="1"/>
  <c r="AF859" i="1"/>
  <c r="AG515" i="1"/>
  <c r="AH515" i="1" s="1"/>
  <c r="AF515" i="1"/>
  <c r="AG964" i="1"/>
  <c r="AH964" i="1" s="1"/>
  <c r="AF964" i="1"/>
  <c r="AG700" i="1"/>
  <c r="AH700" i="1" s="1"/>
  <c r="AF700" i="1"/>
  <c r="AG380" i="1"/>
  <c r="AH380" i="1" s="1"/>
  <c r="AF380" i="1"/>
  <c r="AG1000" i="1"/>
  <c r="AH1000" i="1" s="1"/>
  <c r="AF1000" i="1"/>
  <c r="AG968" i="1"/>
  <c r="AH968" i="1" s="1"/>
  <c r="AF968" i="1"/>
  <c r="AG936" i="1"/>
  <c r="AH936" i="1" s="1"/>
  <c r="AF936" i="1"/>
  <c r="AG912" i="1"/>
  <c r="AH912" i="1" s="1"/>
  <c r="AF912" i="1"/>
  <c r="AG880" i="1"/>
  <c r="AH880" i="1" s="1"/>
  <c r="AF880" i="1"/>
  <c r="AG856" i="1"/>
  <c r="AH856" i="1" s="1"/>
  <c r="AF856" i="1"/>
  <c r="AG816" i="1"/>
  <c r="AH816" i="1" s="1"/>
  <c r="AF816" i="1"/>
  <c r="AG792" i="1"/>
  <c r="AH792" i="1" s="1"/>
  <c r="AF792" i="1"/>
  <c r="AG760" i="1"/>
  <c r="AH760" i="1" s="1"/>
  <c r="AF760" i="1"/>
  <c r="AG728" i="1"/>
  <c r="AH728" i="1" s="1"/>
  <c r="AF728" i="1"/>
  <c r="AG664" i="1"/>
  <c r="AH664" i="1" s="1"/>
  <c r="AF664" i="1"/>
  <c r="AG632" i="1"/>
  <c r="AH632" i="1" s="1"/>
  <c r="AF632" i="1"/>
  <c r="AG592" i="1"/>
  <c r="AH592" i="1" s="1"/>
  <c r="AF592" i="1"/>
  <c r="AG560" i="1"/>
  <c r="AH560" i="1" s="1"/>
  <c r="AF560" i="1"/>
  <c r="AG528" i="1"/>
  <c r="AH528" i="1" s="1"/>
  <c r="AF528" i="1"/>
  <c r="AG496" i="1"/>
  <c r="AH496" i="1" s="1"/>
  <c r="AF496" i="1"/>
  <c r="AG464" i="1"/>
  <c r="AH464" i="1" s="1"/>
  <c r="AF464" i="1"/>
  <c r="AG432" i="1"/>
  <c r="AH432" i="1" s="1"/>
  <c r="AF432" i="1"/>
  <c r="AG400" i="1"/>
  <c r="AH400" i="1" s="1"/>
  <c r="AF400" i="1"/>
  <c r="AG368" i="1"/>
  <c r="AH368" i="1" s="1"/>
  <c r="AF368" i="1"/>
  <c r="AG336" i="1"/>
  <c r="AH336" i="1" s="1"/>
  <c r="AF336" i="1"/>
  <c r="AG304" i="1"/>
  <c r="AH304" i="1" s="1"/>
  <c r="AF304" i="1"/>
  <c r="AF272" i="1"/>
  <c r="AG272" i="1"/>
  <c r="AH272" i="1" s="1"/>
  <c r="AG248" i="1"/>
  <c r="AH248" i="1" s="1"/>
  <c r="AF248" i="1"/>
  <c r="AG184" i="1"/>
  <c r="AH184" i="1" s="1"/>
  <c r="AF184" i="1"/>
  <c r="AG13" i="1"/>
  <c r="AH13" i="1" s="1"/>
  <c r="AF13" i="1"/>
  <c r="AG999" i="1"/>
  <c r="AH999" i="1" s="1"/>
  <c r="AF999" i="1"/>
  <c r="AG983" i="1"/>
  <c r="AH983" i="1" s="1"/>
  <c r="AF983" i="1"/>
  <c r="AG959" i="1"/>
  <c r="AH959" i="1" s="1"/>
  <c r="AF959" i="1"/>
  <c r="AG935" i="1"/>
  <c r="AH935" i="1" s="1"/>
  <c r="AF935" i="1"/>
  <c r="AG911" i="1"/>
  <c r="AH911" i="1" s="1"/>
  <c r="AF911" i="1"/>
  <c r="AG895" i="1"/>
  <c r="AH895" i="1" s="1"/>
  <c r="AF895" i="1"/>
  <c r="AG871" i="1"/>
  <c r="AH871" i="1" s="1"/>
  <c r="AF871" i="1"/>
  <c r="AG855" i="1"/>
  <c r="AH855" i="1" s="1"/>
  <c r="AF855" i="1"/>
  <c r="AG831" i="1"/>
  <c r="AH831" i="1" s="1"/>
  <c r="AF831" i="1"/>
  <c r="AG807" i="1"/>
  <c r="AH807" i="1" s="1"/>
  <c r="AF807" i="1"/>
  <c r="AG775" i="1"/>
  <c r="AH775" i="1" s="1"/>
  <c r="AF775" i="1"/>
  <c r="AG998" i="1"/>
  <c r="AH998" i="1" s="1"/>
  <c r="AF998" i="1"/>
  <c r="AG990" i="1"/>
  <c r="AH990" i="1" s="1"/>
  <c r="AF990" i="1"/>
  <c r="AG966" i="1"/>
  <c r="AH966" i="1" s="1"/>
  <c r="AF966" i="1"/>
  <c r="AG958" i="1"/>
  <c r="AH958" i="1" s="1"/>
  <c r="AF958" i="1"/>
  <c r="AG950" i="1"/>
  <c r="AH950" i="1" s="1"/>
  <c r="AF950" i="1"/>
  <c r="AG942" i="1"/>
  <c r="AH942" i="1" s="1"/>
  <c r="AF942" i="1"/>
  <c r="AG934" i="1"/>
  <c r="AH934" i="1" s="1"/>
  <c r="AF934" i="1"/>
  <c r="AG918" i="1"/>
  <c r="AH918" i="1" s="1"/>
  <c r="AF918" i="1"/>
  <c r="AG910" i="1"/>
  <c r="AH910" i="1" s="1"/>
  <c r="AF910" i="1"/>
  <c r="AG902" i="1"/>
  <c r="AH902" i="1" s="1"/>
  <c r="AF902" i="1"/>
  <c r="AG886" i="1"/>
  <c r="AH886" i="1" s="1"/>
  <c r="AF886" i="1"/>
  <c r="AG878" i="1"/>
  <c r="AH878" i="1" s="1"/>
  <c r="AF878" i="1"/>
  <c r="AG870" i="1"/>
  <c r="AH870" i="1" s="1"/>
  <c r="AF870" i="1"/>
  <c r="AG862" i="1"/>
  <c r="AH862" i="1" s="1"/>
  <c r="AF862" i="1"/>
  <c r="AG988" i="1"/>
  <c r="AH988" i="1" s="1"/>
  <c r="AF988" i="1"/>
  <c r="AG732" i="1"/>
  <c r="AH732" i="1" s="1"/>
  <c r="AF732" i="1"/>
  <c r="AG572" i="1"/>
  <c r="AH572" i="1" s="1"/>
  <c r="AF572" i="1"/>
  <c r="AG52" i="1"/>
  <c r="AH52" i="1" s="1"/>
  <c r="AF52" i="1"/>
  <c r="AG987" i="1"/>
  <c r="AH987" i="1" s="1"/>
  <c r="AF987" i="1"/>
  <c r="AG963" i="1"/>
  <c r="AH963" i="1" s="1"/>
  <c r="AF963" i="1"/>
  <c r="AG931" i="1"/>
  <c r="AH931" i="1" s="1"/>
  <c r="AF931" i="1"/>
  <c r="AG899" i="1"/>
  <c r="AH899" i="1" s="1"/>
  <c r="AF899" i="1"/>
  <c r="AG867" i="1"/>
  <c r="AH867" i="1" s="1"/>
  <c r="AF867" i="1"/>
  <c r="AG755" i="1"/>
  <c r="AH755" i="1" s="1"/>
  <c r="AF755" i="1"/>
  <c r="AG992" i="1"/>
  <c r="AH992" i="1" s="1"/>
  <c r="AF992" i="1"/>
  <c r="AG960" i="1"/>
  <c r="AH960" i="1" s="1"/>
  <c r="AF960" i="1"/>
  <c r="AG928" i="1"/>
  <c r="AH928" i="1" s="1"/>
  <c r="AF928" i="1"/>
  <c r="AG896" i="1"/>
  <c r="AH896" i="1" s="1"/>
  <c r="AF896" i="1"/>
  <c r="AG864" i="1"/>
  <c r="AH864" i="1" s="1"/>
  <c r="AF864" i="1"/>
  <c r="AG832" i="1"/>
  <c r="AH832" i="1" s="1"/>
  <c r="AF832" i="1"/>
  <c r="AG800" i="1"/>
  <c r="AH800" i="1" s="1"/>
  <c r="AF800" i="1"/>
  <c r="AG768" i="1"/>
  <c r="AH768" i="1" s="1"/>
  <c r="AF768" i="1"/>
  <c r="AG736" i="1"/>
  <c r="AH736" i="1" s="1"/>
  <c r="AF736" i="1"/>
  <c r="AG704" i="1"/>
  <c r="AH704" i="1" s="1"/>
  <c r="AF704" i="1"/>
  <c r="AG672" i="1"/>
  <c r="AH672" i="1" s="1"/>
  <c r="AF672" i="1"/>
  <c r="AG640" i="1"/>
  <c r="AH640" i="1" s="1"/>
  <c r="AF640" i="1"/>
  <c r="AG608" i="1"/>
  <c r="AH608" i="1" s="1"/>
  <c r="AF608" i="1"/>
  <c r="AG568" i="1"/>
  <c r="AH568" i="1" s="1"/>
  <c r="AF568" i="1"/>
  <c r="AG536" i="1"/>
  <c r="AH536" i="1" s="1"/>
  <c r="AF536" i="1"/>
  <c r="AG504" i="1"/>
  <c r="AH504" i="1" s="1"/>
  <c r="AF504" i="1"/>
  <c r="AG472" i="1"/>
  <c r="AH472" i="1" s="1"/>
  <c r="AF472" i="1"/>
  <c r="AG408" i="1"/>
  <c r="AH408" i="1" s="1"/>
  <c r="AF408" i="1"/>
  <c r="AG376" i="1"/>
  <c r="AH376" i="1" s="1"/>
  <c r="AF376" i="1"/>
  <c r="AG344" i="1"/>
  <c r="AH344" i="1" s="1"/>
  <c r="AF344" i="1"/>
  <c r="AG312" i="1"/>
  <c r="AH312" i="1" s="1"/>
  <c r="AF312" i="1"/>
  <c r="AG280" i="1"/>
  <c r="AH280" i="1" s="1"/>
  <c r="AF280" i="1"/>
  <c r="AG240" i="1"/>
  <c r="AH240" i="1" s="1"/>
  <c r="AF240" i="1"/>
  <c r="AG176" i="1"/>
  <c r="AH176" i="1" s="1"/>
  <c r="AF176" i="1"/>
  <c r="AG19" i="1"/>
  <c r="AH19" i="1" s="1"/>
  <c r="AF19" i="1"/>
  <c r="AG975" i="1"/>
  <c r="AH975" i="1" s="1"/>
  <c r="AF975" i="1"/>
  <c r="AG951" i="1"/>
  <c r="AH951" i="1" s="1"/>
  <c r="AF951" i="1"/>
  <c r="AG927" i="1"/>
  <c r="AH927" i="1" s="1"/>
  <c r="AF927" i="1"/>
  <c r="AG903" i="1"/>
  <c r="AH903" i="1" s="1"/>
  <c r="AF903" i="1"/>
  <c r="AF879" i="1"/>
  <c r="AG879" i="1"/>
  <c r="AH879" i="1" s="1"/>
  <c r="AG847" i="1"/>
  <c r="AH847" i="1" s="1"/>
  <c r="AF847" i="1"/>
  <c r="AG823" i="1"/>
  <c r="AH823" i="1" s="1"/>
  <c r="AF823" i="1"/>
  <c r="AG799" i="1"/>
  <c r="AH799" i="1" s="1"/>
  <c r="AF799" i="1"/>
  <c r="AG783" i="1"/>
  <c r="AH783" i="1" s="1"/>
  <c r="AF783" i="1"/>
  <c r="AG751" i="1"/>
  <c r="AH751" i="1" s="1"/>
  <c r="AF751" i="1"/>
  <c r="AG719" i="1"/>
  <c r="AH719" i="1" s="1"/>
  <c r="AF719" i="1"/>
  <c r="AG997" i="1"/>
  <c r="AH997" i="1" s="1"/>
  <c r="AF997" i="1"/>
  <c r="AG989" i="1"/>
  <c r="AH989" i="1" s="1"/>
  <c r="AF989" i="1"/>
  <c r="AG981" i="1"/>
  <c r="AH981" i="1" s="1"/>
  <c r="AF981" i="1"/>
  <c r="AG957" i="1"/>
  <c r="AH957" i="1" s="1"/>
  <c r="AF957" i="1"/>
  <c r="AG949" i="1"/>
  <c r="AH949" i="1" s="1"/>
  <c r="AF949" i="1"/>
  <c r="AG941" i="1"/>
  <c r="AH941" i="1" s="1"/>
  <c r="AF941" i="1"/>
  <c r="AG933" i="1"/>
  <c r="AH933" i="1" s="1"/>
  <c r="AF933" i="1"/>
  <c r="AG917" i="1"/>
  <c r="AH917" i="1" s="1"/>
  <c r="AF917" i="1"/>
  <c r="AG909" i="1"/>
  <c r="AH909" i="1" s="1"/>
  <c r="AF909" i="1"/>
  <c r="AG901" i="1"/>
  <c r="AH901" i="1" s="1"/>
  <c r="AF901" i="1"/>
  <c r="AG885" i="1"/>
  <c r="AH885" i="1" s="1"/>
  <c r="AF885" i="1"/>
  <c r="AG877" i="1"/>
  <c r="AH877" i="1" s="1"/>
  <c r="AF877" i="1"/>
  <c r="AG869" i="1"/>
  <c r="AH869" i="1" s="1"/>
  <c r="AF869" i="1"/>
  <c r="AG853" i="1"/>
  <c r="AH853" i="1" s="1"/>
  <c r="AF853" i="1"/>
  <c r="AG845" i="1"/>
  <c r="AH845" i="1" s="1"/>
  <c r="AF845" i="1"/>
  <c r="AG837" i="1"/>
  <c r="AH837" i="1" s="1"/>
  <c r="AF837" i="1"/>
  <c r="AG805" i="1"/>
  <c r="AH805" i="1" s="1"/>
  <c r="AF805" i="1"/>
  <c r="AG789" i="1"/>
  <c r="AH789" i="1" s="1"/>
  <c r="AF789" i="1"/>
  <c r="AG773" i="1"/>
  <c r="AH773" i="1" s="1"/>
  <c r="AF773" i="1"/>
  <c r="AG741" i="1"/>
  <c r="AH741" i="1" s="1"/>
  <c r="AF741" i="1"/>
  <c r="AG725" i="1"/>
  <c r="AH725" i="1" s="1"/>
  <c r="AF725" i="1"/>
  <c r="AG709" i="1"/>
  <c r="AH709" i="1" s="1"/>
  <c r="AF709" i="1"/>
  <c r="AG645" i="1"/>
  <c r="AH645" i="1" s="1"/>
  <c r="AF645" i="1"/>
  <c r="AG597" i="1"/>
  <c r="AH597" i="1" s="1"/>
  <c r="AF597" i="1"/>
  <c r="AG581" i="1"/>
  <c r="AH581" i="1" s="1"/>
  <c r="AF581" i="1"/>
  <c r="AG533" i="1"/>
  <c r="AH533" i="1" s="1"/>
  <c r="AF533" i="1"/>
  <c r="AG469" i="1"/>
  <c r="AH469" i="1" s="1"/>
  <c r="AF469" i="1"/>
  <c r="AG453" i="1"/>
  <c r="AH453" i="1" s="1"/>
  <c r="AF453" i="1"/>
  <c r="AG389" i="1"/>
  <c r="AH389" i="1" s="1"/>
  <c r="AF389" i="1"/>
  <c r="AG349" i="1"/>
  <c r="AH349" i="1" s="1"/>
  <c r="AF349" i="1"/>
  <c r="AG333" i="1"/>
  <c r="AH333" i="1" s="1"/>
  <c r="AF333" i="1"/>
  <c r="AG301" i="1"/>
  <c r="AH301" i="1" s="1"/>
  <c r="AF301" i="1"/>
  <c r="AG285" i="1"/>
  <c r="AH285" i="1" s="1"/>
  <c r="AF285" i="1"/>
  <c r="AG269" i="1"/>
  <c r="AH269" i="1" s="1"/>
  <c r="AF269" i="1"/>
  <c r="AG237" i="1"/>
  <c r="AH237" i="1" s="1"/>
  <c r="AF237" i="1"/>
  <c r="AG221" i="1"/>
  <c r="AH221" i="1" s="1"/>
  <c r="AF221" i="1"/>
  <c r="AG157" i="1"/>
  <c r="AH157" i="1" s="1"/>
  <c r="AF157" i="1"/>
  <c r="AG93" i="1"/>
  <c r="AH93" i="1" s="1"/>
  <c r="AF93" i="1"/>
  <c r="AG29" i="1"/>
  <c r="AH29" i="1" s="1"/>
  <c r="AF29" i="1"/>
  <c r="AG759" i="1"/>
  <c r="AH759" i="1" s="1"/>
  <c r="AF759" i="1"/>
  <c r="AF703" i="1"/>
  <c r="AG703" i="1"/>
  <c r="AH703" i="1" s="1"/>
  <c r="AG663" i="1"/>
  <c r="AH663" i="1" s="1"/>
  <c r="AF663" i="1"/>
  <c r="AG623" i="1"/>
  <c r="AH623" i="1" s="1"/>
  <c r="AF623" i="1"/>
  <c r="AG583" i="1"/>
  <c r="AH583" i="1" s="1"/>
  <c r="AF583" i="1"/>
  <c r="AG551" i="1"/>
  <c r="AH551" i="1" s="1"/>
  <c r="AF551" i="1"/>
  <c r="AG431" i="1"/>
  <c r="AH431" i="1" s="1"/>
  <c r="AF431" i="1"/>
  <c r="AG367" i="1"/>
  <c r="AH367" i="1" s="1"/>
  <c r="AF367" i="1"/>
  <c r="AG335" i="1"/>
  <c r="AH335" i="1" s="1"/>
  <c r="AF335" i="1"/>
  <c r="AG303" i="1"/>
  <c r="AH303" i="1" s="1"/>
  <c r="AF303" i="1"/>
  <c r="AG271" i="1"/>
  <c r="AH271" i="1" s="1"/>
  <c r="AF271" i="1"/>
  <c r="AG239" i="1"/>
  <c r="AH239" i="1" s="1"/>
  <c r="AF239" i="1"/>
  <c r="AG215" i="1"/>
  <c r="AH215" i="1" s="1"/>
  <c r="AF215" i="1"/>
  <c r="AG183" i="1"/>
  <c r="AH183" i="1" s="1"/>
  <c r="AF183" i="1"/>
  <c r="AG151" i="1"/>
  <c r="AH151" i="1" s="1"/>
  <c r="AF151" i="1"/>
  <c r="AG119" i="1"/>
  <c r="AH119" i="1" s="1"/>
  <c r="AF119" i="1"/>
  <c r="AG87" i="1"/>
  <c r="AH87" i="1" s="1"/>
  <c r="AF87" i="1"/>
  <c r="AG55" i="1"/>
  <c r="AH55" i="1" s="1"/>
  <c r="AF55" i="1"/>
  <c r="AG993" i="1"/>
  <c r="AH993" i="1" s="1"/>
  <c r="AF993" i="1"/>
  <c r="AG937" i="1"/>
  <c r="AH937" i="1" s="1"/>
  <c r="AF937" i="1"/>
  <c r="AG905" i="1"/>
  <c r="AH905" i="1" s="1"/>
  <c r="AF905" i="1"/>
  <c r="AG723" i="1"/>
  <c r="AH723" i="1" s="1"/>
  <c r="AF723" i="1"/>
  <c r="AG517" i="1"/>
  <c r="AH517" i="1" s="1"/>
  <c r="AF517" i="1"/>
  <c r="AG371" i="1"/>
  <c r="AH371" i="1" s="1"/>
  <c r="AF371" i="1"/>
  <c r="AG854" i="1"/>
  <c r="AH854" i="1" s="1"/>
  <c r="AF854" i="1"/>
  <c r="AG822" i="1"/>
  <c r="AH822" i="1" s="1"/>
  <c r="AF822" i="1"/>
  <c r="AG790" i="1"/>
  <c r="AH790" i="1" s="1"/>
  <c r="AF790" i="1"/>
  <c r="AG758" i="1"/>
  <c r="AH758" i="1" s="1"/>
  <c r="AF758" i="1"/>
  <c r="AG726" i="1"/>
  <c r="AH726" i="1" s="1"/>
  <c r="AF726" i="1"/>
  <c r="AF702" i="1"/>
  <c r="AG702" i="1"/>
  <c r="AH702" i="1" s="1"/>
  <c r="AG670" i="1"/>
  <c r="AH670" i="1" s="1"/>
  <c r="AF670" i="1"/>
  <c r="AG614" i="1"/>
  <c r="AH614" i="1" s="1"/>
  <c r="AF614" i="1"/>
  <c r="AG582" i="1"/>
  <c r="AH582" i="1" s="1"/>
  <c r="AF582" i="1"/>
  <c r="AG534" i="1"/>
  <c r="AH534" i="1" s="1"/>
  <c r="AF534" i="1"/>
  <c r="AG494" i="1"/>
  <c r="AH494" i="1" s="1"/>
  <c r="AF494" i="1"/>
  <c r="AG454" i="1"/>
  <c r="AH454" i="1" s="1"/>
  <c r="AF454" i="1"/>
  <c r="AG422" i="1"/>
  <c r="AH422" i="1" s="1"/>
  <c r="AF422" i="1"/>
  <c r="AG382" i="1"/>
  <c r="AH382" i="1" s="1"/>
  <c r="AF382" i="1"/>
  <c r="AG342" i="1"/>
  <c r="AH342" i="1" s="1"/>
  <c r="AF342" i="1"/>
  <c r="AG310" i="1"/>
  <c r="AH310" i="1" s="1"/>
  <c r="AF310" i="1"/>
  <c r="AG270" i="1"/>
  <c r="AH270" i="1" s="1"/>
  <c r="AF270" i="1"/>
  <c r="AG230" i="1"/>
  <c r="AH230" i="1" s="1"/>
  <c r="AF230" i="1"/>
  <c r="AG198" i="1"/>
  <c r="AH198" i="1" s="1"/>
  <c r="AF198" i="1"/>
  <c r="AG150" i="1"/>
  <c r="AH150" i="1" s="1"/>
  <c r="AF150" i="1"/>
  <c r="AG118" i="1"/>
  <c r="AH118" i="1" s="1"/>
  <c r="AF118" i="1"/>
  <c r="AG78" i="1"/>
  <c r="AH78" i="1" s="1"/>
  <c r="AF78" i="1"/>
  <c r="AG54" i="1"/>
  <c r="AH54" i="1" s="1"/>
  <c r="AF54" i="1"/>
  <c r="AG1001" i="1"/>
  <c r="AH1001" i="1" s="1"/>
  <c r="AF1001" i="1"/>
  <c r="AG946" i="1"/>
  <c r="AH946" i="1" s="1"/>
  <c r="AF946" i="1"/>
  <c r="AG914" i="1"/>
  <c r="AH914" i="1" s="1"/>
  <c r="AF914" i="1"/>
  <c r="AG882" i="1"/>
  <c r="AH882" i="1" s="1"/>
  <c r="AF882" i="1"/>
  <c r="AG841" i="1"/>
  <c r="AH841" i="1" s="1"/>
  <c r="AF841" i="1"/>
  <c r="AG817" i="1"/>
  <c r="AH817" i="1" s="1"/>
  <c r="AF817" i="1"/>
  <c r="AG769" i="1"/>
  <c r="AH769" i="1" s="1"/>
  <c r="AF769" i="1"/>
  <c r="AG625" i="1"/>
  <c r="AH625" i="1" s="1"/>
  <c r="AF625" i="1"/>
  <c r="AG442" i="1"/>
  <c r="AH442" i="1" s="1"/>
  <c r="AF442" i="1"/>
  <c r="AG369" i="1"/>
  <c r="AH369" i="1" s="1"/>
  <c r="AF369" i="1"/>
  <c r="AG314" i="1"/>
  <c r="AH314" i="1" s="1"/>
  <c r="AF314" i="1"/>
  <c r="AF250" i="1"/>
  <c r="AG250" i="1"/>
  <c r="AH250" i="1" s="1"/>
  <c r="AE11" i="1"/>
  <c r="AG17" i="1"/>
  <c r="AH17" i="1" s="1"/>
  <c r="AF17" i="1"/>
  <c r="AE829" i="1"/>
  <c r="AE821" i="1"/>
  <c r="AE813" i="1"/>
  <c r="AE797" i="1"/>
  <c r="AE781" i="1"/>
  <c r="AE765" i="1"/>
  <c r="AE757" i="1"/>
  <c r="AE749" i="1"/>
  <c r="AE733" i="1"/>
  <c r="AE717" i="1"/>
  <c r="AE701" i="1"/>
  <c r="AE693" i="1"/>
  <c r="AE685" i="1"/>
  <c r="AE677" i="1"/>
  <c r="AE669" i="1"/>
  <c r="AE653" i="1"/>
  <c r="AE637" i="1"/>
  <c r="AE629" i="1"/>
  <c r="AE621" i="1"/>
  <c r="AE613" i="1"/>
  <c r="AE605" i="1"/>
  <c r="AE589" i="1"/>
  <c r="AE573" i="1"/>
  <c r="AE565" i="1"/>
  <c r="AE557" i="1"/>
  <c r="AE549" i="1"/>
  <c r="AE541" i="1"/>
  <c r="AE525" i="1"/>
  <c r="AE509" i="1"/>
  <c r="AE501" i="1"/>
  <c r="AE493" i="1"/>
  <c r="AE485" i="1"/>
  <c r="AE477" i="1"/>
  <c r="AE461" i="1"/>
  <c r="AE445" i="1"/>
  <c r="AE437" i="1"/>
  <c r="AE429" i="1"/>
  <c r="AE421" i="1"/>
  <c r="AE413" i="1"/>
  <c r="AE397" i="1"/>
  <c r="AE381" i="1"/>
  <c r="AE373" i="1"/>
  <c r="AE365" i="1"/>
  <c r="AE357" i="1"/>
  <c r="AE341" i="1"/>
  <c r="AE325" i="1"/>
  <c r="AE309" i="1"/>
  <c r="AE293" i="1"/>
  <c r="AG277" i="1"/>
  <c r="AH277" i="1" s="1"/>
  <c r="AF277" i="1"/>
  <c r="AG261" i="1"/>
  <c r="AH261" i="1" s="1"/>
  <c r="AF261" i="1"/>
  <c r="AG245" i="1"/>
  <c r="AH245" i="1" s="1"/>
  <c r="AF245" i="1"/>
  <c r="AG229" i="1"/>
  <c r="AH229" i="1" s="1"/>
  <c r="AF229" i="1"/>
  <c r="AG213" i="1"/>
  <c r="AH213" i="1" s="1"/>
  <c r="AF213" i="1"/>
  <c r="AG205" i="1"/>
  <c r="AH205" i="1" s="1"/>
  <c r="AF205" i="1"/>
  <c r="AG197" i="1"/>
  <c r="AH197" i="1" s="1"/>
  <c r="AF197" i="1"/>
  <c r="AF189" i="1"/>
  <c r="AG189" i="1"/>
  <c r="AH189" i="1" s="1"/>
  <c r="AG181" i="1"/>
  <c r="AH181" i="1" s="1"/>
  <c r="AF181" i="1"/>
  <c r="AG173" i="1"/>
  <c r="AH173" i="1" s="1"/>
  <c r="AF173" i="1"/>
  <c r="AG165" i="1"/>
  <c r="AH165" i="1" s="1"/>
  <c r="AF165" i="1"/>
  <c r="AG149" i="1"/>
  <c r="AH149" i="1" s="1"/>
  <c r="AF149" i="1"/>
  <c r="AG141" i="1"/>
  <c r="AH141" i="1" s="1"/>
  <c r="AF141" i="1"/>
  <c r="AG133" i="1"/>
  <c r="AH133" i="1" s="1"/>
  <c r="AF133" i="1"/>
  <c r="AF125" i="1"/>
  <c r="AG125" i="1"/>
  <c r="AH125" i="1" s="1"/>
  <c r="AG117" i="1"/>
  <c r="AH117" i="1" s="1"/>
  <c r="AF117" i="1"/>
  <c r="AG109" i="1"/>
  <c r="AH109" i="1" s="1"/>
  <c r="AF109" i="1"/>
  <c r="AF101" i="1"/>
  <c r="AG101" i="1"/>
  <c r="AH101" i="1" s="1"/>
  <c r="AG85" i="1"/>
  <c r="AH85" i="1" s="1"/>
  <c r="AF85" i="1"/>
  <c r="AG77" i="1"/>
  <c r="AH77" i="1" s="1"/>
  <c r="AF77" i="1"/>
  <c r="AG69" i="1"/>
  <c r="AH69" i="1" s="1"/>
  <c r="AF69" i="1"/>
  <c r="AG61" i="1"/>
  <c r="AH61" i="1" s="1"/>
  <c r="AF61" i="1"/>
  <c r="AG53" i="1"/>
  <c r="AH53" i="1" s="1"/>
  <c r="AF53" i="1"/>
  <c r="AG45" i="1"/>
  <c r="AH45" i="1" s="1"/>
  <c r="AF45" i="1"/>
  <c r="AG37" i="1"/>
  <c r="AH37" i="1" s="1"/>
  <c r="AF37" i="1"/>
  <c r="AE4" i="1"/>
  <c r="AG846" i="1"/>
  <c r="AH846" i="1" s="1"/>
  <c r="AF846" i="1"/>
  <c r="AG814" i="1"/>
  <c r="AH814" i="1" s="1"/>
  <c r="AF814" i="1"/>
  <c r="AG782" i="1"/>
  <c r="AH782" i="1" s="1"/>
  <c r="AF782" i="1"/>
  <c r="AG742" i="1"/>
  <c r="AH742" i="1" s="1"/>
  <c r="AF742" i="1"/>
  <c r="AG694" i="1"/>
  <c r="AH694" i="1" s="1"/>
  <c r="AF694" i="1"/>
  <c r="AG654" i="1"/>
  <c r="AH654" i="1" s="1"/>
  <c r="AF654" i="1"/>
  <c r="AG606" i="1"/>
  <c r="AH606" i="1" s="1"/>
  <c r="AF606" i="1"/>
  <c r="AG566" i="1"/>
  <c r="AH566" i="1" s="1"/>
  <c r="AF566" i="1"/>
  <c r="AG510" i="1"/>
  <c r="AH510" i="1" s="1"/>
  <c r="AF510" i="1"/>
  <c r="AG462" i="1"/>
  <c r="AH462" i="1" s="1"/>
  <c r="AF462" i="1"/>
  <c r="AF414" i="1"/>
  <c r="AG414" i="1"/>
  <c r="AH414" i="1" s="1"/>
  <c r="AG350" i="1"/>
  <c r="AH350" i="1" s="1"/>
  <c r="AF350" i="1"/>
  <c r="AG302" i="1"/>
  <c r="AH302" i="1" s="1"/>
  <c r="AF302" i="1"/>
  <c r="AG246" i="1"/>
  <c r="AH246" i="1" s="1"/>
  <c r="AF246" i="1"/>
  <c r="AG174" i="1"/>
  <c r="AH174" i="1" s="1"/>
  <c r="AF174" i="1"/>
  <c r="AG38" i="1"/>
  <c r="AH38" i="1" s="1"/>
  <c r="AF38" i="1"/>
  <c r="AF743" i="1"/>
  <c r="AG743" i="1"/>
  <c r="AH743" i="1" s="1"/>
  <c r="AG711" i="1"/>
  <c r="AH711" i="1" s="1"/>
  <c r="AF711" i="1"/>
  <c r="AG679" i="1"/>
  <c r="AH679" i="1" s="1"/>
  <c r="AF679" i="1"/>
  <c r="AG631" i="1"/>
  <c r="AH631" i="1" s="1"/>
  <c r="AF631" i="1"/>
  <c r="AG575" i="1"/>
  <c r="AH575" i="1" s="1"/>
  <c r="AF575" i="1"/>
  <c r="AG511" i="1"/>
  <c r="AH511" i="1" s="1"/>
  <c r="AF511" i="1"/>
  <c r="AG471" i="1"/>
  <c r="AH471" i="1" s="1"/>
  <c r="AF471" i="1"/>
  <c r="AG439" i="1"/>
  <c r="AH439" i="1" s="1"/>
  <c r="AF439" i="1"/>
  <c r="AG375" i="1"/>
  <c r="AH375" i="1" s="1"/>
  <c r="AF375" i="1"/>
  <c r="AG351" i="1"/>
  <c r="AH351" i="1" s="1"/>
  <c r="AF351" i="1"/>
  <c r="AG311" i="1"/>
  <c r="AH311" i="1" s="1"/>
  <c r="AF311" i="1"/>
  <c r="AG287" i="1"/>
  <c r="AH287" i="1" s="1"/>
  <c r="AF287" i="1"/>
  <c r="AG247" i="1"/>
  <c r="AH247" i="1" s="1"/>
  <c r="AF247" i="1"/>
  <c r="AG207" i="1"/>
  <c r="AH207" i="1" s="1"/>
  <c r="AF207" i="1"/>
  <c r="AG175" i="1"/>
  <c r="AH175" i="1" s="1"/>
  <c r="AF175" i="1"/>
  <c r="AG143" i="1"/>
  <c r="AH143" i="1" s="1"/>
  <c r="AF143" i="1"/>
  <c r="AG111" i="1"/>
  <c r="AH111" i="1" s="1"/>
  <c r="AF111" i="1"/>
  <c r="AG79" i="1"/>
  <c r="AH79" i="1" s="1"/>
  <c r="AF79" i="1"/>
  <c r="AG47" i="1"/>
  <c r="AH47" i="1" s="1"/>
  <c r="AF47" i="1"/>
  <c r="AG873" i="1"/>
  <c r="AH873" i="1" s="1"/>
  <c r="AF873" i="1"/>
  <c r="AG550" i="1"/>
  <c r="AH550" i="1" s="1"/>
  <c r="AF550" i="1"/>
  <c r="AF518" i="1"/>
  <c r="AG518" i="1"/>
  <c r="AH518" i="1" s="1"/>
  <c r="AG470" i="1"/>
  <c r="AH470" i="1" s="1"/>
  <c r="AF470" i="1"/>
  <c r="AF430" i="1"/>
  <c r="AG430" i="1"/>
  <c r="AH430" i="1" s="1"/>
  <c r="AG358" i="1"/>
  <c r="AH358" i="1" s="1"/>
  <c r="AF358" i="1"/>
  <c r="AG318" i="1"/>
  <c r="AH318" i="1" s="1"/>
  <c r="AF318" i="1"/>
  <c r="AG278" i="1"/>
  <c r="AH278" i="1" s="1"/>
  <c r="AF278" i="1"/>
  <c r="AG238" i="1"/>
  <c r="AH238" i="1" s="1"/>
  <c r="AF238" i="1"/>
  <c r="AG206" i="1"/>
  <c r="AH206" i="1" s="1"/>
  <c r="AF206" i="1"/>
  <c r="AG166" i="1"/>
  <c r="AH166" i="1" s="1"/>
  <c r="AF166" i="1"/>
  <c r="AG134" i="1"/>
  <c r="AH134" i="1" s="1"/>
  <c r="AF134" i="1"/>
  <c r="AG94" i="1"/>
  <c r="AH94" i="1" s="1"/>
  <c r="AF94" i="1"/>
  <c r="AG46" i="1"/>
  <c r="AH46" i="1" s="1"/>
  <c r="AF46" i="1"/>
  <c r="AE16" i="1"/>
  <c r="AE932" i="1"/>
  <c r="AE908" i="1"/>
  <c r="AE884" i="1"/>
  <c r="AE860" i="1"/>
  <c r="AE836" i="1"/>
  <c r="AE820" i="1"/>
  <c r="AE756" i="1"/>
  <c r="AE676" i="1"/>
  <c r="AE644" i="1"/>
  <c r="AE620" i="1"/>
  <c r="AE596" i="1"/>
  <c r="AE564" i="1"/>
  <c r="AE540" i="1"/>
  <c r="AE492" i="1"/>
  <c r="AE468" i="1"/>
  <c r="AE436" i="1"/>
  <c r="AE412" i="1"/>
  <c r="AE388" i="1"/>
  <c r="AE364" i="1"/>
  <c r="AE340" i="1"/>
  <c r="AE316" i="1"/>
  <c r="AE292" i="1"/>
  <c r="AE268" i="1"/>
  <c r="AE244" i="1"/>
  <c r="AE220" i="1"/>
  <c r="AE196" i="1"/>
  <c r="AE156" i="1"/>
  <c r="AE140" i="1"/>
  <c r="AE124" i="1"/>
  <c r="AE100" i="1"/>
  <c r="AE84" i="1"/>
  <c r="AE68" i="1"/>
  <c r="AE44" i="1"/>
  <c r="AE36" i="1"/>
  <c r="AE28" i="1"/>
  <c r="AE9" i="1"/>
  <c r="AE23" i="1"/>
  <c r="AE15" i="1"/>
  <c r="AE827" i="1"/>
  <c r="AE811" i="1"/>
  <c r="AE803" i="1"/>
  <c r="AE795" i="1"/>
  <c r="AE779" i="1"/>
  <c r="AE763" i="1"/>
  <c r="AE747" i="1"/>
  <c r="AE739" i="1"/>
  <c r="AE731" i="1"/>
  <c r="AE715" i="1"/>
  <c r="AE699" i="1"/>
  <c r="AE683" i="1"/>
  <c r="AE675" i="1"/>
  <c r="AE667" i="1"/>
  <c r="AE659" i="1"/>
  <c r="AE651" i="1"/>
  <c r="AE635" i="1"/>
  <c r="AE619" i="1"/>
  <c r="AE611" i="1"/>
  <c r="AE603" i="1"/>
  <c r="AE595" i="1"/>
  <c r="AE587" i="1"/>
  <c r="AE571" i="1"/>
  <c r="AE555" i="1"/>
  <c r="AE547" i="1"/>
  <c r="AE539" i="1"/>
  <c r="AE531" i="1"/>
  <c r="AE523" i="1"/>
  <c r="AE507" i="1"/>
  <c r="AE491" i="1"/>
  <c r="AE483" i="1"/>
  <c r="AE475" i="1"/>
  <c r="AE467" i="1"/>
  <c r="AE459" i="1"/>
  <c r="AE443" i="1"/>
  <c r="AE427" i="1"/>
  <c r="AE419" i="1"/>
  <c r="AE411" i="1"/>
  <c r="AE403" i="1"/>
  <c r="AE395" i="1"/>
  <c r="AE379" i="1"/>
  <c r="AE363" i="1"/>
  <c r="AE355" i="1"/>
  <c r="AE347" i="1"/>
  <c r="AE339" i="1"/>
  <c r="AE331" i="1"/>
  <c r="AE323" i="1"/>
  <c r="AE315" i="1"/>
  <c r="AE307" i="1"/>
  <c r="AE299" i="1"/>
  <c r="AE291" i="1"/>
  <c r="AE283" i="1"/>
  <c r="AE275" i="1"/>
  <c r="AE267" i="1"/>
  <c r="AE259" i="1"/>
  <c r="AE251" i="1"/>
  <c r="AE243" i="1"/>
  <c r="AE235" i="1"/>
  <c r="AE227" i="1"/>
  <c r="AE219" i="1"/>
  <c r="AE211" i="1"/>
  <c r="AE203" i="1"/>
  <c r="AE195" i="1"/>
  <c r="AE187" i="1"/>
  <c r="AE179" i="1"/>
  <c r="AE171" i="1"/>
  <c r="AE163" i="1"/>
  <c r="AE155" i="1"/>
  <c r="AE147" i="1"/>
  <c r="AE139" i="1"/>
  <c r="AE131" i="1"/>
  <c r="AE123" i="1"/>
  <c r="AE115" i="1"/>
  <c r="AE107" i="1"/>
  <c r="AE99" i="1"/>
  <c r="AE91" i="1"/>
  <c r="AE83" i="1"/>
  <c r="AE75" i="1"/>
  <c r="AE67" i="1"/>
  <c r="AE59" i="1"/>
  <c r="AE51" i="1"/>
  <c r="AE43" i="1"/>
  <c r="AE35" i="1"/>
  <c r="AE27" i="1"/>
  <c r="AF409" i="1"/>
  <c r="AG727" i="1"/>
  <c r="AH727" i="1" s="1"/>
  <c r="AF727" i="1"/>
  <c r="AG695" i="1"/>
  <c r="AH695" i="1" s="1"/>
  <c r="AF695" i="1"/>
  <c r="AG639" i="1"/>
  <c r="AH639" i="1" s="1"/>
  <c r="AF639" i="1"/>
  <c r="AG599" i="1"/>
  <c r="AH599" i="1" s="1"/>
  <c r="AF599" i="1"/>
  <c r="AG567" i="1"/>
  <c r="AH567" i="1" s="1"/>
  <c r="AF567" i="1"/>
  <c r="AG535" i="1"/>
  <c r="AH535" i="1" s="1"/>
  <c r="AF535" i="1"/>
  <c r="AG503" i="1"/>
  <c r="AH503" i="1" s="1"/>
  <c r="AF503" i="1"/>
  <c r="AG447" i="1"/>
  <c r="AH447" i="1" s="1"/>
  <c r="AF447" i="1"/>
  <c r="AG407" i="1"/>
  <c r="AH407" i="1" s="1"/>
  <c r="AF407" i="1"/>
  <c r="AG383" i="1"/>
  <c r="AH383" i="1" s="1"/>
  <c r="AF383" i="1"/>
  <c r="AG327" i="1"/>
  <c r="AH327" i="1" s="1"/>
  <c r="AF327" i="1"/>
  <c r="AG295" i="1"/>
  <c r="AH295" i="1" s="1"/>
  <c r="AF295" i="1"/>
  <c r="AG263" i="1"/>
  <c r="AH263" i="1" s="1"/>
  <c r="AF263" i="1"/>
  <c r="AG223" i="1"/>
  <c r="AH223" i="1" s="1"/>
  <c r="AF223" i="1"/>
  <c r="AG191" i="1"/>
  <c r="AH191" i="1" s="1"/>
  <c r="AF191" i="1"/>
  <c r="AG159" i="1"/>
  <c r="AH159" i="1" s="1"/>
  <c r="AF159" i="1"/>
  <c r="AG103" i="1"/>
  <c r="AH103" i="1" s="1"/>
  <c r="AF103" i="1"/>
  <c r="AG63" i="1"/>
  <c r="AH63" i="1" s="1"/>
  <c r="AF63" i="1"/>
  <c r="AG31" i="1"/>
  <c r="AH31" i="1" s="1"/>
  <c r="AF31" i="1"/>
  <c r="AG974" i="1"/>
  <c r="AH974" i="1" s="1"/>
  <c r="AF974" i="1"/>
  <c r="AG947" i="1"/>
  <c r="AH947" i="1" s="1"/>
  <c r="AF947" i="1"/>
  <c r="AG915" i="1"/>
  <c r="AH915" i="1" s="1"/>
  <c r="AF915" i="1"/>
  <c r="AG883" i="1"/>
  <c r="AH883" i="1" s="1"/>
  <c r="AF883" i="1"/>
  <c r="AG843" i="1"/>
  <c r="AH843" i="1" s="1"/>
  <c r="AF843" i="1"/>
  <c r="AG771" i="1"/>
  <c r="AH771" i="1" s="1"/>
  <c r="AF771" i="1"/>
  <c r="AG698" i="1"/>
  <c r="AH698" i="1" s="1"/>
  <c r="AF698" i="1"/>
  <c r="AG554" i="1"/>
  <c r="AH554" i="1" s="1"/>
  <c r="AF554" i="1"/>
  <c r="AG481" i="1"/>
  <c r="AH481" i="1" s="1"/>
  <c r="AF481" i="1"/>
  <c r="AG317" i="1"/>
  <c r="AH317" i="1" s="1"/>
  <c r="AF317" i="1"/>
  <c r="AG18" i="1"/>
  <c r="AH18" i="1" s="1"/>
  <c r="AF18" i="1"/>
  <c r="AG830" i="1"/>
  <c r="AH830" i="1" s="1"/>
  <c r="AF830" i="1"/>
  <c r="AG798" i="1"/>
  <c r="AH798" i="1" s="1"/>
  <c r="AF798" i="1"/>
  <c r="AG766" i="1"/>
  <c r="AH766" i="1" s="1"/>
  <c r="AF766" i="1"/>
  <c r="AG734" i="1"/>
  <c r="AH734" i="1" s="1"/>
  <c r="AF734" i="1"/>
  <c r="AG710" i="1"/>
  <c r="AH710" i="1" s="1"/>
  <c r="AF710" i="1"/>
  <c r="AG678" i="1"/>
  <c r="AH678" i="1" s="1"/>
  <c r="AF678" i="1"/>
  <c r="AG622" i="1"/>
  <c r="AH622" i="1" s="1"/>
  <c r="AF622" i="1"/>
  <c r="AG590" i="1"/>
  <c r="AH590" i="1" s="1"/>
  <c r="AF590" i="1"/>
  <c r="AG558" i="1"/>
  <c r="AH558" i="1" s="1"/>
  <c r="AF558" i="1"/>
  <c r="AG526" i="1"/>
  <c r="AH526" i="1" s="1"/>
  <c r="AF526" i="1"/>
  <c r="AG486" i="1"/>
  <c r="AH486" i="1" s="1"/>
  <c r="AF486" i="1"/>
  <c r="AG446" i="1"/>
  <c r="AH446" i="1" s="1"/>
  <c r="AF446" i="1"/>
  <c r="AG406" i="1"/>
  <c r="AH406" i="1" s="1"/>
  <c r="AF406" i="1"/>
  <c r="AG374" i="1"/>
  <c r="AH374" i="1" s="1"/>
  <c r="AF374" i="1"/>
  <c r="AG334" i="1"/>
  <c r="AH334" i="1" s="1"/>
  <c r="AF334" i="1"/>
  <c r="AG294" i="1"/>
  <c r="AH294" i="1" s="1"/>
  <c r="AF294" i="1"/>
  <c r="AG262" i="1"/>
  <c r="AH262" i="1" s="1"/>
  <c r="AF262" i="1"/>
  <c r="AG222" i="1"/>
  <c r="AH222" i="1" s="1"/>
  <c r="AF222" i="1"/>
  <c r="AG190" i="1"/>
  <c r="AH190" i="1" s="1"/>
  <c r="AF190" i="1"/>
  <c r="AG158" i="1"/>
  <c r="AH158" i="1" s="1"/>
  <c r="AF158" i="1"/>
  <c r="AG126" i="1"/>
  <c r="AH126" i="1" s="1"/>
  <c r="AF126" i="1"/>
  <c r="AG102" i="1"/>
  <c r="AH102" i="1" s="1"/>
  <c r="AF102" i="1"/>
  <c r="AG70" i="1"/>
  <c r="AH70" i="1" s="1"/>
  <c r="AF70" i="1"/>
  <c r="AG30" i="1"/>
  <c r="AH30" i="1" s="1"/>
  <c r="AF30" i="1"/>
  <c r="AG3" i="1"/>
  <c r="AH3" i="1" s="1"/>
  <c r="AF3" i="1"/>
  <c r="AE940" i="1"/>
  <c r="AE916" i="1"/>
  <c r="AE892" i="1"/>
  <c r="AE868" i="1"/>
  <c r="AE852" i="1"/>
  <c r="AE804" i="1"/>
  <c r="AE772" i="1"/>
  <c r="AE748" i="1"/>
  <c r="AE724" i="1"/>
  <c r="AE692" i="1"/>
  <c r="AE668" i="1"/>
  <c r="AE612" i="1"/>
  <c r="AE548" i="1"/>
  <c r="AE516" i="1"/>
  <c r="AE500" i="1"/>
  <c r="AE476" i="1"/>
  <c r="AE420" i="1"/>
  <c r="AE372" i="1"/>
  <c r="AE348" i="1"/>
  <c r="AE324" i="1"/>
  <c r="AE300" i="1"/>
  <c r="AE276" i="1"/>
  <c r="AE252" i="1"/>
  <c r="AE228" i="1"/>
  <c r="AE212" i="1"/>
  <c r="AE188" i="1"/>
  <c r="AE164" i="1"/>
  <c r="AE148" i="1"/>
  <c r="AE132" i="1"/>
  <c r="AE108" i="1"/>
  <c r="AE92" i="1"/>
  <c r="AE76" i="1"/>
  <c r="AE8" i="1"/>
  <c r="AE22" i="1"/>
  <c r="AG14" i="1"/>
  <c r="AH14" i="1" s="1"/>
  <c r="AF14" i="1"/>
  <c r="AG850" i="1"/>
  <c r="AH850" i="1" s="1"/>
  <c r="AF850" i="1"/>
  <c r="AG842" i="1"/>
  <c r="AH842" i="1" s="1"/>
  <c r="AF842" i="1"/>
  <c r="AG834" i="1"/>
  <c r="AH834" i="1" s="1"/>
  <c r="AF834" i="1"/>
  <c r="AG818" i="1"/>
  <c r="AH818" i="1" s="1"/>
  <c r="AF818" i="1"/>
  <c r="AG802" i="1"/>
  <c r="AH802" i="1" s="1"/>
  <c r="AF802" i="1"/>
  <c r="AG794" i="1"/>
  <c r="AH794" i="1" s="1"/>
  <c r="AF794" i="1"/>
  <c r="AG786" i="1"/>
  <c r="AH786" i="1" s="1"/>
  <c r="AF786" i="1"/>
  <c r="AG770" i="1"/>
  <c r="AH770" i="1" s="1"/>
  <c r="AF770" i="1"/>
  <c r="AG754" i="1"/>
  <c r="AH754" i="1" s="1"/>
  <c r="AF754" i="1"/>
  <c r="AG738" i="1"/>
  <c r="AH738" i="1" s="1"/>
  <c r="AF738" i="1"/>
  <c r="AG722" i="1"/>
  <c r="AH722" i="1" s="1"/>
  <c r="AF722" i="1"/>
  <c r="AG706" i="1"/>
  <c r="AH706" i="1" s="1"/>
  <c r="AF706" i="1"/>
  <c r="AG690" i="1"/>
  <c r="AH690" i="1" s="1"/>
  <c r="AF690" i="1"/>
  <c r="AG674" i="1"/>
  <c r="AH674" i="1" s="1"/>
  <c r="AF674" i="1"/>
  <c r="AG666" i="1"/>
  <c r="AH666" i="1" s="1"/>
  <c r="AF666" i="1"/>
  <c r="AG658" i="1"/>
  <c r="AH658" i="1" s="1"/>
  <c r="AF658" i="1"/>
  <c r="AG650" i="1"/>
  <c r="AH650" i="1" s="1"/>
  <c r="AF650" i="1"/>
  <c r="AG642" i="1"/>
  <c r="AH642" i="1" s="1"/>
  <c r="AF642" i="1"/>
  <c r="AG626" i="1"/>
  <c r="AH626" i="1" s="1"/>
  <c r="AF626" i="1"/>
  <c r="AG610" i="1"/>
  <c r="AH610" i="1" s="1"/>
  <c r="AF610" i="1"/>
  <c r="AG602" i="1"/>
  <c r="AH602" i="1" s="1"/>
  <c r="AF602" i="1"/>
  <c r="AG594" i="1"/>
  <c r="AH594" i="1" s="1"/>
  <c r="AF594" i="1"/>
  <c r="AG586" i="1"/>
  <c r="AH586" i="1" s="1"/>
  <c r="AF586" i="1"/>
  <c r="AG578" i="1"/>
  <c r="AH578" i="1" s="1"/>
  <c r="AF578" i="1"/>
  <c r="AG562" i="1"/>
  <c r="AH562" i="1" s="1"/>
  <c r="AF562" i="1"/>
  <c r="AG546" i="1"/>
  <c r="AH546" i="1" s="1"/>
  <c r="AF546" i="1"/>
  <c r="AG538" i="1"/>
  <c r="AH538" i="1" s="1"/>
  <c r="AF538" i="1"/>
  <c r="AF530" i="1"/>
  <c r="AG530" i="1"/>
  <c r="AH530" i="1" s="1"/>
  <c r="AG522" i="1"/>
  <c r="AH522" i="1" s="1"/>
  <c r="AF522" i="1"/>
  <c r="AG514" i="1"/>
  <c r="AH514" i="1" s="1"/>
  <c r="AF514" i="1"/>
  <c r="AG498" i="1"/>
  <c r="AH498" i="1" s="1"/>
  <c r="AF498" i="1"/>
  <c r="AG482" i="1"/>
  <c r="AH482" i="1" s="1"/>
  <c r="AF482" i="1"/>
  <c r="AG474" i="1"/>
  <c r="AH474" i="1" s="1"/>
  <c r="AF474" i="1"/>
  <c r="AG466" i="1"/>
  <c r="AH466" i="1" s="1"/>
  <c r="AF466" i="1"/>
  <c r="AG458" i="1"/>
  <c r="AH458" i="1" s="1"/>
  <c r="AF458" i="1"/>
  <c r="AG450" i="1"/>
  <c r="AH450" i="1" s="1"/>
  <c r="AF450" i="1"/>
  <c r="AG434" i="1"/>
  <c r="AH434" i="1" s="1"/>
  <c r="AF434" i="1"/>
  <c r="AG418" i="1"/>
  <c r="AH418" i="1" s="1"/>
  <c r="AF418" i="1"/>
  <c r="AG410" i="1"/>
  <c r="AH410" i="1" s="1"/>
  <c r="AF410" i="1"/>
  <c r="AG402" i="1"/>
  <c r="AH402" i="1" s="1"/>
  <c r="AF402" i="1"/>
  <c r="AG394" i="1"/>
  <c r="AH394" i="1" s="1"/>
  <c r="AF394" i="1"/>
  <c r="AG386" i="1"/>
  <c r="AH386" i="1" s="1"/>
  <c r="AF386" i="1"/>
  <c r="AG370" i="1"/>
  <c r="AH370" i="1" s="1"/>
  <c r="AF370" i="1"/>
  <c r="AG354" i="1"/>
  <c r="AH354" i="1" s="1"/>
  <c r="AF354" i="1"/>
  <c r="AF338" i="1"/>
  <c r="AG338" i="1"/>
  <c r="AH338" i="1" s="1"/>
  <c r="AG322" i="1"/>
  <c r="AH322" i="1" s="1"/>
  <c r="AF322" i="1"/>
  <c r="AG306" i="1"/>
  <c r="AH306" i="1" s="1"/>
  <c r="AF306" i="1"/>
  <c r="AG290" i="1"/>
  <c r="AH290" i="1" s="1"/>
  <c r="AF290" i="1"/>
  <c r="AG258" i="1"/>
  <c r="AH258" i="1" s="1"/>
  <c r="AF258" i="1"/>
  <c r="AG242" i="1"/>
  <c r="AH242" i="1" s="1"/>
  <c r="AF242" i="1"/>
  <c r="AG226" i="1"/>
  <c r="AH226" i="1" s="1"/>
  <c r="AF226" i="1"/>
  <c r="AG218" i="1"/>
  <c r="AH218" i="1" s="1"/>
  <c r="AF218" i="1"/>
  <c r="AF210" i="1"/>
  <c r="AG210" i="1"/>
  <c r="AH210" i="1" s="1"/>
  <c r="AG202" i="1"/>
  <c r="AH202" i="1" s="1"/>
  <c r="AF202" i="1"/>
  <c r="AG194" i="1"/>
  <c r="AH194" i="1" s="1"/>
  <c r="AF194" i="1"/>
  <c r="AF186" i="1"/>
  <c r="AG186" i="1"/>
  <c r="AH186" i="1" s="1"/>
  <c r="AG178" i="1"/>
  <c r="AH178" i="1" s="1"/>
  <c r="AF178" i="1"/>
  <c r="AG170" i="1"/>
  <c r="AH170" i="1" s="1"/>
  <c r="AF170" i="1"/>
  <c r="AG162" i="1"/>
  <c r="AH162" i="1" s="1"/>
  <c r="AF162" i="1"/>
  <c r="AG154" i="1"/>
  <c r="AH154" i="1" s="1"/>
  <c r="AF154" i="1"/>
  <c r="AF146" i="1"/>
  <c r="AG146" i="1"/>
  <c r="AH146" i="1" s="1"/>
  <c r="AG138" i="1"/>
  <c r="AH138" i="1" s="1"/>
  <c r="AF138" i="1"/>
  <c r="AG130" i="1"/>
  <c r="AH130" i="1" s="1"/>
  <c r="AF130" i="1"/>
  <c r="AF122" i="1"/>
  <c r="AG122" i="1"/>
  <c r="AH122" i="1" s="1"/>
  <c r="AG114" i="1"/>
  <c r="AH114" i="1" s="1"/>
  <c r="AF114" i="1"/>
  <c r="AG106" i="1"/>
  <c r="AH106" i="1" s="1"/>
  <c r="AF106" i="1"/>
  <c r="AG90" i="1"/>
  <c r="AH90" i="1" s="1"/>
  <c r="AF90" i="1"/>
  <c r="AG82" i="1"/>
  <c r="AH82" i="1" s="1"/>
  <c r="AF82" i="1"/>
  <c r="AF74" i="1"/>
  <c r="AG74" i="1"/>
  <c r="AH74" i="1" s="1"/>
  <c r="AG66" i="1"/>
  <c r="AH66" i="1" s="1"/>
  <c r="AF66" i="1"/>
  <c r="AG58" i="1"/>
  <c r="AH58" i="1" s="1"/>
  <c r="AF58" i="1"/>
  <c r="AG50" i="1"/>
  <c r="AH50" i="1" s="1"/>
  <c r="AF50" i="1"/>
  <c r="AG42" i="1"/>
  <c r="AH42" i="1" s="1"/>
  <c r="AF42" i="1"/>
  <c r="AG34" i="1"/>
  <c r="AH34" i="1" s="1"/>
  <c r="AF34" i="1"/>
  <c r="AG26" i="1"/>
  <c r="AH26" i="1" s="1"/>
  <c r="AF26" i="1"/>
  <c r="AG687" i="1"/>
  <c r="AH687" i="1" s="1"/>
  <c r="AF687" i="1"/>
  <c r="AF647" i="1"/>
  <c r="AG647" i="1"/>
  <c r="AH647" i="1" s="1"/>
  <c r="AG615" i="1"/>
  <c r="AH615" i="1" s="1"/>
  <c r="AF615" i="1"/>
  <c r="AG559" i="1"/>
  <c r="AH559" i="1" s="1"/>
  <c r="AF559" i="1"/>
  <c r="AG519" i="1"/>
  <c r="AH519" i="1" s="1"/>
  <c r="AF519" i="1"/>
  <c r="AG455" i="1"/>
  <c r="AH455" i="1" s="1"/>
  <c r="AF455" i="1"/>
  <c r="AG423" i="1"/>
  <c r="AH423" i="1" s="1"/>
  <c r="AF423" i="1"/>
  <c r="AG391" i="1"/>
  <c r="AH391" i="1" s="1"/>
  <c r="AF391" i="1"/>
  <c r="AG343" i="1"/>
  <c r="AH343" i="1" s="1"/>
  <c r="AF343" i="1"/>
  <c r="AG319" i="1"/>
  <c r="AH319" i="1" s="1"/>
  <c r="AF319" i="1"/>
  <c r="AG279" i="1"/>
  <c r="AH279" i="1" s="1"/>
  <c r="AF279" i="1"/>
  <c r="AG255" i="1"/>
  <c r="AH255" i="1" s="1"/>
  <c r="AF255" i="1"/>
  <c r="AG231" i="1"/>
  <c r="AH231" i="1" s="1"/>
  <c r="AF231" i="1"/>
  <c r="AG167" i="1"/>
  <c r="AH167" i="1" s="1"/>
  <c r="AF167" i="1"/>
  <c r="AG127" i="1"/>
  <c r="AH127" i="1" s="1"/>
  <c r="AF127" i="1"/>
  <c r="AG95" i="1"/>
  <c r="AH95" i="1" s="1"/>
  <c r="AF95" i="1"/>
  <c r="AG39" i="1"/>
  <c r="AH39" i="1" s="1"/>
  <c r="AF39" i="1"/>
  <c r="AG926" i="1"/>
  <c r="AH926" i="1" s="1"/>
  <c r="AF926" i="1"/>
  <c r="AG894" i="1"/>
  <c r="AH894" i="1" s="1"/>
  <c r="AF894" i="1"/>
  <c r="AG819" i="1"/>
  <c r="AH819" i="1" s="1"/>
  <c r="AF819" i="1"/>
  <c r="AG746" i="1"/>
  <c r="AH746" i="1" s="1"/>
  <c r="AF746" i="1"/>
  <c r="AG627" i="1"/>
  <c r="AH627" i="1" s="1"/>
  <c r="AF627" i="1"/>
  <c r="AE12" i="1"/>
  <c r="AG838" i="1"/>
  <c r="AH838" i="1" s="1"/>
  <c r="AF838" i="1"/>
  <c r="AG806" i="1"/>
  <c r="AH806" i="1" s="1"/>
  <c r="AF806" i="1"/>
  <c r="AG774" i="1"/>
  <c r="AH774" i="1" s="1"/>
  <c r="AF774" i="1"/>
  <c r="AG750" i="1"/>
  <c r="AH750" i="1" s="1"/>
  <c r="AF750" i="1"/>
  <c r="AG718" i="1"/>
  <c r="AH718" i="1" s="1"/>
  <c r="AF718" i="1"/>
  <c r="AG686" i="1"/>
  <c r="AH686" i="1" s="1"/>
  <c r="AF686" i="1"/>
  <c r="AG662" i="1"/>
  <c r="AH662" i="1" s="1"/>
  <c r="AF662" i="1"/>
  <c r="AG630" i="1"/>
  <c r="AH630" i="1" s="1"/>
  <c r="AF630" i="1"/>
  <c r="AG598" i="1"/>
  <c r="AH598" i="1" s="1"/>
  <c r="AF598" i="1"/>
  <c r="AG574" i="1"/>
  <c r="AH574" i="1" s="1"/>
  <c r="AF574" i="1"/>
  <c r="AG542" i="1"/>
  <c r="AH542" i="1" s="1"/>
  <c r="AF542" i="1"/>
  <c r="AG502" i="1"/>
  <c r="AH502" i="1" s="1"/>
  <c r="AF502" i="1"/>
  <c r="AF478" i="1"/>
  <c r="AG478" i="1"/>
  <c r="AH478" i="1" s="1"/>
  <c r="AG438" i="1"/>
  <c r="AH438" i="1" s="1"/>
  <c r="AF438" i="1"/>
  <c r="AG398" i="1"/>
  <c r="AH398" i="1" s="1"/>
  <c r="AF398" i="1"/>
  <c r="AG366" i="1"/>
  <c r="AH366" i="1" s="1"/>
  <c r="AF366" i="1"/>
  <c r="AG326" i="1"/>
  <c r="AH326" i="1" s="1"/>
  <c r="AF326" i="1"/>
  <c r="AG286" i="1"/>
  <c r="AH286" i="1" s="1"/>
  <c r="AF286" i="1"/>
  <c r="AG254" i="1"/>
  <c r="AH254" i="1" s="1"/>
  <c r="AF254" i="1"/>
  <c r="AG214" i="1"/>
  <c r="AH214" i="1" s="1"/>
  <c r="AF214" i="1"/>
  <c r="AG182" i="1"/>
  <c r="AH182" i="1" s="1"/>
  <c r="AF182" i="1"/>
  <c r="AG142" i="1"/>
  <c r="AH142" i="1" s="1"/>
  <c r="AF142" i="1"/>
  <c r="AG110" i="1"/>
  <c r="AH110" i="1" s="1"/>
  <c r="AF110" i="1"/>
  <c r="AG86" i="1"/>
  <c r="AH86" i="1" s="1"/>
  <c r="AF86" i="1"/>
  <c r="AG62" i="1"/>
  <c r="AH62" i="1" s="1"/>
  <c r="AF62" i="1"/>
  <c r="AE24" i="1"/>
  <c r="AE924" i="1"/>
  <c r="AE900" i="1"/>
  <c r="AE876" i="1"/>
  <c r="AE844" i="1"/>
  <c r="AE812" i="1"/>
  <c r="AE788" i="1"/>
  <c r="AE740" i="1"/>
  <c r="AE708" i="1"/>
  <c r="AE684" i="1"/>
  <c r="AE660" i="1"/>
  <c r="AE628" i="1"/>
  <c r="AE604" i="1"/>
  <c r="AE580" i="1"/>
  <c r="AE556" i="1"/>
  <c r="AE532" i="1"/>
  <c r="AE484" i="1"/>
  <c r="AE452" i="1"/>
  <c r="AE428" i="1"/>
  <c r="AE404" i="1"/>
  <c r="AE356" i="1"/>
  <c r="AE332" i="1"/>
  <c r="AE308" i="1"/>
  <c r="AE284" i="1"/>
  <c r="AE260" i="1"/>
  <c r="AE236" i="1"/>
  <c r="AE204" i="1"/>
  <c r="AE172" i="1"/>
  <c r="AE60" i="1"/>
  <c r="AG21" i="1"/>
  <c r="AH21" i="1" s="1"/>
  <c r="AF21" i="1"/>
  <c r="AG825" i="1"/>
  <c r="AH825" i="1" s="1"/>
  <c r="AF825" i="1"/>
  <c r="AG809" i="1"/>
  <c r="AH809" i="1" s="1"/>
  <c r="AF809" i="1"/>
  <c r="AG793" i="1"/>
  <c r="AH793" i="1" s="1"/>
  <c r="AF793" i="1"/>
  <c r="AG785" i="1"/>
  <c r="AH785" i="1" s="1"/>
  <c r="AF785" i="1"/>
  <c r="AG777" i="1"/>
  <c r="AH777" i="1" s="1"/>
  <c r="AF777" i="1"/>
  <c r="AG761" i="1"/>
  <c r="AH761" i="1" s="1"/>
  <c r="AF761" i="1"/>
  <c r="AG745" i="1"/>
  <c r="AH745" i="1" s="1"/>
  <c r="AF745" i="1"/>
  <c r="AG729" i="1"/>
  <c r="AH729" i="1" s="1"/>
  <c r="AF729" i="1"/>
  <c r="AG721" i="1"/>
  <c r="AH721" i="1" s="1"/>
  <c r="AF721" i="1"/>
  <c r="AG713" i="1"/>
  <c r="AH713" i="1" s="1"/>
  <c r="AF713" i="1"/>
  <c r="AG697" i="1"/>
  <c r="AH697" i="1" s="1"/>
  <c r="AF697" i="1"/>
  <c r="AG681" i="1"/>
  <c r="AH681" i="1" s="1"/>
  <c r="AF681" i="1"/>
  <c r="AG665" i="1"/>
  <c r="AH665" i="1" s="1"/>
  <c r="AF665" i="1"/>
  <c r="AG657" i="1"/>
  <c r="AH657" i="1" s="1"/>
  <c r="AF657" i="1"/>
  <c r="AG649" i="1"/>
  <c r="AH649" i="1" s="1"/>
  <c r="AF649" i="1"/>
  <c r="AG641" i="1"/>
  <c r="AH641" i="1" s="1"/>
  <c r="AF641" i="1"/>
  <c r="AG617" i="1"/>
  <c r="AH617" i="1" s="1"/>
  <c r="AF617" i="1"/>
  <c r="AG601" i="1"/>
  <c r="AH601" i="1" s="1"/>
  <c r="AF601" i="1"/>
  <c r="AG593" i="1"/>
  <c r="AH593" i="1" s="1"/>
  <c r="AF593" i="1"/>
  <c r="AG585" i="1"/>
  <c r="AH585" i="1" s="1"/>
  <c r="AF585" i="1"/>
  <c r="AG577" i="1"/>
  <c r="AH577" i="1" s="1"/>
  <c r="AF577" i="1"/>
  <c r="AG569" i="1"/>
  <c r="AH569" i="1" s="1"/>
  <c r="AF569" i="1"/>
  <c r="AG553" i="1"/>
  <c r="AH553" i="1" s="1"/>
  <c r="AF553" i="1"/>
  <c r="AG537" i="1"/>
  <c r="AH537" i="1" s="1"/>
  <c r="AF537" i="1"/>
  <c r="AG529" i="1"/>
  <c r="AH529" i="1" s="1"/>
  <c r="AF529" i="1"/>
  <c r="AG521" i="1"/>
  <c r="AH521" i="1" s="1"/>
  <c r="AF521" i="1"/>
  <c r="AG513" i="1"/>
  <c r="AH513" i="1" s="1"/>
  <c r="AF513" i="1"/>
  <c r="AG505" i="1"/>
  <c r="AH505" i="1" s="1"/>
  <c r="AF505" i="1"/>
  <c r="AG489" i="1"/>
  <c r="AH489" i="1" s="1"/>
  <c r="AF489" i="1"/>
  <c r="AG473" i="1"/>
  <c r="AH473" i="1" s="1"/>
  <c r="AF473" i="1"/>
  <c r="AG465" i="1"/>
  <c r="AH465" i="1" s="1"/>
  <c r="AF465" i="1"/>
  <c r="AG457" i="1"/>
  <c r="AH457" i="1" s="1"/>
  <c r="AF457" i="1"/>
  <c r="AG449" i="1"/>
  <c r="AH449" i="1" s="1"/>
  <c r="AF449" i="1"/>
  <c r="AG441" i="1"/>
  <c r="AH441" i="1" s="1"/>
  <c r="AF441" i="1"/>
  <c r="AG425" i="1"/>
  <c r="AH425" i="1" s="1"/>
  <c r="AF425" i="1"/>
  <c r="AG401" i="1"/>
  <c r="AH401" i="1" s="1"/>
  <c r="AF401" i="1"/>
  <c r="AG393" i="1"/>
  <c r="AH393" i="1" s="1"/>
  <c r="AF393" i="1"/>
  <c r="AG385" i="1"/>
  <c r="AH385" i="1" s="1"/>
  <c r="AF385" i="1"/>
  <c r="AG377" i="1"/>
  <c r="AH377" i="1" s="1"/>
  <c r="AF377" i="1"/>
  <c r="AG361" i="1"/>
  <c r="AH361" i="1" s="1"/>
  <c r="AF361" i="1"/>
  <c r="AG353" i="1"/>
  <c r="AH353" i="1" s="1"/>
  <c r="AF353" i="1"/>
  <c r="AG345" i="1"/>
  <c r="AH345" i="1" s="1"/>
  <c r="AF345" i="1"/>
  <c r="AG337" i="1"/>
  <c r="AH337" i="1" s="1"/>
  <c r="AF337" i="1"/>
  <c r="AG329" i="1"/>
  <c r="AH329" i="1" s="1"/>
  <c r="AF329" i="1"/>
  <c r="AG321" i="1"/>
  <c r="AH321" i="1" s="1"/>
  <c r="AF321" i="1"/>
  <c r="AG313" i="1"/>
  <c r="AH313" i="1" s="1"/>
  <c r="AF313" i="1"/>
  <c r="AG305" i="1"/>
  <c r="AH305" i="1" s="1"/>
  <c r="AF305" i="1"/>
  <c r="AG297" i="1"/>
  <c r="AH297" i="1" s="1"/>
  <c r="AF297" i="1"/>
  <c r="AG289" i="1"/>
  <c r="AH289" i="1" s="1"/>
  <c r="AF289" i="1"/>
  <c r="AG281" i="1"/>
  <c r="AH281" i="1" s="1"/>
  <c r="AF281" i="1"/>
  <c r="AG273" i="1"/>
  <c r="AH273" i="1" s="1"/>
  <c r="AF273" i="1"/>
  <c r="AG265" i="1"/>
  <c r="AH265" i="1" s="1"/>
  <c r="AF265" i="1"/>
  <c r="AG257" i="1"/>
  <c r="AH257" i="1" s="1"/>
  <c r="AF257" i="1"/>
  <c r="AG241" i="1"/>
  <c r="AH241" i="1" s="1"/>
  <c r="AF241" i="1"/>
  <c r="AG233" i="1"/>
  <c r="AH233" i="1" s="1"/>
  <c r="AF233" i="1"/>
  <c r="AG225" i="1"/>
  <c r="AH225" i="1" s="1"/>
  <c r="AF225" i="1"/>
  <c r="AG217" i="1"/>
  <c r="AH217" i="1" s="1"/>
  <c r="AF217" i="1"/>
  <c r="AG209" i="1"/>
  <c r="AH209" i="1" s="1"/>
  <c r="AF209" i="1"/>
  <c r="AG201" i="1"/>
  <c r="AH201" i="1" s="1"/>
  <c r="AF201" i="1"/>
  <c r="AG193" i="1"/>
  <c r="AH193" i="1" s="1"/>
  <c r="AF193" i="1"/>
  <c r="AG185" i="1"/>
  <c r="AH185" i="1" s="1"/>
  <c r="AF185" i="1"/>
  <c r="AG177" i="1"/>
  <c r="AH177" i="1" s="1"/>
  <c r="AF177" i="1"/>
  <c r="AG169" i="1"/>
  <c r="AH169" i="1" s="1"/>
  <c r="AF169" i="1"/>
  <c r="AG161" i="1"/>
  <c r="AH161" i="1" s="1"/>
  <c r="AF161" i="1"/>
  <c r="AG153" i="1"/>
  <c r="AH153" i="1" s="1"/>
  <c r="AF153" i="1"/>
  <c r="AG145" i="1"/>
  <c r="AH145" i="1" s="1"/>
  <c r="AF145" i="1"/>
  <c r="AG137" i="1"/>
  <c r="AH137" i="1" s="1"/>
  <c r="AF137" i="1"/>
  <c r="AG129" i="1"/>
  <c r="AH129" i="1" s="1"/>
  <c r="AF129" i="1"/>
  <c r="AG121" i="1"/>
  <c r="AH121" i="1" s="1"/>
  <c r="AF121" i="1"/>
  <c r="AG113" i="1"/>
  <c r="AH113" i="1" s="1"/>
  <c r="AF113" i="1"/>
  <c r="AG105" i="1"/>
  <c r="AH105" i="1" s="1"/>
  <c r="AF105" i="1"/>
  <c r="AG97" i="1"/>
  <c r="AH97" i="1" s="1"/>
  <c r="AF97" i="1"/>
  <c r="AG89" i="1"/>
  <c r="AH89" i="1" s="1"/>
  <c r="AF89" i="1"/>
  <c r="AG81" i="1"/>
  <c r="AH81" i="1" s="1"/>
  <c r="AF81" i="1"/>
  <c r="AG73" i="1"/>
  <c r="AH73" i="1" s="1"/>
  <c r="AF73" i="1"/>
  <c r="AG65" i="1"/>
  <c r="AH65" i="1" s="1"/>
  <c r="AF65" i="1"/>
  <c r="AG57" i="1"/>
  <c r="AH57" i="1" s="1"/>
  <c r="AF57" i="1"/>
  <c r="AG49" i="1"/>
  <c r="AH49" i="1" s="1"/>
  <c r="AF49" i="1"/>
  <c r="AG41" i="1"/>
  <c r="AH41" i="1" s="1"/>
  <c r="AF41" i="1"/>
  <c r="AG33" i="1"/>
  <c r="AH33" i="1" s="1"/>
  <c r="AF33" i="1"/>
  <c r="AG25" i="1"/>
  <c r="AH25" i="1" s="1"/>
  <c r="AF25" i="1"/>
  <c r="AF2" i="1"/>
  <c r="AG204" i="1" l="1"/>
  <c r="AH204" i="1" s="1"/>
  <c r="AF204" i="1"/>
  <c r="AG324" i="1"/>
  <c r="AH324" i="1" s="1"/>
  <c r="AF324" i="1"/>
  <c r="AG195" i="1"/>
  <c r="AH195" i="1" s="1"/>
  <c r="AF195" i="1"/>
  <c r="AG259" i="1"/>
  <c r="AH259" i="1" s="1"/>
  <c r="AF259" i="1"/>
  <c r="AG323" i="1"/>
  <c r="AH323" i="1" s="1"/>
  <c r="AF323" i="1"/>
  <c r="AG403" i="1"/>
  <c r="AH403" i="1" s="1"/>
  <c r="AF403" i="1"/>
  <c r="AG483" i="1"/>
  <c r="AH483" i="1" s="1"/>
  <c r="AF483" i="1"/>
  <c r="AG571" i="1"/>
  <c r="AH571" i="1" s="1"/>
  <c r="AF571" i="1"/>
  <c r="AG659" i="1"/>
  <c r="AH659" i="1" s="1"/>
  <c r="AF659" i="1"/>
  <c r="AG747" i="1"/>
  <c r="AH747" i="1" s="1"/>
  <c r="AF747" i="1"/>
  <c r="AG23" i="1"/>
  <c r="AH23" i="1" s="1"/>
  <c r="AF23" i="1"/>
  <c r="AG124" i="1"/>
  <c r="AH124" i="1" s="1"/>
  <c r="AF124" i="1"/>
  <c r="AG316" i="1"/>
  <c r="AH316" i="1" s="1"/>
  <c r="AF316" i="1"/>
  <c r="AG540" i="1"/>
  <c r="AH540" i="1" s="1"/>
  <c r="AF540" i="1"/>
  <c r="AG836" i="1"/>
  <c r="AH836" i="1" s="1"/>
  <c r="AF836" i="1"/>
  <c r="AG4" i="1"/>
  <c r="AH4" i="1" s="1"/>
  <c r="AF4" i="1"/>
  <c r="AG365" i="1"/>
  <c r="AH365" i="1" s="1"/>
  <c r="AF365" i="1"/>
  <c r="AG445" i="1"/>
  <c r="AH445" i="1" s="1"/>
  <c r="AF445" i="1"/>
  <c r="AG541" i="1"/>
  <c r="AH541" i="1" s="1"/>
  <c r="AF541" i="1"/>
  <c r="AG621" i="1"/>
  <c r="AH621" i="1" s="1"/>
  <c r="AF621" i="1"/>
  <c r="AG701" i="1"/>
  <c r="AH701" i="1" s="1"/>
  <c r="AF701" i="1"/>
  <c r="AG813" i="1"/>
  <c r="AH813" i="1" s="1"/>
  <c r="AF813" i="1"/>
  <c r="AG428" i="1"/>
  <c r="AH428" i="1" s="1"/>
  <c r="AF428" i="1"/>
  <c r="AG900" i="1"/>
  <c r="AH900" i="1" s="1"/>
  <c r="AF900" i="1"/>
  <c r="AG612" i="1"/>
  <c r="AH612" i="1" s="1"/>
  <c r="AF612" i="1"/>
  <c r="AG236" i="1"/>
  <c r="AH236" i="1" s="1"/>
  <c r="AF236" i="1"/>
  <c r="AG452" i="1"/>
  <c r="AH452" i="1" s="1"/>
  <c r="AF452" i="1"/>
  <c r="AF684" i="1"/>
  <c r="AG684" i="1"/>
  <c r="AH684" i="1" s="1"/>
  <c r="AG924" i="1"/>
  <c r="AH924" i="1" s="1"/>
  <c r="AF924" i="1"/>
  <c r="AG164" i="1"/>
  <c r="AH164" i="1" s="1"/>
  <c r="AF164" i="1"/>
  <c r="AG348" i="1"/>
  <c r="AH348" i="1" s="1"/>
  <c r="AF348" i="1"/>
  <c r="AG668" i="1"/>
  <c r="AH668" i="1" s="1"/>
  <c r="AF668" i="1"/>
  <c r="AG892" i="1"/>
  <c r="AH892" i="1" s="1"/>
  <c r="AF892" i="1"/>
  <c r="AG75" i="1"/>
  <c r="AH75" i="1" s="1"/>
  <c r="AF75" i="1"/>
  <c r="AG139" i="1"/>
  <c r="AH139" i="1" s="1"/>
  <c r="AF139" i="1"/>
  <c r="AG203" i="1"/>
  <c r="AH203" i="1" s="1"/>
  <c r="AF203" i="1"/>
  <c r="AG267" i="1"/>
  <c r="AH267" i="1" s="1"/>
  <c r="AF267" i="1"/>
  <c r="AG331" i="1"/>
  <c r="AH331" i="1" s="1"/>
  <c r="AF331" i="1"/>
  <c r="AG411" i="1"/>
  <c r="AH411" i="1" s="1"/>
  <c r="AF411" i="1"/>
  <c r="AG491" i="1"/>
  <c r="AH491" i="1" s="1"/>
  <c r="AF491" i="1"/>
  <c r="AG587" i="1"/>
  <c r="AH587" i="1" s="1"/>
  <c r="AF587" i="1"/>
  <c r="AG667" i="1"/>
  <c r="AH667" i="1" s="1"/>
  <c r="AF667" i="1"/>
  <c r="AG763" i="1"/>
  <c r="AH763" i="1" s="1"/>
  <c r="AF763" i="1"/>
  <c r="AG9" i="1"/>
  <c r="AH9" i="1" s="1"/>
  <c r="AF9" i="1"/>
  <c r="AG140" i="1"/>
  <c r="AH140" i="1" s="1"/>
  <c r="AF140" i="1"/>
  <c r="AG340" i="1"/>
  <c r="AH340" i="1" s="1"/>
  <c r="AF340" i="1"/>
  <c r="AG564" i="1"/>
  <c r="AH564" i="1" s="1"/>
  <c r="AF564" i="1"/>
  <c r="AG860" i="1"/>
  <c r="AH860" i="1" s="1"/>
  <c r="AF860" i="1"/>
  <c r="AG373" i="1"/>
  <c r="AH373" i="1" s="1"/>
  <c r="AF373" i="1"/>
  <c r="AG461" i="1"/>
  <c r="AH461" i="1" s="1"/>
  <c r="AF461" i="1"/>
  <c r="AG549" i="1"/>
  <c r="AH549" i="1" s="1"/>
  <c r="AF549" i="1"/>
  <c r="AG629" i="1"/>
  <c r="AH629" i="1" s="1"/>
  <c r="AF629" i="1"/>
  <c r="AG717" i="1"/>
  <c r="AH717" i="1" s="1"/>
  <c r="AF717" i="1"/>
  <c r="AG821" i="1"/>
  <c r="AH821" i="1" s="1"/>
  <c r="AF821" i="1"/>
  <c r="AG148" i="1"/>
  <c r="AH148" i="1" s="1"/>
  <c r="AF148" i="1"/>
  <c r="AG260" i="1"/>
  <c r="AH260" i="1" s="1"/>
  <c r="AF260" i="1"/>
  <c r="AG484" i="1"/>
  <c r="AH484" i="1" s="1"/>
  <c r="AF484" i="1"/>
  <c r="AG708" i="1"/>
  <c r="AH708" i="1" s="1"/>
  <c r="AF708" i="1"/>
  <c r="AG24" i="1"/>
  <c r="AH24" i="1" s="1"/>
  <c r="AF24" i="1"/>
  <c r="AG22" i="1"/>
  <c r="AH22" i="1" s="1"/>
  <c r="AF22" i="1"/>
  <c r="AG188" i="1"/>
  <c r="AH188" i="1" s="1"/>
  <c r="AF188" i="1"/>
  <c r="AG372" i="1"/>
  <c r="AH372" i="1" s="1"/>
  <c r="AF372" i="1"/>
  <c r="AG692" i="1"/>
  <c r="AH692" i="1" s="1"/>
  <c r="AF692" i="1"/>
  <c r="AG916" i="1"/>
  <c r="AH916" i="1" s="1"/>
  <c r="AF916" i="1"/>
  <c r="AG83" i="1"/>
  <c r="AH83" i="1" s="1"/>
  <c r="AF83" i="1"/>
  <c r="AG147" i="1"/>
  <c r="AH147" i="1" s="1"/>
  <c r="AF147" i="1"/>
  <c r="AG211" i="1"/>
  <c r="AH211" i="1" s="1"/>
  <c r="AF211" i="1"/>
  <c r="AG275" i="1"/>
  <c r="AH275" i="1" s="1"/>
  <c r="AF275" i="1"/>
  <c r="AG339" i="1"/>
  <c r="AH339" i="1" s="1"/>
  <c r="AF339" i="1"/>
  <c r="AG419" i="1"/>
  <c r="AH419" i="1" s="1"/>
  <c r="AF419" i="1"/>
  <c r="AG507" i="1"/>
  <c r="AH507" i="1" s="1"/>
  <c r="AF507" i="1"/>
  <c r="AG595" i="1"/>
  <c r="AH595" i="1" s="1"/>
  <c r="AF595" i="1"/>
  <c r="AG675" i="1"/>
  <c r="AH675" i="1" s="1"/>
  <c r="AF675" i="1"/>
  <c r="AG779" i="1"/>
  <c r="AH779" i="1" s="1"/>
  <c r="AF779" i="1"/>
  <c r="AG28" i="1"/>
  <c r="AH28" i="1" s="1"/>
  <c r="AF28" i="1"/>
  <c r="AG156" i="1"/>
  <c r="AH156" i="1" s="1"/>
  <c r="AF156" i="1"/>
  <c r="AG364" i="1"/>
  <c r="AH364" i="1" s="1"/>
  <c r="AF364" i="1"/>
  <c r="AG596" i="1"/>
  <c r="AH596" i="1" s="1"/>
  <c r="AF596" i="1"/>
  <c r="AG884" i="1"/>
  <c r="AH884" i="1" s="1"/>
  <c r="AF884" i="1"/>
  <c r="AF381" i="1"/>
  <c r="AG381" i="1"/>
  <c r="AH381" i="1" s="1"/>
  <c r="AF477" i="1"/>
  <c r="AG477" i="1"/>
  <c r="AH477" i="1" s="1"/>
  <c r="AG557" i="1"/>
  <c r="AH557" i="1" s="1"/>
  <c r="AF557" i="1"/>
  <c r="AG637" i="1"/>
  <c r="AH637" i="1" s="1"/>
  <c r="AF637" i="1"/>
  <c r="AG733" i="1"/>
  <c r="AH733" i="1" s="1"/>
  <c r="AF733" i="1"/>
  <c r="AG829" i="1"/>
  <c r="AH829" i="1" s="1"/>
  <c r="AF829" i="1"/>
  <c r="AG131" i="1"/>
  <c r="AH131" i="1" s="1"/>
  <c r="AF131" i="1"/>
  <c r="AG284" i="1"/>
  <c r="AH284" i="1" s="1"/>
  <c r="AF284" i="1"/>
  <c r="AG532" i="1"/>
  <c r="AH532" i="1" s="1"/>
  <c r="AF532" i="1"/>
  <c r="AG740" i="1"/>
  <c r="AH740" i="1" s="1"/>
  <c r="AF740" i="1"/>
  <c r="AG8" i="1"/>
  <c r="AH8" i="1" s="1"/>
  <c r="AF8" i="1"/>
  <c r="AG212" i="1"/>
  <c r="AH212" i="1" s="1"/>
  <c r="AF212" i="1"/>
  <c r="AG420" i="1"/>
  <c r="AH420" i="1" s="1"/>
  <c r="AF420" i="1"/>
  <c r="AG724" i="1"/>
  <c r="AH724" i="1" s="1"/>
  <c r="AF724" i="1"/>
  <c r="AG940" i="1"/>
  <c r="AH940" i="1" s="1"/>
  <c r="AF940" i="1"/>
  <c r="AG27" i="1"/>
  <c r="AH27" i="1" s="1"/>
  <c r="AF27" i="1"/>
  <c r="AG91" i="1"/>
  <c r="AH91" i="1" s="1"/>
  <c r="AF91" i="1"/>
  <c r="AG155" i="1"/>
  <c r="AH155" i="1" s="1"/>
  <c r="AF155" i="1"/>
  <c r="AG219" i="1"/>
  <c r="AH219" i="1" s="1"/>
  <c r="AF219" i="1"/>
  <c r="AG283" i="1"/>
  <c r="AH283" i="1" s="1"/>
  <c r="AF283" i="1"/>
  <c r="AG347" i="1"/>
  <c r="AH347" i="1" s="1"/>
  <c r="AF347" i="1"/>
  <c r="AG427" i="1"/>
  <c r="AH427" i="1" s="1"/>
  <c r="AF427" i="1"/>
  <c r="AG523" i="1"/>
  <c r="AH523" i="1" s="1"/>
  <c r="AF523" i="1"/>
  <c r="AG603" i="1"/>
  <c r="AH603" i="1" s="1"/>
  <c r="AF603" i="1"/>
  <c r="AG683" i="1"/>
  <c r="AH683" i="1" s="1"/>
  <c r="AF683" i="1"/>
  <c r="AG795" i="1"/>
  <c r="AH795" i="1" s="1"/>
  <c r="AF795" i="1"/>
  <c r="AG36" i="1"/>
  <c r="AH36" i="1" s="1"/>
  <c r="AF36" i="1"/>
  <c r="AG196" i="1"/>
  <c r="AH196" i="1" s="1"/>
  <c r="AF196" i="1"/>
  <c r="AG388" i="1"/>
  <c r="AH388" i="1" s="1"/>
  <c r="AF388" i="1"/>
  <c r="AG620" i="1"/>
  <c r="AH620" i="1" s="1"/>
  <c r="AF620" i="1"/>
  <c r="AG908" i="1"/>
  <c r="AH908" i="1" s="1"/>
  <c r="AF908" i="1"/>
  <c r="AF293" i="1"/>
  <c r="AG293" i="1"/>
  <c r="AH293" i="1" s="1"/>
  <c r="AG397" i="1"/>
  <c r="AH397" i="1" s="1"/>
  <c r="AF397" i="1"/>
  <c r="AG485" i="1"/>
  <c r="AH485" i="1" s="1"/>
  <c r="AF485" i="1"/>
  <c r="AG565" i="1"/>
  <c r="AH565" i="1" s="1"/>
  <c r="AF565" i="1"/>
  <c r="AG653" i="1"/>
  <c r="AH653" i="1" s="1"/>
  <c r="AF653" i="1"/>
  <c r="AG749" i="1"/>
  <c r="AH749" i="1" s="1"/>
  <c r="AF749" i="1"/>
  <c r="AG308" i="1"/>
  <c r="AH308" i="1" s="1"/>
  <c r="AF308" i="1"/>
  <c r="AG556" i="1"/>
  <c r="AH556" i="1" s="1"/>
  <c r="AF556" i="1"/>
  <c r="AG788" i="1"/>
  <c r="AH788" i="1" s="1"/>
  <c r="AF788" i="1"/>
  <c r="AG76" i="1"/>
  <c r="AH76" i="1" s="1"/>
  <c r="AF76" i="1"/>
  <c r="AG228" i="1"/>
  <c r="AH228" i="1" s="1"/>
  <c r="AF228" i="1"/>
  <c r="AG476" i="1"/>
  <c r="AH476" i="1" s="1"/>
  <c r="AF476" i="1"/>
  <c r="AG748" i="1"/>
  <c r="AH748" i="1" s="1"/>
  <c r="AF748" i="1"/>
  <c r="AG35" i="1"/>
  <c r="AH35" i="1" s="1"/>
  <c r="AF35" i="1"/>
  <c r="AG99" i="1"/>
  <c r="AH99" i="1" s="1"/>
  <c r="AF99" i="1"/>
  <c r="AG163" i="1"/>
  <c r="AH163" i="1" s="1"/>
  <c r="AF163" i="1"/>
  <c r="AG227" i="1"/>
  <c r="AH227" i="1" s="1"/>
  <c r="AF227" i="1"/>
  <c r="AG291" i="1"/>
  <c r="AH291" i="1" s="1"/>
  <c r="AF291" i="1"/>
  <c r="AG355" i="1"/>
  <c r="AH355" i="1" s="1"/>
  <c r="AF355" i="1"/>
  <c r="AG443" i="1"/>
  <c r="AH443" i="1" s="1"/>
  <c r="AF443" i="1"/>
  <c r="AG531" i="1"/>
  <c r="AH531" i="1" s="1"/>
  <c r="AF531" i="1"/>
  <c r="AG611" i="1"/>
  <c r="AH611" i="1" s="1"/>
  <c r="AF611" i="1"/>
  <c r="AG699" i="1"/>
  <c r="AH699" i="1" s="1"/>
  <c r="AF699" i="1"/>
  <c r="AG803" i="1"/>
  <c r="AH803" i="1" s="1"/>
  <c r="AF803" i="1"/>
  <c r="AG44" i="1"/>
  <c r="AH44" i="1" s="1"/>
  <c r="AF44" i="1"/>
  <c r="AG220" i="1"/>
  <c r="AH220" i="1" s="1"/>
  <c r="AF220" i="1"/>
  <c r="AG412" i="1"/>
  <c r="AH412" i="1" s="1"/>
  <c r="AF412" i="1"/>
  <c r="AG644" i="1"/>
  <c r="AH644" i="1" s="1"/>
  <c r="AF644" i="1"/>
  <c r="AG932" i="1"/>
  <c r="AH932" i="1" s="1"/>
  <c r="AF932" i="1"/>
  <c r="AG309" i="1"/>
  <c r="AH309" i="1" s="1"/>
  <c r="AF309" i="1"/>
  <c r="AG413" i="1"/>
  <c r="AH413" i="1" s="1"/>
  <c r="AF413" i="1"/>
  <c r="AG493" i="1"/>
  <c r="AH493" i="1" s="1"/>
  <c r="AF493" i="1"/>
  <c r="AG573" i="1"/>
  <c r="AH573" i="1" s="1"/>
  <c r="AF573" i="1"/>
  <c r="AG669" i="1"/>
  <c r="AH669" i="1" s="1"/>
  <c r="AF669" i="1"/>
  <c r="AG757" i="1"/>
  <c r="AH757" i="1" s="1"/>
  <c r="AF757" i="1"/>
  <c r="AG92" i="1"/>
  <c r="AH92" i="1" s="1"/>
  <c r="AF92" i="1"/>
  <c r="AG43" i="1"/>
  <c r="AH43" i="1" s="1"/>
  <c r="AF43" i="1"/>
  <c r="AG363" i="1"/>
  <c r="AH363" i="1" s="1"/>
  <c r="AF363" i="1"/>
  <c r="AG811" i="1"/>
  <c r="AH811" i="1" s="1"/>
  <c r="AF811" i="1"/>
  <c r="AG765" i="1"/>
  <c r="AH765" i="1" s="1"/>
  <c r="AF765" i="1"/>
  <c r="AG332" i="1"/>
  <c r="AH332" i="1" s="1"/>
  <c r="AF332" i="1"/>
  <c r="AG812" i="1"/>
  <c r="AH812" i="1" s="1"/>
  <c r="AF812" i="1"/>
  <c r="AG12" i="1"/>
  <c r="AH12" i="1" s="1"/>
  <c r="AF12" i="1"/>
  <c r="AG252" i="1"/>
  <c r="AH252" i="1" s="1"/>
  <c r="AF252" i="1"/>
  <c r="AG500" i="1"/>
  <c r="AH500" i="1" s="1"/>
  <c r="AF500" i="1"/>
  <c r="AG772" i="1"/>
  <c r="AH772" i="1" s="1"/>
  <c r="AF772" i="1"/>
  <c r="AG107" i="1"/>
  <c r="AH107" i="1" s="1"/>
  <c r="AF107" i="1"/>
  <c r="AG171" i="1"/>
  <c r="AH171" i="1" s="1"/>
  <c r="AF171" i="1"/>
  <c r="AG235" i="1"/>
  <c r="AH235" i="1" s="1"/>
  <c r="AF235" i="1"/>
  <c r="AG299" i="1"/>
  <c r="AH299" i="1" s="1"/>
  <c r="AF299" i="1"/>
  <c r="AG459" i="1"/>
  <c r="AH459" i="1" s="1"/>
  <c r="AF459" i="1"/>
  <c r="AG539" i="1"/>
  <c r="AH539" i="1" s="1"/>
  <c r="AF539" i="1"/>
  <c r="AG619" i="1"/>
  <c r="AH619" i="1" s="1"/>
  <c r="AF619" i="1"/>
  <c r="AG715" i="1"/>
  <c r="AH715" i="1" s="1"/>
  <c r="AF715" i="1"/>
  <c r="AG68" i="1"/>
  <c r="AH68" i="1" s="1"/>
  <c r="AF68" i="1"/>
  <c r="AG244" i="1"/>
  <c r="AH244" i="1" s="1"/>
  <c r="AF244" i="1"/>
  <c r="AG436" i="1"/>
  <c r="AH436" i="1" s="1"/>
  <c r="AF436" i="1"/>
  <c r="AF676" i="1"/>
  <c r="AG676" i="1"/>
  <c r="AH676" i="1" s="1"/>
  <c r="AG16" i="1"/>
  <c r="AH16" i="1" s="1"/>
  <c r="AF16" i="1"/>
  <c r="AG325" i="1"/>
  <c r="AH325" i="1" s="1"/>
  <c r="AF325" i="1"/>
  <c r="AG421" i="1"/>
  <c r="AH421" i="1" s="1"/>
  <c r="AF421" i="1"/>
  <c r="AG501" i="1"/>
  <c r="AH501" i="1" s="1"/>
  <c r="AF501" i="1"/>
  <c r="AG589" i="1"/>
  <c r="AH589" i="1" s="1"/>
  <c r="AF589" i="1"/>
  <c r="AG677" i="1"/>
  <c r="AH677" i="1" s="1"/>
  <c r="AF677" i="1"/>
  <c r="AG11" i="1"/>
  <c r="AH11" i="1" s="1"/>
  <c r="AF11" i="1"/>
  <c r="AG60" i="1"/>
  <c r="AH60" i="1" s="1"/>
  <c r="AF60" i="1"/>
  <c r="AG356" i="1"/>
  <c r="AH356" i="1" s="1"/>
  <c r="AF356" i="1"/>
  <c r="AG604" i="1"/>
  <c r="AH604" i="1" s="1"/>
  <c r="AF604" i="1"/>
  <c r="AG844" i="1"/>
  <c r="AH844" i="1" s="1"/>
  <c r="AF844" i="1"/>
  <c r="AG108" i="1"/>
  <c r="AH108" i="1" s="1"/>
  <c r="AF108" i="1"/>
  <c r="AG276" i="1"/>
  <c r="AH276" i="1" s="1"/>
  <c r="AF276" i="1"/>
  <c r="AG516" i="1"/>
  <c r="AH516" i="1" s="1"/>
  <c r="AF516" i="1"/>
  <c r="AG804" i="1"/>
  <c r="AH804" i="1" s="1"/>
  <c r="AF804" i="1"/>
  <c r="AG51" i="1"/>
  <c r="AH51" i="1" s="1"/>
  <c r="AF51" i="1"/>
  <c r="AG115" i="1"/>
  <c r="AH115" i="1" s="1"/>
  <c r="AF115" i="1"/>
  <c r="AG179" i="1"/>
  <c r="AH179" i="1" s="1"/>
  <c r="AF179" i="1"/>
  <c r="AG243" i="1"/>
  <c r="AH243" i="1" s="1"/>
  <c r="AF243" i="1"/>
  <c r="AG307" i="1"/>
  <c r="AH307" i="1" s="1"/>
  <c r="AF307" i="1"/>
  <c r="AG379" i="1"/>
  <c r="AH379" i="1" s="1"/>
  <c r="AF379" i="1"/>
  <c r="AG467" i="1"/>
  <c r="AH467" i="1" s="1"/>
  <c r="AF467" i="1"/>
  <c r="AG547" i="1"/>
  <c r="AH547" i="1" s="1"/>
  <c r="AF547" i="1"/>
  <c r="AG635" i="1"/>
  <c r="AH635" i="1" s="1"/>
  <c r="AF635" i="1"/>
  <c r="AG731" i="1"/>
  <c r="AH731" i="1" s="1"/>
  <c r="AF731" i="1"/>
  <c r="AG827" i="1"/>
  <c r="AH827" i="1" s="1"/>
  <c r="AF827" i="1"/>
  <c r="AG84" i="1"/>
  <c r="AH84" i="1" s="1"/>
  <c r="AF84" i="1"/>
  <c r="AG268" i="1"/>
  <c r="AH268" i="1" s="1"/>
  <c r="AF268" i="1"/>
  <c r="AG468" i="1"/>
  <c r="AH468" i="1" s="1"/>
  <c r="AF468" i="1"/>
  <c r="AG756" i="1"/>
  <c r="AH756" i="1" s="1"/>
  <c r="AF756" i="1"/>
  <c r="AG341" i="1"/>
  <c r="AH341" i="1" s="1"/>
  <c r="AF341" i="1"/>
  <c r="AF429" i="1"/>
  <c r="AG429" i="1"/>
  <c r="AH429" i="1" s="1"/>
  <c r="AG509" i="1"/>
  <c r="AH509" i="1" s="1"/>
  <c r="AF509" i="1"/>
  <c r="AG605" i="1"/>
  <c r="AH605" i="1" s="1"/>
  <c r="AF605" i="1"/>
  <c r="AG685" i="1"/>
  <c r="AH685" i="1" s="1"/>
  <c r="AF685" i="1"/>
  <c r="AG660" i="1"/>
  <c r="AH660" i="1" s="1"/>
  <c r="AF660" i="1"/>
  <c r="AG580" i="1"/>
  <c r="AH580" i="1" s="1"/>
  <c r="AF580" i="1"/>
  <c r="AG172" i="1"/>
  <c r="AH172" i="1" s="1"/>
  <c r="AF172" i="1"/>
  <c r="AG404" i="1"/>
  <c r="AH404" i="1" s="1"/>
  <c r="AF404" i="1"/>
  <c r="AG628" i="1"/>
  <c r="AH628" i="1" s="1"/>
  <c r="AF628" i="1"/>
  <c r="AG876" i="1"/>
  <c r="AH876" i="1" s="1"/>
  <c r="AF876" i="1"/>
  <c r="AG132" i="1"/>
  <c r="AH132" i="1" s="1"/>
  <c r="AF132" i="1"/>
  <c r="AG300" i="1"/>
  <c r="AH300" i="1" s="1"/>
  <c r="AF300" i="1"/>
  <c r="AG548" i="1"/>
  <c r="AH548" i="1" s="1"/>
  <c r="AF548" i="1"/>
  <c r="AG852" i="1"/>
  <c r="AH852" i="1" s="1"/>
  <c r="AF852" i="1"/>
  <c r="AG59" i="1"/>
  <c r="AH59" i="1" s="1"/>
  <c r="AF59" i="1"/>
  <c r="AG123" i="1"/>
  <c r="AH123" i="1" s="1"/>
  <c r="AF123" i="1"/>
  <c r="AG187" i="1"/>
  <c r="AH187" i="1" s="1"/>
  <c r="AF187" i="1"/>
  <c r="AG251" i="1"/>
  <c r="AH251" i="1" s="1"/>
  <c r="AF251" i="1"/>
  <c r="AG315" i="1"/>
  <c r="AH315" i="1" s="1"/>
  <c r="AF315" i="1"/>
  <c r="AG395" i="1"/>
  <c r="AH395" i="1" s="1"/>
  <c r="AF395" i="1"/>
  <c r="AG475" i="1"/>
  <c r="AH475" i="1" s="1"/>
  <c r="AF475" i="1"/>
  <c r="AG555" i="1"/>
  <c r="AH555" i="1" s="1"/>
  <c r="AF555" i="1"/>
  <c r="AG651" i="1"/>
  <c r="AH651" i="1" s="1"/>
  <c r="AF651" i="1"/>
  <c r="AG739" i="1"/>
  <c r="AH739" i="1" s="1"/>
  <c r="AF739" i="1"/>
  <c r="AG15" i="1"/>
  <c r="AH15" i="1" s="1"/>
  <c r="AF15" i="1"/>
  <c r="AG100" i="1"/>
  <c r="AH100" i="1" s="1"/>
  <c r="AF100" i="1"/>
  <c r="AG292" i="1"/>
  <c r="AH292" i="1" s="1"/>
  <c r="AF292" i="1"/>
  <c r="AG492" i="1"/>
  <c r="AH492" i="1" s="1"/>
  <c r="AF492" i="1"/>
  <c r="AG820" i="1"/>
  <c r="AH820" i="1" s="1"/>
  <c r="AF820" i="1"/>
  <c r="AF357" i="1"/>
  <c r="AG357" i="1"/>
  <c r="AH357" i="1" s="1"/>
  <c r="AG437" i="1"/>
  <c r="AH437" i="1" s="1"/>
  <c r="AF437" i="1"/>
  <c r="AG525" i="1"/>
  <c r="AH525" i="1" s="1"/>
  <c r="AF525" i="1"/>
  <c r="AG613" i="1"/>
  <c r="AH613" i="1" s="1"/>
  <c r="AF613" i="1"/>
  <c r="AG693" i="1"/>
  <c r="AH693" i="1" s="1"/>
  <c r="AF693" i="1"/>
  <c r="AG797" i="1"/>
  <c r="AH797" i="1" s="1"/>
  <c r="AF797" i="1"/>
</calcChain>
</file>

<file path=xl/sharedStrings.xml><?xml version="1.0" encoding="utf-8"?>
<sst xmlns="http://schemas.openxmlformats.org/spreadsheetml/2006/main" count="2034" uniqueCount="1036">
  <si>
    <t>user</t>
  </si>
  <si>
    <t>total_logins</t>
  </si>
  <si>
    <t>avg_login_hour</t>
  </si>
  <si>
    <t>std_login_hour</t>
  </si>
  <si>
    <t>weekend_login_rate</t>
  </si>
  <si>
    <t>after_hours_rate</t>
  </si>
  <si>
    <t>avg_hours_between_logins</t>
  </si>
  <si>
    <t>min_login_hour</t>
  </si>
  <si>
    <t>max_login_hour</t>
  </si>
  <si>
    <t>total_web_visits</t>
  </si>
  <si>
    <t>file_download_count</t>
  </si>
  <si>
    <t>file_download_rate</t>
  </si>
  <si>
    <t>file_upload_count</t>
  </si>
  <si>
    <t>file_upload_rate</t>
  </si>
  <si>
    <t>unique_sites</t>
  </si>
  <si>
    <t>network_usage_mb</t>
  </si>
  <si>
    <t>network_anomaly_score</t>
  </si>
  <si>
    <t>usb_connect_count</t>
  </si>
  <si>
    <t>unique_usb_devices</t>
  </si>
  <si>
    <t>role</t>
  </si>
  <si>
    <t>download_upload_ratio</t>
  </si>
  <si>
    <t>unusual_hour_score</t>
  </si>
  <si>
    <t>combined_risk</t>
  </si>
  <si>
    <t>anomaly_login</t>
  </si>
  <si>
    <t>anomaly_volume</t>
  </si>
  <si>
    <t>anomaly_network</t>
  </si>
  <si>
    <t>anomaly_usb</t>
  </si>
  <si>
    <t>DTAA/AAA0371</t>
  </si>
  <si>
    <t>IT_Admin</t>
  </si>
  <si>
    <t>DTAA/AAC0344</t>
  </si>
  <si>
    <t>DTAA/AAC0599</t>
  </si>
  <si>
    <t>DTAA/AAH0734</t>
  </si>
  <si>
    <t>DTAA/AAK0658</t>
  </si>
  <si>
    <t>DTAA/AAK0924</t>
  </si>
  <si>
    <t>DTAA/AAR0508</t>
  </si>
  <si>
    <t>DTAA/AAS0709</t>
  </si>
  <si>
    <t>DTAA/ABB0272</t>
  </si>
  <si>
    <t>DTAA/ABD0833</t>
  </si>
  <si>
    <t>DTAA/ABG0179</t>
  </si>
  <si>
    <t>DTAA/ABH0963</t>
  </si>
  <si>
    <t>DTAA/ABL0836</t>
  </si>
  <si>
    <t>DTAA/ABS0726</t>
  </si>
  <si>
    <t>DTAA/ACD0647</t>
  </si>
  <si>
    <t>DTAA/ACH0803</t>
  </si>
  <si>
    <t>DTAA/ACL0865</t>
  </si>
  <si>
    <t>DTAA/ACM0061</t>
  </si>
  <si>
    <t>DTAA/ACR0400</t>
  </si>
  <si>
    <t>DTAA/ADR0219</t>
  </si>
  <si>
    <t>DTAA/AEC0750</t>
  </si>
  <si>
    <t>DTAA/AEG0905</t>
  </si>
  <si>
    <t>DTAA/AEW0730</t>
  </si>
  <si>
    <t>DTAA/AFD0868</t>
  </si>
  <si>
    <t>DTAA/AFF0760</t>
  </si>
  <si>
    <t>General</t>
  </si>
  <si>
    <t>DTAA/AFG0122</t>
  </si>
  <si>
    <t>DTAA/AFH0331</t>
  </si>
  <si>
    <t>DTAA/AFN0918</t>
  </si>
  <si>
    <t>DTAA/AFO0022</t>
  </si>
  <si>
    <t>DTAA/AFR0646</t>
  </si>
  <si>
    <t>DTAA/AGB0091</t>
  </si>
  <si>
    <t>DTAA/AGF0088</t>
  </si>
  <si>
    <t>DTAA/AGG0562</t>
  </si>
  <si>
    <t>DTAA/AGW0182</t>
  </si>
  <si>
    <t>DTAA/AHD0147</t>
  </si>
  <si>
    <t>DTAA/AHS0926</t>
  </si>
  <si>
    <t>DTAA/AHV0103</t>
  </si>
  <si>
    <t>DTAA/AIB0797</t>
  </si>
  <si>
    <t>DTAA/AIC0321</t>
  </si>
  <si>
    <t>DTAA/AID0577</t>
  </si>
  <si>
    <t>DTAA/AJA0220</t>
  </si>
  <si>
    <t>DTAA/AJB0016</t>
  </si>
  <si>
    <t>DTAA/AJB0370</t>
  </si>
  <si>
    <t>DTAA/AJC0203</t>
  </si>
  <si>
    <t>DTAA/AJC0266</t>
  </si>
  <si>
    <t>DTAA/AJC0399</t>
  </si>
  <si>
    <t>DTAA/AJM0302</t>
  </si>
  <si>
    <t>DTAA/AJN0804</t>
  </si>
  <si>
    <t>DTAA/AJP0553</t>
  </si>
  <si>
    <t>DTAA/AJS0917</t>
  </si>
  <si>
    <t>DTAA/AJS0978</t>
  </si>
  <si>
    <t>DTAA/AKA0033</t>
  </si>
  <si>
    <t>DTAA/AKH0067</t>
  </si>
  <si>
    <t>DTAA/AKM0969</t>
  </si>
  <si>
    <t>DTAA/AKP0173</t>
  </si>
  <si>
    <t>DTAA/AKS0283</t>
  </si>
  <si>
    <t>DTAA/AKW0582</t>
  </si>
  <si>
    <t>DTAA/ALC0244</t>
  </si>
  <si>
    <t>DTAA/ALK0520</t>
  </si>
  <si>
    <t>DTAA/ALL0155</t>
  </si>
  <si>
    <t>DTAA/ALN0201</t>
  </si>
  <si>
    <t>DTAA/ALS0087</t>
  </si>
  <si>
    <t>DTAA/ALW0250</t>
  </si>
  <si>
    <t>DTAA/ALW0694</t>
  </si>
  <si>
    <t>DTAA/ALW0834</t>
  </si>
  <si>
    <t>DTAA/AMA0191</t>
  </si>
  <si>
    <t>DTAA/AMA0606</t>
  </si>
  <si>
    <t>DTAA/AMD0432</t>
  </si>
  <si>
    <t>DTAA/AMH0101</t>
  </si>
  <si>
    <t>DTAA/AMM0340</t>
  </si>
  <si>
    <t>DTAA/AMM0661</t>
  </si>
  <si>
    <t>DTAA/AMM0830</t>
  </si>
  <si>
    <t>DTAA/AMS0897</t>
  </si>
  <si>
    <t>DTAA/ANC0012</t>
  </si>
  <si>
    <t>DTAA/ANS0172</t>
  </si>
  <si>
    <t>DTAA/ANW0351</t>
  </si>
  <si>
    <t>DTAA/AOC0511</t>
  </si>
  <si>
    <t>DTAA/APC0769</t>
  </si>
  <si>
    <t>DTAA/AQG0678</t>
  </si>
  <si>
    <t>DTAA/ARB0050</t>
  </si>
  <si>
    <t>DTAA/ARB0100</t>
  </si>
  <si>
    <t>DTAA/ARC0677</t>
  </si>
  <si>
    <t>DTAA/ARF0269</t>
  </si>
  <si>
    <t>DTAA/ARG0405</t>
  </si>
  <si>
    <t>DTAA/ARK0026</t>
  </si>
  <si>
    <t>DTAA/ARM0416</t>
  </si>
  <si>
    <t>DTAA/ARP0948</t>
  </si>
  <si>
    <t>DTAA/ARR0758</t>
  </si>
  <si>
    <t>DTAA/ARR0878</t>
  </si>
  <si>
    <t>DTAA/ARR0977</t>
  </si>
  <si>
    <t>DTAA/ARS0993</t>
  </si>
  <si>
    <t>DTAA/ARW0541</t>
  </si>
  <si>
    <t>DTAA/ASC0132</t>
  </si>
  <si>
    <t>DTAA/ASO0023</t>
  </si>
  <si>
    <t>DTAA/ASP0799</t>
  </si>
  <si>
    <t>DTAA/ASR0539</t>
  </si>
  <si>
    <t>DTAA/ASS0824</t>
  </si>
  <si>
    <t>DTAA/ASV0049</t>
  </si>
  <si>
    <t>DTAA/ATJ0284</t>
  </si>
  <si>
    <t>DTAA/AUM0365</t>
  </si>
  <si>
    <t>DTAA/AWB0828</t>
  </si>
  <si>
    <t>DTAA/AXB0007</t>
  </si>
  <si>
    <t>DTAA/AZC0030</t>
  </si>
  <si>
    <t>DTAA/AZS0738</t>
  </si>
  <si>
    <t>DTAA/BAB0505</t>
  </si>
  <si>
    <t>DTAA/BAE0444</t>
  </si>
  <si>
    <t>DTAA/BAF0379</t>
  </si>
  <si>
    <t>DTAA/BAH0774</t>
  </si>
  <si>
    <t>DTAA/BAK0787</t>
  </si>
  <si>
    <t>DTAA/BAM0466</t>
  </si>
  <si>
    <t>DTAA/BBH0313</t>
  </si>
  <si>
    <t>DTAA/BBM0499</t>
  </si>
  <si>
    <t>DTAA/BBP0623</t>
  </si>
  <si>
    <t>DTAA/BCB0013</t>
  </si>
  <si>
    <t>DTAA/BCG0303</t>
  </si>
  <si>
    <t>DTAA/BCG0692</t>
  </si>
  <si>
    <t>DTAA/BCH0912</t>
  </si>
  <si>
    <t>DTAA/BCJ0800</t>
  </si>
  <si>
    <t>DTAA/BCM0558</t>
  </si>
  <si>
    <t>DTAA/BCM0899</t>
  </si>
  <si>
    <t>DTAA/BCR0547</t>
  </si>
  <si>
    <t>DTAA/BCS0374</t>
  </si>
  <si>
    <t>DTAA/BCV0109</t>
  </si>
  <si>
    <t>DTAA/BCW0386</t>
  </si>
  <si>
    <t>DTAA/BDH0038</t>
  </si>
  <si>
    <t>DTAA/BDI0634</t>
  </si>
  <si>
    <t>DTAA/BFO0438</t>
  </si>
  <si>
    <t>DTAA/BFO0974</t>
  </si>
  <si>
    <t>DTAA/BFV0911</t>
  </si>
  <si>
    <t>DTAA/BGF0236</t>
  </si>
  <si>
    <t>DTAA/BGN0054</t>
  </si>
  <si>
    <t>DTAA/BGV0046</t>
  </si>
  <si>
    <t>DTAA/BGW0009</t>
  </si>
  <si>
    <t>DTAA/BHH0460</t>
  </si>
  <si>
    <t>DTAA/BIM0736</t>
  </si>
  <si>
    <t>DTAA/BIR0534</t>
  </si>
  <si>
    <t>DTAA/BJC0569</t>
  </si>
  <si>
    <t>DTAA/BJM0311</t>
  </si>
  <si>
    <t>DTAA/BJM0992</t>
  </si>
  <si>
    <t>DTAA/BKH0156</t>
  </si>
  <si>
    <t>DTAA/BKM0116</t>
  </si>
  <si>
    <t>DTAA/BLB0079</t>
  </si>
  <si>
    <t>DTAA/BLS0098</t>
  </si>
  <si>
    <t>DTAA/BMK0943</t>
  </si>
  <si>
    <t>DTAA/BML0618</t>
  </si>
  <si>
    <t>DTAA/BMM0247</t>
  </si>
  <si>
    <t>DTAA/BMR0412</t>
  </si>
  <si>
    <t>DTAA/BMR0596</t>
  </si>
  <si>
    <t>DTAA/BMS0001</t>
  </si>
  <si>
    <t>DTAA/BNG0510</t>
  </si>
  <si>
    <t>DTAA/BNL0480</t>
  </si>
  <si>
    <t>DTAA/BNM0353</t>
  </si>
  <si>
    <t>DTAA/BNN0072</t>
  </si>
  <si>
    <t>DTAA/BNW0850</t>
  </si>
  <si>
    <t>DTAA/BPB0808</t>
  </si>
  <si>
    <t>DTAA/BPC0533</t>
  </si>
  <si>
    <t>DTAA/BQW0149</t>
  </si>
  <si>
    <t>DTAA/BRB0908</t>
  </si>
  <si>
    <t>DTAA/BSG0869</t>
  </si>
  <si>
    <t>DTAA/BSM0334</t>
  </si>
  <si>
    <t>DTAA/BTH0004</t>
  </si>
  <si>
    <t>DTAA/BTH0358</t>
  </si>
  <si>
    <t>DTAA/BTW0973</t>
  </si>
  <si>
    <t>DTAA/BVM0716</t>
  </si>
  <si>
    <t>DTAA/BWS0872</t>
  </si>
  <si>
    <t>DTAA/BXY0648</t>
  </si>
  <si>
    <t>DTAA/BYB0347</t>
  </si>
  <si>
    <t>DTAA/BZH0120</t>
  </si>
  <si>
    <t>DTAA/BZM0434</t>
  </si>
  <si>
    <t>DTAA/CAC0854</t>
  </si>
  <si>
    <t>DTAA/CAH0610</t>
  </si>
  <si>
    <t>DTAA/CAH0921</t>
  </si>
  <si>
    <t>DTAA/CAM0975</t>
  </si>
  <si>
    <t>DTAA/CAO0951</t>
  </si>
  <si>
    <t>DTAA/CAR0015</t>
  </si>
  <si>
    <t>DTAA/CAV0757</t>
  </si>
  <si>
    <t>DTAA/CAW0976</t>
  </si>
  <si>
    <t>DTAA/CBB0075</t>
  </si>
  <si>
    <t>DTAA/CBC0653</t>
  </si>
  <si>
    <t>DTAA/CBH0762</t>
  </si>
  <si>
    <t>DTAA/CBP0628</t>
  </si>
  <si>
    <t>DTAA/CBR0104</t>
  </si>
  <si>
    <t>DTAA/CBR0208</t>
  </si>
  <si>
    <t>DTAA/CBR0439</t>
  </si>
  <si>
    <t>DTAA/CCA0349</t>
  </si>
  <si>
    <t>DTAA/CCB0366</t>
  </si>
  <si>
    <t>DTAA/CCB0496</t>
  </si>
  <si>
    <t>DTAA/CCG0876</t>
  </si>
  <si>
    <t>DTAA/CCH0497</t>
  </si>
  <si>
    <t>DTAA/CCM0827</t>
  </si>
  <si>
    <t>DTAA/CDE0193</t>
  </si>
  <si>
    <t>DTAA/CDE0810</t>
  </si>
  <si>
    <t>DTAA/CDF0585</t>
  </si>
  <si>
    <t>DTAA/CDK0329</t>
  </si>
  <si>
    <t>DTAA/CDR0453</t>
  </si>
  <si>
    <t>DTAA/CDS0110</t>
  </si>
  <si>
    <t>DTAA/CDS0300</t>
  </si>
  <si>
    <t>DTAA/CDZ0056</t>
  </si>
  <si>
    <t>DTAA/CEB0718</t>
  </si>
  <si>
    <t>DTAA/CGC0877</t>
  </si>
  <si>
    <t>DTAA/CGH0125</t>
  </si>
  <si>
    <t>DTAA/CGM0319</t>
  </si>
  <si>
    <t>DTAA/CGM0343</t>
  </si>
  <si>
    <t>DTAA/CGM0994</t>
  </si>
  <si>
    <t>DTAA/CGR0202</t>
  </si>
  <si>
    <t>DTAA/CGT0183</t>
  </si>
  <si>
    <t>DTAA/CHA0174</t>
  </si>
  <si>
    <t>DTAA/CHM0645</t>
  </si>
  <si>
    <t>DTAA/CHS0324</t>
  </si>
  <si>
    <t>DTAA/CIB0489</t>
  </si>
  <si>
    <t>DTAA/CJG0638</t>
  </si>
  <si>
    <t>DTAA/CJW0317</t>
  </si>
  <si>
    <t>DTAA/CKB0536</t>
  </si>
  <si>
    <t>DTAA/CKR0296</t>
  </si>
  <si>
    <t>DTAA/CKW0622</t>
  </si>
  <si>
    <t>DTAA/CLB0995</t>
  </si>
  <si>
    <t>DTAA/CLK0383</t>
  </si>
  <si>
    <t>DTAA/CLN0999</t>
  </si>
  <si>
    <t>DTAA/CLP0332</t>
  </si>
  <si>
    <t>DTAA/CLS0819</t>
  </si>
  <si>
    <t>DTAA/CMC0814</t>
  </si>
  <si>
    <t>DTAA/CMF0339</t>
  </si>
  <si>
    <t>DTAA/CMM0900</t>
  </si>
  <si>
    <t>DTAA/CMU0028</t>
  </si>
  <si>
    <t>DTAA/CNB0615</t>
  </si>
  <si>
    <t>DTAA/CNS0950</t>
  </si>
  <si>
    <t>DTAA/CNT0514</t>
  </si>
  <si>
    <t>DTAA/COS0121</t>
  </si>
  <si>
    <t>DTAA/CPM0959</t>
  </si>
  <si>
    <t>DTAA/CPP0761</t>
  </si>
  <si>
    <t>DTAA/CPS0559</t>
  </si>
  <si>
    <t>DTAA/CRC0996</t>
  </si>
  <si>
    <t>DTAA/CRF0074</t>
  </si>
  <si>
    <t>DTAA/CRJ0934</t>
  </si>
  <si>
    <t>DTAA/CRM0058</t>
  </si>
  <si>
    <t>DTAA/CSA0071</t>
  </si>
  <si>
    <t>DTAA/CSB0363</t>
  </si>
  <si>
    <t>DTAA/CSC0297</t>
  </si>
  <si>
    <t>DTAA/CSD0739</t>
  </si>
  <si>
    <t>DTAA/CSR0189</t>
  </si>
  <si>
    <t>DTAA/CTF0687</t>
  </si>
  <si>
    <t>DTAA/CTH0082</t>
  </si>
  <si>
    <t>DTAA/CTH0856</t>
  </si>
  <si>
    <t>DTAA/CTR0537</t>
  </si>
  <si>
    <t>DTAA/CVW0133</t>
  </si>
  <si>
    <t>DTAA/CWG0305</t>
  </si>
  <si>
    <t>DTAA/CYK0330</t>
  </si>
  <si>
    <t>DTAA/CZB0163</t>
  </si>
  <si>
    <t>DTAA/DAG0754</t>
  </si>
  <si>
    <t>DTAA/DAO0613</t>
  </si>
  <si>
    <t>DTAA/DAR0341</t>
  </si>
  <si>
    <t>DTAA/DAV0579</t>
  </si>
  <si>
    <t>DTAA/DAW0123</t>
  </si>
  <si>
    <t>DTAA/DAW0199</t>
  </si>
  <si>
    <t>DTAA/DAW0221</t>
  </si>
  <si>
    <t>DTAA/DBA0367</t>
  </si>
  <si>
    <t>DTAA/DBB0235</t>
  </si>
  <si>
    <t>DTAA/DBF0903</t>
  </si>
  <si>
    <t>DTAA/DBG0686</t>
  </si>
  <si>
    <t>DTAA/DBM0698</t>
  </si>
  <si>
    <t>DTAA/DCB0462</t>
  </si>
  <si>
    <t>DTAA/DCC0600</t>
  </si>
  <si>
    <t>DTAA/DCF0307</t>
  </si>
  <si>
    <t>DTAA/DCM0725</t>
  </si>
  <si>
    <t>DTAA/DDD0915</t>
  </si>
  <si>
    <t>DTAA/DDJ0535</t>
  </si>
  <si>
    <t>DTAA/DDK0417</t>
  </si>
  <si>
    <t>DTAA/DDW0643</t>
  </si>
  <si>
    <t>DTAA/DEP0563</t>
  </si>
  <si>
    <t>DTAA/DFW0798</t>
  </si>
  <si>
    <t>DTAA/DFZ0063</t>
  </si>
  <si>
    <t>DTAA/DGM0240</t>
  </si>
  <si>
    <t>DTAA/DIS0382</t>
  </si>
  <si>
    <t>DTAA/DJC0162</t>
  </si>
  <si>
    <t>DTAA/DJW0368</t>
  </si>
  <si>
    <t>DTAA/DKB0409</t>
  </si>
  <si>
    <t>DTAA/DKR0696</t>
  </si>
  <si>
    <t>DTAA/DLM0723</t>
  </si>
  <si>
    <t>DTAA/DME0620</t>
  </si>
  <si>
    <t>DTAA/DMR0377</t>
  </si>
  <si>
    <t>DTAA/DNH0619</t>
  </si>
  <si>
    <t>DTAA/DNM0143</t>
  </si>
  <si>
    <t>DTAA/DNS0937</t>
  </si>
  <si>
    <t>DTAA/DOC0003</t>
  </si>
  <si>
    <t>DTAA/DOO0986</t>
  </si>
  <si>
    <t>DTAA/DRD0916</t>
  </si>
  <si>
    <t>DTAA/DRH0790</t>
  </si>
  <si>
    <t>DTAA/DRM0312</t>
  </si>
  <si>
    <t>DTAA/DRN0845</t>
  </si>
  <si>
    <t>DTAA/DRO0126</t>
  </si>
  <si>
    <t>DTAA/DRO0516</t>
  </si>
  <si>
    <t>DTAA/DRP0428</t>
  </si>
  <si>
    <t>DTAA/DSB0887</t>
  </si>
  <si>
    <t>DTAA/DSH0627</t>
  </si>
  <si>
    <t>DTAA/DSM0990</t>
  </si>
  <si>
    <t>DTAA/DSS0112</t>
  </si>
  <si>
    <t>DTAA/DST0527</t>
  </si>
  <si>
    <t>DTAA/DST0857</t>
  </si>
  <si>
    <t>DTAA/DTD0380</t>
  </si>
  <si>
    <t>DTAA/DWB0426</t>
  </si>
  <si>
    <t>DTAA/DWF0128</t>
  </si>
  <si>
    <t>DTAA/DXM0213</t>
  </si>
  <si>
    <t>DTAA/EAM0745</t>
  </si>
  <si>
    <t>DTAA/EAR0695</t>
  </si>
  <si>
    <t>DTAA/EBP0037</t>
  </si>
  <si>
    <t>DTAA/EBS0287</t>
  </si>
  <si>
    <t>DTAA/ECB0185</t>
  </si>
  <si>
    <t>DTAA/ECB0494</t>
  </si>
  <si>
    <t>DTAA/ECD0029</t>
  </si>
  <si>
    <t>DTAA/ECG0753</t>
  </si>
  <si>
    <t>DTAA/ECM0214</t>
  </si>
  <si>
    <t>DTAA/ECT0491</t>
  </si>
  <si>
    <t>DTAA/EDC0357</t>
  </si>
  <si>
    <t>DTAA/EDG0766</t>
  </si>
  <si>
    <t>DTAA/EDH0146</t>
  </si>
  <si>
    <t>DTAA/EDR0642</t>
  </si>
  <si>
    <t>DTAA/EDW0137</t>
  </si>
  <si>
    <t>DTAA/EEB0134</t>
  </si>
  <si>
    <t>DTAA/EEK0031</t>
  </si>
  <si>
    <t>DTAA/EFS0114</t>
  </si>
  <si>
    <t>DTAA/EGG0294</t>
  </si>
  <si>
    <t>DTAA/EGM0401</t>
  </si>
  <si>
    <t>DTAA/EJB0888</t>
  </si>
  <si>
    <t>DTAA/EJS0513</t>
  </si>
  <si>
    <t>DTAA/EKB0587</t>
  </si>
  <si>
    <t>DTAA/ELA0741</t>
  </si>
  <si>
    <t>DTAA/ELD1000</t>
  </si>
  <si>
    <t>DTAA/EML0060</t>
  </si>
  <si>
    <t>DTAA/EMM0782</t>
  </si>
  <si>
    <t>DTAA/EMR0242</t>
  </si>
  <si>
    <t>DTAA/EMZ0196</t>
  </si>
  <si>
    <t>DTAA/ENB0293</t>
  </si>
  <si>
    <t>DTAA/END0616</t>
  </si>
  <si>
    <t>DTAA/ENP0794</t>
  </si>
  <si>
    <t>DTAA/EOS0972</t>
  </si>
  <si>
    <t>DTAA/ERP0254</t>
  </si>
  <si>
    <t>DTAA/ESB0080</t>
  </si>
  <si>
    <t>DTAA/EWR0504</t>
  </si>
  <si>
    <t>DTAA/FAF0578</t>
  </si>
  <si>
    <t>DTAA/FCG0115</t>
  </si>
  <si>
    <t>DTAA/FCT0552</t>
  </si>
  <si>
    <t>DTAA/FDP0500</t>
  </si>
  <si>
    <t>DTAA/FES0933</t>
  </si>
  <si>
    <t>DTAA/FFP0721</t>
  </si>
  <si>
    <t>DTAA/FGM0119</t>
  </si>
  <si>
    <t>DTAA/FHM0931</t>
  </si>
  <si>
    <t>DTAA/FIM0668</t>
  </si>
  <si>
    <t>DTAA/FJC0138</t>
  </si>
  <si>
    <t>DTAA/FKR0550</t>
  </si>
  <si>
    <t>DTAA/FLC0811</t>
  </si>
  <si>
    <t>DTAA/FMF0197</t>
  </si>
  <si>
    <t>DTAA/FNO0471</t>
  </si>
  <si>
    <t>DTAA/FTB0295</t>
  </si>
  <si>
    <t>DTAA/FUA0154</t>
  </si>
  <si>
    <t>DTAA/GBR0420</t>
  </si>
  <si>
    <t>DTAA/GCH0545</t>
  </si>
  <si>
    <t>DTAA/GDG0184</t>
  </si>
  <si>
    <t>DTAA/GDJ0631</t>
  </si>
  <si>
    <t>DTAA/GEC0077</t>
  </si>
  <si>
    <t>DTAA/GHB0863</t>
  </si>
  <si>
    <t>DTAA/GHC0041</t>
  </si>
  <si>
    <t>DTAA/GHS0664</t>
  </si>
  <si>
    <t>DTAA/GJG0820</t>
  </si>
  <si>
    <t>DTAA/GJH0384</t>
  </si>
  <si>
    <t>DTAA/GKC0919</t>
  </si>
  <si>
    <t>DTAA/GKJ0573</t>
  </si>
  <si>
    <t>DTAA/GLB0715</t>
  </si>
  <si>
    <t>DTAA/GMF0571</t>
  </si>
  <si>
    <t>DTAA/GML0105</t>
  </si>
  <si>
    <t>DTAA/GMS0949</t>
  </si>
  <si>
    <t>DTAA/GNB0481</t>
  </si>
  <si>
    <t>DTAA/GNH0394</t>
  </si>
  <si>
    <t>DTAA/GRC0474</t>
  </si>
  <si>
    <t>DTAA/GRG0693</t>
  </si>
  <si>
    <t>DTAA/GRS0372</t>
  </si>
  <si>
    <t>DTAA/GSL0697</t>
  </si>
  <si>
    <t>DTAA/GTJ0243</t>
  </si>
  <si>
    <t>DTAA/GTR0327</t>
  </si>
  <si>
    <t>DTAA/GVH0277</t>
  </si>
  <si>
    <t>DTAA/GWS0381</t>
  </si>
  <si>
    <t>DTAA/GYB0248</t>
  </si>
  <si>
    <t>DTAA/GYT0279</t>
  </si>
  <si>
    <t>DTAA/HAG0649</t>
  </si>
  <si>
    <t>DTAA/HAS0430</t>
  </si>
  <si>
    <t>DTAA/HBB0402</t>
  </si>
  <si>
    <t>DTAA/HBF0035</t>
  </si>
  <si>
    <t>DTAA/HBL0517</t>
  </si>
  <si>
    <t>DTAA/HCC0258</t>
  </si>
  <si>
    <t>DTAA/HCG0731</t>
  </si>
  <si>
    <t>DTAA/HCJ0171</t>
  </si>
  <si>
    <t>DTAA/HCM0681</t>
  </si>
  <si>
    <t>DTAA/HCP0315</t>
  </si>
  <si>
    <t>DTAA/HCR0525</t>
  </si>
  <si>
    <t>DTAA/HCR0795</t>
  </si>
  <si>
    <t>DTAA/HDB0655</t>
  </si>
  <si>
    <t>DTAA/HDR0261</t>
  </si>
  <si>
    <t>DTAA/HDR0823</t>
  </si>
  <si>
    <t>DTAA/HED0802</t>
  </si>
  <si>
    <t>DTAA/HEG0785</t>
  </si>
  <si>
    <t>DTAA/HER0860</t>
  </si>
  <si>
    <t>DTAA/HFC0680</t>
  </si>
  <si>
    <t>DTAA/HIB0604</t>
  </si>
  <si>
    <t>DTAA/HIP0929</t>
  </si>
  <si>
    <t>DTAA/HJK0057</t>
  </si>
  <si>
    <t>DTAA/HJP0784</t>
  </si>
  <si>
    <t>DTAA/HKG0503</t>
  </si>
  <si>
    <t>DTAA/HKM0260</t>
  </si>
  <si>
    <t>DTAA/HKO0796</t>
  </si>
  <si>
    <t>DTAA/HLA0457</t>
  </si>
  <si>
    <t>DTAA/HNF0812</t>
  </si>
  <si>
    <t>DTAA/HNK0421</t>
  </si>
  <si>
    <t>DTAA/HNR0891</t>
  </si>
  <si>
    <t>DTAA/HNS0858</t>
  </si>
  <si>
    <t>DTAA/HOO0224</t>
  </si>
  <si>
    <t>DTAA/HPF0958</t>
  </si>
  <si>
    <t>DTAA/HPN0821</t>
  </si>
  <si>
    <t>DTAA/HRK0729</t>
  </si>
  <si>
    <t>DTAA/HRT0737</t>
  </si>
  <si>
    <t>DTAA/HSD0519</t>
  </si>
  <si>
    <t>DTAA/HSH0981</t>
  </si>
  <si>
    <t>DTAA/HSM0389</t>
  </si>
  <si>
    <t>DTAA/HSR0472</t>
  </si>
  <si>
    <t>DTAA/HTC0607</t>
  </si>
  <si>
    <t>DTAA/HTG0554</t>
  </si>
  <si>
    <t>DTAA/HTS0265</t>
  </si>
  <si>
    <t>DTAA/HWG0148</t>
  </si>
  <si>
    <t>DTAA/IAC0264</t>
  </si>
  <si>
    <t>DTAA/IAG0152</t>
  </si>
  <si>
    <t>DTAA/IAH0822</t>
  </si>
  <si>
    <t>DTAA/ICB0779</t>
  </si>
  <si>
    <t>DTAA/ICF0629</t>
  </si>
  <si>
    <t>DTAA/IGB0310</t>
  </si>
  <si>
    <t>DTAA/IGC0415</t>
  </si>
  <si>
    <t>DTAA/IHD0259</t>
  </si>
  <si>
    <t>DTAA/IHF0040</t>
  </si>
  <si>
    <t>DTAA/IIR0475</t>
  </si>
  <si>
    <t>DTAA/IJG0454</t>
  </si>
  <si>
    <t>DTAA/IJJ0342</t>
  </si>
  <si>
    <t>DTAA/IKH0904</t>
  </si>
  <si>
    <t>DTAA/IMB0473</t>
  </si>
  <si>
    <t>DTAA/IMD0280</t>
  </si>
  <si>
    <t>DTAA/IMD0776</t>
  </si>
  <si>
    <t>DTAA/IMF0700</t>
  </si>
  <si>
    <t>DTAA/IMW0965</t>
  </si>
  <si>
    <t>DTAA/IRC0991</t>
  </si>
  <si>
    <t>DTAA/IRH0176</t>
  </si>
  <si>
    <t>DTAA/ITC0131</t>
  </si>
  <si>
    <t>DTAA/IVF0777</t>
  </si>
  <si>
    <t>DTAA/IVS0463</t>
  </si>
  <si>
    <t>DTAA/IWM0482</t>
  </si>
  <si>
    <t>DTAA/JAC0390</t>
  </si>
  <si>
    <t>DTAA/JAD0531</t>
  </si>
  <si>
    <t>DTAA/JAH0544</t>
  </si>
  <si>
    <t>DTAA/JAM0392</t>
  </si>
  <si>
    <t>DTAA/JBA0373</t>
  </si>
  <si>
    <t>DTAA/JBL0450</t>
  </si>
  <si>
    <t>DTAA/JBS0483</t>
  </si>
  <si>
    <t>DTAA/JBS0654</t>
  </si>
  <si>
    <t>DTAA/JCC0140</t>
  </si>
  <si>
    <t>DTAA/JCC0998</t>
  </si>
  <si>
    <t>DTAA/JCG0817</t>
  </si>
  <si>
    <t>DTAA/JCL0752</t>
  </si>
  <si>
    <t>DTAA/JCS0873</t>
  </si>
  <si>
    <t>DTAA/JCT0410</t>
  </si>
  <si>
    <t>DTAA/JDM0083</t>
  </si>
  <si>
    <t>DTAA/JDM0940</t>
  </si>
  <si>
    <t>DTAA/JDR0685</t>
  </si>
  <si>
    <t>DTAA/JFA0081</t>
  </si>
  <si>
    <t>DTAA/JGB0062</t>
  </si>
  <si>
    <t>DTAA/JGC0775</t>
  </si>
  <si>
    <t>DTAA/JGS0274</t>
  </si>
  <si>
    <t>DTAA/JHA0404</t>
  </si>
  <si>
    <t>DTAA/JHC0703</t>
  </si>
  <si>
    <t>DTAA/JHD0512</t>
  </si>
  <si>
    <t>DTAA/JHM0408</t>
  </si>
  <si>
    <t>DTAA/JHN0241</t>
  </si>
  <si>
    <t>DTAA/JIH0640</t>
  </si>
  <si>
    <t>DTAA/JIP0187</t>
  </si>
  <si>
    <t>DTAA/JJB0720</t>
  </si>
  <si>
    <t>DTAA/JJR0278</t>
  </si>
  <si>
    <t>DTAA/JKW0464</t>
  </si>
  <si>
    <t>DTAA/JLC0711</t>
  </si>
  <si>
    <t>DTAA/JLC0744</t>
  </si>
  <si>
    <t>DTAA/JLL0301</t>
  </si>
  <si>
    <t>DTAA/JLL0930</t>
  </si>
  <si>
    <t>DTAA/JLM0053</t>
  </si>
  <si>
    <t>DTAA/JLV0465</t>
  </si>
  <si>
    <t>DTAA/JMA0875</t>
  </si>
  <si>
    <t>DTAA/JMC0233</t>
  </si>
  <si>
    <t>DTAA/JMM0759</t>
  </si>
  <si>
    <t>DTAA/JMP0200</t>
  </si>
  <si>
    <t>DTAA/JMR0906</t>
  </si>
  <si>
    <t>DTAA/JMR0955</t>
  </si>
  <si>
    <t>DTAA/JMS0793</t>
  </si>
  <si>
    <t>DTAA/JNF0543</t>
  </si>
  <si>
    <t>DTAA/JPP0841</t>
  </si>
  <si>
    <t>DTAA/JQH0724</t>
  </si>
  <si>
    <t>DTAA/JRM0902</t>
  </si>
  <si>
    <t>DTAA/JRP0458</t>
  </si>
  <si>
    <t>DTAA/JSB0493</t>
  </si>
  <si>
    <t>DTAA/JSE0020</t>
  </si>
  <si>
    <t>DTAA/JSH0326</t>
  </si>
  <si>
    <t>DTAA/JSH0598</t>
  </si>
  <si>
    <t>DTAA/JSW0180</t>
  </si>
  <si>
    <t>DTAA/JTT0989</t>
  </si>
  <si>
    <t>DTAA/JWW0076</t>
  </si>
  <si>
    <t>DTAA/JXC0393</t>
  </si>
  <si>
    <t>DTAA/JXG0567</t>
  </si>
  <si>
    <t>DTAA/JZO0727</t>
  </si>
  <si>
    <t>DTAA/JZV0159</t>
  </si>
  <si>
    <t>DTAA/KAD0059</t>
  </si>
  <si>
    <t>DTAA/KAG0880</t>
  </si>
  <si>
    <t>DTAA/KBB0983</t>
  </si>
  <si>
    <t>DTAA/KBC0337</t>
  </si>
  <si>
    <t>DTAA/KBC0788</t>
  </si>
  <si>
    <t>DTAA/KBP0188</t>
  </si>
  <si>
    <t>DTAA/KCH0987</t>
  </si>
  <si>
    <t>DTAA/KCN0107</t>
  </si>
  <si>
    <t>DTAA/KDC0928</t>
  </si>
  <si>
    <t>DTAA/KDL0806</t>
  </si>
  <si>
    <t>DTAA/KEE0997</t>
  </si>
  <si>
    <t>DTAA/KEH0055</t>
  </si>
  <si>
    <t>DTAA/KES0043</t>
  </si>
  <si>
    <t>DTAA/KFF0225</t>
  </si>
  <si>
    <t>DTAA/KGC0456</t>
  </si>
  <si>
    <t>DTAA/KGS0398</t>
  </si>
  <si>
    <t>DTAA/KIM0617</t>
  </si>
  <si>
    <t>DTAA/KIN0073</t>
  </si>
  <si>
    <t>DTAA/KJG0378</t>
  </si>
  <si>
    <t>DTAA/KJM0614</t>
  </si>
  <si>
    <t>DTAA/KKC0575</t>
  </si>
  <si>
    <t>DTAA/KKT0039</t>
  </si>
  <si>
    <t>DTAA/KKW0676</t>
  </si>
  <si>
    <t>DTAA/KKW0945</t>
  </si>
  <si>
    <t>DTAA/KLS0717</t>
  </si>
  <si>
    <t>DTAA/KMC0840</t>
  </si>
  <si>
    <t>DTAA/KMG0002</t>
  </si>
  <si>
    <t>DTAA/KMW0755</t>
  </si>
  <si>
    <t>DTAA/KNC0403</t>
  </si>
  <si>
    <t>DTAA/KNH0719</t>
  </si>
  <si>
    <t>DTAA/KNJ0633</t>
  </si>
  <si>
    <t>DTAA/KPB0665</t>
  </si>
  <si>
    <t>DTAA/KPC0158</t>
  </si>
  <si>
    <t>DTAA/KPS0299</t>
  </si>
  <si>
    <t>DTAA/KRC0021</t>
  </si>
  <si>
    <t>DTAA/KRC0455</t>
  </si>
  <si>
    <t>DTAA/KRD0507</t>
  </si>
  <si>
    <t>DTAA/KSB0673</t>
  </si>
  <si>
    <t>DTAA/KSO0749</t>
  </si>
  <si>
    <t>DTAA/KSP0927</t>
  </si>
  <si>
    <t>DTAA/KSW0597</t>
  </si>
  <si>
    <t>DTAA/KTC0285</t>
  </si>
  <si>
    <t>DTAA/KTM0960</t>
  </si>
  <si>
    <t>DTAA/KUC0848</t>
  </si>
  <si>
    <t>DTAA/KVH0355</t>
  </si>
  <si>
    <t>DTAA/KYH0920</t>
  </si>
  <si>
    <t>DTAA/LAH0397</t>
  </si>
  <si>
    <t>DTAA/LAH0710</t>
  </si>
  <si>
    <t>DTAA/LAL0170</t>
  </si>
  <si>
    <t>DTAA/LAM0952</t>
  </si>
  <si>
    <t>DTAA/LAT0452</t>
  </si>
  <si>
    <t>DTAA/LAW0437</t>
  </si>
  <si>
    <t>DTAA/LBB0095</t>
  </si>
  <si>
    <t>DTAA/LBC0422</t>
  </si>
  <si>
    <t>DTAA/LBD0946</t>
  </si>
  <si>
    <t>DTAA/LCC0556</t>
  </si>
  <si>
    <t>DTAA/LCG0011</t>
  </si>
  <si>
    <t>DTAA/LCG0546</t>
  </si>
  <si>
    <t>DTAA/LCK0551</t>
  </si>
  <si>
    <t>DTAA/LCK0666</t>
  </si>
  <si>
    <t>DTAA/LCL0792</t>
  </si>
  <si>
    <t>DTAA/LCP0359</t>
  </si>
  <si>
    <t>DTAA/LDB0961</t>
  </si>
  <si>
    <t>DTAA/LDG0406</t>
  </si>
  <si>
    <t>DTAA/LDM0318</t>
  </si>
  <si>
    <t>DTAA/LEH0561</t>
  </si>
  <si>
    <t>DTAA/LGA0042</t>
  </si>
  <si>
    <t>DTAA/LGV0288</t>
  </si>
  <si>
    <t>DTAA/LIB0089</t>
  </si>
  <si>
    <t>DTAA/LID0942</t>
  </si>
  <si>
    <t>DTAA/LJB0492</t>
  </si>
  <si>
    <t>DTAA/LJR0772</t>
  </si>
  <si>
    <t>DTAA/LJU0036</t>
  </si>
  <si>
    <t>DTAA/LKY0181</t>
  </si>
  <si>
    <t>DTAA/LLB0843</t>
  </si>
  <si>
    <t>DTAA/LLK0316</t>
  </si>
  <si>
    <t>DTAA/LMH0690</t>
  </si>
  <si>
    <t>DTAA/LMJ0323</t>
  </si>
  <si>
    <t>DTAA/LND0767</t>
  </si>
  <si>
    <t>DTAA/LNM0509</t>
  </si>
  <si>
    <t>DTAA/LPB0141</t>
  </si>
  <si>
    <t>DTAA/LPG0099</t>
  </si>
  <si>
    <t>DTAA/LQA0232</t>
  </si>
  <si>
    <t>DTAA/LRH0747</t>
  </si>
  <si>
    <t>DTAA/LRS0325</t>
  </si>
  <si>
    <t>DTAA/LSV0944</t>
  </si>
  <si>
    <t>DTAA/LTB0150</t>
  </si>
  <si>
    <t>DTAA/LTM0418</t>
  </si>
  <si>
    <t>DTAA/LVC0027</t>
  </si>
  <si>
    <t>DTAA/LYC0672</t>
  </si>
  <si>
    <t>DTAA/MAB0532</t>
  </si>
  <si>
    <t>DTAA/MAG0290</t>
  </si>
  <si>
    <t>DTAA/MAH0712</t>
  </si>
  <si>
    <t>DTAA/MAM0947</t>
  </si>
  <si>
    <t>DTAA/MBD0602</t>
  </si>
  <si>
    <t>DTAA/MBR0166</t>
  </si>
  <si>
    <t>DTAA/MBZ0932</t>
  </si>
  <si>
    <t>DTAA/MCC0851</t>
  </si>
  <si>
    <t>DTAA/MCF0427</t>
  </si>
  <si>
    <t>DTAA/MCF0985</t>
  </si>
  <si>
    <t>DTAA/MCH0530</t>
  </si>
  <si>
    <t>DTAA/MCM0090</t>
  </si>
  <si>
    <t>DTAA/MCM0346</t>
  </si>
  <si>
    <t>DTAA/MCR0314</t>
  </si>
  <si>
    <t>DTAA/MCR0375</t>
  </si>
  <si>
    <t>DTAA/MDC0595</t>
  </si>
  <si>
    <t>DTAA/MDS0742</t>
  </si>
  <si>
    <t>DTAA/MDT0356</t>
  </si>
  <si>
    <t>DTAA/MED0748</t>
  </si>
  <si>
    <t>DTAA/MEV0886</t>
  </si>
  <si>
    <t>DTAA/MFN0656</t>
  </si>
  <si>
    <t>DTAA/MGB0728</t>
  </si>
  <si>
    <t>DTAA/MGF0743</t>
  </si>
  <si>
    <t>DTAA/MGY0732</t>
  </si>
  <si>
    <t>DTAA/MHM0988</t>
  </si>
  <si>
    <t>DTAA/MIC0914</t>
  </si>
  <si>
    <t>DTAA/MIH0429</t>
  </si>
  <si>
    <t>DTAA/MIK0034</t>
  </si>
  <si>
    <t>DTAA/MJF0892</t>
  </si>
  <si>
    <t>DTAA/MJK0212</t>
  </si>
  <si>
    <t>DTAA/MJM0228</t>
  </si>
  <si>
    <t>DTAA/MJM0469</t>
  </si>
  <si>
    <t>DTAA/MJP0603</t>
  </si>
  <si>
    <t>DTAA/MKG0273</t>
  </si>
  <si>
    <t>DTAA/MKN0234</t>
  </si>
  <si>
    <t>DTAA/MLC0238</t>
  </si>
  <si>
    <t>DTAA/MMF0289</t>
  </si>
  <si>
    <t>DTAA/MMH0581</t>
  </si>
  <si>
    <t>DTAA/MMH0612</t>
  </si>
  <si>
    <t>DTAA/MNB0956</t>
  </si>
  <si>
    <t>DTAA/MND0048</t>
  </si>
  <si>
    <t>DTAA/MND0675</t>
  </si>
  <si>
    <t>DTAA/MOA0526</t>
  </si>
  <si>
    <t>DTAA/MPA0136</t>
  </si>
  <si>
    <t>DTAA/MQL0135</t>
  </si>
  <si>
    <t>DTAA/MRL0518</t>
  </si>
  <si>
    <t>DTAA/MRM0205</t>
  </si>
  <si>
    <t>DTAA/MRS0395</t>
  </si>
  <si>
    <t>DTAA/MSH0322</t>
  </si>
  <si>
    <t>DTAA/MSK0862</t>
  </si>
  <si>
    <t>DTAA/MSM0226</t>
  </si>
  <si>
    <t>DTAA/MSP0078</t>
  </si>
  <si>
    <t>DTAA/MST0883</t>
  </si>
  <si>
    <t>DTAA/MSV0506</t>
  </si>
  <si>
    <t>DTAA/MTC0538</t>
  </si>
  <si>
    <t>DTAA/MTM0239</t>
  </si>
  <si>
    <t>DTAA/MTS0084</t>
  </si>
  <si>
    <t>DTAA/MVL0885</t>
  </si>
  <si>
    <t>DTAA/MVP0572</t>
  </si>
  <si>
    <t>DTAA/MVW0630</t>
  </si>
  <si>
    <t>DTAA/MWH0853</t>
  </si>
  <si>
    <t>DTAA/MWJ0837</t>
  </si>
  <si>
    <t>DTAA/MXM0271</t>
  </si>
  <si>
    <t>DTAA/MXM0838</t>
  </si>
  <si>
    <t>DTAA/MZB0206</t>
  </si>
  <si>
    <t>DTAA/MZW0111</t>
  </si>
  <si>
    <t>DTAA/NAC0161</t>
  </si>
  <si>
    <t>DTAA/NAT0252</t>
  </si>
  <si>
    <t>DTAA/NAW0939</t>
  </si>
  <si>
    <t>DTAA/NBB0501</t>
  </si>
  <si>
    <t>DTAA/NBT0479</t>
  </si>
  <si>
    <t>DTAA/NCW0246</t>
  </si>
  <si>
    <t>DTAA/NDH0524</t>
  </si>
  <si>
    <t>DTAA/NDH0807</t>
  </si>
  <si>
    <t>DTAA/NDM0893</t>
  </si>
  <si>
    <t>DTAA/NDS0490</t>
  </si>
  <si>
    <t>DTAA/NEP0644</t>
  </si>
  <si>
    <t>DTAA/NET0306</t>
  </si>
  <si>
    <t>DTAA/NFD0706</t>
  </si>
  <si>
    <t>DTAA/NGC0624</t>
  </si>
  <si>
    <t>DTAA/NHH0566</t>
  </si>
  <si>
    <t>DTAA/NHL0253</t>
  </si>
  <si>
    <t>DTAA/NHL0521</t>
  </si>
  <si>
    <t>DTAA/NIC0901</t>
  </si>
  <si>
    <t>DTAA/NJC0459</t>
  </si>
  <si>
    <t>DTAA/NJD0267</t>
  </si>
  <si>
    <t>DTAA/NJH0593</t>
  </si>
  <si>
    <t>DTAA/NJM0476</t>
  </si>
  <si>
    <t>DTAA/NJS0448</t>
  </si>
  <si>
    <t>DTAA/NJW0094</t>
  </si>
  <si>
    <t>DTAA/NKM0018</t>
  </si>
  <si>
    <t>DTAA/NLD0701</t>
  </si>
  <si>
    <t>DTAA/NMC0251</t>
  </si>
  <si>
    <t>DTAA/NMR0621</t>
  </si>
  <si>
    <t>DTAA/NNB0443</t>
  </si>
  <si>
    <t>DTAA/NNS0898</t>
  </si>
  <si>
    <t>DTAA/NQC0925</t>
  </si>
  <si>
    <t>DTAA/NRH0276</t>
  </si>
  <si>
    <t>DTAA/NRM0093</t>
  </si>
  <si>
    <t>DTAA/NRS0477</t>
  </si>
  <si>
    <t>DTAA/NSC0842</t>
  </si>
  <si>
    <t>DTAA/NSD0763</t>
  </si>
  <si>
    <t>DTAA/NSP0910</t>
  </si>
  <si>
    <t>DTAA/NTO0396</t>
  </si>
  <si>
    <t>DTAA/NWC0765</t>
  </si>
  <si>
    <t>DTAA/NWG0682</t>
  </si>
  <si>
    <t>DTAA/NWT0708</t>
  </si>
  <si>
    <t>DTAA/NZD0771</t>
  </si>
  <si>
    <t>DTAA/OAR0291</t>
  </si>
  <si>
    <t>DTAA/OBD0786</t>
  </si>
  <si>
    <t>DTAA/OBF0564</t>
  </si>
  <si>
    <t>DTAA/ODW0839</t>
  </si>
  <si>
    <t>DTAA/OES0636</t>
  </si>
  <si>
    <t>DTAA/OHA0451</t>
  </si>
  <si>
    <t>DTAA/OHW0215</t>
  </si>
  <si>
    <t>DTAA/OIR0424</t>
  </si>
  <si>
    <t>DTAA/OJG0866</t>
  </si>
  <si>
    <t>DTAA/OJH0425</t>
  </si>
  <si>
    <t>DTAA/OKG0160</t>
  </si>
  <si>
    <t>DTAA/OLR0984</t>
  </si>
  <si>
    <t>DTAA/ONB0177</t>
  </si>
  <si>
    <t>DTAA/ONQ0625</t>
  </si>
  <si>
    <t>DTAA/ORW0580</t>
  </si>
  <si>
    <t>DTAA/OSH0281</t>
  </si>
  <si>
    <t>DTAA/OSS0859</t>
  </si>
  <si>
    <t>DTAA/OTS0256</t>
  </si>
  <si>
    <t>DTAA/OUS0565</t>
  </si>
  <si>
    <t>DTAA/OXC0609</t>
  </si>
  <si>
    <t>DTAA/OYR0801</t>
  </si>
  <si>
    <t>DTAA/OZD0789</t>
  </si>
  <si>
    <t>DTAA/OZM0468</t>
  </si>
  <si>
    <t>DTAA/PAC0722</t>
  </si>
  <si>
    <t>DTAA/PAG0557</t>
  </si>
  <si>
    <t>DTAA/PBH0441</t>
  </si>
  <si>
    <t>DTAA/PCM0846</t>
  </si>
  <si>
    <t>DTAA/PCO0684</t>
  </si>
  <si>
    <t>DTAA/PCS0097</t>
  </si>
  <si>
    <t>DTAA/PDB0413</t>
  </si>
  <si>
    <t>DTAA/PDS0896</t>
  </si>
  <si>
    <t>DTAA/PFF0657</t>
  </si>
  <si>
    <t>DTAA/PID0096</t>
  </si>
  <si>
    <t>DTAA/PIG0194</t>
  </si>
  <si>
    <t>DTAA/PIP0746</t>
  </si>
  <si>
    <t>DTAA/PJL0320</t>
  </si>
  <si>
    <t>DTAA/PJS0809</t>
  </si>
  <si>
    <t>DTAA/PKH0542</t>
  </si>
  <si>
    <t>DTAA/PKM0092</t>
  </si>
  <si>
    <t>DTAA/PKM0411</t>
  </si>
  <si>
    <t>DTAA/PMB0702</t>
  </si>
  <si>
    <t>DTAA/PMG0890</t>
  </si>
  <si>
    <t>DTAA/PML0209</t>
  </si>
  <si>
    <t>DTAA/PRB0157</t>
  </si>
  <si>
    <t>DTAA/PRB0568</t>
  </si>
  <si>
    <t>DTAA/PRH0825</t>
  </si>
  <si>
    <t>DTAA/PRR0982</t>
  </si>
  <si>
    <t>DTAA/PSP0555</t>
  </si>
  <si>
    <t>DTAA/PTH0957</t>
  </si>
  <si>
    <t>DTAA/PUH0847</t>
  </si>
  <si>
    <t>DTAA/PVH0124</t>
  </si>
  <si>
    <t>DTAA/PVW0713</t>
  </si>
  <si>
    <t>DTAA/PXB0069</t>
  </si>
  <si>
    <t>DTAA/QAM0113</t>
  </si>
  <si>
    <t>DTAA/QCD0829</t>
  </si>
  <si>
    <t>DTAA/QGF0292</t>
  </si>
  <si>
    <t>DTAA/QGM0222</t>
  </si>
  <si>
    <t>DTAA/QKR0651</t>
  </si>
  <si>
    <t>DTAA/QLC0632</t>
  </si>
  <si>
    <t>DTAA/QLW0941</t>
  </si>
  <si>
    <t>DTAA/QNC0832</t>
  </si>
  <si>
    <t>DTAA/QNK0574</t>
  </si>
  <si>
    <t>DTAA/QOH0361</t>
  </si>
  <si>
    <t>DTAA/QVM0338</t>
  </si>
  <si>
    <t>DTAA/QZD0164</t>
  </si>
  <si>
    <t>DTAA/RAA0594</t>
  </si>
  <si>
    <t>DTAA/RAC0282</t>
  </si>
  <si>
    <t>DTAA/RAH0968</t>
  </si>
  <si>
    <t>DTAA/RAY0882</t>
  </si>
  <si>
    <t>DTAA/RBB0229</t>
  </si>
  <si>
    <t>DTAA/RBC0583</t>
  </si>
  <si>
    <t>DTAA/RBC0879</t>
  </si>
  <si>
    <t>DTAA/RBY0065</t>
  </si>
  <si>
    <t>DTAA/RCF0540</t>
  </si>
  <si>
    <t>DTAA/RCR0864</t>
  </si>
  <si>
    <t>DTAA/RCW0436</t>
  </si>
  <si>
    <t>DTAA/RDG0335</t>
  </si>
  <si>
    <t>DTAA/RDG0350</t>
  </si>
  <si>
    <t>DTAA/RDH0117</t>
  </si>
  <si>
    <t>DTAA/RDP0855</t>
  </si>
  <si>
    <t>DTAA/RDT0659</t>
  </si>
  <si>
    <t>DTAA/REK0484</t>
  </si>
  <si>
    <t>DTAA/RER0237</t>
  </si>
  <si>
    <t>DTAA/RES0962</t>
  </si>
  <si>
    <t>DTAA/RHP0688</t>
  </si>
  <si>
    <t>DTAA/RIG0024</t>
  </si>
  <si>
    <t>DTAA/RIM0938</t>
  </si>
  <si>
    <t>DTAA/RJP0286</t>
  </si>
  <si>
    <t>DTAA/RJP0345</t>
  </si>
  <si>
    <t>DTAA/RJP0874</t>
  </si>
  <si>
    <t>DTAA/RJW0590</t>
  </si>
  <si>
    <t>DTAA/RKC0190</t>
  </si>
  <si>
    <t>DTAA/RKC0733</t>
  </si>
  <si>
    <t>DTAA/RKD0255</t>
  </si>
  <si>
    <t>DTAA/RLC0019</t>
  </si>
  <si>
    <t>DTAA/RLC0442</t>
  </si>
  <si>
    <t>DTAA/RLE0844</t>
  </si>
  <si>
    <t>DTAA/RLS0935</t>
  </si>
  <si>
    <t>DTAA/RLS0966</t>
  </si>
  <si>
    <t>DTAA/RLW0861</t>
  </si>
  <si>
    <t>DTAA/RME0699</t>
  </si>
  <si>
    <t>DTAA/ROC0257</t>
  </si>
  <si>
    <t>DTAA/ROM0419</t>
  </si>
  <si>
    <t>DTAA/RQH0770</t>
  </si>
  <si>
    <t>DTAA/RRF0245</t>
  </si>
  <si>
    <t>DTAA/RRL0780</t>
  </si>
  <si>
    <t>DTAA/RSG0385</t>
  </si>
  <si>
    <t>DTAA/RSJ0328</t>
  </si>
  <si>
    <t>DTAA/RTH0376</t>
  </si>
  <si>
    <t>DTAA/RVM0826</t>
  </si>
  <si>
    <t>DTAA/RVS0852</t>
  </si>
  <si>
    <t>DTAA/RWD0210</t>
  </si>
  <si>
    <t>DTAA/RXE0207</t>
  </si>
  <si>
    <t>DTAA/RXM0204</t>
  </si>
  <si>
    <t>DTAA/RZW0369</t>
  </si>
  <si>
    <t>DTAA/SAE0683</t>
  </si>
  <si>
    <t>DTAA/SAH0192</t>
  </si>
  <si>
    <t>DTAA/SAM0954</t>
  </si>
  <si>
    <t>DTAA/SAO0167</t>
  </si>
  <si>
    <t>DTAA/SAP0304</t>
  </si>
  <si>
    <t>DTAA/SAS0433</t>
  </si>
  <si>
    <t>DTAA/SAS0601</t>
  </si>
  <si>
    <t>DTAA/SBB0044</t>
  </si>
  <si>
    <t>DTAA/SBC0360</t>
  </si>
  <si>
    <t>DTAA/SBH0674</t>
  </si>
  <si>
    <t>DTAA/SBK0108</t>
  </si>
  <si>
    <t>DTAA/SBM0217</t>
  </si>
  <si>
    <t>DTAA/SCB0529</t>
  </si>
  <si>
    <t>DTAA/SCJ0498</t>
  </si>
  <si>
    <t>DTAA/SCK0576</t>
  </si>
  <si>
    <t>DTAA/SCW0707</t>
  </si>
  <si>
    <t>DTAA/SDC0032</t>
  </si>
  <si>
    <t>DTAA/SDL0679</t>
  </si>
  <si>
    <t>DTAA/SDM0333</t>
  </si>
  <si>
    <t>DTAA/SDR0010</t>
  </si>
  <si>
    <t>DTAA/SEF0446</t>
  </si>
  <si>
    <t>DTAA/SER0835</t>
  </si>
  <si>
    <t>DTAA/SES0660</t>
  </si>
  <si>
    <t>DTAA/SFS0308</t>
  </si>
  <si>
    <t>DTAA/SGC0118</t>
  </si>
  <si>
    <t>DTAA/SGG0584</t>
  </si>
  <si>
    <t>DTAA/SGS0352</t>
  </si>
  <si>
    <t>DTAA/SHR0025</t>
  </si>
  <si>
    <t>DTAA/SHS0608</t>
  </si>
  <si>
    <t>DTAA/SHT0953</t>
  </si>
  <si>
    <t>DTAA/SIP0805</t>
  </si>
  <si>
    <t>DTAA/SIR0586</t>
  </si>
  <si>
    <t>DTAA/SJA0691</t>
  </si>
  <si>
    <t>DTAA/SJB0751</t>
  </si>
  <si>
    <t>DTAA/SJC0487</t>
  </si>
  <si>
    <t>DTAA/SJC0735</t>
  </si>
  <si>
    <t>DTAA/SJH0588</t>
  </si>
  <si>
    <t>DTAA/SJH0907</t>
  </si>
  <si>
    <t>DTAA/SKB0263</t>
  </si>
  <si>
    <t>DTAA/SKH0467</t>
  </si>
  <si>
    <t>DTAA/SKL0881</t>
  </si>
  <si>
    <t>DTAA/SKP0270</t>
  </si>
  <si>
    <t>DTAA/SKW0871</t>
  </si>
  <si>
    <t>DTAA/SLC0778</t>
  </si>
  <si>
    <t>DTAA/SLG0008</t>
  </si>
  <si>
    <t>DTAA/SLM0589</t>
  </si>
  <si>
    <t>DTAA/SLM0781</t>
  </si>
  <si>
    <t>DTAA/SMC0139</t>
  </si>
  <si>
    <t>DTAA/SMD0773</t>
  </si>
  <si>
    <t>DTAA/SML0086</t>
  </si>
  <si>
    <t>DTAA/SML0486</t>
  </si>
  <si>
    <t>DTAA/SMW0913</t>
  </si>
  <si>
    <t>DTAA/SND0611</t>
  </si>
  <si>
    <t>DTAA/SOG0461</t>
  </si>
  <si>
    <t>DTAA/SOM0478</t>
  </si>
  <si>
    <t>DTAA/SPK0818</t>
  </si>
  <si>
    <t>DTAA/SRN0275</t>
  </si>
  <si>
    <t>DTAA/SSB0151</t>
  </si>
  <si>
    <t>DTAA/SSC0047</t>
  </si>
  <si>
    <t>DTAA/SSC0387</t>
  </si>
  <si>
    <t>DTAA/SSH0085</t>
  </si>
  <si>
    <t>DTAA/SSH0144</t>
  </si>
  <si>
    <t>DTAA/SSV0560</t>
  </si>
  <si>
    <t>DTAA/SSW0815</t>
  </si>
  <si>
    <t>DTAA/STC0066</t>
  </si>
  <si>
    <t>DTAA/STF0145</t>
  </si>
  <si>
    <t>DTAA/SVC0175</t>
  </si>
  <si>
    <t>DTAA/SVM0756</t>
  </si>
  <si>
    <t>DTAA/SWM0768</t>
  </si>
  <si>
    <t>DTAA/SXH0895</t>
  </si>
  <si>
    <t>DTAA/TAO0639</t>
  </si>
  <si>
    <t>DTAA/TCH0230</t>
  </si>
  <si>
    <t>DTAA/TCR0218</t>
  </si>
  <si>
    <t>DTAA/TDW0348</t>
  </si>
  <si>
    <t>DTAA/TEG0502</t>
  </si>
  <si>
    <t>DTAA/TER0923</t>
  </si>
  <si>
    <t>DTAA/TFS0216</t>
  </si>
  <si>
    <t>DTAA/TGC0670</t>
  </si>
  <si>
    <t>DTAA/THB0783</t>
  </si>
  <si>
    <t>DTAA/THL0671</t>
  </si>
  <si>
    <t>DTAA/THS0006</t>
  </si>
  <si>
    <t>DTAA/TIW0195</t>
  </si>
  <si>
    <t>DTAA/TJP0714</t>
  </si>
  <si>
    <t>DTAA/TKG0523</t>
  </si>
  <si>
    <t>DTAA/TKH0211</t>
  </si>
  <si>
    <t>DTAA/TLB0017</t>
  </si>
  <si>
    <t>DTAA/TLB0831</t>
  </si>
  <si>
    <t>DTAA/TLV0936</t>
  </si>
  <si>
    <t>DTAA/TNB0740</t>
  </si>
  <si>
    <t>DTAA/TPC0102</t>
  </si>
  <si>
    <t>DTAA/TQC0249</t>
  </si>
  <si>
    <t>DTAA/TRB0414</t>
  </si>
  <si>
    <t>DTAA/TRP0068</t>
  </si>
  <si>
    <t>DTAA/TRT0979</t>
  </si>
  <si>
    <t>DTAA/TSC0431</t>
  </si>
  <si>
    <t>DTAA/TSM0130</t>
  </si>
  <si>
    <t>DTAA/TTG0637</t>
  </si>
  <si>
    <t>DTAA/TUA0298</t>
  </si>
  <si>
    <t>DTAA/TXR0884</t>
  </si>
  <si>
    <t>DTAA/TZB0870</t>
  </si>
  <si>
    <t>DTAA/UAD0165</t>
  </si>
  <si>
    <t>DTAA/UBB0186</t>
  </si>
  <si>
    <t>DTAA/UBH0964</t>
  </si>
  <si>
    <t>DTAA/UCM0106</t>
  </si>
  <si>
    <t>DTAA/UGW0223</t>
  </si>
  <si>
    <t>DTAA/UJC0849</t>
  </si>
  <si>
    <t>DTAA/ULB0178</t>
  </si>
  <si>
    <t>DTAA/UMB0449</t>
  </si>
  <si>
    <t>DTAA/UMK0142</t>
  </si>
  <si>
    <t>DTAA/USB0641</t>
  </si>
  <si>
    <t>DTAA/VAH0262</t>
  </si>
  <si>
    <t>DTAA/VAP0168</t>
  </si>
  <si>
    <t>DTAA/VBW0447</t>
  </si>
  <si>
    <t>DTAA/VCG0663</t>
  </si>
  <si>
    <t>DTAA/VDP0070</t>
  </si>
  <si>
    <t>DTAA/VFP0669</t>
  </si>
  <si>
    <t>DTAA/VFS0231</t>
  </si>
  <si>
    <t>DTAA/VFT0014</t>
  </si>
  <si>
    <t>DTAA/VIR0488</t>
  </si>
  <si>
    <t>DTAA/VJD0704</t>
  </si>
  <si>
    <t>DTAA/VKB0605</t>
  </si>
  <si>
    <t>DTAA/VMA0051</t>
  </si>
  <si>
    <t>DTAA/VMF0423</t>
  </si>
  <si>
    <t>DTAA/VMM0309</t>
  </si>
  <si>
    <t>DTAA/VNM0127</t>
  </si>
  <si>
    <t>DTAA/VUF0522</t>
  </si>
  <si>
    <t>DTAA/WAB0970</t>
  </si>
  <si>
    <t>DTAA/WAH0813</t>
  </si>
  <si>
    <t>DTAA/WBW0591</t>
  </si>
  <si>
    <t>DTAA/WCB0440</t>
  </si>
  <si>
    <t>DTAA/WCM0391</t>
  </si>
  <si>
    <t>DTAA/WCN0570</t>
  </si>
  <si>
    <t>DTAA/WDW0064</t>
  </si>
  <si>
    <t>DTAA/WDW0198</t>
  </si>
  <si>
    <t>DTAA/WDW0485</t>
  </si>
  <si>
    <t>DTAA/WFH0909</t>
  </si>
  <si>
    <t>DTAA/WFL0495</t>
  </si>
  <si>
    <t>DTAA/WGL0515</t>
  </si>
  <si>
    <t>DTAA/WJG0153</t>
  </si>
  <si>
    <t>DTAA/WJR0592</t>
  </si>
  <si>
    <t>DTAA/WKH0407</t>
  </si>
  <si>
    <t>DTAA/WLB0169</t>
  </si>
  <si>
    <t>DTAA/WMJ0364</t>
  </si>
  <si>
    <t>DTAA/WNS0816</t>
  </si>
  <si>
    <t>DTAA/WOT0549</t>
  </si>
  <si>
    <t>DTAA/WPH0764</t>
  </si>
  <si>
    <t>DTAA/WSL0470</t>
  </si>
  <si>
    <t>DTAA/WTA0867</t>
  </si>
  <si>
    <t>DTAA/WWC0894</t>
  </si>
  <si>
    <t>DTAA/XCB0445</t>
  </si>
  <si>
    <t>DTAA/XGB0052</t>
  </si>
  <si>
    <t>DTAA/XHN0227</t>
  </si>
  <si>
    <t>DTAA/XIN0791</t>
  </si>
  <si>
    <t>DTAA/XKR0971</t>
  </si>
  <si>
    <t>DTAA/XQW0354</t>
  </si>
  <si>
    <t>DTAA/XRP0435</t>
  </si>
  <si>
    <t>DTAA/XXD0650</t>
  </si>
  <si>
    <t>DTAA/YCB0005</t>
  </si>
  <si>
    <t>DTAA/YCB0967</t>
  </si>
  <si>
    <t>DTAA/YCD0922</t>
  </si>
  <si>
    <t>DTAA/YCS0667</t>
  </si>
  <si>
    <t>DTAA/YCV0635</t>
  </si>
  <si>
    <t>DTAA/YJJ0129</t>
  </si>
  <si>
    <t>DTAA/YLO0362</t>
  </si>
  <si>
    <t>DTAA/YQW0689</t>
  </si>
  <si>
    <t>DTAA/YSH0268</t>
  </si>
  <si>
    <t>DTAA/YVF0045</t>
  </si>
  <si>
    <t>DTAA/ZAB0889</t>
  </si>
  <si>
    <t>DTAA/ZBH0980</t>
  </si>
  <si>
    <t>DTAA/ZBM0626</t>
  </si>
  <si>
    <t>DTAA/ZCA0652</t>
  </si>
  <si>
    <t>DTAA/ZCH0336</t>
  </si>
  <si>
    <t>DTAA/ZGH0528</t>
  </si>
  <si>
    <t>DTAA/ZKE0662</t>
  </si>
  <si>
    <t>DTAA/ZKH0388</t>
  </si>
  <si>
    <t>DTAA/ZKN0548</t>
  </si>
  <si>
    <t>DTAA/ZRR0705</t>
  </si>
  <si>
    <t>base_risk</t>
  </si>
  <si>
    <t>role_factor</t>
  </si>
  <si>
    <t>behavior_factor</t>
  </si>
  <si>
    <t>final_risk</t>
  </si>
  <si>
    <t>risk_level</t>
  </si>
  <si>
    <t>alert_status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</si>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</sst>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A304-811D-4CD1-A9C5-388A52ABDEB9}">
  <dimension ref="A1:AH1001"/>
  <sheetViews>
    <sheetView tabSelected="1" topLeftCell="P1" workbookViewId="0">
      <selection activeCell="AB9" sqref="AB9"/>
    </sheetView>
  </sheetViews>
  <sheetFormatPr defaultRowHeight="14.4" x14ac:dyDescent="0.3"/>
  <cols>
    <col min="31" max="31" width="10.77734375" customWidth="1"/>
    <col min="32" max="32" width="10.21875" customWidth="1"/>
    <col min="33" max="33" width="10.66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1029</v>
      </c>
      <c r="AC1" t="s">
        <v>1030</v>
      </c>
      <c r="AD1" t="s">
        <v>1031</v>
      </c>
      <c r="AE1" s="2" t="s">
        <v>1032</v>
      </c>
      <c r="AF1" s="2" t="s">
        <v>1033</v>
      </c>
      <c r="AG1" s="2" t="s">
        <v>1034</v>
      </c>
      <c r="AH1" s="2" t="s">
        <v>1035</v>
      </c>
    </row>
    <row r="2" spans="1:34" x14ac:dyDescent="0.3">
      <c r="A2" t="s">
        <v>27</v>
      </c>
      <c r="B2">
        <v>0.20113421550094501</v>
      </c>
      <c r="C2">
        <v>0.59600767393091103</v>
      </c>
      <c r="D2">
        <v>0.376682860097172</v>
      </c>
      <c r="E2">
        <v>0</v>
      </c>
      <c r="F2">
        <v>0</v>
      </c>
      <c r="G2">
        <v>0.46990198450738602</v>
      </c>
      <c r="H2">
        <v>7</v>
      </c>
      <c r="I2">
        <v>13</v>
      </c>
      <c r="J2">
        <v>0.33777014455417198</v>
      </c>
      <c r="K2">
        <v>0.110114192495921</v>
      </c>
      <c r="L2">
        <v>8.3213554630520103E-2</v>
      </c>
      <c r="M2">
        <v>1.2987012987012899E-2</v>
      </c>
      <c r="N2">
        <v>2.3218982852010302E-2</v>
      </c>
      <c r="O2">
        <v>1057</v>
      </c>
      <c r="P2">
        <v>0.30197811447811401</v>
      </c>
      <c r="Q2">
        <v>0.30207931554402301</v>
      </c>
      <c r="R2">
        <v>0</v>
      </c>
      <c r="S2">
        <v>0</v>
      </c>
      <c r="T2" t="s">
        <v>28</v>
      </c>
      <c r="U2">
        <v>4.9835931091058203E-2</v>
      </c>
      <c r="V2">
        <v>0</v>
      </c>
      <c r="W2">
        <v>0</v>
      </c>
      <c r="X2">
        <v>0.113004858029151</v>
      </c>
      <c r="Y2">
        <v>0.116126501081697</v>
      </c>
      <c r="Z2">
        <v>0.190474461827672</v>
      </c>
      <c r="AA2">
        <v>0</v>
      </c>
      <c r="AB2">
        <f>0.16*X2 + 0.28*Y2 + 0.28*Z2 + 0.28*AA2</f>
        <v>0.10392904689928749</v>
      </c>
      <c r="AC2">
        <f>IF(T2="IT_Admin", 0.25, IF(AND(T2="HR", AA2&gt;0.6), 0.25, IF(AND(T2="General", Z2&gt;0.7), 0.2, 0.1)))</f>
        <v>0.25</v>
      </c>
      <c r="AD2">
        <f>IF(V2&gt;0.7, 0.1,
 IF(F2&gt;0.5, 0.08,
 IF(E2&gt;0.5, 0.05,
 0)))</f>
        <v>0</v>
      </c>
      <c r="AE2">
        <f>MIN(1,AB2*(1+AC2+AD2))</f>
        <v>0.12991130862410935</v>
      </c>
      <c r="AF2" t="str">
        <f>IF(MAX(X2, Y2, Z2, AA2)&gt;0.9,
 "Critical",
 IF(AE2&lt;=0.2,"Very Low",
 IF(AE2&lt;=0.4,"Low",
 IF(AE2&lt;=0.6,"Medium",
 IF(AE2&lt;=0.8,"High","Critical")))))</f>
        <v>Very Low</v>
      </c>
      <c r="AG2" t="str">
        <f>IF(MAX(X2:AA2)&gt;0.9,"CRITICAL ALERT",
 IF(AE2&gt;0.8,"CRITICAL ALERT",
 IF(AE2&gt;0.6,"ALERT",
 IF(AE2&gt;=0.4,"REVIEW","NO ACTION"))))</f>
        <v>NO ACTION</v>
      </c>
      <c r="AH2" t="str">
        <f>IF(AG2="NO ACTION","",
 IF(_xlfn.TEXTJOIN(", ", TRUE,
  IF(X2&gt;0.7,"Login anomaly",""),
  IF(Y2&gt;0.7,"File anomaly",""),
  IF(Z2&gt;0.7,"Network anomaly",""),
  IF(AA2&gt;0.7,"USB anomaly","")
 )="",
 "General anomaly detected",
 _xlfn.TEXTJOIN(", ", TRUE,
  IF(X2&gt;0.7,"Login anomaly",""),
  IF(Y2&gt;0.7,"File anomaly",""),
  IF(Z2&gt;0.7,"Network anomaly",""),
  IF(AA2&gt;0.7,"USB anomaly","")
 )))</f>
        <v/>
      </c>
    </row>
    <row r="3" spans="1:34" x14ac:dyDescent="0.3">
      <c r="A3" t="s">
        <v>29</v>
      </c>
      <c r="B3">
        <v>0.12892249527410199</v>
      </c>
      <c r="C3">
        <v>0.28062983433656202</v>
      </c>
      <c r="D3">
        <v>7.5079446679057096E-2</v>
      </c>
      <c r="E3">
        <v>0</v>
      </c>
      <c r="F3">
        <v>0</v>
      </c>
      <c r="G3">
        <v>0.99366684549960005</v>
      </c>
      <c r="H3">
        <v>7</v>
      </c>
      <c r="I3">
        <v>8</v>
      </c>
      <c r="J3">
        <v>0.70984208768665602</v>
      </c>
      <c r="K3">
        <v>3.5889070146818899E-2</v>
      </c>
      <c r="L3">
        <v>1.29102060977825E-2</v>
      </c>
      <c r="M3">
        <v>1.3275613275613199E-2</v>
      </c>
      <c r="N3">
        <v>1.1298185525543699E-2</v>
      </c>
      <c r="O3">
        <v>1492</v>
      </c>
      <c r="P3">
        <v>0.54373597081930403</v>
      </c>
      <c r="Q3">
        <v>0.54377783232231103</v>
      </c>
      <c r="R3">
        <v>0</v>
      </c>
      <c r="S3">
        <v>0</v>
      </c>
      <c r="T3" t="s">
        <v>28</v>
      </c>
      <c r="U3">
        <v>1.58972300281011E-2</v>
      </c>
      <c r="V3">
        <v>0</v>
      </c>
      <c r="W3">
        <v>0</v>
      </c>
      <c r="X3">
        <v>2.2523834003717099E-2</v>
      </c>
      <c r="Y3">
        <v>0.15181297624388501</v>
      </c>
      <c r="Z3">
        <v>0.3307608567018</v>
      </c>
      <c r="AA3">
        <v>0</v>
      </c>
      <c r="AB3">
        <f t="shared" ref="AB3:AB66" si="0">0.16*X3 + 0.28*Y3 + 0.28*Z3 + 0.28*AA3</f>
        <v>0.13872448666538656</v>
      </c>
      <c r="AC3">
        <f>IF(T3="IT_Admin", 0.25, IF(AND(T3="HR", AA3&gt;0.6), 0.25, IF(AND(T3="General", Z3&gt;0.7), 0.2, 0.1)))</f>
        <v>0.25</v>
      </c>
      <c r="AD3">
        <f t="shared" ref="AD3:AD66" si="1">IF(V3&gt;0.7, 0.1,
 IF(F3&gt;0.5, 0.08,
 IF(E3&gt;0.5, 0.05,
 0)))</f>
        <v>0</v>
      </c>
      <c r="AE3">
        <f>MIN(1,AB3*(1+AC3+AD3))</f>
        <v>0.17340560833173319</v>
      </c>
      <c r="AF3" t="str">
        <f t="shared" ref="AF3:AF66" si="2">IF(MAX(X3, Y3, Z3, AA3)&gt;0.9,
 "Critical",
 IF(AE3&lt;=0.2,"Very Low",
 IF(AE3&lt;=0.4,"Low",
 IF(AE3&lt;=0.6,"Medium",
 IF(AE3&lt;=0.8,"High","Critical")))))</f>
        <v>Very Low</v>
      </c>
      <c r="AG3" t="str">
        <f t="shared" ref="AG3:AG66" si="3">IF(MAX(X3:AA3)&gt;0.9,"CRITICAL ALERT",
 IF(AE3&gt;0.8,"CRITICAL ALERT",
 IF(AE3&gt;0.6,"ALERT",
 IF(AE3&gt;=0.4,"REVIEW","NO ACTION"))))</f>
        <v>NO ACTION</v>
      </c>
      <c r="AH3" t="str">
        <f t="shared" ref="AH3:AH66" si="4">IF(AG3="NO ACTION","",
 IF(_xlfn.TEXTJOIN(", ", TRUE,
  IF(X3&gt;0.7,"Login anomaly",""),
  IF(Y3&gt;0.7,"File anomaly",""),
  IF(Z3&gt;0.7,"Network anomaly",""),
  IF(AA3&gt;0.7,"USB anomaly","")
 )="",
 "General anomaly detected",
 _xlfn.TEXTJOIN(", ", TRUE,
  IF(X3&gt;0.7,"Login anomaly",""),
  IF(Y3&gt;0.7,"File anomaly",""),
  IF(Z3&gt;0.7,"Network anomaly",""),
  IF(AA3&gt;0.7,"USB anomaly","")
 )))</f>
        <v/>
      </c>
    </row>
    <row r="4" spans="1:34" x14ac:dyDescent="0.3">
      <c r="A4" t="s">
        <v>30</v>
      </c>
      <c r="B4">
        <v>0.12892249527410199</v>
      </c>
      <c r="C4">
        <v>0.27420319690900702</v>
      </c>
      <c r="D4">
        <v>7.50946055673926E-2</v>
      </c>
      <c r="E4">
        <v>0</v>
      </c>
      <c r="F4">
        <v>0</v>
      </c>
      <c r="G4">
        <v>0.99364725520405595</v>
      </c>
      <c r="H4">
        <v>7</v>
      </c>
      <c r="I4">
        <v>8</v>
      </c>
      <c r="J4">
        <v>0.71184580888316396</v>
      </c>
      <c r="K4">
        <v>3.5073409461663901E-2</v>
      </c>
      <c r="L4">
        <v>1.25812901603273E-2</v>
      </c>
      <c r="M4">
        <v>1.47186147186147E-2</v>
      </c>
      <c r="N4">
        <v>1.2491001784851401E-2</v>
      </c>
      <c r="O4">
        <v>1442</v>
      </c>
      <c r="P4">
        <v>0.54555976430976405</v>
      </c>
      <c r="Q4">
        <v>0.54560117816192699</v>
      </c>
      <c r="R4">
        <v>0</v>
      </c>
      <c r="S4">
        <v>0</v>
      </c>
      <c r="T4" t="s">
        <v>28</v>
      </c>
      <c r="U4">
        <v>1.40420899854862E-2</v>
      </c>
      <c r="V4">
        <v>0</v>
      </c>
      <c r="W4">
        <v>0</v>
      </c>
      <c r="X4">
        <v>2.2528381670217701E-2</v>
      </c>
      <c r="Y4">
        <v>0.152407107392251</v>
      </c>
      <c r="Z4">
        <v>0.33233225929979898</v>
      </c>
      <c r="AA4">
        <v>0</v>
      </c>
      <c r="AB4">
        <f t="shared" si="0"/>
        <v>0.13933156374100883</v>
      </c>
      <c r="AC4">
        <f t="shared" ref="AC4:AC67" si="5">IF(T4="IT_Admin", 0.25, IF(AND(T4="HR", AA4&gt;0.6), 0.25, IF(AND(T4="General", Z4&gt;0.7), 0.2, 0.1)))</f>
        <v>0.25</v>
      </c>
      <c r="AD4">
        <f t="shared" si="1"/>
        <v>0</v>
      </c>
      <c r="AE4">
        <f t="shared" ref="AE4:AE67" si="6">MIN(1,AB4*(1+AC4+AD4))</f>
        <v>0.17416445467626104</v>
      </c>
      <c r="AF4" t="str">
        <f t="shared" si="2"/>
        <v>Very Low</v>
      </c>
      <c r="AG4" t="str">
        <f t="shared" si="3"/>
        <v>NO ACTION</v>
      </c>
      <c r="AH4" t="str">
        <f t="shared" si="4"/>
        <v/>
      </c>
    </row>
    <row r="5" spans="1:34" x14ac:dyDescent="0.3">
      <c r="A5" t="s">
        <v>31</v>
      </c>
      <c r="B5">
        <v>0.12892249527410199</v>
      </c>
      <c r="C5">
        <v>0.36953165208440503</v>
      </c>
      <c r="D5">
        <v>0</v>
      </c>
      <c r="E5">
        <v>0</v>
      </c>
      <c r="F5">
        <v>0</v>
      </c>
      <c r="G5">
        <v>0.99370075383901701</v>
      </c>
      <c r="H5">
        <v>8</v>
      </c>
      <c r="I5">
        <v>8</v>
      </c>
      <c r="J5">
        <v>0.79838748151328598</v>
      </c>
      <c r="K5">
        <v>4.48613376835236E-2</v>
      </c>
      <c r="L5">
        <v>1.43485295369918E-2</v>
      </c>
      <c r="M5">
        <v>1.7027417027416999E-2</v>
      </c>
      <c r="N5">
        <v>1.28844857518692E-2</v>
      </c>
      <c r="O5">
        <v>1611</v>
      </c>
      <c r="P5">
        <v>0.61451318742985395</v>
      </c>
      <c r="Q5">
        <v>0.61453767663662795</v>
      </c>
      <c r="R5">
        <v>0</v>
      </c>
      <c r="S5">
        <v>0</v>
      </c>
      <c r="T5" t="s">
        <v>28</v>
      </c>
      <c r="U5">
        <v>1.5566037735848999E-2</v>
      </c>
      <c r="V5">
        <v>0</v>
      </c>
      <c r="W5">
        <v>0</v>
      </c>
      <c r="X5">
        <v>0</v>
      </c>
      <c r="Y5">
        <v>0.17071710679671401</v>
      </c>
      <c r="Z5">
        <v>0.37386170675865998</v>
      </c>
      <c r="AA5">
        <v>0</v>
      </c>
      <c r="AB5">
        <f t="shared" si="0"/>
        <v>0.15248206779550472</v>
      </c>
      <c r="AC5">
        <f t="shared" si="5"/>
        <v>0.25</v>
      </c>
      <c r="AD5">
        <f t="shared" si="1"/>
        <v>0</v>
      </c>
      <c r="AE5">
        <f t="shared" si="6"/>
        <v>0.19060258474438091</v>
      </c>
      <c r="AF5" t="str">
        <f t="shared" si="2"/>
        <v>Very Low</v>
      </c>
      <c r="AG5" t="str">
        <f t="shared" si="3"/>
        <v>NO ACTION</v>
      </c>
      <c r="AH5" t="str">
        <f t="shared" si="4"/>
        <v/>
      </c>
    </row>
    <row r="6" spans="1:34" x14ac:dyDescent="0.3">
      <c r="A6" t="s">
        <v>32</v>
      </c>
      <c r="B6">
        <v>0.12892249527410199</v>
      </c>
      <c r="C6">
        <v>0.36953165208440503</v>
      </c>
      <c r="D6">
        <v>0</v>
      </c>
      <c r="E6">
        <v>0</v>
      </c>
      <c r="F6">
        <v>0</v>
      </c>
      <c r="G6">
        <v>0.993663071959065</v>
      </c>
      <c r="H6">
        <v>8</v>
      </c>
      <c r="I6">
        <v>8</v>
      </c>
      <c r="J6">
        <v>0.70177949525308903</v>
      </c>
      <c r="K6">
        <v>3.7520391517128798E-2</v>
      </c>
      <c r="L6">
        <v>1.36520454510428E-2</v>
      </c>
      <c r="M6">
        <v>1.21212121212121E-2</v>
      </c>
      <c r="N6">
        <v>1.04342095779404E-2</v>
      </c>
      <c r="O6">
        <v>1511</v>
      </c>
      <c r="P6">
        <v>0.53794893378226705</v>
      </c>
      <c r="Q6">
        <v>0.537992215715838</v>
      </c>
      <c r="R6">
        <v>0</v>
      </c>
      <c r="S6">
        <v>0</v>
      </c>
      <c r="T6" t="s">
        <v>28</v>
      </c>
      <c r="U6">
        <v>1.8165862220272E-2</v>
      </c>
      <c r="V6">
        <v>0</v>
      </c>
      <c r="W6">
        <v>0</v>
      </c>
      <c r="X6">
        <v>0</v>
      </c>
      <c r="Y6">
        <v>0.15031218464952101</v>
      </c>
      <c r="Z6">
        <v>0.32694304410053598</v>
      </c>
      <c r="AA6">
        <v>0</v>
      </c>
      <c r="AB6">
        <f t="shared" si="0"/>
        <v>0.13363146405001597</v>
      </c>
      <c r="AC6">
        <f t="shared" si="5"/>
        <v>0.25</v>
      </c>
      <c r="AD6">
        <f t="shared" si="1"/>
        <v>0</v>
      </c>
      <c r="AE6">
        <f t="shared" si="6"/>
        <v>0.16703933006251998</v>
      </c>
      <c r="AF6" t="str">
        <f t="shared" si="2"/>
        <v>Very Low</v>
      </c>
      <c r="AG6" t="str">
        <f t="shared" si="3"/>
        <v>NO ACTION</v>
      </c>
      <c r="AH6" t="str">
        <f t="shared" si="4"/>
        <v/>
      </c>
    </row>
    <row r="7" spans="1:34" x14ac:dyDescent="0.3">
      <c r="A7" t="s">
        <v>33</v>
      </c>
      <c r="B7">
        <v>0.12892249527410199</v>
      </c>
      <c r="C7">
        <v>0.36953165208440503</v>
      </c>
      <c r="D7">
        <v>0</v>
      </c>
      <c r="E7">
        <v>0</v>
      </c>
      <c r="F7">
        <v>0</v>
      </c>
      <c r="G7">
        <v>0.99365672919944203</v>
      </c>
      <c r="H7">
        <v>8</v>
      </c>
      <c r="I7">
        <v>8</v>
      </c>
      <c r="J7">
        <v>0.88182815705357498</v>
      </c>
      <c r="K7">
        <v>5.6280587275693301E-2</v>
      </c>
      <c r="L7">
        <v>1.62980568564088E-2</v>
      </c>
      <c r="M7">
        <v>1.9624819624819601E-2</v>
      </c>
      <c r="N7">
        <v>1.34451614574931E-2</v>
      </c>
      <c r="O7">
        <v>1774</v>
      </c>
      <c r="P7">
        <v>0.68202861952861904</v>
      </c>
      <c r="Q7">
        <v>0.68203653704547795</v>
      </c>
      <c r="R7">
        <v>0</v>
      </c>
      <c r="S7">
        <v>0</v>
      </c>
      <c r="T7" t="s">
        <v>28</v>
      </c>
      <c r="U7">
        <v>1.6981132075471601E-2</v>
      </c>
      <c r="V7">
        <v>0</v>
      </c>
      <c r="W7">
        <v>0</v>
      </c>
      <c r="X7">
        <v>0</v>
      </c>
      <c r="Y7">
        <v>0.188548208276167</v>
      </c>
      <c r="Z7">
        <v>0.41459523630016898</v>
      </c>
      <c r="AA7">
        <v>0</v>
      </c>
      <c r="AB7">
        <f t="shared" si="0"/>
        <v>0.16888016448137408</v>
      </c>
      <c r="AC7">
        <f t="shared" si="5"/>
        <v>0.25</v>
      </c>
      <c r="AD7">
        <f t="shared" si="1"/>
        <v>0</v>
      </c>
      <c r="AE7">
        <f t="shared" si="6"/>
        <v>0.21110020560171761</v>
      </c>
      <c r="AF7" t="str">
        <f t="shared" si="2"/>
        <v>Low</v>
      </c>
      <c r="AG7" t="str">
        <f t="shared" si="3"/>
        <v>NO ACTION</v>
      </c>
      <c r="AH7" t="str">
        <f t="shared" si="4"/>
        <v/>
      </c>
    </row>
    <row r="8" spans="1:34" x14ac:dyDescent="0.3">
      <c r="A8" t="s">
        <v>34</v>
      </c>
      <c r="B8">
        <v>0.12892249527410199</v>
      </c>
      <c r="C8">
        <v>0.18476582604220201</v>
      </c>
      <c r="D8">
        <v>0</v>
      </c>
      <c r="E8">
        <v>0</v>
      </c>
      <c r="F8">
        <v>0</v>
      </c>
      <c r="G8">
        <v>0.99366237612889496</v>
      </c>
      <c r="H8">
        <v>7</v>
      </c>
      <c r="I8">
        <v>7</v>
      </c>
      <c r="J8">
        <v>0.88755307475788303</v>
      </c>
      <c r="K8">
        <v>4.89396411092985E-2</v>
      </c>
      <c r="L8">
        <v>1.40808338750601E-2</v>
      </c>
      <c r="M8">
        <v>1.8470418470418401E-2</v>
      </c>
      <c r="N8">
        <v>1.2572668642312299E-2</v>
      </c>
      <c r="O8">
        <v>1744</v>
      </c>
      <c r="P8">
        <v>0.68251964085297401</v>
      </c>
      <c r="Q8">
        <v>0.68252743784845105</v>
      </c>
      <c r="R8">
        <v>0</v>
      </c>
      <c r="S8">
        <v>0</v>
      </c>
      <c r="T8" t="s">
        <v>28</v>
      </c>
      <c r="U8">
        <v>1.5674891146589199E-2</v>
      </c>
      <c r="V8">
        <v>0</v>
      </c>
      <c r="W8">
        <v>0</v>
      </c>
      <c r="X8">
        <v>0</v>
      </c>
      <c r="Y8">
        <v>0.18832283248180001</v>
      </c>
      <c r="Z8">
        <v>0.41454085196870899</v>
      </c>
      <c r="AA8">
        <v>0</v>
      </c>
      <c r="AB8">
        <f t="shared" si="0"/>
        <v>0.16880183164614254</v>
      </c>
      <c r="AC8">
        <f t="shared" si="5"/>
        <v>0.25</v>
      </c>
      <c r="AD8">
        <f t="shared" si="1"/>
        <v>0</v>
      </c>
      <c r="AE8">
        <f t="shared" si="6"/>
        <v>0.21100228955767819</v>
      </c>
      <c r="AF8" t="str">
        <f t="shared" si="2"/>
        <v>Low</v>
      </c>
      <c r="AG8" t="str">
        <f t="shared" si="3"/>
        <v>NO ACTION</v>
      </c>
      <c r="AH8" t="str">
        <f t="shared" si="4"/>
        <v/>
      </c>
    </row>
    <row r="9" spans="1:34" x14ac:dyDescent="0.3">
      <c r="A9" t="s">
        <v>35</v>
      </c>
      <c r="B9">
        <v>0.240075614366729</v>
      </c>
      <c r="C9">
        <v>0.67660725029539004</v>
      </c>
      <c r="D9">
        <v>0.36883347561415802</v>
      </c>
      <c r="E9">
        <v>0</v>
      </c>
      <c r="F9">
        <v>0</v>
      </c>
      <c r="G9">
        <v>0.46730008775375198</v>
      </c>
      <c r="H9">
        <v>7</v>
      </c>
      <c r="I9">
        <v>15</v>
      </c>
      <c r="J9">
        <v>0.79571585325127603</v>
      </c>
      <c r="K9">
        <v>3.7520391517128798E-2</v>
      </c>
      <c r="L9">
        <v>1.20408684255631E-2</v>
      </c>
      <c r="M9">
        <v>1.5873015873015799E-2</v>
      </c>
      <c r="N9">
        <v>1.2051276196565E-2</v>
      </c>
      <c r="O9">
        <v>1638</v>
      </c>
      <c r="P9">
        <v>0.60883136924803605</v>
      </c>
      <c r="Q9">
        <v>0.608857253059363</v>
      </c>
      <c r="R9">
        <v>0</v>
      </c>
      <c r="S9">
        <v>0</v>
      </c>
      <c r="T9" t="s">
        <v>28</v>
      </c>
      <c r="U9">
        <v>1.3948787061994599E-2</v>
      </c>
      <c r="V9">
        <v>0</v>
      </c>
      <c r="W9">
        <v>0</v>
      </c>
      <c r="X9">
        <v>0.110650042684247</v>
      </c>
      <c r="Y9">
        <v>0.168778987722006</v>
      </c>
      <c r="Z9">
        <v>0.37011933202744701</v>
      </c>
      <c r="AA9">
        <v>0</v>
      </c>
      <c r="AB9">
        <f t="shared" si="0"/>
        <v>0.16859553635932639</v>
      </c>
      <c r="AC9">
        <f t="shared" si="5"/>
        <v>0.25</v>
      </c>
      <c r="AD9">
        <f t="shared" si="1"/>
        <v>0</v>
      </c>
      <c r="AE9">
        <f t="shared" si="6"/>
        <v>0.21074442044915798</v>
      </c>
      <c r="AF9" t="str">
        <f t="shared" si="2"/>
        <v>Low</v>
      </c>
      <c r="AG9" t="str">
        <f t="shared" si="3"/>
        <v>NO ACTION</v>
      </c>
      <c r="AH9" t="str">
        <f t="shared" si="4"/>
        <v/>
      </c>
    </row>
    <row r="10" spans="1:34" x14ac:dyDescent="0.3">
      <c r="A10" t="s">
        <v>36</v>
      </c>
      <c r="B10">
        <v>0.27750472589792002</v>
      </c>
      <c r="C10">
        <v>0.73981438476247796</v>
      </c>
      <c r="D10">
        <v>0.39351034305282701</v>
      </c>
      <c r="E10">
        <v>0</v>
      </c>
      <c r="F10">
        <v>0</v>
      </c>
      <c r="G10">
        <v>0.38474403360008802</v>
      </c>
      <c r="H10">
        <v>7</v>
      </c>
      <c r="I10">
        <v>16</v>
      </c>
      <c r="J10">
        <v>0.825533132961213</v>
      </c>
      <c r="K10">
        <v>4.48613376835236E-2</v>
      </c>
      <c r="L10">
        <v>1.38768492951206E-2</v>
      </c>
      <c r="M10">
        <v>1.6738816738816699E-2</v>
      </c>
      <c r="N10">
        <v>1.2249730870101699E-2</v>
      </c>
      <c r="O10">
        <v>1651</v>
      </c>
      <c r="P10">
        <v>0.63432940516273795</v>
      </c>
      <c r="Q10">
        <v>0.63434903047091395</v>
      </c>
      <c r="R10">
        <v>0.96607669616519098</v>
      </c>
      <c r="S10">
        <v>1</v>
      </c>
      <c r="T10" t="s">
        <v>28</v>
      </c>
      <c r="U10">
        <v>1.5829868883914199E-2</v>
      </c>
      <c r="V10">
        <v>0</v>
      </c>
      <c r="W10">
        <v>0</v>
      </c>
      <c r="X10">
        <v>0.118053102915848</v>
      </c>
      <c r="Y10">
        <v>0.17571997050083299</v>
      </c>
      <c r="Z10">
        <v>0.38549753544568299</v>
      </c>
      <c r="AA10">
        <v>0.96607669616519098</v>
      </c>
      <c r="AB10">
        <f t="shared" si="0"/>
        <v>0.44653087305781364</v>
      </c>
      <c r="AC10">
        <f t="shared" si="5"/>
        <v>0.25</v>
      </c>
      <c r="AD10">
        <f t="shared" si="1"/>
        <v>0</v>
      </c>
      <c r="AE10">
        <f t="shared" si="6"/>
        <v>0.55816359132226701</v>
      </c>
      <c r="AF10" t="str">
        <f t="shared" si="2"/>
        <v>Critical</v>
      </c>
      <c r="AG10" t="str">
        <f t="shared" si="3"/>
        <v>CRITICAL ALERT</v>
      </c>
      <c r="AH10" t="str">
        <f t="shared" si="4"/>
        <v>USB anomaly</v>
      </c>
    </row>
    <row r="11" spans="1:34" x14ac:dyDescent="0.3">
      <c r="A11" t="s">
        <v>37</v>
      </c>
      <c r="B11">
        <v>0.12892249527410199</v>
      </c>
      <c r="C11">
        <v>0.28170094057448802</v>
      </c>
      <c r="D11">
        <v>7.5041536061111899E-2</v>
      </c>
      <c r="E11">
        <v>0</v>
      </c>
      <c r="F11">
        <v>0</v>
      </c>
      <c r="G11">
        <v>0.99368057476409999</v>
      </c>
      <c r="H11">
        <v>7</v>
      </c>
      <c r="I11">
        <v>8</v>
      </c>
      <c r="J11">
        <v>0.790181766137111</v>
      </c>
      <c r="K11">
        <v>4.2414355628058703E-2</v>
      </c>
      <c r="L11">
        <v>1.3706716113604101E-2</v>
      </c>
      <c r="M11">
        <v>1.5584415584415499E-2</v>
      </c>
      <c r="N11">
        <v>1.1915004358268399E-2</v>
      </c>
      <c r="O11">
        <v>1584</v>
      </c>
      <c r="P11">
        <v>0.60672699214365799</v>
      </c>
      <c r="Q11">
        <v>0.606753392475192</v>
      </c>
      <c r="R11">
        <v>0</v>
      </c>
      <c r="S11">
        <v>0</v>
      </c>
      <c r="T11" t="s">
        <v>28</v>
      </c>
      <c r="U11">
        <v>1.60548885077186E-2</v>
      </c>
      <c r="V11">
        <v>0</v>
      </c>
      <c r="W11">
        <v>0</v>
      </c>
      <c r="X11">
        <v>2.25124608183335E-2</v>
      </c>
      <c r="Y11">
        <v>0.16846421259170499</v>
      </c>
      <c r="Z11">
        <v>0.36880219702950201</v>
      </c>
      <c r="AA11">
        <v>0</v>
      </c>
      <c r="AB11">
        <f t="shared" si="0"/>
        <v>0.15403658842487133</v>
      </c>
      <c r="AC11">
        <f t="shared" si="5"/>
        <v>0.25</v>
      </c>
      <c r="AD11">
        <f t="shared" si="1"/>
        <v>0</v>
      </c>
      <c r="AE11">
        <f t="shared" si="6"/>
        <v>0.19254573553108917</v>
      </c>
      <c r="AF11" t="str">
        <f t="shared" si="2"/>
        <v>Very Low</v>
      </c>
      <c r="AG11" t="str">
        <f t="shared" si="3"/>
        <v>NO ACTION</v>
      </c>
      <c r="AH11" t="str">
        <f t="shared" si="4"/>
        <v/>
      </c>
    </row>
    <row r="12" spans="1:34" x14ac:dyDescent="0.3">
      <c r="A12" t="s">
        <v>38</v>
      </c>
      <c r="B12">
        <v>0.12892249527410199</v>
      </c>
      <c r="C12">
        <v>0.46218234166498801</v>
      </c>
      <c r="D12">
        <v>7.5132489407342906E-2</v>
      </c>
      <c r="E12">
        <v>0</v>
      </c>
      <c r="F12">
        <v>0</v>
      </c>
      <c r="G12">
        <v>0.99367091342982194</v>
      </c>
      <c r="H12">
        <v>8</v>
      </c>
      <c r="I12">
        <v>9</v>
      </c>
      <c r="J12">
        <v>0.79118362673536502</v>
      </c>
      <c r="K12">
        <v>3.9151712887438801E-2</v>
      </c>
      <c r="L12">
        <v>1.26363367330637E-2</v>
      </c>
      <c r="M12">
        <v>1.5873015873015799E-2</v>
      </c>
      <c r="N12">
        <v>1.2120290075561599E-2</v>
      </c>
      <c r="O12">
        <v>1609</v>
      </c>
      <c r="P12">
        <v>0.60620089786756404</v>
      </c>
      <c r="Q12">
        <v>0.60622742732914903</v>
      </c>
      <c r="R12">
        <v>0</v>
      </c>
      <c r="S12">
        <v>0</v>
      </c>
      <c r="T12" t="s">
        <v>28</v>
      </c>
      <c r="U12">
        <v>1.4555256064690001E-2</v>
      </c>
      <c r="V12">
        <v>0</v>
      </c>
      <c r="W12">
        <v>0</v>
      </c>
      <c r="X12">
        <v>2.2539746822202798E-2</v>
      </c>
      <c r="Y12">
        <v>0.168190980736273</v>
      </c>
      <c r="Z12">
        <v>0.368568654750763</v>
      </c>
      <c r="AA12">
        <v>0</v>
      </c>
      <c r="AB12">
        <f t="shared" si="0"/>
        <v>0.15389905742792254</v>
      </c>
      <c r="AC12">
        <f t="shared" si="5"/>
        <v>0.25</v>
      </c>
      <c r="AD12">
        <f t="shared" si="1"/>
        <v>0</v>
      </c>
      <c r="AE12">
        <f t="shared" si="6"/>
        <v>0.19237382178490317</v>
      </c>
      <c r="AF12" t="str">
        <f t="shared" si="2"/>
        <v>Very Low</v>
      </c>
      <c r="AG12" t="str">
        <f t="shared" si="3"/>
        <v>NO ACTION</v>
      </c>
      <c r="AH12" t="str">
        <f t="shared" si="4"/>
        <v/>
      </c>
    </row>
    <row r="13" spans="1:34" x14ac:dyDescent="0.3">
      <c r="A13" t="s">
        <v>39</v>
      </c>
      <c r="B13">
        <v>0.12892249527410199</v>
      </c>
      <c r="C13">
        <v>0.18476582604220201</v>
      </c>
      <c r="D13">
        <v>0</v>
      </c>
      <c r="E13">
        <v>0</v>
      </c>
      <c r="F13">
        <v>0</v>
      </c>
      <c r="G13">
        <v>0.99370222578745304</v>
      </c>
      <c r="H13">
        <v>7</v>
      </c>
      <c r="I13">
        <v>7</v>
      </c>
      <c r="J13">
        <v>0.80182243213587101</v>
      </c>
      <c r="K13">
        <v>4.48613376835236E-2</v>
      </c>
      <c r="L13">
        <v>1.4287079731694199E-2</v>
      </c>
      <c r="M13">
        <v>1.7893217893217801E-2</v>
      </c>
      <c r="N13">
        <v>1.3481643531607799E-2</v>
      </c>
      <c r="O13">
        <v>1642</v>
      </c>
      <c r="P13">
        <v>0.61745931537598198</v>
      </c>
      <c r="Q13">
        <v>0.61748308145446895</v>
      </c>
      <c r="R13">
        <v>0</v>
      </c>
      <c r="S13">
        <v>0</v>
      </c>
      <c r="T13" t="s">
        <v>28</v>
      </c>
      <c r="U13">
        <v>1.48247978436657E-2</v>
      </c>
      <c r="V13">
        <v>0</v>
      </c>
      <c r="W13">
        <v>0</v>
      </c>
      <c r="X13">
        <v>0</v>
      </c>
      <c r="Y13">
        <v>0.17155251935250301</v>
      </c>
      <c r="Z13">
        <v>0.37586824663823198</v>
      </c>
      <c r="AA13">
        <v>0</v>
      </c>
      <c r="AB13">
        <f t="shared" si="0"/>
        <v>0.15327781447740579</v>
      </c>
      <c r="AC13">
        <f t="shared" si="5"/>
        <v>0.25</v>
      </c>
      <c r="AD13">
        <f t="shared" si="1"/>
        <v>0</v>
      </c>
      <c r="AE13">
        <f t="shared" si="6"/>
        <v>0.19159726809675726</v>
      </c>
      <c r="AF13" t="str">
        <f t="shared" si="2"/>
        <v>Very Low</v>
      </c>
      <c r="AG13" t="str">
        <f t="shared" si="3"/>
        <v>NO ACTION</v>
      </c>
      <c r="AH13" t="str">
        <f t="shared" si="4"/>
        <v/>
      </c>
    </row>
    <row r="14" spans="1:34" x14ac:dyDescent="0.3">
      <c r="A14" t="s">
        <v>40</v>
      </c>
      <c r="B14">
        <v>0.12892249527410199</v>
      </c>
      <c r="C14">
        <v>0.26831211260041599</v>
      </c>
      <c r="D14">
        <v>7.4788307505895393E-2</v>
      </c>
      <c r="E14">
        <v>0</v>
      </c>
      <c r="F14">
        <v>0</v>
      </c>
      <c r="G14">
        <v>0.99368193966174001</v>
      </c>
      <c r="H14">
        <v>7</v>
      </c>
      <c r="I14">
        <v>8</v>
      </c>
      <c r="J14">
        <v>0.97271122560946499</v>
      </c>
      <c r="K14">
        <v>5.6280587275693301E-2</v>
      </c>
      <c r="L14">
        <v>1.4775658194475899E-2</v>
      </c>
      <c r="M14">
        <v>2.1356421356421299E-2</v>
      </c>
      <c r="N14">
        <v>1.32647734295277E-2</v>
      </c>
      <c r="O14">
        <v>1940</v>
      </c>
      <c r="P14">
        <v>0.74968434343434298</v>
      </c>
      <c r="Q14">
        <v>0.74967565482660603</v>
      </c>
      <c r="R14">
        <v>0</v>
      </c>
      <c r="S14">
        <v>0</v>
      </c>
      <c r="T14" t="s">
        <v>28</v>
      </c>
      <c r="U14">
        <v>1.5622641509433899E-2</v>
      </c>
      <c r="V14">
        <v>0</v>
      </c>
      <c r="W14">
        <v>0</v>
      </c>
      <c r="X14">
        <v>2.2436492251768601E-2</v>
      </c>
      <c r="Y14">
        <v>0.20590950624798901</v>
      </c>
      <c r="Z14">
        <v>0.45511651543241699</v>
      </c>
      <c r="AA14">
        <v>0</v>
      </c>
      <c r="AB14">
        <f t="shared" si="0"/>
        <v>0.18867712483079668</v>
      </c>
      <c r="AC14">
        <f t="shared" si="5"/>
        <v>0.25</v>
      </c>
      <c r="AD14">
        <f t="shared" si="1"/>
        <v>0</v>
      </c>
      <c r="AE14">
        <f t="shared" si="6"/>
        <v>0.23584640603849585</v>
      </c>
      <c r="AF14" t="str">
        <f t="shared" si="2"/>
        <v>Low</v>
      </c>
      <c r="AG14" t="str">
        <f t="shared" si="3"/>
        <v>NO ACTION</v>
      </c>
      <c r="AH14" t="str">
        <f t="shared" si="4"/>
        <v/>
      </c>
    </row>
    <row r="15" spans="1:34" x14ac:dyDescent="0.3">
      <c r="A15" t="s">
        <v>41</v>
      </c>
      <c r="B15">
        <v>0.14744801512287301</v>
      </c>
      <c r="C15">
        <v>0.43002604690532897</v>
      </c>
      <c r="D15">
        <v>0.45820096690366602</v>
      </c>
      <c r="E15">
        <v>0.34686971235194503</v>
      </c>
      <c r="F15">
        <v>9.6446700507614197E-2</v>
      </c>
      <c r="G15">
        <v>0.85123811356296897</v>
      </c>
      <c r="H15">
        <v>0</v>
      </c>
      <c r="I15">
        <v>23</v>
      </c>
      <c r="J15">
        <v>0.86198177567864098</v>
      </c>
      <c r="K15">
        <v>5.30179445350734E-2</v>
      </c>
      <c r="L15">
        <v>1.57066392249622E-2</v>
      </c>
      <c r="M15">
        <v>1.47186147186147E-2</v>
      </c>
      <c r="N15">
        <v>1.0315979230935199E-2</v>
      </c>
      <c r="O15">
        <v>1716</v>
      </c>
      <c r="P15">
        <v>0.66365039281705895</v>
      </c>
      <c r="Q15">
        <v>0.66366282127704301</v>
      </c>
      <c r="R15">
        <v>9.1445427728613499E-2</v>
      </c>
      <c r="S15">
        <v>1</v>
      </c>
      <c r="T15" t="s">
        <v>28</v>
      </c>
      <c r="U15">
        <v>2.1226415094339601E-2</v>
      </c>
      <c r="V15">
        <v>0</v>
      </c>
      <c r="W15">
        <v>4.9435049099567398E-2</v>
      </c>
      <c r="X15">
        <v>0.28009988397972901</v>
      </c>
      <c r="Y15">
        <v>0.18334446851748901</v>
      </c>
      <c r="Z15">
        <v>0.40231662738260898</v>
      </c>
      <c r="AA15">
        <v>9.1445427728613499E-2</v>
      </c>
      <c r="AB15">
        <f t="shared" si="0"/>
        <v>0.23440580805279587</v>
      </c>
      <c r="AC15">
        <f t="shared" si="5"/>
        <v>0.25</v>
      </c>
      <c r="AD15">
        <f t="shared" si="1"/>
        <v>0</v>
      </c>
      <c r="AE15">
        <f t="shared" si="6"/>
        <v>0.29300726006599487</v>
      </c>
      <c r="AF15" t="str">
        <f t="shared" si="2"/>
        <v>Low</v>
      </c>
      <c r="AG15" t="str">
        <f t="shared" si="3"/>
        <v>NO ACTION</v>
      </c>
      <c r="AH15" t="str">
        <f t="shared" si="4"/>
        <v/>
      </c>
    </row>
    <row r="16" spans="1:34" x14ac:dyDescent="0.3">
      <c r="A16" t="s">
        <v>42</v>
      </c>
      <c r="B16">
        <v>0.12892249527410199</v>
      </c>
      <c r="C16">
        <v>0</v>
      </c>
      <c r="D16">
        <v>0</v>
      </c>
      <c r="E16">
        <v>0</v>
      </c>
      <c r="F16">
        <v>1</v>
      </c>
      <c r="G16">
        <v>0.99365351767558296</v>
      </c>
      <c r="H16">
        <v>6</v>
      </c>
      <c r="I16">
        <v>6</v>
      </c>
      <c r="J16">
        <v>0.97204331854396198</v>
      </c>
      <c r="K16">
        <v>4.6492659053833603E-2</v>
      </c>
      <c r="L16">
        <v>1.22143633808608E-2</v>
      </c>
      <c r="M16">
        <v>1.6738816738816699E-2</v>
      </c>
      <c r="N16">
        <v>1.0403856311609E-2</v>
      </c>
      <c r="O16">
        <v>1894</v>
      </c>
      <c r="P16">
        <v>0.74273989898989901</v>
      </c>
      <c r="Q16">
        <v>0.74273291489883897</v>
      </c>
      <c r="R16">
        <v>0</v>
      </c>
      <c r="S16">
        <v>0</v>
      </c>
      <c r="T16" t="s">
        <v>28</v>
      </c>
      <c r="U16">
        <v>1.64055004796929E-2</v>
      </c>
      <c r="V16">
        <v>0</v>
      </c>
      <c r="W16">
        <v>0</v>
      </c>
      <c r="X16">
        <v>0.4</v>
      </c>
      <c r="Y16">
        <v>0.20363700229270501</v>
      </c>
      <c r="Z16">
        <v>0.44980548191858299</v>
      </c>
      <c r="AA16">
        <v>0</v>
      </c>
      <c r="AB16">
        <f t="shared" si="0"/>
        <v>0.24696389557916065</v>
      </c>
      <c r="AC16">
        <f t="shared" si="5"/>
        <v>0.25</v>
      </c>
      <c r="AD16">
        <f t="shared" si="1"/>
        <v>0.08</v>
      </c>
      <c r="AE16">
        <f t="shared" si="6"/>
        <v>0.32846198112028369</v>
      </c>
      <c r="AF16" t="str">
        <f t="shared" si="2"/>
        <v>Low</v>
      </c>
      <c r="AG16" t="str">
        <f t="shared" si="3"/>
        <v>NO ACTION</v>
      </c>
      <c r="AH16" t="str">
        <f t="shared" si="4"/>
        <v/>
      </c>
    </row>
    <row r="17" spans="1:34" x14ac:dyDescent="0.3">
      <c r="A17" t="s">
        <v>43</v>
      </c>
      <c r="B17">
        <v>0.153875236294896</v>
      </c>
      <c r="C17">
        <v>0.30839259529185098</v>
      </c>
      <c r="D17">
        <v>0.27518141164861498</v>
      </c>
      <c r="E17">
        <v>0</v>
      </c>
      <c r="F17">
        <v>0</v>
      </c>
      <c r="G17">
        <v>0.80980614878373802</v>
      </c>
      <c r="H17">
        <v>7</v>
      </c>
      <c r="I17">
        <v>16</v>
      </c>
      <c r="J17">
        <v>0.79829206621821402</v>
      </c>
      <c r="K17">
        <v>3.9967373572593799E-2</v>
      </c>
      <c r="L17">
        <v>1.27847628564431E-2</v>
      </c>
      <c r="M17">
        <v>1.7027417027416999E-2</v>
      </c>
      <c r="N17">
        <v>1.28860253008896E-2</v>
      </c>
      <c r="O17">
        <v>1651</v>
      </c>
      <c r="P17">
        <v>0.61233866442199703</v>
      </c>
      <c r="Q17">
        <v>0.61236368736631697</v>
      </c>
      <c r="R17">
        <v>0.76106194690265405</v>
      </c>
      <c r="S17">
        <v>1</v>
      </c>
      <c r="T17" t="s">
        <v>28</v>
      </c>
      <c r="U17">
        <v>1.38679245283018E-2</v>
      </c>
      <c r="V17">
        <v>0</v>
      </c>
      <c r="W17">
        <v>0</v>
      </c>
      <c r="X17">
        <v>8.2554423494584694E-2</v>
      </c>
      <c r="Y17">
        <v>0.16991660226213101</v>
      </c>
      <c r="Z17">
        <v>0.37255760877355398</v>
      </c>
      <c r="AA17">
        <v>0.76106194690265405</v>
      </c>
      <c r="AB17">
        <f t="shared" si="0"/>
        <v>0.37819883198186854</v>
      </c>
      <c r="AC17">
        <f t="shared" si="5"/>
        <v>0.25</v>
      </c>
      <c r="AD17">
        <f t="shared" si="1"/>
        <v>0</v>
      </c>
      <c r="AE17">
        <f t="shared" si="6"/>
        <v>0.47274853997733568</v>
      </c>
      <c r="AF17" t="str">
        <f t="shared" si="2"/>
        <v>Medium</v>
      </c>
      <c r="AG17" t="str">
        <f t="shared" si="3"/>
        <v>REVIEW</v>
      </c>
      <c r="AH17" t="str">
        <f t="shared" si="4"/>
        <v>USB anomaly</v>
      </c>
    </row>
    <row r="18" spans="1:34" x14ac:dyDescent="0.3">
      <c r="A18" t="s">
        <v>44</v>
      </c>
      <c r="B18">
        <v>0.12892249527410199</v>
      </c>
      <c r="C18">
        <v>0.18476582604220201</v>
      </c>
      <c r="D18">
        <v>0</v>
      </c>
      <c r="E18">
        <v>0</v>
      </c>
      <c r="F18">
        <v>0</v>
      </c>
      <c r="G18">
        <v>0.99367449963146504</v>
      </c>
      <c r="H18">
        <v>7</v>
      </c>
      <c r="I18">
        <v>7</v>
      </c>
      <c r="J18">
        <v>0.88244835647154196</v>
      </c>
      <c r="K18">
        <v>5.1386623164763397E-2</v>
      </c>
      <c r="L18">
        <v>1.4870378848775401E-2</v>
      </c>
      <c r="M18">
        <v>1.9624819624819601E-2</v>
      </c>
      <c r="N18">
        <v>1.3435714527488299E-2</v>
      </c>
      <c r="O18">
        <v>1720</v>
      </c>
      <c r="P18">
        <v>0.68038019079685697</v>
      </c>
      <c r="Q18">
        <v>0.68038851292121005</v>
      </c>
      <c r="R18">
        <v>0</v>
      </c>
      <c r="S18">
        <v>0</v>
      </c>
      <c r="T18" t="s">
        <v>28</v>
      </c>
      <c r="U18">
        <v>1.55045118949958E-2</v>
      </c>
      <c r="V18">
        <v>0</v>
      </c>
      <c r="W18">
        <v>0</v>
      </c>
      <c r="X18">
        <v>0</v>
      </c>
      <c r="Y18">
        <v>0.18795557507694199</v>
      </c>
      <c r="Z18">
        <v>0.413602400289109</v>
      </c>
      <c r="AA18">
        <v>0</v>
      </c>
      <c r="AB18">
        <f t="shared" si="0"/>
        <v>0.16843623310249428</v>
      </c>
      <c r="AC18">
        <f t="shared" si="5"/>
        <v>0.25</v>
      </c>
      <c r="AD18">
        <f t="shared" si="1"/>
        <v>0</v>
      </c>
      <c r="AE18">
        <f t="shared" si="6"/>
        <v>0.21054529137811784</v>
      </c>
      <c r="AF18" t="str">
        <f t="shared" si="2"/>
        <v>Low</v>
      </c>
      <c r="AG18" t="str">
        <f t="shared" si="3"/>
        <v>NO ACTION</v>
      </c>
      <c r="AH18" t="str">
        <f t="shared" si="4"/>
        <v/>
      </c>
    </row>
    <row r="19" spans="1:34" x14ac:dyDescent="0.3">
      <c r="A19" t="s">
        <v>45</v>
      </c>
      <c r="B19">
        <v>0.12892249527410199</v>
      </c>
      <c r="C19">
        <v>0.46057568230809898</v>
      </c>
      <c r="D19">
        <v>7.5124914167671697E-2</v>
      </c>
      <c r="E19">
        <v>0</v>
      </c>
      <c r="F19">
        <v>0</v>
      </c>
      <c r="G19">
        <v>0.99368753306579505</v>
      </c>
      <c r="H19">
        <v>8</v>
      </c>
      <c r="I19">
        <v>9</v>
      </c>
      <c r="J19">
        <v>0.78498163255569797</v>
      </c>
      <c r="K19">
        <v>4.07830342577487E-2</v>
      </c>
      <c r="L19">
        <v>1.32668164115374E-2</v>
      </c>
      <c r="M19">
        <v>3.7518037518037501E-3</v>
      </c>
      <c r="N19">
        <v>2.8874231802720699E-3</v>
      </c>
      <c r="O19">
        <v>1537</v>
      </c>
      <c r="P19">
        <v>0.59645061728394999</v>
      </c>
      <c r="Q19">
        <v>0.59647953995581804</v>
      </c>
      <c r="R19">
        <v>0</v>
      </c>
      <c r="S19">
        <v>0</v>
      </c>
      <c r="T19" t="s">
        <v>28</v>
      </c>
      <c r="U19">
        <v>6.0646900269541698E-2</v>
      </c>
      <c r="V19">
        <v>0</v>
      </c>
      <c r="W19">
        <v>0</v>
      </c>
      <c r="X19">
        <v>2.25374742503015E-2</v>
      </c>
      <c r="Y19">
        <v>0.16449596167099001</v>
      </c>
      <c r="Z19">
        <v>0.35902533964247901</v>
      </c>
      <c r="AA19">
        <v>0</v>
      </c>
      <c r="AB19">
        <f t="shared" si="0"/>
        <v>0.15019196024781958</v>
      </c>
      <c r="AC19">
        <f t="shared" si="5"/>
        <v>0.25</v>
      </c>
      <c r="AD19">
        <f t="shared" si="1"/>
        <v>0</v>
      </c>
      <c r="AE19">
        <f t="shared" si="6"/>
        <v>0.18773995030977447</v>
      </c>
      <c r="AF19" t="str">
        <f t="shared" si="2"/>
        <v>Very Low</v>
      </c>
      <c r="AG19" t="str">
        <f t="shared" si="3"/>
        <v>NO ACTION</v>
      </c>
      <c r="AH19" t="str">
        <f t="shared" si="4"/>
        <v/>
      </c>
    </row>
    <row r="20" spans="1:34" x14ac:dyDescent="0.3">
      <c r="A20" t="s">
        <v>46</v>
      </c>
      <c r="B20">
        <v>0.12892249527410199</v>
      </c>
      <c r="C20">
        <v>0.36953165208440503</v>
      </c>
      <c r="D20">
        <v>0</v>
      </c>
      <c r="E20">
        <v>0</v>
      </c>
      <c r="F20">
        <v>0</v>
      </c>
      <c r="G20">
        <v>0.99367112753141196</v>
      </c>
      <c r="H20">
        <v>8</v>
      </c>
      <c r="I20">
        <v>8</v>
      </c>
      <c r="J20">
        <v>0.86937646104670496</v>
      </c>
      <c r="K20">
        <v>4.7308319738988497E-2</v>
      </c>
      <c r="L20">
        <v>1.3895978512633999E-2</v>
      </c>
      <c r="M20">
        <v>4.9062049062049001E-3</v>
      </c>
      <c r="N20">
        <v>3.40941943970252E-3</v>
      </c>
      <c r="O20">
        <v>1688</v>
      </c>
      <c r="P20">
        <v>0.66186167227833903</v>
      </c>
      <c r="Q20">
        <v>0.66187453978049704</v>
      </c>
      <c r="R20">
        <v>0</v>
      </c>
      <c r="S20">
        <v>0</v>
      </c>
      <c r="T20" t="s">
        <v>28</v>
      </c>
      <c r="U20">
        <v>5.4716981132075397E-2</v>
      </c>
      <c r="V20">
        <v>0</v>
      </c>
      <c r="W20">
        <v>0</v>
      </c>
      <c r="X20">
        <v>0</v>
      </c>
      <c r="Y20">
        <v>0.181846107297568</v>
      </c>
      <c r="Z20">
        <v>0.39848077114288399</v>
      </c>
      <c r="AA20">
        <v>0</v>
      </c>
      <c r="AB20">
        <f t="shared" si="0"/>
        <v>0.16249152596332658</v>
      </c>
      <c r="AC20">
        <f t="shared" si="5"/>
        <v>0.25</v>
      </c>
      <c r="AD20">
        <f t="shared" si="1"/>
        <v>0</v>
      </c>
      <c r="AE20">
        <f t="shared" si="6"/>
        <v>0.20311440745415824</v>
      </c>
      <c r="AF20" t="str">
        <f t="shared" si="2"/>
        <v>Low</v>
      </c>
      <c r="AG20" t="str">
        <f t="shared" si="3"/>
        <v>NO ACTION</v>
      </c>
      <c r="AH20" t="str">
        <f t="shared" si="4"/>
        <v/>
      </c>
    </row>
    <row r="21" spans="1:34" x14ac:dyDescent="0.3">
      <c r="A21" t="s">
        <v>47</v>
      </c>
      <c r="B21">
        <v>0.12892249527410199</v>
      </c>
      <c r="C21">
        <v>0.36953165208440503</v>
      </c>
      <c r="D21">
        <v>0</v>
      </c>
      <c r="E21">
        <v>0</v>
      </c>
      <c r="F21">
        <v>0</v>
      </c>
      <c r="G21">
        <v>0.99367393761478995</v>
      </c>
      <c r="H21">
        <v>8</v>
      </c>
      <c r="I21">
        <v>8</v>
      </c>
      <c r="J21">
        <v>0.59978054482133403</v>
      </c>
      <c r="K21">
        <v>3.2626427406198998E-2</v>
      </c>
      <c r="L21">
        <v>1.3889387378070699E-2</v>
      </c>
      <c r="M21">
        <v>4.0404040404040404E-3</v>
      </c>
      <c r="N21">
        <v>4.0693168466087197E-3</v>
      </c>
      <c r="O21">
        <v>1218</v>
      </c>
      <c r="P21">
        <v>0.456930415263748</v>
      </c>
      <c r="Q21">
        <v>0.45699358322521799</v>
      </c>
      <c r="R21">
        <v>0</v>
      </c>
      <c r="S21">
        <v>0</v>
      </c>
      <c r="T21" t="s">
        <v>28</v>
      </c>
      <c r="U21">
        <v>4.5283018867924497E-2</v>
      </c>
      <c r="V21">
        <v>0</v>
      </c>
      <c r="W21">
        <v>0</v>
      </c>
      <c r="X21">
        <v>0</v>
      </c>
      <c r="Y21">
        <v>0.12812159770728401</v>
      </c>
      <c r="Z21">
        <v>0.27578597589689202</v>
      </c>
      <c r="AA21">
        <v>0</v>
      </c>
      <c r="AB21">
        <f t="shared" si="0"/>
        <v>0.11309412060916929</v>
      </c>
      <c r="AC21">
        <f t="shared" si="5"/>
        <v>0.25</v>
      </c>
      <c r="AD21">
        <f t="shared" si="1"/>
        <v>0</v>
      </c>
      <c r="AE21">
        <f t="shared" si="6"/>
        <v>0.14136765076146163</v>
      </c>
      <c r="AF21" t="str">
        <f t="shared" si="2"/>
        <v>Very Low</v>
      </c>
      <c r="AG21" t="str">
        <f t="shared" si="3"/>
        <v>NO ACTION</v>
      </c>
      <c r="AH21" t="str">
        <f t="shared" si="4"/>
        <v/>
      </c>
    </row>
    <row r="22" spans="1:34" x14ac:dyDescent="0.3">
      <c r="A22" t="s">
        <v>48</v>
      </c>
      <c r="B22">
        <v>0.12892249527410199</v>
      </c>
      <c r="C22">
        <v>0.18476582604220201</v>
      </c>
      <c r="D22">
        <v>0</v>
      </c>
      <c r="E22">
        <v>0</v>
      </c>
      <c r="F22">
        <v>0</v>
      </c>
      <c r="G22">
        <v>0.99368683723562601</v>
      </c>
      <c r="H22">
        <v>7</v>
      </c>
      <c r="I22">
        <v>7</v>
      </c>
      <c r="J22">
        <v>0.77644196364677198</v>
      </c>
      <c r="K22">
        <v>3.0995106035889002E-2</v>
      </c>
      <c r="L22">
        <v>1.01936415111361E-2</v>
      </c>
      <c r="M22">
        <v>3.7518037518037501E-3</v>
      </c>
      <c r="N22">
        <v>2.9191706464433702E-3</v>
      </c>
      <c r="O22">
        <v>1528</v>
      </c>
      <c r="P22">
        <v>0.58596380471380405</v>
      </c>
      <c r="Q22">
        <v>0.58599530137802802</v>
      </c>
      <c r="R22">
        <v>0</v>
      </c>
      <c r="S22">
        <v>0</v>
      </c>
      <c r="T22" t="s">
        <v>28</v>
      </c>
      <c r="U22">
        <v>4.6091644204851699E-2</v>
      </c>
      <c r="V22">
        <v>0</v>
      </c>
      <c r="W22">
        <v>0</v>
      </c>
      <c r="X22">
        <v>0</v>
      </c>
      <c r="Y22">
        <v>0.16126096467885501</v>
      </c>
      <c r="Z22">
        <v>0.35274595108686002</v>
      </c>
      <c r="AA22">
        <v>0</v>
      </c>
      <c r="AB22">
        <f t="shared" si="0"/>
        <v>0.14392193641440021</v>
      </c>
      <c r="AC22">
        <f t="shared" si="5"/>
        <v>0.25</v>
      </c>
      <c r="AD22">
        <f t="shared" si="1"/>
        <v>0</v>
      </c>
      <c r="AE22">
        <f t="shared" si="6"/>
        <v>0.17990242051800026</v>
      </c>
      <c r="AF22" t="str">
        <f t="shared" si="2"/>
        <v>Very Low</v>
      </c>
      <c r="AG22" t="str">
        <f t="shared" si="3"/>
        <v>NO ACTION</v>
      </c>
      <c r="AH22" t="str">
        <f t="shared" si="4"/>
        <v/>
      </c>
    </row>
    <row r="23" spans="1:34" x14ac:dyDescent="0.3">
      <c r="A23" t="s">
        <v>49</v>
      </c>
      <c r="B23">
        <v>0.12892249527410199</v>
      </c>
      <c r="C23">
        <v>0.36953165208440503</v>
      </c>
      <c r="D23">
        <v>0</v>
      </c>
      <c r="E23">
        <v>0</v>
      </c>
      <c r="F23">
        <v>0</v>
      </c>
      <c r="G23">
        <v>0.99368627521895003</v>
      </c>
      <c r="H23">
        <v>8</v>
      </c>
      <c r="I23">
        <v>8</v>
      </c>
      <c r="J23">
        <v>1</v>
      </c>
      <c r="K23">
        <v>3.9967373572593799E-2</v>
      </c>
      <c r="L23">
        <v>1.02065897496491E-2</v>
      </c>
      <c r="M23">
        <v>1.4430014430014401E-2</v>
      </c>
      <c r="N23">
        <v>8.7181623955448206E-3</v>
      </c>
      <c r="O23">
        <v>1812</v>
      </c>
      <c r="P23">
        <v>0.75936447811447805</v>
      </c>
      <c r="Q23">
        <v>0.75935341351379704</v>
      </c>
      <c r="R23">
        <v>0</v>
      </c>
      <c r="S23">
        <v>0</v>
      </c>
      <c r="T23" t="s">
        <v>28</v>
      </c>
      <c r="U23">
        <v>1.6315205327413901E-2</v>
      </c>
      <c r="V23">
        <v>0</v>
      </c>
      <c r="W23">
        <v>0</v>
      </c>
      <c r="X23">
        <v>0</v>
      </c>
      <c r="Y23">
        <v>0.20771874359348799</v>
      </c>
      <c r="Z23">
        <v>0.459105951826904</v>
      </c>
      <c r="AA23">
        <v>0</v>
      </c>
      <c r="AB23">
        <f t="shared" si="0"/>
        <v>0.18671091471770979</v>
      </c>
      <c r="AC23">
        <f t="shared" si="5"/>
        <v>0.25</v>
      </c>
      <c r="AD23">
        <f t="shared" si="1"/>
        <v>0</v>
      </c>
      <c r="AE23">
        <f t="shared" si="6"/>
        <v>0.23338864339713722</v>
      </c>
      <c r="AF23" t="str">
        <f t="shared" si="2"/>
        <v>Low</v>
      </c>
      <c r="AG23" t="str">
        <f t="shared" si="3"/>
        <v>NO ACTION</v>
      </c>
      <c r="AH23" t="str">
        <f t="shared" si="4"/>
        <v/>
      </c>
    </row>
    <row r="24" spans="1:34" x14ac:dyDescent="0.3">
      <c r="A24" t="s">
        <v>50</v>
      </c>
      <c r="B24">
        <v>0.12892249527410199</v>
      </c>
      <c r="C24">
        <v>0.36953165208440503</v>
      </c>
      <c r="D24">
        <v>0</v>
      </c>
      <c r="E24">
        <v>0</v>
      </c>
      <c r="F24">
        <v>0</v>
      </c>
      <c r="G24">
        <v>0.99367326854731897</v>
      </c>
      <c r="H24">
        <v>8</v>
      </c>
      <c r="I24">
        <v>8</v>
      </c>
      <c r="J24">
        <v>0.66475836076522998</v>
      </c>
      <c r="K24">
        <v>1.9575856443719401E-2</v>
      </c>
      <c r="L24">
        <v>7.5193410597888897E-3</v>
      </c>
      <c r="M24">
        <v>6.3492063492063397E-3</v>
      </c>
      <c r="N24">
        <v>5.7698110930050001E-3</v>
      </c>
      <c r="O24">
        <v>1319</v>
      </c>
      <c r="P24">
        <v>0.50021043771043705</v>
      </c>
      <c r="Q24">
        <v>0.50026298257302104</v>
      </c>
      <c r="R24">
        <v>0</v>
      </c>
      <c r="S24">
        <v>0</v>
      </c>
      <c r="T24" t="s">
        <v>28</v>
      </c>
      <c r="U24">
        <v>1.77194421657095E-2</v>
      </c>
      <c r="V24">
        <v>0</v>
      </c>
      <c r="W24">
        <v>0</v>
      </c>
      <c r="X24">
        <v>0</v>
      </c>
      <c r="Y24">
        <v>0.13844228601084199</v>
      </c>
      <c r="Z24">
        <v>0.30243418706346398</v>
      </c>
      <c r="AA24">
        <v>0</v>
      </c>
      <c r="AB24">
        <f t="shared" si="0"/>
        <v>0.12344541246080568</v>
      </c>
      <c r="AC24">
        <f t="shared" si="5"/>
        <v>0.25</v>
      </c>
      <c r="AD24">
        <f t="shared" si="1"/>
        <v>0</v>
      </c>
      <c r="AE24">
        <f t="shared" si="6"/>
        <v>0.15430676557600709</v>
      </c>
      <c r="AF24" t="str">
        <f t="shared" si="2"/>
        <v>Very Low</v>
      </c>
      <c r="AG24" t="str">
        <f t="shared" si="3"/>
        <v>NO ACTION</v>
      </c>
      <c r="AH24" t="str">
        <f t="shared" si="4"/>
        <v/>
      </c>
    </row>
    <row r="25" spans="1:34" x14ac:dyDescent="0.3">
      <c r="A25" t="s">
        <v>51</v>
      </c>
      <c r="B25">
        <v>0.12892249527410199</v>
      </c>
      <c r="C25">
        <v>0.46164678854602498</v>
      </c>
      <c r="D25">
        <v>7.5132489407342906E-2</v>
      </c>
      <c r="E25">
        <v>0</v>
      </c>
      <c r="F25">
        <v>0</v>
      </c>
      <c r="G25">
        <v>0.99370551759940895</v>
      </c>
      <c r="H25">
        <v>8</v>
      </c>
      <c r="I25">
        <v>9</v>
      </c>
      <c r="J25">
        <v>0.828109345928152</v>
      </c>
      <c r="K25">
        <v>2.5285481239804199E-2</v>
      </c>
      <c r="L25">
        <v>7.7971715381470099E-3</v>
      </c>
      <c r="M25">
        <v>5.7720057720057703E-3</v>
      </c>
      <c r="N25">
        <v>4.2109080869663701E-3</v>
      </c>
      <c r="O25">
        <v>1614</v>
      </c>
      <c r="P25">
        <v>0.62247474747474696</v>
      </c>
      <c r="Q25">
        <v>0.62249728251341196</v>
      </c>
      <c r="R25">
        <v>0</v>
      </c>
      <c r="S25">
        <v>0</v>
      </c>
      <c r="T25" t="s">
        <v>28</v>
      </c>
      <c r="U25">
        <v>2.5067385444743899E-2</v>
      </c>
      <c r="V25">
        <v>0</v>
      </c>
      <c r="W25">
        <v>0</v>
      </c>
      <c r="X25">
        <v>2.2539746822202798E-2</v>
      </c>
      <c r="Y25">
        <v>0.170783727380793</v>
      </c>
      <c r="Z25">
        <v>0.37516921171963502</v>
      </c>
      <c r="AA25">
        <v>0</v>
      </c>
      <c r="AB25">
        <f t="shared" si="0"/>
        <v>0.15647318243967231</v>
      </c>
      <c r="AC25">
        <f t="shared" si="5"/>
        <v>0.25</v>
      </c>
      <c r="AD25">
        <f t="shared" si="1"/>
        <v>0</v>
      </c>
      <c r="AE25">
        <f t="shared" si="6"/>
        <v>0.1955914780495904</v>
      </c>
      <c r="AF25" t="str">
        <f t="shared" si="2"/>
        <v>Very Low</v>
      </c>
      <c r="AG25" t="str">
        <f t="shared" si="3"/>
        <v>NO ACTION</v>
      </c>
      <c r="AH25" t="str">
        <f t="shared" si="4"/>
        <v/>
      </c>
    </row>
    <row r="26" spans="1:34" x14ac:dyDescent="0.3">
      <c r="A26" t="s">
        <v>52</v>
      </c>
      <c r="B26">
        <v>4.2344045368619999E-2</v>
      </c>
      <c r="C26">
        <v>0.55429747812660801</v>
      </c>
      <c r="D26">
        <v>0.49548341326059903</v>
      </c>
      <c r="E26">
        <v>0.785440613026819</v>
      </c>
      <c r="F26">
        <v>6.0344827586206899E-2</v>
      </c>
      <c r="G26">
        <v>0.40590417383711103</v>
      </c>
      <c r="H26">
        <v>0</v>
      </c>
      <c r="I26">
        <v>22</v>
      </c>
      <c r="J26">
        <v>4.2459806306951002E-2</v>
      </c>
      <c r="K26">
        <v>0</v>
      </c>
      <c r="L26">
        <v>0</v>
      </c>
      <c r="M26">
        <v>2.88600288600288E-4</v>
      </c>
      <c r="N26">
        <v>4.08458084435738E-3</v>
      </c>
      <c r="O26">
        <v>149</v>
      </c>
      <c r="P26">
        <v>3.1355218855218803E-2</v>
      </c>
      <c r="Q26">
        <v>3.1522844419509803E-2</v>
      </c>
      <c r="R26">
        <v>8.8495575221238902E-3</v>
      </c>
      <c r="S26">
        <v>1</v>
      </c>
      <c r="T26" t="s">
        <v>53</v>
      </c>
      <c r="U26">
        <v>0</v>
      </c>
      <c r="V26">
        <v>0</v>
      </c>
      <c r="W26">
        <v>0</v>
      </c>
      <c r="X26">
        <v>0.40841513892070802</v>
      </c>
      <c r="Y26">
        <v>9.7173355146974102E-3</v>
      </c>
      <c r="Z26">
        <v>2.04469636508742E-2</v>
      </c>
      <c r="AA26">
        <v>8.8495575221238902E-3</v>
      </c>
      <c r="AB26">
        <f t="shared" si="0"/>
        <v>7.6270302099868029E-2</v>
      </c>
      <c r="AC26">
        <f t="shared" si="5"/>
        <v>0.1</v>
      </c>
      <c r="AD26">
        <f t="shared" si="1"/>
        <v>0.05</v>
      </c>
      <c r="AE26">
        <f t="shared" si="6"/>
        <v>8.7710847414848248E-2</v>
      </c>
      <c r="AF26" t="str">
        <f t="shared" si="2"/>
        <v>Very Low</v>
      </c>
      <c r="AG26" t="str">
        <f t="shared" si="3"/>
        <v>NO ACTION</v>
      </c>
      <c r="AH26" t="str">
        <f t="shared" si="4"/>
        <v/>
      </c>
    </row>
    <row r="27" spans="1:34" x14ac:dyDescent="0.3">
      <c r="A27" t="s">
        <v>54</v>
      </c>
      <c r="B27">
        <v>0.17164461247637</v>
      </c>
      <c r="C27">
        <v>0.36549746374287201</v>
      </c>
      <c r="D27">
        <v>0.30657413194543198</v>
      </c>
      <c r="E27">
        <v>0</v>
      </c>
      <c r="F27">
        <v>0</v>
      </c>
      <c r="G27">
        <v>0.71123582701938104</v>
      </c>
      <c r="H27">
        <v>7</v>
      </c>
      <c r="I27">
        <v>15</v>
      </c>
      <c r="J27">
        <v>0.60269071132102403</v>
      </c>
      <c r="K27">
        <v>2.1207177814029299E-2</v>
      </c>
      <c r="L27">
        <v>8.9845257386530399E-3</v>
      </c>
      <c r="M27">
        <v>4.6176046176046098E-3</v>
      </c>
      <c r="N27">
        <v>4.6282004819748097E-3</v>
      </c>
      <c r="O27">
        <v>1272</v>
      </c>
      <c r="P27">
        <v>0.45444023569023501</v>
      </c>
      <c r="Q27">
        <v>0.45450401486728098</v>
      </c>
      <c r="R27">
        <v>0</v>
      </c>
      <c r="S27">
        <v>0</v>
      </c>
      <c r="T27" t="s">
        <v>28</v>
      </c>
      <c r="U27">
        <v>2.59711431742508E-2</v>
      </c>
      <c r="V27">
        <v>0</v>
      </c>
      <c r="W27">
        <v>0</v>
      </c>
      <c r="X27">
        <v>9.1972239583629697E-2</v>
      </c>
      <c r="Y27">
        <v>0.12641886527812299</v>
      </c>
      <c r="Z27">
        <v>0.27451542160693099</v>
      </c>
      <c r="AA27">
        <v>0</v>
      </c>
      <c r="AB27">
        <f t="shared" si="0"/>
        <v>0.12697715866119585</v>
      </c>
      <c r="AC27">
        <f t="shared" si="5"/>
        <v>0.25</v>
      </c>
      <c r="AD27">
        <f t="shared" si="1"/>
        <v>0</v>
      </c>
      <c r="AE27">
        <f t="shared" si="6"/>
        <v>0.15872144832649482</v>
      </c>
      <c r="AF27" t="str">
        <f t="shared" si="2"/>
        <v>Very Low</v>
      </c>
      <c r="AG27" t="str">
        <f t="shared" si="3"/>
        <v>NO ACTION</v>
      </c>
      <c r="AH27" t="str">
        <f t="shared" si="4"/>
        <v/>
      </c>
    </row>
    <row r="28" spans="1:34" x14ac:dyDescent="0.3">
      <c r="A28" t="s">
        <v>55</v>
      </c>
      <c r="B28">
        <v>0.240075614366729</v>
      </c>
      <c r="C28">
        <v>0.68470340542712904</v>
      </c>
      <c r="D28">
        <v>0.371678587911</v>
      </c>
      <c r="E28">
        <v>0</v>
      </c>
      <c r="F28">
        <v>0</v>
      </c>
      <c r="G28">
        <v>0.46754219504054301</v>
      </c>
      <c r="H28">
        <v>7</v>
      </c>
      <c r="I28">
        <v>17</v>
      </c>
      <c r="J28">
        <v>0.89537712895377097</v>
      </c>
      <c r="K28">
        <v>2.5285481239804199E-2</v>
      </c>
      <c r="L28">
        <v>7.2115426099635897E-3</v>
      </c>
      <c r="M28">
        <v>6.63780663780663E-3</v>
      </c>
      <c r="N28">
        <v>4.47883112348035E-3</v>
      </c>
      <c r="O28">
        <v>1796</v>
      </c>
      <c r="P28">
        <v>0.67234848484848497</v>
      </c>
      <c r="Q28">
        <v>0.67235877835828695</v>
      </c>
      <c r="R28">
        <v>0.76696165191740395</v>
      </c>
      <c r="S28">
        <v>1</v>
      </c>
      <c r="T28" t="s">
        <v>28</v>
      </c>
      <c r="U28">
        <v>2.19339622641509E-2</v>
      </c>
      <c r="V28">
        <v>0</v>
      </c>
      <c r="W28">
        <v>0</v>
      </c>
      <c r="X28">
        <v>0.1115035763733</v>
      </c>
      <c r="Y28">
        <v>0.18402484643278</v>
      </c>
      <c r="Z28">
        <v>0.405200623358483</v>
      </c>
      <c r="AA28">
        <v>0.76696165191740395</v>
      </c>
      <c r="AB28">
        <f t="shared" si="0"/>
        <v>0.39757296629815475</v>
      </c>
      <c r="AC28">
        <f t="shared" si="5"/>
        <v>0.25</v>
      </c>
      <c r="AD28">
        <f t="shared" si="1"/>
        <v>0</v>
      </c>
      <c r="AE28">
        <f t="shared" si="6"/>
        <v>0.49696620787269341</v>
      </c>
      <c r="AF28" t="str">
        <f t="shared" si="2"/>
        <v>Medium</v>
      </c>
      <c r="AG28" t="str">
        <f t="shared" si="3"/>
        <v>REVIEW</v>
      </c>
      <c r="AH28" t="str">
        <f t="shared" si="4"/>
        <v>USB anomaly</v>
      </c>
    </row>
    <row r="29" spans="1:34" x14ac:dyDescent="0.3">
      <c r="A29" t="s">
        <v>56</v>
      </c>
      <c r="B29">
        <v>0.24310018903591599</v>
      </c>
      <c r="C29">
        <v>0.67795065073290395</v>
      </c>
      <c r="D29">
        <v>0.36920623035627398</v>
      </c>
      <c r="E29">
        <v>0</v>
      </c>
      <c r="F29">
        <v>0</v>
      </c>
      <c r="G29">
        <v>0.459860807551497</v>
      </c>
      <c r="H29">
        <v>7</v>
      </c>
      <c r="I29">
        <v>16</v>
      </c>
      <c r="J29">
        <v>0.72048089308716101</v>
      </c>
      <c r="K29">
        <v>2.36541598694942E-2</v>
      </c>
      <c r="L29">
        <v>8.3833949933240694E-3</v>
      </c>
      <c r="M29">
        <v>1.8759018759018701E-2</v>
      </c>
      <c r="N29">
        <v>1.5729164666743199E-2</v>
      </c>
      <c r="O29">
        <v>1646</v>
      </c>
      <c r="P29">
        <v>0.54896184062850695</v>
      </c>
      <c r="Q29">
        <v>0.54900241943967099</v>
      </c>
      <c r="R29">
        <v>0.59734513274336198</v>
      </c>
      <c r="S29">
        <v>1</v>
      </c>
      <c r="T29" t="s">
        <v>28</v>
      </c>
      <c r="U29">
        <v>7.4614065180102903E-3</v>
      </c>
      <c r="V29">
        <v>0</v>
      </c>
      <c r="W29">
        <v>0</v>
      </c>
      <c r="X29">
        <v>0.110761869106882</v>
      </c>
      <c r="Y29">
        <v>0.15300662551411701</v>
      </c>
      <c r="Z29">
        <v>0.33566877024380098</v>
      </c>
      <c r="AA29">
        <v>0.59734513274336198</v>
      </c>
      <c r="AB29">
        <f t="shared" si="0"/>
        <v>0.32180764703745957</v>
      </c>
      <c r="AC29">
        <f t="shared" si="5"/>
        <v>0.25</v>
      </c>
      <c r="AD29">
        <f t="shared" si="1"/>
        <v>0</v>
      </c>
      <c r="AE29">
        <f t="shared" si="6"/>
        <v>0.40225955879682446</v>
      </c>
      <c r="AF29" t="str">
        <f t="shared" si="2"/>
        <v>Medium</v>
      </c>
      <c r="AG29" t="str">
        <f t="shared" si="3"/>
        <v>REVIEW</v>
      </c>
      <c r="AH29" t="str">
        <f t="shared" si="4"/>
        <v>General anomaly detected</v>
      </c>
    </row>
    <row r="30" spans="1:34" x14ac:dyDescent="0.3">
      <c r="A30" t="s">
        <v>57</v>
      </c>
      <c r="B30">
        <v>0.25746691871455502</v>
      </c>
      <c r="C30">
        <v>0.62173026135368903</v>
      </c>
      <c r="D30">
        <v>0.48154213711201599</v>
      </c>
      <c r="E30">
        <v>0.13300892133008901</v>
      </c>
      <c r="F30">
        <v>4.2335766423357603E-2</v>
      </c>
      <c r="G30">
        <v>0.42609617276081402</v>
      </c>
      <c r="H30">
        <v>0</v>
      </c>
      <c r="I30">
        <v>23</v>
      </c>
      <c r="J30">
        <v>0.81866323171604405</v>
      </c>
      <c r="K30">
        <v>4.2414355628058703E-2</v>
      </c>
      <c r="L30">
        <v>1.32299954890879E-2</v>
      </c>
      <c r="M30">
        <v>7.6767676767676707E-2</v>
      </c>
      <c r="N30">
        <v>5.6651101754509797E-2</v>
      </c>
      <c r="O30">
        <v>1761</v>
      </c>
      <c r="P30">
        <v>0.657407407407407</v>
      </c>
      <c r="Q30">
        <v>0.65742136821066599</v>
      </c>
      <c r="R30">
        <v>0</v>
      </c>
      <c r="S30">
        <v>0</v>
      </c>
      <c r="T30" t="s">
        <v>28</v>
      </c>
      <c r="U30">
        <v>3.3071867712529102E-3</v>
      </c>
      <c r="V30">
        <v>0</v>
      </c>
      <c r="W30">
        <v>0</v>
      </c>
      <c r="X30">
        <v>0.201299624101974</v>
      </c>
      <c r="Y30">
        <v>0.18734297461410501</v>
      </c>
      <c r="Z30">
        <v>0.41710488514624799</v>
      </c>
      <c r="AA30">
        <v>0</v>
      </c>
      <c r="AB30">
        <f t="shared" si="0"/>
        <v>0.20145334058921471</v>
      </c>
      <c r="AC30">
        <f t="shared" si="5"/>
        <v>0.25</v>
      </c>
      <c r="AD30">
        <f t="shared" si="1"/>
        <v>0</v>
      </c>
      <c r="AE30">
        <f t="shared" si="6"/>
        <v>0.25181667573651839</v>
      </c>
      <c r="AF30" t="str">
        <f t="shared" si="2"/>
        <v>Low</v>
      </c>
      <c r="AG30" t="str">
        <f t="shared" si="3"/>
        <v>NO ACTION</v>
      </c>
      <c r="AH30" t="str">
        <f t="shared" si="4"/>
        <v/>
      </c>
    </row>
    <row r="31" spans="1:34" x14ac:dyDescent="0.3">
      <c r="A31" t="s">
        <v>58</v>
      </c>
      <c r="B31">
        <v>0.12892249527410199</v>
      </c>
      <c r="C31">
        <v>0.36953165208440503</v>
      </c>
      <c r="D31">
        <v>0</v>
      </c>
      <c r="E31">
        <v>0</v>
      </c>
      <c r="F31">
        <v>0</v>
      </c>
      <c r="G31">
        <v>0.99366454390750003</v>
      </c>
      <c r="H31">
        <v>8</v>
      </c>
      <c r="I31">
        <v>8</v>
      </c>
      <c r="J31">
        <v>0.81818615524068505</v>
      </c>
      <c r="K31">
        <v>2.2838499184339299E-2</v>
      </c>
      <c r="L31">
        <v>7.1279963589505604E-3</v>
      </c>
      <c r="M31">
        <v>2.1933621933621899E-2</v>
      </c>
      <c r="N31">
        <v>1.6195464239766099E-2</v>
      </c>
      <c r="O31">
        <v>1774</v>
      </c>
      <c r="P31">
        <v>0.62198372615039199</v>
      </c>
      <c r="Q31">
        <v>0.62200638171043798</v>
      </c>
      <c r="R31">
        <v>0.67699115044247704</v>
      </c>
      <c r="S31">
        <v>1</v>
      </c>
      <c r="T31" t="s">
        <v>28</v>
      </c>
      <c r="U31">
        <v>6.1749571183533402E-3</v>
      </c>
      <c r="V31">
        <v>0</v>
      </c>
      <c r="W31">
        <v>0</v>
      </c>
      <c r="X31">
        <v>0</v>
      </c>
      <c r="Y31">
        <v>0.172059868499542</v>
      </c>
      <c r="Z31">
        <v>0.37966842138614199</v>
      </c>
      <c r="AA31">
        <v>0.67699115044247704</v>
      </c>
      <c r="AB31">
        <f t="shared" si="0"/>
        <v>0.34404144329188513</v>
      </c>
      <c r="AC31">
        <f t="shared" si="5"/>
        <v>0.25</v>
      </c>
      <c r="AD31">
        <f t="shared" si="1"/>
        <v>0</v>
      </c>
      <c r="AE31">
        <f t="shared" si="6"/>
        <v>0.43005180411485644</v>
      </c>
      <c r="AF31" t="str">
        <f t="shared" si="2"/>
        <v>Medium</v>
      </c>
      <c r="AG31" t="str">
        <f t="shared" si="3"/>
        <v>REVIEW</v>
      </c>
      <c r="AH31" t="str">
        <f t="shared" si="4"/>
        <v>General anomaly detected</v>
      </c>
    </row>
    <row r="32" spans="1:34" x14ac:dyDescent="0.3">
      <c r="A32" t="s">
        <v>59</v>
      </c>
      <c r="B32">
        <v>0.12892249527410199</v>
      </c>
      <c r="C32">
        <v>0.18476582604220201</v>
      </c>
      <c r="D32">
        <v>0</v>
      </c>
      <c r="E32">
        <v>0</v>
      </c>
      <c r="F32">
        <v>0</v>
      </c>
      <c r="G32">
        <v>0.99368911206502597</v>
      </c>
      <c r="H32">
        <v>7</v>
      </c>
      <c r="I32">
        <v>7</v>
      </c>
      <c r="J32">
        <v>0.68837364629550102</v>
      </c>
      <c r="K32">
        <v>1.7944535073409401E-2</v>
      </c>
      <c r="L32">
        <v>6.6563498531036101E-3</v>
      </c>
      <c r="M32">
        <v>7.5036075036075001E-3</v>
      </c>
      <c r="N32">
        <v>6.5850212171398199E-3</v>
      </c>
      <c r="O32">
        <v>1468</v>
      </c>
      <c r="P32">
        <v>0.51743125701459003</v>
      </c>
      <c r="Q32">
        <v>0.51747957502016195</v>
      </c>
      <c r="R32">
        <v>0</v>
      </c>
      <c r="S32">
        <v>0</v>
      </c>
      <c r="T32" t="s">
        <v>28</v>
      </c>
      <c r="U32">
        <v>1.3836477987421301E-2</v>
      </c>
      <c r="V32">
        <v>0</v>
      </c>
      <c r="W32">
        <v>0</v>
      </c>
      <c r="X32">
        <v>0</v>
      </c>
      <c r="Y32">
        <v>0.14297841055079399</v>
      </c>
      <c r="Z32">
        <v>0.31309276269560998</v>
      </c>
      <c r="AA32">
        <v>0</v>
      </c>
      <c r="AB32">
        <f t="shared" si="0"/>
        <v>0.12769992850899314</v>
      </c>
      <c r="AC32">
        <f t="shared" si="5"/>
        <v>0.25</v>
      </c>
      <c r="AD32">
        <f t="shared" si="1"/>
        <v>0</v>
      </c>
      <c r="AE32">
        <f t="shared" si="6"/>
        <v>0.15962491063624143</v>
      </c>
      <c r="AF32" t="str">
        <f t="shared" si="2"/>
        <v>Very Low</v>
      </c>
      <c r="AG32" t="str">
        <f t="shared" si="3"/>
        <v>NO ACTION</v>
      </c>
      <c r="AH32" t="str">
        <f t="shared" si="4"/>
        <v/>
      </c>
    </row>
    <row r="33" spans="1:34" x14ac:dyDescent="0.3">
      <c r="A33" t="s">
        <v>60</v>
      </c>
      <c r="B33">
        <v>0.12892249527410199</v>
      </c>
      <c r="C33">
        <v>0.26831211260041599</v>
      </c>
      <c r="D33">
        <v>7.4788307505895393E-2</v>
      </c>
      <c r="E33">
        <v>0</v>
      </c>
      <c r="F33">
        <v>0</v>
      </c>
      <c r="G33">
        <v>0.99367217127666696</v>
      </c>
      <c r="H33">
        <v>7</v>
      </c>
      <c r="I33">
        <v>8</v>
      </c>
      <c r="J33">
        <v>0.70693192118696602</v>
      </c>
      <c r="K33">
        <v>5.0570962479608399E-2</v>
      </c>
      <c r="L33">
        <v>1.8266516820730799E-2</v>
      </c>
      <c r="M33">
        <v>2.6262626262626199E-2</v>
      </c>
      <c r="N33">
        <v>2.2442736751581101E-2</v>
      </c>
      <c r="O33">
        <v>1518</v>
      </c>
      <c r="P33">
        <v>0.55422278338944997</v>
      </c>
      <c r="Q33">
        <v>0.55426207090010104</v>
      </c>
      <c r="R33">
        <v>0</v>
      </c>
      <c r="S33">
        <v>0</v>
      </c>
      <c r="T33" t="s">
        <v>28</v>
      </c>
      <c r="U33">
        <v>1.14438063986874E-2</v>
      </c>
      <c r="V33">
        <v>0</v>
      </c>
      <c r="W33">
        <v>0</v>
      </c>
      <c r="X33">
        <v>2.2436492251768601E-2</v>
      </c>
      <c r="Y33">
        <v>0.15725246367323301</v>
      </c>
      <c r="Z33">
        <v>0.34151076473430197</v>
      </c>
      <c r="AA33">
        <v>0</v>
      </c>
      <c r="AB33">
        <f t="shared" si="0"/>
        <v>0.14324354271439277</v>
      </c>
      <c r="AC33">
        <f t="shared" si="5"/>
        <v>0.25</v>
      </c>
      <c r="AD33">
        <f t="shared" si="1"/>
        <v>0</v>
      </c>
      <c r="AE33">
        <f t="shared" si="6"/>
        <v>0.17905442839299096</v>
      </c>
      <c r="AF33" t="str">
        <f t="shared" si="2"/>
        <v>Very Low</v>
      </c>
      <c r="AG33" t="str">
        <f t="shared" si="3"/>
        <v>NO ACTION</v>
      </c>
      <c r="AH33" t="str">
        <f t="shared" si="4"/>
        <v/>
      </c>
    </row>
    <row r="34" spans="1:34" x14ac:dyDescent="0.3">
      <c r="A34" t="s">
        <v>61</v>
      </c>
      <c r="B34">
        <v>0.12892249527410199</v>
      </c>
      <c r="C34">
        <v>0.46593121349772798</v>
      </c>
      <c r="D34">
        <v>7.5061757440099602E-2</v>
      </c>
      <c r="E34">
        <v>0</v>
      </c>
      <c r="F34">
        <v>0</v>
      </c>
      <c r="G34">
        <v>0.99366441009400597</v>
      </c>
      <c r="H34">
        <v>8</v>
      </c>
      <c r="I34">
        <v>9</v>
      </c>
      <c r="J34">
        <v>0.57993416344640003</v>
      </c>
      <c r="K34">
        <v>4.6492659053833603E-2</v>
      </c>
      <c r="L34">
        <v>2.0469428969816902E-2</v>
      </c>
      <c r="M34">
        <v>2.4819624819624801E-2</v>
      </c>
      <c r="N34">
        <v>2.5852330202301401E-2</v>
      </c>
      <c r="O34">
        <v>1305</v>
      </c>
      <c r="P34">
        <v>0.45840347923681202</v>
      </c>
      <c r="Q34">
        <v>0.45846628563413799</v>
      </c>
      <c r="R34">
        <v>0</v>
      </c>
      <c r="S34">
        <v>0</v>
      </c>
      <c r="T34" t="s">
        <v>28</v>
      </c>
      <c r="U34">
        <v>1.11255692908262E-2</v>
      </c>
      <c r="V34">
        <v>0</v>
      </c>
      <c r="W34">
        <v>0</v>
      </c>
      <c r="X34">
        <v>2.2518527232029802E-2</v>
      </c>
      <c r="Y34">
        <v>0.133977246234879</v>
      </c>
      <c r="Z34">
        <v>0.28538301962300799</v>
      </c>
      <c r="AA34">
        <v>0</v>
      </c>
      <c r="AB34">
        <f t="shared" si="0"/>
        <v>0.12102383879733314</v>
      </c>
      <c r="AC34">
        <f t="shared" si="5"/>
        <v>0.25</v>
      </c>
      <c r="AD34">
        <f t="shared" si="1"/>
        <v>0</v>
      </c>
      <c r="AE34">
        <f t="shared" si="6"/>
        <v>0.15127979849666642</v>
      </c>
      <c r="AF34" t="str">
        <f t="shared" si="2"/>
        <v>Very Low</v>
      </c>
      <c r="AG34" t="str">
        <f t="shared" si="3"/>
        <v>NO ACTION</v>
      </c>
      <c r="AH34" t="str">
        <f t="shared" si="4"/>
        <v/>
      </c>
    </row>
    <row r="35" spans="1:34" x14ac:dyDescent="0.3">
      <c r="A35" t="s">
        <v>62</v>
      </c>
      <c r="B35">
        <v>0.27977315689981003</v>
      </c>
      <c r="C35">
        <v>0.66654768427052602</v>
      </c>
      <c r="D35">
        <v>0.45197024540580799</v>
      </c>
      <c r="E35">
        <v>6.1230585424133802E-2</v>
      </c>
      <c r="F35">
        <v>1.88172043010752E-2</v>
      </c>
      <c r="G35">
        <v>0.38058656872886498</v>
      </c>
      <c r="H35">
        <v>0</v>
      </c>
      <c r="I35">
        <v>23</v>
      </c>
      <c r="J35">
        <v>0.62272792328610205</v>
      </c>
      <c r="K35">
        <v>4.3230016313213701E-2</v>
      </c>
      <c r="L35">
        <v>1.7725535548824001E-2</v>
      </c>
      <c r="M35">
        <v>2.1067821067820999E-2</v>
      </c>
      <c r="N35">
        <v>2.04369803542724E-2</v>
      </c>
      <c r="O35">
        <v>1342</v>
      </c>
      <c r="P35">
        <v>0.48663720538720501</v>
      </c>
      <c r="Q35">
        <v>0.486693081805112</v>
      </c>
      <c r="R35">
        <v>0.51917404129793499</v>
      </c>
      <c r="S35">
        <v>1</v>
      </c>
      <c r="T35" t="s">
        <v>28</v>
      </c>
      <c r="U35">
        <v>1.21621621621621E-2</v>
      </c>
      <c r="V35">
        <v>0</v>
      </c>
      <c r="W35">
        <v>1.0884758366306001E-2</v>
      </c>
      <c r="X35">
        <v>0.161487130969412</v>
      </c>
      <c r="Y35">
        <v>0.139539446537914</v>
      </c>
      <c r="Z35">
        <v>0.300157115374032</v>
      </c>
      <c r="AA35">
        <v>0.51917404129793499</v>
      </c>
      <c r="AB35">
        <f t="shared" si="0"/>
        <v>0.29432170985387263</v>
      </c>
      <c r="AC35">
        <f t="shared" si="5"/>
        <v>0.25</v>
      </c>
      <c r="AD35">
        <f t="shared" si="1"/>
        <v>0</v>
      </c>
      <c r="AE35">
        <f t="shared" si="6"/>
        <v>0.36790213731734078</v>
      </c>
      <c r="AF35" t="str">
        <f t="shared" si="2"/>
        <v>Low</v>
      </c>
      <c r="AG35" t="str">
        <f t="shared" si="3"/>
        <v>NO ACTION</v>
      </c>
      <c r="AH35" t="str">
        <f t="shared" si="4"/>
        <v/>
      </c>
    </row>
    <row r="36" spans="1:34" x14ac:dyDescent="0.3">
      <c r="A36" t="s">
        <v>63</v>
      </c>
      <c r="B36">
        <v>0.12892249527410199</v>
      </c>
      <c r="C36">
        <v>0.283307599931377</v>
      </c>
      <c r="D36">
        <v>7.4965657310309297E-2</v>
      </c>
      <c r="E36">
        <v>0</v>
      </c>
      <c r="F36">
        <v>0</v>
      </c>
      <c r="G36">
        <v>0.99369984390725696</v>
      </c>
      <c r="H36">
        <v>7</v>
      </c>
      <c r="I36">
        <v>8</v>
      </c>
      <c r="J36">
        <v>0.63465483517007704</v>
      </c>
      <c r="K36">
        <v>3.9967373572593799E-2</v>
      </c>
      <c r="L36">
        <v>1.6079903869187302E-2</v>
      </c>
      <c r="M36">
        <v>2.2222222222222199E-2</v>
      </c>
      <c r="N36">
        <v>2.11518551915305E-2</v>
      </c>
      <c r="O36">
        <v>1341</v>
      </c>
      <c r="P36">
        <v>0.49456369248035897</v>
      </c>
      <c r="Q36">
        <v>0.49461762333882597</v>
      </c>
      <c r="R36">
        <v>0</v>
      </c>
      <c r="S36">
        <v>0</v>
      </c>
      <c r="T36" t="s">
        <v>28</v>
      </c>
      <c r="U36">
        <v>1.0667634252539899E-2</v>
      </c>
      <c r="V36">
        <v>0</v>
      </c>
      <c r="W36">
        <v>0</v>
      </c>
      <c r="X36">
        <v>2.2489697193092802E-2</v>
      </c>
      <c r="Y36">
        <v>0.14131647552606799</v>
      </c>
      <c r="Z36">
        <v>0.30519895756482701</v>
      </c>
      <c r="AA36">
        <v>0</v>
      </c>
      <c r="AB36">
        <f t="shared" si="0"/>
        <v>0.12862267281634548</v>
      </c>
      <c r="AC36">
        <f t="shared" si="5"/>
        <v>0.25</v>
      </c>
      <c r="AD36">
        <f t="shared" si="1"/>
        <v>0</v>
      </c>
      <c r="AE36">
        <f t="shared" si="6"/>
        <v>0.16077834102043187</v>
      </c>
      <c r="AF36" t="str">
        <f t="shared" si="2"/>
        <v>Very Low</v>
      </c>
      <c r="AG36" t="str">
        <f t="shared" si="3"/>
        <v>NO ACTION</v>
      </c>
      <c r="AH36" t="str">
        <f t="shared" si="4"/>
        <v/>
      </c>
    </row>
    <row r="37" spans="1:34" x14ac:dyDescent="0.3">
      <c r="A37" t="s">
        <v>64</v>
      </c>
      <c r="B37">
        <v>0.12892249527410199</v>
      </c>
      <c r="C37">
        <v>0.27955872809863702</v>
      </c>
      <c r="D37">
        <v>7.5107235637207503E-2</v>
      </c>
      <c r="E37">
        <v>0</v>
      </c>
      <c r="F37">
        <v>0</v>
      </c>
      <c r="G37">
        <v>0.99368737248960204</v>
      </c>
      <c r="H37">
        <v>7</v>
      </c>
      <c r="I37">
        <v>8</v>
      </c>
      <c r="J37">
        <v>0.70268594055627098</v>
      </c>
      <c r="K37">
        <v>3.0995106035889002E-2</v>
      </c>
      <c r="L37">
        <v>1.12632335958528E-2</v>
      </c>
      <c r="M37">
        <v>2.1067821067820999E-2</v>
      </c>
      <c r="N37">
        <v>1.8112263436004399E-2</v>
      </c>
      <c r="O37">
        <v>1535</v>
      </c>
      <c r="P37">
        <v>0.54015852974186296</v>
      </c>
      <c r="Q37">
        <v>0.54020126932921897</v>
      </c>
      <c r="R37">
        <v>0</v>
      </c>
      <c r="S37">
        <v>0</v>
      </c>
      <c r="T37" t="s">
        <v>28</v>
      </c>
      <c r="U37">
        <v>8.7200407955124893E-3</v>
      </c>
      <c r="V37">
        <v>0</v>
      </c>
      <c r="W37">
        <v>0</v>
      </c>
      <c r="X37">
        <v>2.2532170691162201E-2</v>
      </c>
      <c r="Y37">
        <v>0.15160248393998199</v>
      </c>
      <c r="Z37">
        <v>0.331340023219519</v>
      </c>
      <c r="AA37">
        <v>0</v>
      </c>
      <c r="AB37">
        <f t="shared" si="0"/>
        <v>0.13882904931524626</v>
      </c>
      <c r="AC37">
        <f t="shared" si="5"/>
        <v>0.25</v>
      </c>
      <c r="AD37">
        <f t="shared" si="1"/>
        <v>0</v>
      </c>
      <c r="AE37">
        <f t="shared" si="6"/>
        <v>0.17353631164405781</v>
      </c>
      <c r="AF37" t="str">
        <f t="shared" si="2"/>
        <v>Very Low</v>
      </c>
      <c r="AG37" t="str">
        <f t="shared" si="3"/>
        <v>NO ACTION</v>
      </c>
      <c r="AH37" t="str">
        <f t="shared" si="4"/>
        <v/>
      </c>
    </row>
    <row r="38" spans="1:34" x14ac:dyDescent="0.3">
      <c r="A38" t="s">
        <v>65</v>
      </c>
      <c r="B38">
        <v>0.22722117202268399</v>
      </c>
      <c r="C38">
        <v>0.76899231400705204</v>
      </c>
      <c r="D38">
        <v>0.38138308417689998</v>
      </c>
      <c r="E38">
        <v>0</v>
      </c>
      <c r="F38">
        <v>0</v>
      </c>
      <c r="G38">
        <v>0.50195829470608799</v>
      </c>
      <c r="H38">
        <v>8</v>
      </c>
      <c r="I38">
        <v>14</v>
      </c>
      <c r="J38">
        <v>0.63823290873527005</v>
      </c>
      <c r="K38">
        <v>4.1598694942903698E-2</v>
      </c>
      <c r="L38">
        <v>1.6642434576988999E-2</v>
      </c>
      <c r="M38">
        <v>2.4819624819624801E-2</v>
      </c>
      <c r="N38">
        <v>2.34917572734205E-2</v>
      </c>
      <c r="O38">
        <v>1386</v>
      </c>
      <c r="P38">
        <v>0.49915824915824902</v>
      </c>
      <c r="Q38">
        <v>0.49921105228093499</v>
      </c>
      <c r="R38">
        <v>0</v>
      </c>
      <c r="S38">
        <v>0</v>
      </c>
      <c r="T38" t="s">
        <v>28</v>
      </c>
      <c r="U38">
        <v>9.9544567338972004E-3</v>
      </c>
      <c r="V38">
        <v>0</v>
      </c>
      <c r="W38">
        <v>0</v>
      </c>
      <c r="X38">
        <v>0.11441492525307</v>
      </c>
      <c r="Y38">
        <v>0.14301532621757401</v>
      </c>
      <c r="Z38">
        <v>0.30889165240431699</v>
      </c>
      <c r="AA38">
        <v>0</v>
      </c>
      <c r="AB38">
        <f t="shared" si="0"/>
        <v>0.14484034205462068</v>
      </c>
      <c r="AC38">
        <f t="shared" si="5"/>
        <v>0.25</v>
      </c>
      <c r="AD38">
        <f t="shared" si="1"/>
        <v>0</v>
      </c>
      <c r="AE38">
        <f t="shared" si="6"/>
        <v>0.18105042756827586</v>
      </c>
      <c r="AF38" t="str">
        <f t="shared" si="2"/>
        <v>Very Low</v>
      </c>
      <c r="AG38" t="str">
        <f t="shared" si="3"/>
        <v>NO ACTION</v>
      </c>
      <c r="AH38" t="str">
        <f t="shared" si="4"/>
        <v/>
      </c>
    </row>
    <row r="39" spans="1:34" x14ac:dyDescent="0.3">
      <c r="A39" t="s">
        <v>66</v>
      </c>
      <c r="B39">
        <v>0.25406427221172001</v>
      </c>
      <c r="C39">
        <v>0.74261649313116096</v>
      </c>
      <c r="D39">
        <v>0.48294912899869402</v>
      </c>
      <c r="E39">
        <v>0.202169625246548</v>
      </c>
      <c r="F39">
        <v>6.9526627218934905E-2</v>
      </c>
      <c r="G39">
        <v>0.43437940190916402</v>
      </c>
      <c r="H39">
        <v>0</v>
      </c>
      <c r="I39">
        <v>23</v>
      </c>
      <c r="J39">
        <v>0.79800582033299905</v>
      </c>
      <c r="K39">
        <v>5.9543230016313203E-2</v>
      </c>
      <c r="L39">
        <v>1.9053517554598502E-2</v>
      </c>
      <c r="M39">
        <v>3.3189033189033101E-2</v>
      </c>
      <c r="N39">
        <v>2.51258357282741E-2</v>
      </c>
      <c r="O39">
        <v>1575</v>
      </c>
      <c r="P39">
        <v>0.62840207631874301</v>
      </c>
      <c r="Q39">
        <v>0.62842315649216296</v>
      </c>
      <c r="R39">
        <v>0.29203539823008801</v>
      </c>
      <c r="S39">
        <v>1</v>
      </c>
      <c r="T39" t="s">
        <v>28</v>
      </c>
      <c r="U39">
        <v>1.0686402081977801E-2</v>
      </c>
      <c r="V39">
        <v>0</v>
      </c>
      <c r="W39">
        <v>4.3230539282426199E-2</v>
      </c>
      <c r="X39">
        <v>0.233346277161146</v>
      </c>
      <c r="Y39">
        <v>0.176665673562381</v>
      </c>
      <c r="Z39">
        <v>0.38709158008255501</v>
      </c>
      <c r="AA39">
        <v>0.29203539823008801</v>
      </c>
      <c r="AB39">
        <f t="shared" si="0"/>
        <v>0.2769573468707901</v>
      </c>
      <c r="AC39">
        <f t="shared" si="5"/>
        <v>0.25</v>
      </c>
      <c r="AD39">
        <f t="shared" si="1"/>
        <v>0</v>
      </c>
      <c r="AE39">
        <f t="shared" si="6"/>
        <v>0.34619668358848765</v>
      </c>
      <c r="AF39" t="str">
        <f t="shared" si="2"/>
        <v>Low</v>
      </c>
      <c r="AG39" t="str">
        <f t="shared" si="3"/>
        <v>NO ACTION</v>
      </c>
      <c r="AH39" t="str">
        <f t="shared" si="4"/>
        <v/>
      </c>
    </row>
    <row r="40" spans="1:34" x14ac:dyDescent="0.3">
      <c r="A40" t="s">
        <v>67</v>
      </c>
      <c r="B40">
        <v>0.12892249527410199</v>
      </c>
      <c r="C40">
        <v>0.282236493693451</v>
      </c>
      <c r="D40">
        <v>7.5018780494472401E-2</v>
      </c>
      <c r="E40">
        <v>0</v>
      </c>
      <c r="F40">
        <v>0</v>
      </c>
      <c r="G40">
        <v>0.99366644405911697</v>
      </c>
      <c r="H40">
        <v>7</v>
      </c>
      <c r="I40">
        <v>8</v>
      </c>
      <c r="J40">
        <v>0.56166213444015001</v>
      </c>
      <c r="K40">
        <v>4.4045676998368602E-2</v>
      </c>
      <c r="L40">
        <v>2.0022687538028001E-2</v>
      </c>
      <c r="M40">
        <v>2.5974025974025899E-2</v>
      </c>
      <c r="N40">
        <v>2.7934537868312698E-2</v>
      </c>
      <c r="O40">
        <v>1250</v>
      </c>
      <c r="P40">
        <v>0.44447951739618402</v>
      </c>
      <c r="Q40">
        <v>0.44454574143553399</v>
      </c>
      <c r="R40">
        <v>0</v>
      </c>
      <c r="S40">
        <v>0</v>
      </c>
      <c r="T40" t="s">
        <v>28</v>
      </c>
      <c r="U40">
        <v>1.0076715737092999E-2</v>
      </c>
      <c r="V40">
        <v>0</v>
      </c>
      <c r="W40">
        <v>0</v>
      </c>
      <c r="X40">
        <v>2.25056341483417E-2</v>
      </c>
      <c r="Y40">
        <v>0.13072413201753799</v>
      </c>
      <c r="Z40">
        <v>0.27786152558503502</v>
      </c>
      <c r="AA40">
        <v>0</v>
      </c>
      <c r="AB40">
        <f t="shared" si="0"/>
        <v>0.11800488559245513</v>
      </c>
      <c r="AC40">
        <f t="shared" si="5"/>
        <v>0.25</v>
      </c>
      <c r="AD40">
        <f t="shared" si="1"/>
        <v>0</v>
      </c>
      <c r="AE40">
        <f t="shared" si="6"/>
        <v>0.1475061069905689</v>
      </c>
      <c r="AF40" t="str">
        <f t="shared" si="2"/>
        <v>Very Low</v>
      </c>
      <c r="AG40" t="str">
        <f t="shared" si="3"/>
        <v>NO ACTION</v>
      </c>
      <c r="AH40" t="str">
        <f t="shared" si="4"/>
        <v/>
      </c>
    </row>
    <row r="41" spans="1:34" x14ac:dyDescent="0.3">
      <c r="A41" t="s">
        <v>68</v>
      </c>
      <c r="B41">
        <v>0.12892249527410199</v>
      </c>
      <c r="C41">
        <v>0.18476582604220201</v>
      </c>
      <c r="D41">
        <v>0</v>
      </c>
      <c r="E41">
        <v>0</v>
      </c>
      <c r="F41">
        <v>0</v>
      </c>
      <c r="G41">
        <v>0.99369521396035898</v>
      </c>
      <c r="H41">
        <v>7</v>
      </c>
      <c r="I41">
        <v>7</v>
      </c>
      <c r="J41">
        <v>0.70087304994990696</v>
      </c>
      <c r="K41">
        <v>3.8336052202283803E-2</v>
      </c>
      <c r="L41">
        <v>1.39668630537863E-2</v>
      </c>
      <c r="M41">
        <v>6.3492063492063397E-3</v>
      </c>
      <c r="N41">
        <v>5.4726045744009797E-3</v>
      </c>
      <c r="O41">
        <v>1419</v>
      </c>
      <c r="P41">
        <v>0.53482744107744096</v>
      </c>
      <c r="Q41">
        <v>0.53487148918265004</v>
      </c>
      <c r="R41">
        <v>0</v>
      </c>
      <c r="S41">
        <v>0</v>
      </c>
      <c r="T41" t="s">
        <v>28</v>
      </c>
      <c r="U41">
        <v>3.4700574241181302E-2</v>
      </c>
      <c r="V41">
        <v>0</v>
      </c>
      <c r="W41">
        <v>0</v>
      </c>
      <c r="X41">
        <v>0</v>
      </c>
      <c r="Y41">
        <v>0.14879982288919399</v>
      </c>
      <c r="Z41">
        <v>0.32308550647622503</v>
      </c>
      <c r="AA41">
        <v>0</v>
      </c>
      <c r="AB41">
        <f t="shared" si="0"/>
        <v>0.13212789222231733</v>
      </c>
      <c r="AC41">
        <f t="shared" si="5"/>
        <v>0.25</v>
      </c>
      <c r="AD41">
        <f t="shared" si="1"/>
        <v>0</v>
      </c>
      <c r="AE41">
        <f t="shared" si="6"/>
        <v>0.16515986527789667</v>
      </c>
      <c r="AF41" t="str">
        <f t="shared" si="2"/>
        <v>Very Low</v>
      </c>
      <c r="AG41" t="str">
        <f t="shared" si="3"/>
        <v>NO ACTION</v>
      </c>
      <c r="AH41" t="str">
        <f t="shared" si="4"/>
        <v/>
      </c>
    </row>
    <row r="42" spans="1:34" x14ac:dyDescent="0.3">
      <c r="A42" t="s">
        <v>69</v>
      </c>
      <c r="B42">
        <v>0.26502835538752301</v>
      </c>
      <c r="C42">
        <v>0.61981727459547398</v>
      </c>
      <c r="D42">
        <v>0.53156302118051502</v>
      </c>
      <c r="E42">
        <v>0.38770685579196201</v>
      </c>
      <c r="F42">
        <v>6.0992907801418403E-2</v>
      </c>
      <c r="G42">
        <v>0.40976397710625301</v>
      </c>
      <c r="H42">
        <v>0</v>
      </c>
      <c r="I42">
        <v>23</v>
      </c>
      <c r="J42">
        <v>0.65679118362673505</v>
      </c>
      <c r="K42">
        <v>5.6280587275693301E-2</v>
      </c>
      <c r="L42">
        <v>2.1880247837506701E-2</v>
      </c>
      <c r="M42">
        <v>4.9062049062049001E-3</v>
      </c>
      <c r="N42">
        <v>4.5125542801987698E-3</v>
      </c>
      <c r="O42">
        <v>1398</v>
      </c>
      <c r="P42">
        <v>0.50943462401795703</v>
      </c>
      <c r="Q42">
        <v>0.50948490480030795</v>
      </c>
      <c r="R42">
        <v>0.46312684365781698</v>
      </c>
      <c r="S42">
        <v>1</v>
      </c>
      <c r="T42" t="s">
        <v>28</v>
      </c>
      <c r="U42">
        <v>6.5094339622641495E-2</v>
      </c>
      <c r="V42">
        <v>0</v>
      </c>
      <c r="W42">
        <v>4.3550776451007099E-2</v>
      </c>
      <c r="X42">
        <v>0.30017812621230999</v>
      </c>
      <c r="Y42">
        <v>0.14365212692816001</v>
      </c>
      <c r="Z42">
        <v>0.30746579612285402</v>
      </c>
      <c r="AA42">
        <v>0.46312684365781698</v>
      </c>
      <c r="AB42">
        <f t="shared" si="0"/>
        <v>0.3040170348724423</v>
      </c>
      <c r="AC42">
        <f t="shared" si="5"/>
        <v>0.25</v>
      </c>
      <c r="AD42">
        <f t="shared" si="1"/>
        <v>0</v>
      </c>
      <c r="AE42">
        <f t="shared" si="6"/>
        <v>0.38002129359055287</v>
      </c>
      <c r="AF42" t="str">
        <f t="shared" si="2"/>
        <v>Low</v>
      </c>
      <c r="AG42" t="str">
        <f t="shared" si="3"/>
        <v>NO ACTION</v>
      </c>
      <c r="AH42" t="str">
        <f t="shared" si="4"/>
        <v/>
      </c>
    </row>
    <row r="43" spans="1:34" x14ac:dyDescent="0.3">
      <c r="A43" t="s">
        <v>70</v>
      </c>
      <c r="B43">
        <v>0.26654064272211703</v>
      </c>
      <c r="C43">
        <v>0.87353321423619601</v>
      </c>
      <c r="D43">
        <v>0.43791312183887798</v>
      </c>
      <c r="E43">
        <v>0</v>
      </c>
      <c r="F43">
        <v>0</v>
      </c>
      <c r="G43">
        <v>0.40688678077558599</v>
      </c>
      <c r="H43">
        <v>8</v>
      </c>
      <c r="I43">
        <v>19</v>
      </c>
      <c r="J43">
        <v>0.75583225991126302</v>
      </c>
      <c r="K43">
        <v>5.8727569331158198E-2</v>
      </c>
      <c r="L43">
        <v>1.9840754990988901E-2</v>
      </c>
      <c r="M43">
        <v>6.63780663780663E-3</v>
      </c>
      <c r="N43">
        <v>5.3054705124366899E-3</v>
      </c>
      <c r="O43">
        <v>1507</v>
      </c>
      <c r="P43">
        <v>0.58414001122334402</v>
      </c>
      <c r="Q43">
        <v>0.58417195553841295</v>
      </c>
      <c r="R43">
        <v>0.868731563421828</v>
      </c>
      <c r="S43">
        <v>1</v>
      </c>
      <c r="T43" t="s">
        <v>28</v>
      </c>
      <c r="U43">
        <v>5.0943396226415097E-2</v>
      </c>
      <c r="V43">
        <v>0</v>
      </c>
      <c r="W43">
        <v>0</v>
      </c>
      <c r="X43">
        <v>0.13137393655166299</v>
      </c>
      <c r="Y43">
        <v>0.162678470631478</v>
      </c>
      <c r="Z43">
        <v>0.35260619493898099</v>
      </c>
      <c r="AA43">
        <v>0.868731563421828</v>
      </c>
      <c r="AB43">
        <f t="shared" si="0"/>
        <v>0.40854437396610643</v>
      </c>
      <c r="AC43">
        <f t="shared" si="5"/>
        <v>0.25</v>
      </c>
      <c r="AD43">
        <f t="shared" si="1"/>
        <v>0</v>
      </c>
      <c r="AE43">
        <f t="shared" si="6"/>
        <v>0.51068046745763307</v>
      </c>
      <c r="AF43" t="str">
        <f t="shared" si="2"/>
        <v>Medium</v>
      </c>
      <c r="AG43" t="str">
        <f t="shared" si="3"/>
        <v>REVIEW</v>
      </c>
      <c r="AH43" t="str">
        <f t="shared" si="4"/>
        <v>USB anomaly</v>
      </c>
    </row>
    <row r="44" spans="1:34" x14ac:dyDescent="0.3">
      <c r="A44" t="s">
        <v>71</v>
      </c>
      <c r="B44">
        <v>0.2351606805293</v>
      </c>
      <c r="C44">
        <v>0.58086125503363395</v>
      </c>
      <c r="D44">
        <v>0.36857088512193298</v>
      </c>
      <c r="E44">
        <v>0</v>
      </c>
      <c r="F44">
        <v>0</v>
      </c>
      <c r="G44">
        <v>0.48035956548191899</v>
      </c>
      <c r="H44">
        <v>7</v>
      </c>
      <c r="I44">
        <v>15</v>
      </c>
      <c r="J44">
        <v>0.61633509851629198</v>
      </c>
      <c r="K44">
        <v>5.1386623164763397E-2</v>
      </c>
      <c r="L44">
        <v>2.1288436200869901E-2</v>
      </c>
      <c r="M44">
        <v>6.63780663780663E-3</v>
      </c>
      <c r="N44">
        <v>6.50581063765836E-3</v>
      </c>
      <c r="O44">
        <v>1262</v>
      </c>
      <c r="P44">
        <v>0.47843013468013401</v>
      </c>
      <c r="Q44">
        <v>0.478488025526841</v>
      </c>
      <c r="R44">
        <v>0.29203539823008801</v>
      </c>
      <c r="S44">
        <v>1</v>
      </c>
      <c r="T44" t="s">
        <v>28</v>
      </c>
      <c r="U44">
        <v>4.4575471698113198E-2</v>
      </c>
      <c r="V44">
        <v>0</v>
      </c>
      <c r="W44">
        <v>0</v>
      </c>
      <c r="X44">
        <v>0.11057126553658</v>
      </c>
      <c r="Y44">
        <v>0.13586298099499</v>
      </c>
      <c r="Z44">
        <v>0.289660405063144</v>
      </c>
      <c r="AA44">
        <v>0.29203539823008801</v>
      </c>
      <c r="AB44">
        <f t="shared" si="0"/>
        <v>0.21860786208655497</v>
      </c>
      <c r="AC44">
        <f t="shared" si="5"/>
        <v>0.25</v>
      </c>
      <c r="AD44">
        <f t="shared" si="1"/>
        <v>0</v>
      </c>
      <c r="AE44">
        <f t="shared" si="6"/>
        <v>0.27325982760819373</v>
      </c>
      <c r="AF44" t="str">
        <f t="shared" si="2"/>
        <v>Low</v>
      </c>
      <c r="AG44" t="str">
        <f t="shared" si="3"/>
        <v>NO ACTION</v>
      </c>
      <c r="AH44" t="str">
        <f t="shared" si="4"/>
        <v/>
      </c>
    </row>
    <row r="45" spans="1:34" x14ac:dyDescent="0.3">
      <c r="A45" t="s">
        <v>72</v>
      </c>
      <c r="B45">
        <v>0.12892249527410199</v>
      </c>
      <c r="C45">
        <v>0.36953165208440503</v>
      </c>
      <c r="D45">
        <v>0</v>
      </c>
      <c r="E45">
        <v>0</v>
      </c>
      <c r="F45">
        <v>0</v>
      </c>
      <c r="G45">
        <v>0.993686676659433</v>
      </c>
      <c r="H45">
        <v>8</v>
      </c>
      <c r="I45">
        <v>8</v>
      </c>
      <c r="J45">
        <v>0.67406135203473105</v>
      </c>
      <c r="K45">
        <v>2.36541598694942E-2</v>
      </c>
      <c r="L45">
        <v>8.9605170626961099E-3</v>
      </c>
      <c r="M45">
        <v>5.1948051948051896E-3</v>
      </c>
      <c r="N45">
        <v>4.6556245509125002E-3</v>
      </c>
      <c r="O45">
        <v>1406</v>
      </c>
      <c r="P45">
        <v>0.50824214365881004</v>
      </c>
      <c r="Q45">
        <v>0.50829271713594404</v>
      </c>
      <c r="R45">
        <v>0</v>
      </c>
      <c r="S45">
        <v>0</v>
      </c>
      <c r="T45" t="s">
        <v>28</v>
      </c>
      <c r="U45">
        <v>2.5918570009930399E-2</v>
      </c>
      <c r="V45">
        <v>0</v>
      </c>
      <c r="W45">
        <v>0</v>
      </c>
      <c r="X45">
        <v>0</v>
      </c>
      <c r="Y45">
        <v>0.14068921630356801</v>
      </c>
      <c r="Z45">
        <v>0.30680753601565097</v>
      </c>
      <c r="AA45">
        <v>0</v>
      </c>
      <c r="AB45">
        <f t="shared" si="0"/>
        <v>0.12529909064938133</v>
      </c>
      <c r="AC45">
        <f t="shared" si="5"/>
        <v>0.25</v>
      </c>
      <c r="AD45">
        <f t="shared" si="1"/>
        <v>0</v>
      </c>
      <c r="AE45">
        <f t="shared" si="6"/>
        <v>0.15662386331172667</v>
      </c>
      <c r="AF45" t="str">
        <f t="shared" si="2"/>
        <v>Very Low</v>
      </c>
      <c r="AG45" t="str">
        <f t="shared" si="3"/>
        <v>NO ACTION</v>
      </c>
      <c r="AH45" t="str">
        <f t="shared" si="4"/>
        <v/>
      </c>
    </row>
    <row r="46" spans="1:34" x14ac:dyDescent="0.3">
      <c r="A46" t="s">
        <v>73</v>
      </c>
      <c r="B46">
        <v>0.26351606805292999</v>
      </c>
      <c r="C46">
        <v>0.79810402461596197</v>
      </c>
      <c r="D46">
        <v>0.37095572234212498</v>
      </c>
      <c r="E46">
        <v>0</v>
      </c>
      <c r="F46">
        <v>0</v>
      </c>
      <c r="G46">
        <v>0.41301479652704398</v>
      </c>
      <c r="H46">
        <v>8</v>
      </c>
      <c r="I46">
        <v>15</v>
      </c>
      <c r="J46">
        <v>0.51619674633843804</v>
      </c>
      <c r="K46">
        <v>2.9363784665579099E-2</v>
      </c>
      <c r="L46">
        <v>1.4523615939824101E-2</v>
      </c>
      <c r="M46">
        <v>1.4141414141414101E-2</v>
      </c>
      <c r="N46">
        <v>1.65477406863088E-2</v>
      </c>
      <c r="O46">
        <v>1125</v>
      </c>
      <c r="P46">
        <v>0.39898989898989901</v>
      </c>
      <c r="Q46">
        <v>0.39906728847435002</v>
      </c>
      <c r="R46">
        <v>0.87020648967551595</v>
      </c>
      <c r="S46">
        <v>1</v>
      </c>
      <c r="T46" t="s">
        <v>28</v>
      </c>
      <c r="U46">
        <v>1.22264150943396E-2</v>
      </c>
      <c r="V46">
        <v>0</v>
      </c>
      <c r="W46">
        <v>0</v>
      </c>
      <c r="X46">
        <v>0.111286716702637</v>
      </c>
      <c r="Y46">
        <v>0.115465479443492</v>
      </c>
      <c r="Z46">
        <v>0.246013035668462</v>
      </c>
      <c r="AA46">
        <v>0.87020648967551595</v>
      </c>
      <c r="AB46">
        <f t="shared" si="0"/>
        <v>0.36267767601291356</v>
      </c>
      <c r="AC46">
        <f t="shared" si="5"/>
        <v>0.25</v>
      </c>
      <c r="AD46">
        <f t="shared" si="1"/>
        <v>0</v>
      </c>
      <c r="AE46">
        <f t="shared" si="6"/>
        <v>0.45334709501614195</v>
      </c>
      <c r="AF46" t="str">
        <f t="shared" si="2"/>
        <v>Medium</v>
      </c>
      <c r="AG46" t="str">
        <f t="shared" si="3"/>
        <v>REVIEW</v>
      </c>
      <c r="AH46" t="str">
        <f t="shared" si="4"/>
        <v>USB anomaly</v>
      </c>
    </row>
    <row r="47" spans="1:34" x14ac:dyDescent="0.3">
      <c r="A47" t="s">
        <v>74</v>
      </c>
      <c r="B47">
        <v>4.1587901701323197E-2</v>
      </c>
      <c r="C47">
        <v>0.93031214165109</v>
      </c>
      <c r="D47">
        <v>0.52281121114005702</v>
      </c>
      <c r="E47">
        <v>0</v>
      </c>
      <c r="F47">
        <v>5.2631578947368397E-2</v>
      </c>
      <c r="G47">
        <v>0.317448891064389</v>
      </c>
      <c r="H47">
        <v>5</v>
      </c>
      <c r="I47">
        <v>23</v>
      </c>
      <c r="J47">
        <v>2.2947378464767899E-2</v>
      </c>
      <c r="K47">
        <v>8.1566068515497503E-4</v>
      </c>
      <c r="L47">
        <v>8.9859477908433901E-3</v>
      </c>
      <c r="M47">
        <v>0</v>
      </c>
      <c r="N47">
        <v>0</v>
      </c>
      <c r="O47">
        <v>115</v>
      </c>
      <c r="P47">
        <v>1.7220819304152601E-2</v>
      </c>
      <c r="Q47">
        <v>1.7391914162488101E-2</v>
      </c>
      <c r="R47">
        <v>0.10176991150442399</v>
      </c>
      <c r="S47">
        <v>1</v>
      </c>
      <c r="T47" t="s">
        <v>53</v>
      </c>
      <c r="U47">
        <v>1.6981132075471601E-2</v>
      </c>
      <c r="V47">
        <v>0</v>
      </c>
      <c r="W47">
        <v>1.54338621437029E-2</v>
      </c>
      <c r="X47">
        <v>0.177895994920964</v>
      </c>
      <c r="Y47">
        <v>9.0824495883752802E-3</v>
      </c>
      <c r="Z47">
        <v>1.03324915824915E-2</v>
      </c>
      <c r="AA47">
        <v>0.10176991150442399</v>
      </c>
      <c r="AB47">
        <f t="shared" si="0"/>
        <v>6.2395117936435665E-2</v>
      </c>
      <c r="AC47">
        <f t="shared" si="5"/>
        <v>0.1</v>
      </c>
      <c r="AD47">
        <f t="shared" si="1"/>
        <v>0</v>
      </c>
      <c r="AE47">
        <f t="shared" si="6"/>
        <v>6.8634629730079236E-2</v>
      </c>
      <c r="AF47" t="str">
        <f t="shared" si="2"/>
        <v>Very Low</v>
      </c>
      <c r="AG47" t="str">
        <f t="shared" si="3"/>
        <v>NO ACTION</v>
      </c>
      <c r="AH47" t="str">
        <f t="shared" si="4"/>
        <v/>
      </c>
    </row>
    <row r="48" spans="1:34" x14ac:dyDescent="0.3">
      <c r="A48" t="s">
        <v>75</v>
      </c>
      <c r="B48">
        <v>0.12892249527410199</v>
      </c>
      <c r="C48">
        <v>0.18476582604220201</v>
      </c>
      <c r="D48">
        <v>0</v>
      </c>
      <c r="E48">
        <v>0</v>
      </c>
      <c r="F48">
        <v>0</v>
      </c>
      <c r="G48">
        <v>0.99366529326306796</v>
      </c>
      <c r="H48">
        <v>7</v>
      </c>
      <c r="I48">
        <v>7</v>
      </c>
      <c r="J48">
        <v>0.528075950574877</v>
      </c>
      <c r="K48">
        <v>1.71288743882544E-2</v>
      </c>
      <c r="L48">
        <v>8.2816130714599701E-3</v>
      </c>
      <c r="M48">
        <v>2.8860028860028799E-3</v>
      </c>
      <c r="N48">
        <v>3.3011557302689599E-3</v>
      </c>
      <c r="O48">
        <v>1125</v>
      </c>
      <c r="P48">
        <v>0.39699074074073998</v>
      </c>
      <c r="Q48">
        <v>0.39706862091938699</v>
      </c>
      <c r="R48">
        <v>0</v>
      </c>
      <c r="S48">
        <v>0</v>
      </c>
      <c r="T48" t="s">
        <v>28</v>
      </c>
      <c r="U48">
        <v>3.2418524871354999E-2</v>
      </c>
      <c r="V48">
        <v>0</v>
      </c>
      <c r="W48">
        <v>0</v>
      </c>
      <c r="X48">
        <v>0</v>
      </c>
      <c r="Y48">
        <v>0.110746343369786</v>
      </c>
      <c r="Z48">
        <v>0.23951490673655201</v>
      </c>
      <c r="AA48">
        <v>0</v>
      </c>
      <c r="AB48">
        <f t="shared" si="0"/>
        <v>9.8073150029774653E-2</v>
      </c>
      <c r="AC48">
        <f t="shared" si="5"/>
        <v>0.25</v>
      </c>
      <c r="AD48">
        <f t="shared" si="1"/>
        <v>0</v>
      </c>
      <c r="AE48">
        <f t="shared" si="6"/>
        <v>0.12259143753721832</v>
      </c>
      <c r="AF48" t="str">
        <f t="shared" si="2"/>
        <v>Very Low</v>
      </c>
      <c r="AG48" t="str">
        <f t="shared" si="3"/>
        <v>NO ACTION</v>
      </c>
      <c r="AH48" t="str">
        <f t="shared" si="4"/>
        <v/>
      </c>
    </row>
    <row r="49" spans="1:34" x14ac:dyDescent="0.3">
      <c r="A49" t="s">
        <v>76</v>
      </c>
      <c r="B49">
        <v>0.27901701323251399</v>
      </c>
      <c r="C49">
        <v>0.69125327910128598</v>
      </c>
      <c r="D49">
        <v>0.42939238311982603</v>
      </c>
      <c r="E49">
        <v>0</v>
      </c>
      <c r="F49">
        <v>0</v>
      </c>
      <c r="G49">
        <v>0.38185959331804298</v>
      </c>
      <c r="H49">
        <v>7</v>
      </c>
      <c r="I49">
        <v>17</v>
      </c>
      <c r="J49">
        <v>0.67096035494489703</v>
      </c>
      <c r="K49">
        <v>2.6101141924959201E-2</v>
      </c>
      <c r="L49">
        <v>9.9331480590800006E-3</v>
      </c>
      <c r="M49">
        <v>8.9466089466089405E-3</v>
      </c>
      <c r="N49">
        <v>8.0550640078680402E-3</v>
      </c>
      <c r="O49">
        <v>1455</v>
      </c>
      <c r="P49">
        <v>0.50883838383838298</v>
      </c>
      <c r="Q49">
        <v>0.50888881096812599</v>
      </c>
      <c r="R49">
        <v>0</v>
      </c>
      <c r="S49">
        <v>0</v>
      </c>
      <c r="T49" t="s">
        <v>28</v>
      </c>
      <c r="U49">
        <v>1.6981132075471601E-2</v>
      </c>
      <c r="V49">
        <v>0</v>
      </c>
      <c r="W49">
        <v>0</v>
      </c>
      <c r="X49">
        <v>0.12881771493594699</v>
      </c>
      <c r="Y49">
        <v>0.14157516422087901</v>
      </c>
      <c r="Z49">
        <v>0.30852505590617701</v>
      </c>
      <c r="AA49">
        <v>0</v>
      </c>
      <c r="AB49">
        <f t="shared" si="0"/>
        <v>0.1466388960253272</v>
      </c>
      <c r="AC49">
        <f t="shared" si="5"/>
        <v>0.25</v>
      </c>
      <c r="AD49">
        <f t="shared" si="1"/>
        <v>0</v>
      </c>
      <c r="AE49">
        <f t="shared" si="6"/>
        <v>0.183298620031659</v>
      </c>
      <c r="AF49" t="str">
        <f t="shared" si="2"/>
        <v>Very Low</v>
      </c>
      <c r="AG49" t="str">
        <f t="shared" si="3"/>
        <v>NO ACTION</v>
      </c>
      <c r="AH49" t="str">
        <f t="shared" si="4"/>
        <v/>
      </c>
    </row>
    <row r="50" spans="1:34" x14ac:dyDescent="0.3">
      <c r="A50" t="s">
        <v>77</v>
      </c>
      <c r="B50">
        <v>0.159546313799621</v>
      </c>
      <c r="C50">
        <v>0.511792663684974</v>
      </c>
      <c r="D50">
        <v>0.52603392425725304</v>
      </c>
      <c r="E50">
        <v>0.320813771517996</v>
      </c>
      <c r="F50">
        <v>9.6244131455399007E-2</v>
      </c>
      <c r="G50">
        <v>0.77695071670044902</v>
      </c>
      <c r="H50">
        <v>0</v>
      </c>
      <c r="I50">
        <v>23</v>
      </c>
      <c r="J50">
        <v>0.66700062019941797</v>
      </c>
      <c r="K50">
        <v>2.9363784665579099E-2</v>
      </c>
      <c r="L50">
        <v>1.1241108433332999E-2</v>
      </c>
      <c r="M50">
        <v>8.0808080808080808E-3</v>
      </c>
      <c r="N50">
        <v>7.3187184298295401E-3</v>
      </c>
      <c r="O50">
        <v>1391</v>
      </c>
      <c r="P50">
        <v>0.50690937149270399</v>
      </c>
      <c r="Q50">
        <v>0.50696027209930195</v>
      </c>
      <c r="R50">
        <v>5.8997050147492597E-2</v>
      </c>
      <c r="S50">
        <v>1</v>
      </c>
      <c r="T50" t="s">
        <v>28</v>
      </c>
      <c r="U50">
        <v>2.1080026024723399E-2</v>
      </c>
      <c r="V50">
        <v>0</v>
      </c>
      <c r="W50">
        <v>3.5305935338354903E-2</v>
      </c>
      <c r="X50">
        <v>0.29255196131473399</v>
      </c>
      <c r="Y50">
        <v>0.14121629378549899</v>
      </c>
      <c r="Z50">
        <v>0.30707311026755402</v>
      </c>
      <c r="AA50">
        <v>5.8997050147492597E-2</v>
      </c>
      <c r="AB50">
        <f t="shared" si="0"/>
        <v>0.18884852098651023</v>
      </c>
      <c r="AC50">
        <f t="shared" si="5"/>
        <v>0.25</v>
      </c>
      <c r="AD50">
        <f t="shared" si="1"/>
        <v>0</v>
      </c>
      <c r="AE50">
        <f t="shared" si="6"/>
        <v>0.2360606512331378</v>
      </c>
      <c r="AF50" t="str">
        <f t="shared" si="2"/>
        <v>Low</v>
      </c>
      <c r="AG50" t="str">
        <f t="shared" si="3"/>
        <v>NO ACTION</v>
      </c>
      <c r="AH50" t="str">
        <f t="shared" si="4"/>
        <v/>
      </c>
    </row>
    <row r="51" spans="1:34" x14ac:dyDescent="0.3">
      <c r="A51" t="s">
        <v>78</v>
      </c>
      <c r="B51">
        <v>0.12892249527410199</v>
      </c>
      <c r="C51">
        <v>0</v>
      </c>
      <c r="D51">
        <v>0</v>
      </c>
      <c r="E51">
        <v>0</v>
      </c>
      <c r="F51">
        <v>1</v>
      </c>
      <c r="G51">
        <v>0.99368788098088001</v>
      </c>
      <c r="H51">
        <v>6</v>
      </c>
      <c r="I51">
        <v>6</v>
      </c>
      <c r="J51">
        <v>0.65249749534850399</v>
      </c>
      <c r="K51">
        <v>1.4681892332789499E-2</v>
      </c>
      <c r="L51">
        <v>5.7454371637405298E-3</v>
      </c>
      <c r="M51">
        <v>4.3290043290043203E-3</v>
      </c>
      <c r="N51">
        <v>4.0078568802439504E-3</v>
      </c>
      <c r="O51">
        <v>1411</v>
      </c>
      <c r="P51">
        <v>0.48811026936026902</v>
      </c>
      <c r="Q51">
        <v>0.48816578421403201</v>
      </c>
      <c r="R51">
        <v>0</v>
      </c>
      <c r="S51">
        <v>0</v>
      </c>
      <c r="T51" t="s">
        <v>28</v>
      </c>
      <c r="U51">
        <v>1.9103773584905601E-2</v>
      </c>
      <c r="V51">
        <v>0</v>
      </c>
      <c r="W51">
        <v>0</v>
      </c>
      <c r="X51">
        <v>0.4</v>
      </c>
      <c r="Y51">
        <v>0.13457457471564399</v>
      </c>
      <c r="Z51">
        <v>0.29446930436825902</v>
      </c>
      <c r="AA51">
        <v>0</v>
      </c>
      <c r="AB51">
        <f t="shared" si="0"/>
        <v>0.18413228614349286</v>
      </c>
      <c r="AC51">
        <f t="shared" si="5"/>
        <v>0.25</v>
      </c>
      <c r="AD51">
        <f t="shared" si="1"/>
        <v>0.08</v>
      </c>
      <c r="AE51">
        <f t="shared" si="6"/>
        <v>0.24489594057084552</v>
      </c>
      <c r="AF51" t="str">
        <f t="shared" si="2"/>
        <v>Low</v>
      </c>
      <c r="AG51" t="str">
        <f t="shared" si="3"/>
        <v>NO ACTION</v>
      </c>
      <c r="AH51" t="str">
        <f t="shared" si="4"/>
        <v/>
      </c>
    </row>
    <row r="52" spans="1:34" x14ac:dyDescent="0.3">
      <c r="A52" t="s">
        <v>79</v>
      </c>
      <c r="B52">
        <v>0.12892249527410199</v>
      </c>
      <c r="C52">
        <v>0.36953165208440503</v>
      </c>
      <c r="D52">
        <v>0</v>
      </c>
      <c r="E52">
        <v>0</v>
      </c>
      <c r="F52">
        <v>0</v>
      </c>
      <c r="G52">
        <v>0.99365640804705602</v>
      </c>
      <c r="H52">
        <v>8</v>
      </c>
      <c r="I52">
        <v>8</v>
      </c>
      <c r="J52">
        <v>0.58041123992175903</v>
      </c>
      <c r="K52">
        <v>1.38662316476345E-2</v>
      </c>
      <c r="L52">
        <v>6.0999014582161001E-3</v>
      </c>
      <c r="M52">
        <v>5.1948051948051896E-3</v>
      </c>
      <c r="N52">
        <v>5.4065070579736498E-3</v>
      </c>
      <c r="O52">
        <v>1246</v>
      </c>
      <c r="P52">
        <v>0.43518518518518501</v>
      </c>
      <c r="Q52">
        <v>0.43525369052210799</v>
      </c>
      <c r="R52">
        <v>0</v>
      </c>
      <c r="S52">
        <v>0</v>
      </c>
      <c r="T52" t="s">
        <v>28</v>
      </c>
      <c r="U52">
        <v>1.51936444885799E-2</v>
      </c>
      <c r="V52">
        <v>0</v>
      </c>
      <c r="W52">
        <v>0</v>
      </c>
      <c r="X52">
        <v>0</v>
      </c>
      <c r="Y52">
        <v>0.120754150830852</v>
      </c>
      <c r="Z52">
        <v>0.26327371393429999</v>
      </c>
      <c r="AA52">
        <v>0</v>
      </c>
      <c r="AB52">
        <f t="shared" si="0"/>
        <v>0.10752780213424257</v>
      </c>
      <c r="AC52">
        <f t="shared" si="5"/>
        <v>0.25</v>
      </c>
      <c r="AD52">
        <f t="shared" si="1"/>
        <v>0</v>
      </c>
      <c r="AE52">
        <f t="shared" si="6"/>
        <v>0.1344097526678032</v>
      </c>
      <c r="AF52" t="str">
        <f t="shared" si="2"/>
        <v>Very Low</v>
      </c>
      <c r="AG52" t="str">
        <f t="shared" si="3"/>
        <v>NO ACTION</v>
      </c>
      <c r="AH52" t="str">
        <f t="shared" si="4"/>
        <v/>
      </c>
    </row>
    <row r="53" spans="1:34" x14ac:dyDescent="0.3">
      <c r="A53" t="s">
        <v>80</v>
      </c>
      <c r="B53">
        <v>0.12892249527410199</v>
      </c>
      <c r="C53">
        <v>0</v>
      </c>
      <c r="D53">
        <v>0</v>
      </c>
      <c r="E53">
        <v>0</v>
      </c>
      <c r="F53">
        <v>1</v>
      </c>
      <c r="G53">
        <v>0.99369280531746496</v>
      </c>
      <c r="H53">
        <v>6</v>
      </c>
      <c r="I53">
        <v>6</v>
      </c>
      <c r="J53">
        <v>0.66432899193740702</v>
      </c>
      <c r="K53">
        <v>1.6313213703099499E-2</v>
      </c>
      <c r="L53">
        <v>6.2701660105526002E-3</v>
      </c>
      <c r="M53">
        <v>5.1948051948051896E-3</v>
      </c>
      <c r="N53">
        <v>4.7238045515145197E-3</v>
      </c>
      <c r="O53">
        <v>1435</v>
      </c>
      <c r="P53">
        <v>0.49793069584736199</v>
      </c>
      <c r="Q53">
        <v>0.49798380027350098</v>
      </c>
      <c r="R53">
        <v>0</v>
      </c>
      <c r="S53">
        <v>0</v>
      </c>
      <c r="T53" t="s">
        <v>28</v>
      </c>
      <c r="U53">
        <v>1.7874875868917499E-2</v>
      </c>
      <c r="V53">
        <v>0</v>
      </c>
      <c r="W53">
        <v>0</v>
      </c>
      <c r="X53">
        <v>0.4</v>
      </c>
      <c r="Y53">
        <v>0.13741802275821199</v>
      </c>
      <c r="Z53">
        <v>0.30064793932902301</v>
      </c>
      <c r="AA53">
        <v>0</v>
      </c>
      <c r="AB53">
        <f t="shared" si="0"/>
        <v>0.18665846938442582</v>
      </c>
      <c r="AC53">
        <f t="shared" si="5"/>
        <v>0.25</v>
      </c>
      <c r="AD53">
        <f t="shared" si="1"/>
        <v>0.08</v>
      </c>
      <c r="AE53">
        <f t="shared" si="6"/>
        <v>0.24825576428128635</v>
      </c>
      <c r="AF53" t="str">
        <f t="shared" si="2"/>
        <v>Low</v>
      </c>
      <c r="AG53" t="str">
        <f t="shared" si="3"/>
        <v>NO ACTION</v>
      </c>
      <c r="AH53" t="str">
        <f t="shared" si="4"/>
        <v/>
      </c>
    </row>
    <row r="54" spans="1:34" x14ac:dyDescent="0.3">
      <c r="A54" t="s">
        <v>81</v>
      </c>
      <c r="B54">
        <v>0.12892249527410199</v>
      </c>
      <c r="C54">
        <v>0.18476582604220201</v>
      </c>
      <c r="D54">
        <v>0</v>
      </c>
      <c r="E54">
        <v>0</v>
      </c>
      <c r="F54">
        <v>0</v>
      </c>
      <c r="G54">
        <v>0.99369767612865201</v>
      </c>
      <c r="H54">
        <v>7</v>
      </c>
      <c r="I54">
        <v>7</v>
      </c>
      <c r="J54">
        <v>0.51261867277324502</v>
      </c>
      <c r="K54">
        <v>1.30505709624796E-2</v>
      </c>
      <c r="L54">
        <v>6.4999748857300704E-3</v>
      </c>
      <c r="M54">
        <v>1.1544011544011501E-3</v>
      </c>
      <c r="N54">
        <v>1.3602604114232001E-3</v>
      </c>
      <c r="O54">
        <v>1158</v>
      </c>
      <c r="P54">
        <v>0.38303170594837199</v>
      </c>
      <c r="Q54">
        <v>0.383113012377713</v>
      </c>
      <c r="R54">
        <v>0</v>
      </c>
      <c r="S54">
        <v>0</v>
      </c>
      <c r="T54" t="s">
        <v>28</v>
      </c>
      <c r="U54">
        <v>5.4339622641509398E-2</v>
      </c>
      <c r="V54">
        <v>0</v>
      </c>
      <c r="W54">
        <v>0</v>
      </c>
      <c r="X54">
        <v>0</v>
      </c>
      <c r="Y54">
        <v>0.106181800120941</v>
      </c>
      <c r="Z54">
        <v>0.23036312773359199</v>
      </c>
      <c r="AA54">
        <v>0</v>
      </c>
      <c r="AB54">
        <f t="shared" si="0"/>
        <v>9.4232579799269245E-2</v>
      </c>
      <c r="AC54">
        <f t="shared" si="5"/>
        <v>0.25</v>
      </c>
      <c r="AD54">
        <f t="shared" si="1"/>
        <v>0</v>
      </c>
      <c r="AE54">
        <f t="shared" si="6"/>
        <v>0.11779072474908656</v>
      </c>
      <c r="AF54" t="str">
        <f t="shared" si="2"/>
        <v>Very Low</v>
      </c>
      <c r="AG54" t="str">
        <f t="shared" si="3"/>
        <v>NO ACTION</v>
      </c>
      <c r="AH54" t="str">
        <f t="shared" si="4"/>
        <v/>
      </c>
    </row>
    <row r="55" spans="1:34" x14ac:dyDescent="0.3">
      <c r="A55" t="s">
        <v>82</v>
      </c>
      <c r="B55">
        <v>0.12892249527410199</v>
      </c>
      <c r="C55">
        <v>0.27634540938485902</v>
      </c>
      <c r="D55">
        <v>7.5129964412319103E-2</v>
      </c>
      <c r="E55">
        <v>0</v>
      </c>
      <c r="F55">
        <v>0</v>
      </c>
      <c r="G55">
        <v>0.993671823361582</v>
      </c>
      <c r="H55">
        <v>7</v>
      </c>
      <c r="I55">
        <v>8</v>
      </c>
      <c r="J55">
        <v>0.51476551691236105</v>
      </c>
      <c r="K55">
        <v>1.2234910277324601E-2</v>
      </c>
      <c r="L55">
        <v>6.0683241681564002E-3</v>
      </c>
      <c r="M55">
        <v>5.1948051948051896E-3</v>
      </c>
      <c r="N55">
        <v>6.0956551554050302E-3</v>
      </c>
      <c r="O55">
        <v>1096</v>
      </c>
      <c r="P55">
        <v>0.38622334455667701</v>
      </c>
      <c r="Q55">
        <v>0.38630386759704</v>
      </c>
      <c r="R55">
        <v>0</v>
      </c>
      <c r="S55">
        <v>0</v>
      </c>
      <c r="T55" t="s">
        <v>28</v>
      </c>
      <c r="U55">
        <v>1.34061569016881E-2</v>
      </c>
      <c r="V55">
        <v>0</v>
      </c>
      <c r="W55">
        <v>0</v>
      </c>
      <c r="X55">
        <v>2.2538989323695701E-2</v>
      </c>
      <c r="Y55">
        <v>0.10781596201317099</v>
      </c>
      <c r="Z55">
        <v>0.23417226879616801</v>
      </c>
      <c r="AA55">
        <v>0</v>
      </c>
      <c r="AB55">
        <f t="shared" si="0"/>
        <v>9.9362942918406236E-2</v>
      </c>
      <c r="AC55">
        <f t="shared" si="5"/>
        <v>0.25</v>
      </c>
      <c r="AD55">
        <f t="shared" si="1"/>
        <v>0</v>
      </c>
      <c r="AE55">
        <f t="shared" si="6"/>
        <v>0.1242036786480078</v>
      </c>
      <c r="AF55" t="str">
        <f t="shared" si="2"/>
        <v>Very Low</v>
      </c>
      <c r="AG55" t="str">
        <f t="shared" si="3"/>
        <v>NO ACTION</v>
      </c>
      <c r="AH55" t="str">
        <f t="shared" si="4"/>
        <v/>
      </c>
    </row>
    <row r="56" spans="1:34" x14ac:dyDescent="0.3">
      <c r="A56" t="s">
        <v>83</v>
      </c>
      <c r="B56">
        <v>0.12892249527410199</v>
      </c>
      <c r="C56">
        <v>0.18476582604220201</v>
      </c>
      <c r="D56">
        <v>0</v>
      </c>
      <c r="E56">
        <v>0</v>
      </c>
      <c r="F56">
        <v>0</v>
      </c>
      <c r="G56">
        <v>0.99364779045803298</v>
      </c>
      <c r="H56">
        <v>7</v>
      </c>
      <c r="I56">
        <v>7</v>
      </c>
      <c r="J56">
        <v>0.51056724392920105</v>
      </c>
      <c r="K56">
        <v>1.8760195758564399E-2</v>
      </c>
      <c r="L56">
        <v>9.3812388536515801E-3</v>
      </c>
      <c r="M56">
        <v>2.0202020202020202E-3</v>
      </c>
      <c r="N56">
        <v>2.3900157831230899E-3</v>
      </c>
      <c r="O56">
        <v>1147</v>
      </c>
      <c r="P56">
        <v>0.38439955106621698</v>
      </c>
      <c r="Q56">
        <v>0.38448052175742398</v>
      </c>
      <c r="R56">
        <v>0</v>
      </c>
      <c r="S56">
        <v>0</v>
      </c>
      <c r="T56" t="s">
        <v>28</v>
      </c>
      <c r="U56">
        <v>4.88207547169811E-2</v>
      </c>
      <c r="V56">
        <v>0</v>
      </c>
      <c r="W56">
        <v>0</v>
      </c>
      <c r="X56">
        <v>0</v>
      </c>
      <c r="Y56">
        <v>0.10752107294760301</v>
      </c>
      <c r="Z56">
        <v>0.231595736952979</v>
      </c>
      <c r="AA56">
        <v>0</v>
      </c>
      <c r="AB56">
        <f t="shared" si="0"/>
        <v>9.495270677216297E-2</v>
      </c>
      <c r="AC56">
        <f t="shared" si="5"/>
        <v>0.25</v>
      </c>
      <c r="AD56">
        <f t="shared" si="1"/>
        <v>0</v>
      </c>
      <c r="AE56">
        <f t="shared" si="6"/>
        <v>0.11869088346520371</v>
      </c>
      <c r="AF56" t="str">
        <f t="shared" si="2"/>
        <v>Very Low</v>
      </c>
      <c r="AG56" t="str">
        <f t="shared" si="3"/>
        <v>NO ACTION</v>
      </c>
      <c r="AH56" t="str">
        <f t="shared" si="4"/>
        <v/>
      </c>
    </row>
    <row r="57" spans="1:34" x14ac:dyDescent="0.3">
      <c r="A57" t="s">
        <v>84</v>
      </c>
      <c r="B57">
        <v>0.27977315689981003</v>
      </c>
      <c r="C57">
        <v>0.82002252364429196</v>
      </c>
      <c r="D57">
        <v>0.51075797007254797</v>
      </c>
      <c r="E57">
        <v>0.42861409796893601</v>
      </c>
      <c r="F57">
        <v>5.7795698924731097E-2</v>
      </c>
      <c r="G57">
        <v>0.38055934612944398</v>
      </c>
      <c r="H57">
        <v>0</v>
      </c>
      <c r="I57">
        <v>23</v>
      </c>
      <c r="J57">
        <v>0.63713563284194397</v>
      </c>
      <c r="K57">
        <v>1.38662316476345E-2</v>
      </c>
      <c r="L57">
        <v>5.5570284916128801E-3</v>
      </c>
      <c r="M57">
        <v>4.3290043290043203E-3</v>
      </c>
      <c r="N57">
        <v>4.1044534308007303E-3</v>
      </c>
      <c r="O57">
        <v>1335</v>
      </c>
      <c r="P57">
        <v>0.47646604938271597</v>
      </c>
      <c r="Q57">
        <v>0.47652442231494702</v>
      </c>
      <c r="R57">
        <v>1.6224188790560399E-2</v>
      </c>
      <c r="S57">
        <v>1</v>
      </c>
      <c r="T57" t="s">
        <v>28</v>
      </c>
      <c r="U57">
        <v>1.8042452830188599E-2</v>
      </c>
      <c r="V57">
        <v>0</v>
      </c>
      <c r="W57">
        <v>1.0480993949454899E-2</v>
      </c>
      <c r="X57">
        <v>0.30492989998233799</v>
      </c>
      <c r="Y57">
        <v>0.131436976843435</v>
      </c>
      <c r="Z57">
        <v>0.287521411001949</v>
      </c>
      <c r="AA57">
        <v>1.6224188790560399E-2</v>
      </c>
      <c r="AB57">
        <f t="shared" si="0"/>
        <v>0.17063990545523852</v>
      </c>
      <c r="AC57">
        <f t="shared" si="5"/>
        <v>0.25</v>
      </c>
      <c r="AD57">
        <f t="shared" si="1"/>
        <v>0</v>
      </c>
      <c r="AE57">
        <f t="shared" si="6"/>
        <v>0.21329988181904816</v>
      </c>
      <c r="AF57" t="str">
        <f t="shared" si="2"/>
        <v>Low</v>
      </c>
      <c r="AG57" t="str">
        <f t="shared" si="3"/>
        <v>NO ACTION</v>
      </c>
      <c r="AH57" t="str">
        <f t="shared" si="4"/>
        <v/>
      </c>
    </row>
    <row r="58" spans="1:34" x14ac:dyDescent="0.3">
      <c r="A58" t="s">
        <v>85</v>
      </c>
      <c r="B58">
        <v>0.25028355387523599</v>
      </c>
      <c r="C58">
        <v>0.77707068880511898</v>
      </c>
      <c r="D58">
        <v>0.48482650055319099</v>
      </c>
      <c r="E58">
        <v>0.136803470136803</v>
      </c>
      <c r="F58">
        <v>5.4054054054054002E-2</v>
      </c>
      <c r="G58">
        <v>0.44249813871212801</v>
      </c>
      <c r="H58">
        <v>0</v>
      </c>
      <c r="I58">
        <v>23</v>
      </c>
      <c r="J58">
        <v>0.53933495539334897</v>
      </c>
      <c r="K58">
        <v>1.5497553017944501E-2</v>
      </c>
      <c r="L58">
        <v>7.3365377454153698E-3</v>
      </c>
      <c r="M58">
        <v>3.4632034632034602E-3</v>
      </c>
      <c r="N58">
        <v>3.8787266373473202E-3</v>
      </c>
      <c r="O58">
        <v>1152</v>
      </c>
      <c r="P58">
        <v>0.40484708193041502</v>
      </c>
      <c r="Q58">
        <v>0.40492303376696198</v>
      </c>
      <c r="R58">
        <v>0</v>
      </c>
      <c r="S58">
        <v>0</v>
      </c>
      <c r="T58" t="s">
        <v>28</v>
      </c>
      <c r="U58">
        <v>2.4818577648766299E-2</v>
      </c>
      <c r="V58">
        <v>0</v>
      </c>
      <c r="W58">
        <v>0</v>
      </c>
      <c r="X58">
        <v>0.20811061282861901</v>
      </c>
      <c r="Y58">
        <v>0.112698877942581</v>
      </c>
      <c r="Z58">
        <v>0.244459739813188</v>
      </c>
      <c r="AA58">
        <v>0</v>
      </c>
      <c r="AB58">
        <f t="shared" si="0"/>
        <v>0.13330211102419437</v>
      </c>
      <c r="AC58">
        <f t="shared" si="5"/>
        <v>0.25</v>
      </c>
      <c r="AD58">
        <f t="shared" si="1"/>
        <v>0</v>
      </c>
      <c r="AE58">
        <f t="shared" si="6"/>
        <v>0.16662763878024295</v>
      </c>
      <c r="AF58" t="str">
        <f t="shared" si="2"/>
        <v>Very Low</v>
      </c>
      <c r="AG58" t="str">
        <f t="shared" si="3"/>
        <v>NO ACTION</v>
      </c>
      <c r="AH58" t="str">
        <f t="shared" si="4"/>
        <v/>
      </c>
    </row>
    <row r="59" spans="1:34" x14ac:dyDescent="0.3">
      <c r="A59" t="s">
        <v>86</v>
      </c>
      <c r="B59">
        <v>0.12892249527410199</v>
      </c>
      <c r="C59">
        <v>0.18476582604220201</v>
      </c>
      <c r="D59">
        <v>0</v>
      </c>
      <c r="E59">
        <v>0</v>
      </c>
      <c r="F59">
        <v>0</v>
      </c>
      <c r="G59">
        <v>0.99369208272459597</v>
      </c>
      <c r="H59">
        <v>7</v>
      </c>
      <c r="I59">
        <v>7</v>
      </c>
      <c r="J59">
        <v>0.51037641333905803</v>
      </c>
      <c r="K59">
        <v>2.6916802610114102E-2</v>
      </c>
      <c r="L59">
        <v>1.34650687348917E-2</v>
      </c>
      <c r="M59">
        <v>6.1183261183261103E-2</v>
      </c>
      <c r="N59">
        <v>7.2410386752159994E-2</v>
      </c>
      <c r="O59">
        <v>1211</v>
      </c>
      <c r="P59">
        <v>0.416526374859708</v>
      </c>
      <c r="Q59">
        <v>0.41659946000911602</v>
      </c>
      <c r="R59">
        <v>0</v>
      </c>
      <c r="S59">
        <v>0</v>
      </c>
      <c r="T59" t="s">
        <v>28</v>
      </c>
      <c r="U59">
        <v>2.6308796173266E-3</v>
      </c>
      <c r="V59">
        <v>0</v>
      </c>
      <c r="W59">
        <v>0</v>
      </c>
      <c r="X59">
        <v>0</v>
      </c>
      <c r="Y59">
        <v>0.13053093306090499</v>
      </c>
      <c r="Z59">
        <v>0.27887997961668898</v>
      </c>
      <c r="AA59">
        <v>0</v>
      </c>
      <c r="AB59">
        <f t="shared" si="0"/>
        <v>0.11463505554972632</v>
      </c>
      <c r="AC59">
        <f t="shared" si="5"/>
        <v>0.25</v>
      </c>
      <c r="AD59">
        <f t="shared" si="1"/>
        <v>0</v>
      </c>
      <c r="AE59">
        <f t="shared" si="6"/>
        <v>0.14329381943715791</v>
      </c>
      <c r="AF59" t="str">
        <f t="shared" si="2"/>
        <v>Very Low</v>
      </c>
      <c r="AG59" t="str">
        <f t="shared" si="3"/>
        <v>NO ACTION</v>
      </c>
      <c r="AH59" t="str">
        <f t="shared" si="4"/>
        <v/>
      </c>
    </row>
    <row r="60" spans="1:34" x14ac:dyDescent="0.3">
      <c r="A60" t="s">
        <v>87</v>
      </c>
      <c r="B60">
        <v>0.26767485822306197</v>
      </c>
      <c r="C60">
        <v>0.73724678621614803</v>
      </c>
      <c r="D60">
        <v>0.39984732761692598</v>
      </c>
      <c r="E60">
        <v>0</v>
      </c>
      <c r="F60">
        <v>0</v>
      </c>
      <c r="G60">
        <v>0.40427367966088301</v>
      </c>
      <c r="H60">
        <v>7</v>
      </c>
      <c r="I60">
        <v>18</v>
      </c>
      <c r="J60">
        <v>0.565526453890558</v>
      </c>
      <c r="K60">
        <v>3.9967373572593799E-2</v>
      </c>
      <c r="L60">
        <v>1.80446378860902E-2</v>
      </c>
      <c r="M60">
        <v>6.7821067821067796E-2</v>
      </c>
      <c r="N60">
        <v>7.2441982130826005E-2</v>
      </c>
      <c r="O60">
        <v>1353</v>
      </c>
      <c r="P60">
        <v>0.46590909090909</v>
      </c>
      <c r="Q60">
        <v>0.46597005505101802</v>
      </c>
      <c r="R60">
        <v>0</v>
      </c>
      <c r="S60">
        <v>0</v>
      </c>
      <c r="T60" t="s">
        <v>28</v>
      </c>
      <c r="U60">
        <v>3.5257435241445399E-3</v>
      </c>
      <c r="V60">
        <v>0</v>
      </c>
      <c r="W60">
        <v>0</v>
      </c>
      <c r="X60">
        <v>0.119954198285077</v>
      </c>
      <c r="Y60">
        <v>0.143860204360404</v>
      </c>
      <c r="Z60">
        <v>0.308522247397784</v>
      </c>
      <c r="AA60">
        <v>0</v>
      </c>
      <c r="AB60">
        <f t="shared" si="0"/>
        <v>0.14585975821790498</v>
      </c>
      <c r="AC60">
        <f t="shared" si="5"/>
        <v>0.25</v>
      </c>
      <c r="AD60">
        <f t="shared" si="1"/>
        <v>0</v>
      </c>
      <c r="AE60">
        <f t="shared" si="6"/>
        <v>0.18232469777238122</v>
      </c>
      <c r="AF60" t="str">
        <f t="shared" si="2"/>
        <v>Very Low</v>
      </c>
      <c r="AG60" t="str">
        <f t="shared" si="3"/>
        <v>NO ACTION</v>
      </c>
      <c r="AH60" t="str">
        <f t="shared" si="4"/>
        <v/>
      </c>
    </row>
    <row r="61" spans="1:34" x14ac:dyDescent="0.3">
      <c r="A61" t="s">
        <v>88</v>
      </c>
      <c r="B61">
        <v>0.12892249527410199</v>
      </c>
      <c r="C61">
        <v>0.36953165208440503</v>
      </c>
      <c r="D61">
        <v>0</v>
      </c>
      <c r="E61">
        <v>0</v>
      </c>
      <c r="F61">
        <v>0</v>
      </c>
      <c r="G61">
        <v>0.99366411570431901</v>
      </c>
      <c r="H61">
        <v>8</v>
      </c>
      <c r="I61">
        <v>8</v>
      </c>
      <c r="J61">
        <v>0.61409283908210399</v>
      </c>
      <c r="K61">
        <v>3.9151712887438801E-2</v>
      </c>
      <c r="L61">
        <v>1.6278961719716899E-2</v>
      </c>
      <c r="M61">
        <v>7.4747474747474701E-2</v>
      </c>
      <c r="N61">
        <v>7.3528481993186498E-2</v>
      </c>
      <c r="O61">
        <v>1369</v>
      </c>
      <c r="P61">
        <v>0.50462962962962898</v>
      </c>
      <c r="Q61">
        <v>0.50468108979978199</v>
      </c>
      <c r="R61">
        <v>0</v>
      </c>
      <c r="S61">
        <v>0</v>
      </c>
      <c r="T61" t="s">
        <v>28</v>
      </c>
      <c r="U61">
        <v>3.1349782293178499E-3</v>
      </c>
      <c r="V61">
        <v>0</v>
      </c>
      <c r="W61">
        <v>0</v>
      </c>
      <c r="X61">
        <v>0</v>
      </c>
      <c r="Y61">
        <v>0.153016593274235</v>
      </c>
      <c r="Z61">
        <v>0.33218917057505198</v>
      </c>
      <c r="AA61">
        <v>0</v>
      </c>
      <c r="AB61">
        <f t="shared" si="0"/>
        <v>0.13585761387780038</v>
      </c>
      <c r="AC61">
        <f t="shared" si="5"/>
        <v>0.25</v>
      </c>
      <c r="AD61">
        <f t="shared" si="1"/>
        <v>0</v>
      </c>
      <c r="AE61">
        <f t="shared" si="6"/>
        <v>0.16982201734725047</v>
      </c>
      <c r="AF61" t="str">
        <f t="shared" si="2"/>
        <v>Very Low</v>
      </c>
      <c r="AG61" t="str">
        <f t="shared" si="3"/>
        <v>NO ACTION</v>
      </c>
      <c r="AH61" t="str">
        <f t="shared" si="4"/>
        <v/>
      </c>
    </row>
    <row r="62" spans="1:34" x14ac:dyDescent="0.3">
      <c r="A62" t="s">
        <v>89</v>
      </c>
      <c r="B62">
        <v>0.12892249527410199</v>
      </c>
      <c r="C62">
        <v>0.18476582604220201</v>
      </c>
      <c r="D62">
        <v>0</v>
      </c>
      <c r="E62">
        <v>0</v>
      </c>
      <c r="F62">
        <v>0</v>
      </c>
      <c r="G62">
        <v>0.99368742601500004</v>
      </c>
      <c r="H62">
        <v>7</v>
      </c>
      <c r="I62">
        <v>7</v>
      </c>
      <c r="J62">
        <v>0.62463622918753803</v>
      </c>
      <c r="K62">
        <v>4.07830342577487E-2</v>
      </c>
      <c r="L62">
        <v>1.66711353884176E-2</v>
      </c>
      <c r="M62">
        <v>7.0418470418470394E-2</v>
      </c>
      <c r="N62">
        <v>6.8101295219939198E-2</v>
      </c>
      <c r="O62">
        <v>1508</v>
      </c>
      <c r="P62">
        <v>0.51097783389450002</v>
      </c>
      <c r="Q62">
        <v>0.51102773589536798</v>
      </c>
      <c r="R62">
        <v>0</v>
      </c>
      <c r="S62">
        <v>0</v>
      </c>
      <c r="T62" t="s">
        <v>28</v>
      </c>
      <c r="U62">
        <v>3.4655371582595299E-3</v>
      </c>
      <c r="V62">
        <v>0</v>
      </c>
      <c r="W62">
        <v>0</v>
      </c>
      <c r="X62">
        <v>0</v>
      </c>
      <c r="Y62">
        <v>0.15369320209769799</v>
      </c>
      <c r="Z62">
        <v>0.333827218424676</v>
      </c>
      <c r="AA62">
        <v>0</v>
      </c>
      <c r="AB62">
        <f t="shared" si="0"/>
        <v>0.13650571774626474</v>
      </c>
      <c r="AC62">
        <f t="shared" si="5"/>
        <v>0.25</v>
      </c>
      <c r="AD62">
        <f t="shared" si="1"/>
        <v>0</v>
      </c>
      <c r="AE62">
        <f t="shared" si="6"/>
        <v>0.17063214718283093</v>
      </c>
      <c r="AF62" t="str">
        <f t="shared" si="2"/>
        <v>Very Low</v>
      </c>
      <c r="AG62" t="str">
        <f t="shared" si="3"/>
        <v>NO ACTION</v>
      </c>
      <c r="AH62" t="str">
        <f t="shared" si="4"/>
        <v/>
      </c>
    </row>
    <row r="63" spans="1:34" x14ac:dyDescent="0.3">
      <c r="A63" t="s">
        <v>90</v>
      </c>
      <c r="B63">
        <v>0.12892249527410199</v>
      </c>
      <c r="C63">
        <v>0.284378706169303</v>
      </c>
      <c r="D63">
        <v>7.4902366299490403E-2</v>
      </c>
      <c r="E63">
        <v>0</v>
      </c>
      <c r="F63">
        <v>0</v>
      </c>
      <c r="G63">
        <v>0.99369165452141495</v>
      </c>
      <c r="H63">
        <v>7</v>
      </c>
      <c r="I63">
        <v>8</v>
      </c>
      <c r="J63">
        <v>0.52115834168217101</v>
      </c>
      <c r="K63">
        <v>1.7944535073409401E-2</v>
      </c>
      <c r="L63">
        <v>8.7910837020493699E-3</v>
      </c>
      <c r="M63">
        <v>7.7922077922077896E-3</v>
      </c>
      <c r="N63">
        <v>9.0313748836943902E-3</v>
      </c>
      <c r="O63">
        <v>1139</v>
      </c>
      <c r="P63">
        <v>0.394640852974186</v>
      </c>
      <c r="Q63">
        <v>0.394719309933728</v>
      </c>
      <c r="R63">
        <v>0</v>
      </c>
      <c r="S63">
        <v>0</v>
      </c>
      <c r="T63" t="s">
        <v>28</v>
      </c>
      <c r="U63">
        <v>1.3342318059299099E-2</v>
      </c>
      <c r="V63">
        <v>0</v>
      </c>
      <c r="W63">
        <v>0</v>
      </c>
      <c r="X63">
        <v>2.2470709889847101E-2</v>
      </c>
      <c r="Y63">
        <v>0.111336622652567</v>
      </c>
      <c r="Z63">
        <v>0.240397061737989</v>
      </c>
      <c r="AA63">
        <v>0</v>
      </c>
      <c r="AB63">
        <f t="shared" si="0"/>
        <v>0.10208074521173122</v>
      </c>
      <c r="AC63">
        <f t="shared" si="5"/>
        <v>0.25</v>
      </c>
      <c r="AD63">
        <f t="shared" si="1"/>
        <v>0</v>
      </c>
      <c r="AE63">
        <f t="shared" si="6"/>
        <v>0.12760093151466401</v>
      </c>
      <c r="AF63" t="str">
        <f t="shared" si="2"/>
        <v>Very Low</v>
      </c>
      <c r="AG63" t="str">
        <f t="shared" si="3"/>
        <v>NO ACTION</v>
      </c>
      <c r="AH63" t="str">
        <f t="shared" si="4"/>
        <v/>
      </c>
    </row>
    <row r="64" spans="1:34" x14ac:dyDescent="0.3">
      <c r="A64" t="s">
        <v>91</v>
      </c>
      <c r="B64">
        <v>0.12892249527410199</v>
      </c>
      <c r="C64">
        <v>0.18476582604220201</v>
      </c>
      <c r="D64">
        <v>0</v>
      </c>
      <c r="E64">
        <v>0</v>
      </c>
      <c r="F64">
        <v>0</v>
      </c>
      <c r="G64">
        <v>0.99368263549190905</v>
      </c>
      <c r="H64">
        <v>7</v>
      </c>
      <c r="I64">
        <v>7</v>
      </c>
      <c r="J64">
        <v>0.55903821382567598</v>
      </c>
      <c r="K64">
        <v>2.6101141924959201E-2</v>
      </c>
      <c r="L64">
        <v>1.19209639207708E-2</v>
      </c>
      <c r="M64">
        <v>6.0606060606060597E-3</v>
      </c>
      <c r="N64">
        <v>6.5486391682757703E-3</v>
      </c>
      <c r="O64">
        <v>1234</v>
      </c>
      <c r="P64">
        <v>0.42515432098765399</v>
      </c>
      <c r="Q64">
        <v>0.42522528840422102</v>
      </c>
      <c r="R64">
        <v>0</v>
      </c>
      <c r="S64">
        <v>0</v>
      </c>
      <c r="T64" t="s">
        <v>28</v>
      </c>
      <c r="U64">
        <v>2.4699828473413302E-2</v>
      </c>
      <c r="V64">
        <v>0</v>
      </c>
      <c r="W64">
        <v>0</v>
      </c>
      <c r="X64">
        <v>0</v>
      </c>
      <c r="Y64">
        <v>0.119732716476003</v>
      </c>
      <c r="Z64">
        <v>0.25771204825990202</v>
      </c>
      <c r="AA64">
        <v>0</v>
      </c>
      <c r="AB64">
        <f t="shared" si="0"/>
        <v>0.10568453412605341</v>
      </c>
      <c r="AC64">
        <f t="shared" si="5"/>
        <v>0.25</v>
      </c>
      <c r="AD64">
        <f t="shared" si="1"/>
        <v>0</v>
      </c>
      <c r="AE64">
        <f t="shared" si="6"/>
        <v>0.13210566765756676</v>
      </c>
      <c r="AF64" t="str">
        <f t="shared" si="2"/>
        <v>Very Low</v>
      </c>
      <c r="AG64" t="str">
        <f t="shared" si="3"/>
        <v>NO ACTION</v>
      </c>
      <c r="AH64" t="str">
        <f t="shared" si="4"/>
        <v/>
      </c>
    </row>
    <row r="65" spans="1:34" x14ac:dyDescent="0.3">
      <c r="A65" t="s">
        <v>92</v>
      </c>
      <c r="B65">
        <v>0.23327032136105799</v>
      </c>
      <c r="C65">
        <v>0.55548759616874799</v>
      </c>
      <c r="D65">
        <v>0.34606450503855701</v>
      </c>
      <c r="E65">
        <v>0</v>
      </c>
      <c r="F65">
        <v>0</v>
      </c>
      <c r="G65">
        <v>0.48537543553835799</v>
      </c>
      <c r="H65">
        <v>7</v>
      </c>
      <c r="I65">
        <v>13</v>
      </c>
      <c r="J65">
        <v>0.498306378512475</v>
      </c>
      <c r="K65">
        <v>1.5497553017944501E-2</v>
      </c>
      <c r="L65">
        <v>7.9403102297270697E-3</v>
      </c>
      <c r="M65">
        <v>4.6176046176046098E-3</v>
      </c>
      <c r="N65">
        <v>5.5972437982007303E-3</v>
      </c>
      <c r="O65">
        <v>1116</v>
      </c>
      <c r="P65">
        <v>0.37524551066217698</v>
      </c>
      <c r="Q65">
        <v>0.375328728216276</v>
      </c>
      <c r="R65">
        <v>0</v>
      </c>
      <c r="S65">
        <v>0</v>
      </c>
      <c r="T65" t="s">
        <v>28</v>
      </c>
      <c r="U65">
        <v>1.8978912319644801E-2</v>
      </c>
      <c r="V65">
        <v>0</v>
      </c>
      <c r="W65">
        <v>0</v>
      </c>
      <c r="X65">
        <v>0.103819351511567</v>
      </c>
      <c r="Y65">
        <v>0.105310603956818</v>
      </c>
      <c r="Z65">
        <v>0.22738620391658601</v>
      </c>
      <c r="AA65">
        <v>0</v>
      </c>
      <c r="AB65">
        <f t="shared" si="0"/>
        <v>0.10976620244640387</v>
      </c>
      <c r="AC65">
        <f t="shared" si="5"/>
        <v>0.25</v>
      </c>
      <c r="AD65">
        <f t="shared" si="1"/>
        <v>0</v>
      </c>
      <c r="AE65">
        <f t="shared" si="6"/>
        <v>0.13720775305800484</v>
      </c>
      <c r="AF65" t="str">
        <f t="shared" si="2"/>
        <v>Very Low</v>
      </c>
      <c r="AG65" t="str">
        <f t="shared" si="3"/>
        <v>NO ACTION</v>
      </c>
      <c r="AH65" t="str">
        <f t="shared" si="4"/>
        <v/>
      </c>
    </row>
    <row r="66" spans="1:34" x14ac:dyDescent="0.3">
      <c r="A66" t="s">
        <v>93</v>
      </c>
      <c r="B66">
        <v>0.2351606805293</v>
      </c>
      <c r="C66">
        <v>0.78127019414330701</v>
      </c>
      <c r="D66">
        <v>0.37923000372680099</v>
      </c>
      <c r="E66">
        <v>0</v>
      </c>
      <c r="F66">
        <v>0</v>
      </c>
      <c r="G66">
        <v>0.480384665724718</v>
      </c>
      <c r="H66">
        <v>8</v>
      </c>
      <c r="I66">
        <v>14</v>
      </c>
      <c r="J66">
        <v>0.50827727684747803</v>
      </c>
      <c r="K66">
        <v>1.4681892332789499E-2</v>
      </c>
      <c r="L66">
        <v>7.37490114216137E-3</v>
      </c>
      <c r="M66">
        <v>7.5036075036075001E-3</v>
      </c>
      <c r="N66">
        <v>8.9171776196825397E-3</v>
      </c>
      <c r="O66">
        <v>1130</v>
      </c>
      <c r="P66">
        <v>0.38362794612794598</v>
      </c>
      <c r="Q66">
        <v>0.38370910620989501</v>
      </c>
      <c r="R66">
        <v>0</v>
      </c>
      <c r="S66">
        <v>0</v>
      </c>
      <c r="T66" t="s">
        <v>28</v>
      </c>
      <c r="U66">
        <v>1.13207547169811E-2</v>
      </c>
      <c r="V66">
        <v>0</v>
      </c>
      <c r="W66">
        <v>0</v>
      </c>
      <c r="X66">
        <v>0.11376900111804</v>
      </c>
      <c r="Y66">
        <v>0.108018059226481</v>
      </c>
      <c r="Z66">
        <v>0.23374363872463999</v>
      </c>
      <c r="AA66">
        <v>0</v>
      </c>
      <c r="AB66">
        <f t="shared" si="0"/>
        <v>0.11389631560520028</v>
      </c>
      <c r="AC66">
        <f t="shared" si="5"/>
        <v>0.25</v>
      </c>
      <c r="AD66">
        <f t="shared" si="1"/>
        <v>0</v>
      </c>
      <c r="AE66">
        <f t="shared" si="6"/>
        <v>0.14237039450650035</v>
      </c>
      <c r="AF66" t="str">
        <f t="shared" si="2"/>
        <v>Very Low</v>
      </c>
      <c r="AG66" t="str">
        <f t="shared" si="3"/>
        <v>NO ACTION</v>
      </c>
      <c r="AH66" t="str">
        <f t="shared" si="4"/>
        <v/>
      </c>
    </row>
    <row r="67" spans="1:34" x14ac:dyDescent="0.3">
      <c r="A67" t="s">
        <v>94</v>
      </c>
      <c r="B67">
        <v>0.24801512287334501</v>
      </c>
      <c r="C67">
        <v>0.56885478563296299</v>
      </c>
      <c r="D67">
        <v>0.46008584439122202</v>
      </c>
      <c r="E67">
        <v>0.276094276094276</v>
      </c>
      <c r="F67">
        <v>4.54545454545454E-2</v>
      </c>
      <c r="G67">
        <v>0.44784249683621102</v>
      </c>
      <c r="H67">
        <v>0</v>
      </c>
      <c r="I67">
        <v>23</v>
      </c>
      <c r="J67">
        <v>0.68274414388626403</v>
      </c>
      <c r="K67">
        <v>3.0179445350734E-2</v>
      </c>
      <c r="L67">
        <v>1.1287043390258799E-2</v>
      </c>
      <c r="M67">
        <v>8.0808080808080808E-3</v>
      </c>
      <c r="N67">
        <v>7.1500136881528301E-3</v>
      </c>
      <c r="O67">
        <v>1383</v>
      </c>
      <c r="P67">
        <v>0.51883417508417495</v>
      </c>
      <c r="Q67">
        <v>0.51888214874294303</v>
      </c>
      <c r="R67">
        <v>0.98967551622418803</v>
      </c>
      <c r="S67">
        <v>1</v>
      </c>
      <c r="T67" t="s">
        <v>28</v>
      </c>
      <c r="U67">
        <v>2.1665582303188002E-2</v>
      </c>
      <c r="V67">
        <v>0</v>
      </c>
      <c r="W67">
        <v>1.6742559095650301E-2</v>
      </c>
      <c r="X67">
        <v>0.23903585432746699</v>
      </c>
      <c r="Y67">
        <v>0.14433735457882799</v>
      </c>
      <c r="Z67">
        <v>0.31416051052576599</v>
      </c>
      <c r="AA67">
        <v>0.98967551622418803</v>
      </c>
      <c r="AB67">
        <f t="shared" ref="AB67:AB130" si="7">0.16*X67 + 0.28*Y67 + 0.28*Z67 + 0.28*AA67</f>
        <v>0.44373428346445376</v>
      </c>
      <c r="AC67">
        <f t="shared" si="5"/>
        <v>0.25</v>
      </c>
      <c r="AD67">
        <f t="shared" ref="AD67:AD130" si="8">IF(V67&gt;0.7, 0.1,
 IF(F67&gt;0.5, 0.08,
 IF(E67&gt;0.5, 0.05,
 0)))</f>
        <v>0</v>
      </c>
      <c r="AE67">
        <f t="shared" si="6"/>
        <v>0.5546678543305672</v>
      </c>
      <c r="AF67" t="str">
        <f t="shared" ref="AF67:AF130" si="9">IF(MAX(X67, Y67, Z67, AA67)&gt;0.9,
 "Critical",
 IF(AE67&lt;=0.2,"Very Low",
 IF(AE67&lt;=0.4,"Low",
 IF(AE67&lt;=0.6,"Medium",
 IF(AE67&lt;=0.8,"High","Critical")))))</f>
        <v>Critical</v>
      </c>
      <c r="AG67" t="str">
        <f t="shared" ref="AG67:AG130" si="10">IF(MAX(X67:AA67)&gt;0.9,"CRITICAL ALERT",
 IF(AE67&gt;0.8,"CRITICAL ALERT",
 IF(AE67&gt;0.6,"ALERT",
 IF(AE67&gt;=0.4,"REVIEW","NO ACTION"))))</f>
        <v>CRITICAL ALERT</v>
      </c>
      <c r="AH67" t="str">
        <f t="shared" ref="AH67:AH130" si="11">IF(AG67="NO ACTION","",
 IF(_xlfn.TEXTJOIN(", ", TRUE,
  IF(X67&gt;0.7,"Login anomaly",""),
  IF(Y67&gt;0.7,"File anomaly",""),
  IF(Z67&gt;0.7,"Network anomaly",""),
  IF(AA67&gt;0.7,"USB anomaly","")
 )="",
 "General anomaly detected",
 _xlfn.TEXTJOIN(", ", TRUE,
  IF(X67&gt;0.7,"Login anomaly",""),
  IF(Y67&gt;0.7,"File anomaly",""),
  IF(Z67&gt;0.7,"Network anomaly",""),
  IF(AA67&gt;0.7,"USB anomaly","")
 )))</f>
        <v>USB anomaly</v>
      </c>
    </row>
    <row r="68" spans="1:34" x14ac:dyDescent="0.3">
      <c r="A68" t="s">
        <v>95</v>
      </c>
      <c r="B68">
        <v>0.14971644612476301</v>
      </c>
      <c r="C68">
        <v>0.19123262995367901</v>
      </c>
      <c r="D68">
        <v>0.24031942148973501</v>
      </c>
      <c r="E68">
        <v>0</v>
      </c>
      <c r="F68">
        <v>0.43</v>
      </c>
      <c r="G68">
        <v>0.83623099383905697</v>
      </c>
      <c r="H68">
        <v>6</v>
      </c>
      <c r="I68">
        <v>14</v>
      </c>
      <c r="J68">
        <v>0.45861361576260601</v>
      </c>
      <c r="K68">
        <v>1.0603588907014599E-2</v>
      </c>
      <c r="L68">
        <v>5.90280912274366E-3</v>
      </c>
      <c r="M68">
        <v>5.7720057720057703E-3</v>
      </c>
      <c r="N68">
        <v>7.6017880135160198E-3</v>
      </c>
      <c r="O68">
        <v>1059</v>
      </c>
      <c r="P68">
        <v>0.344521604938271</v>
      </c>
      <c r="Q68">
        <v>0.34461236368736597</v>
      </c>
      <c r="R68">
        <v>0</v>
      </c>
      <c r="S68">
        <v>0</v>
      </c>
      <c r="T68" t="s">
        <v>28</v>
      </c>
      <c r="U68">
        <v>1.05121293800539E-2</v>
      </c>
      <c r="V68">
        <v>0</v>
      </c>
      <c r="W68">
        <v>0</v>
      </c>
      <c r="X68">
        <v>0.24409582644691999</v>
      </c>
      <c r="Y68">
        <v>9.6954664117947995E-2</v>
      </c>
      <c r="Z68">
        <v>0.20975367816836901</v>
      </c>
      <c r="AA68">
        <v>0</v>
      </c>
      <c r="AB68">
        <f t="shared" si="7"/>
        <v>0.12493366807167597</v>
      </c>
      <c r="AC68">
        <f t="shared" ref="AC68:AC131" si="12">IF(T68="IT_Admin", 0.25, IF(AND(T68="HR", AA68&gt;0.6), 0.25, IF(AND(T68="General", Z68&gt;0.7), 0.2, 0.1)))</f>
        <v>0.25</v>
      </c>
      <c r="AD68">
        <f t="shared" si="8"/>
        <v>0</v>
      </c>
      <c r="AE68">
        <f t="shared" ref="AE68:AE131" si="13">MIN(1,AB68*(1+AC68+AD68))</f>
        <v>0.15616708508959495</v>
      </c>
      <c r="AF68" t="str">
        <f t="shared" si="9"/>
        <v>Very Low</v>
      </c>
      <c r="AG68" t="str">
        <f t="shared" si="10"/>
        <v>NO ACTION</v>
      </c>
      <c r="AH68" t="str">
        <f t="shared" si="11"/>
        <v/>
      </c>
    </row>
    <row r="69" spans="1:34" x14ac:dyDescent="0.3">
      <c r="A69" t="s">
        <v>96</v>
      </c>
      <c r="B69">
        <v>0.12892249527410199</v>
      </c>
      <c r="C69">
        <v>0.36953165208440503</v>
      </c>
      <c r="D69">
        <v>0</v>
      </c>
      <c r="E69">
        <v>0</v>
      </c>
      <c r="F69">
        <v>0</v>
      </c>
      <c r="G69">
        <v>0.99364487332385998</v>
      </c>
      <c r="H69">
        <v>8</v>
      </c>
      <c r="I69">
        <v>8</v>
      </c>
      <c r="J69">
        <v>0.496684318496254</v>
      </c>
      <c r="K69">
        <v>1.4681892332789499E-2</v>
      </c>
      <c r="L69">
        <v>7.5469538473788402E-3</v>
      </c>
      <c r="M69">
        <v>6.3492063492063397E-3</v>
      </c>
      <c r="N69">
        <v>7.72133226050276E-3</v>
      </c>
      <c r="O69">
        <v>1089</v>
      </c>
      <c r="P69">
        <v>0.37454405162738402</v>
      </c>
      <c r="Q69">
        <v>0.37462744135488601</v>
      </c>
      <c r="R69">
        <v>0</v>
      </c>
      <c r="S69">
        <v>0</v>
      </c>
      <c r="T69" t="s">
        <v>28</v>
      </c>
      <c r="U69">
        <v>1.32895816242821E-2</v>
      </c>
      <c r="V69">
        <v>0</v>
      </c>
      <c r="W69">
        <v>0</v>
      </c>
      <c r="X69">
        <v>0</v>
      </c>
      <c r="Y69">
        <v>0.105426740301091</v>
      </c>
      <c r="Z69">
        <v>0.22781496388063199</v>
      </c>
      <c r="AA69">
        <v>0</v>
      </c>
      <c r="AB69">
        <f t="shared" si="7"/>
        <v>9.3307677170882439E-2</v>
      </c>
      <c r="AC69">
        <f t="shared" si="12"/>
        <v>0.25</v>
      </c>
      <c r="AD69">
        <f t="shared" si="8"/>
        <v>0</v>
      </c>
      <c r="AE69">
        <f t="shared" si="13"/>
        <v>0.11663459646360305</v>
      </c>
      <c r="AF69" t="str">
        <f t="shared" si="9"/>
        <v>Very Low</v>
      </c>
      <c r="AG69" t="str">
        <f t="shared" si="10"/>
        <v>NO ACTION</v>
      </c>
      <c r="AH69" t="str">
        <f t="shared" si="11"/>
        <v/>
      </c>
    </row>
    <row r="70" spans="1:34" x14ac:dyDescent="0.3">
      <c r="A70" t="s">
        <v>97</v>
      </c>
      <c r="B70">
        <v>0.12892249527410199</v>
      </c>
      <c r="C70">
        <v>0.27741651562278502</v>
      </c>
      <c r="D70">
        <v>7.5132489407342906E-2</v>
      </c>
      <c r="E70">
        <v>0</v>
      </c>
      <c r="F70">
        <v>0</v>
      </c>
      <c r="G70">
        <v>0.99366350016224603</v>
      </c>
      <c r="H70">
        <v>7</v>
      </c>
      <c r="I70">
        <v>8</v>
      </c>
      <c r="J70">
        <v>0.57091741806211505</v>
      </c>
      <c r="K70">
        <v>1.71288743882544E-2</v>
      </c>
      <c r="L70">
        <v>7.6604229162502199E-3</v>
      </c>
      <c r="M70">
        <v>4.6176046176046098E-3</v>
      </c>
      <c r="N70">
        <v>4.8856663624455097E-3</v>
      </c>
      <c r="O70">
        <v>1214</v>
      </c>
      <c r="P70">
        <v>0.42932800224466799</v>
      </c>
      <c r="Q70">
        <v>0.42939794522949598</v>
      </c>
      <c r="R70">
        <v>0</v>
      </c>
      <c r="S70">
        <v>0</v>
      </c>
      <c r="T70" t="s">
        <v>28</v>
      </c>
      <c r="U70">
        <v>2.09766925638179E-2</v>
      </c>
      <c r="V70">
        <v>0</v>
      </c>
      <c r="W70">
        <v>0</v>
      </c>
      <c r="X70">
        <v>2.2539746822202798E-2</v>
      </c>
      <c r="Y70">
        <v>0.11947939497928101</v>
      </c>
      <c r="Z70">
        <v>0.25955106789177901</v>
      </c>
      <c r="AA70">
        <v>0</v>
      </c>
      <c r="AB70">
        <f t="shared" si="7"/>
        <v>0.10973488909544926</v>
      </c>
      <c r="AC70">
        <f t="shared" si="12"/>
        <v>0.25</v>
      </c>
      <c r="AD70">
        <f t="shared" si="8"/>
        <v>0</v>
      </c>
      <c r="AE70">
        <f t="shared" si="13"/>
        <v>0.13716861136931158</v>
      </c>
      <c r="AF70" t="str">
        <f t="shared" si="9"/>
        <v>Very Low</v>
      </c>
      <c r="AG70" t="str">
        <f t="shared" si="10"/>
        <v>NO ACTION</v>
      </c>
      <c r="AH70" t="str">
        <f t="shared" si="11"/>
        <v/>
      </c>
    </row>
    <row r="71" spans="1:34" x14ac:dyDescent="0.3">
      <c r="A71" t="s">
        <v>98</v>
      </c>
      <c r="B71">
        <v>0.22873345935727701</v>
      </c>
      <c r="C71">
        <v>0.58129938045461405</v>
      </c>
      <c r="D71">
        <v>0.37630158864423102</v>
      </c>
      <c r="E71">
        <v>0</v>
      </c>
      <c r="F71">
        <v>0</v>
      </c>
      <c r="G71">
        <v>0.49790592365381198</v>
      </c>
      <c r="H71">
        <v>7</v>
      </c>
      <c r="I71">
        <v>13</v>
      </c>
      <c r="J71">
        <v>0.61666905204904299</v>
      </c>
      <c r="K71">
        <v>1.4681892332789499E-2</v>
      </c>
      <c r="L71">
        <v>6.0791177228596404E-3</v>
      </c>
      <c r="M71">
        <v>7.7922077922077896E-3</v>
      </c>
      <c r="N71">
        <v>7.6331216536923699E-3</v>
      </c>
      <c r="O71">
        <v>1349</v>
      </c>
      <c r="P71">
        <v>0.46345398428731699</v>
      </c>
      <c r="Q71">
        <v>0.463515551036151</v>
      </c>
      <c r="R71">
        <v>0</v>
      </c>
      <c r="S71">
        <v>0</v>
      </c>
      <c r="T71" t="s">
        <v>28</v>
      </c>
      <c r="U71">
        <v>1.0916442048517499E-2</v>
      </c>
      <c r="V71">
        <v>0</v>
      </c>
      <c r="W71">
        <v>0</v>
      </c>
      <c r="X71">
        <v>0.11289047659326901</v>
      </c>
      <c r="Y71">
        <v>0.128663305767346</v>
      </c>
      <c r="Z71">
        <v>0.28112563923386702</v>
      </c>
      <c r="AA71">
        <v>0</v>
      </c>
      <c r="AB71">
        <f t="shared" si="7"/>
        <v>0.13280338085526269</v>
      </c>
      <c r="AC71">
        <f t="shared" si="12"/>
        <v>0.25</v>
      </c>
      <c r="AD71">
        <f t="shared" si="8"/>
        <v>0</v>
      </c>
      <c r="AE71">
        <f t="shared" si="13"/>
        <v>0.16600422606907836</v>
      </c>
      <c r="AF71" t="str">
        <f t="shared" si="9"/>
        <v>Very Low</v>
      </c>
      <c r="AG71" t="str">
        <f t="shared" si="10"/>
        <v>NO ACTION</v>
      </c>
      <c r="AH71" t="str">
        <f t="shared" si="11"/>
        <v/>
      </c>
    </row>
    <row r="72" spans="1:34" x14ac:dyDescent="0.3">
      <c r="A72" t="s">
        <v>99</v>
      </c>
      <c r="B72">
        <v>0.12892249527410199</v>
      </c>
      <c r="C72">
        <v>0.18476582604220201</v>
      </c>
      <c r="D72">
        <v>0</v>
      </c>
      <c r="E72">
        <v>0</v>
      </c>
      <c r="F72">
        <v>0</v>
      </c>
      <c r="G72">
        <v>0.99366277756937704</v>
      </c>
      <c r="H72">
        <v>7</v>
      </c>
      <c r="I72">
        <v>7</v>
      </c>
      <c r="J72">
        <v>0.55984924383378598</v>
      </c>
      <c r="K72">
        <v>2.0391517128874301E-2</v>
      </c>
      <c r="L72">
        <v>9.2997670918864798E-3</v>
      </c>
      <c r="M72">
        <v>9.23520923520923E-3</v>
      </c>
      <c r="N72">
        <v>9.9644289082108407E-3</v>
      </c>
      <c r="O72">
        <v>1177</v>
      </c>
      <c r="P72">
        <v>0.42483866442199703</v>
      </c>
      <c r="Q72">
        <v>0.424909709316595</v>
      </c>
      <c r="R72">
        <v>0</v>
      </c>
      <c r="S72">
        <v>0</v>
      </c>
      <c r="T72" t="s">
        <v>28</v>
      </c>
      <c r="U72">
        <v>1.2864493996569399E-2</v>
      </c>
      <c r="V72">
        <v>0</v>
      </c>
      <c r="W72">
        <v>0</v>
      </c>
      <c r="X72">
        <v>0</v>
      </c>
      <c r="Y72">
        <v>0.119609060985163</v>
      </c>
      <c r="Z72">
        <v>0.25888897021648299</v>
      </c>
      <c r="AA72">
        <v>0</v>
      </c>
      <c r="AB72">
        <f t="shared" si="7"/>
        <v>0.1059794487364609</v>
      </c>
      <c r="AC72">
        <f t="shared" si="12"/>
        <v>0.25</v>
      </c>
      <c r="AD72">
        <f t="shared" si="8"/>
        <v>0</v>
      </c>
      <c r="AE72">
        <f t="shared" si="13"/>
        <v>0.13247431092057613</v>
      </c>
      <c r="AF72" t="str">
        <f t="shared" si="9"/>
        <v>Very Low</v>
      </c>
      <c r="AG72" t="str">
        <f t="shared" si="10"/>
        <v>NO ACTION</v>
      </c>
      <c r="AH72" t="str">
        <f t="shared" si="11"/>
        <v/>
      </c>
    </row>
    <row r="73" spans="1:34" x14ac:dyDescent="0.3">
      <c r="A73" t="s">
        <v>100</v>
      </c>
      <c r="B73">
        <v>0.12892249527410199</v>
      </c>
      <c r="C73">
        <v>0.28598536552619103</v>
      </c>
      <c r="D73">
        <v>7.4788307505895393E-2</v>
      </c>
      <c r="E73">
        <v>0</v>
      </c>
      <c r="F73">
        <v>0</v>
      </c>
      <c r="G73">
        <v>0.99366981615917005</v>
      </c>
      <c r="H73">
        <v>7</v>
      </c>
      <c r="I73">
        <v>8</v>
      </c>
      <c r="J73">
        <v>0.502743189733314</v>
      </c>
      <c r="K73">
        <v>1.5497553017944501E-2</v>
      </c>
      <c r="L73">
        <v>7.8702686048229102E-3</v>
      </c>
      <c r="M73">
        <v>4.9062049062049001E-3</v>
      </c>
      <c r="N73">
        <v>5.8946123064495398E-3</v>
      </c>
      <c r="O73">
        <v>1107</v>
      </c>
      <c r="P73">
        <v>0.37864758698091999</v>
      </c>
      <c r="Q73">
        <v>0.37872996949402099</v>
      </c>
      <c r="R73">
        <v>0</v>
      </c>
      <c r="S73">
        <v>0</v>
      </c>
      <c r="T73" t="s">
        <v>28</v>
      </c>
      <c r="U73">
        <v>1.7924528301886698E-2</v>
      </c>
      <c r="V73">
        <v>0</v>
      </c>
      <c r="W73">
        <v>0</v>
      </c>
      <c r="X73">
        <v>2.2436492251768601E-2</v>
      </c>
      <c r="Y73">
        <v>0.10625215594100899</v>
      </c>
      <c r="Z73">
        <v>0.22954639711113201</v>
      </c>
      <c r="AA73">
        <v>0</v>
      </c>
      <c r="AB73">
        <f t="shared" si="7"/>
        <v>9.7613433614882464E-2</v>
      </c>
      <c r="AC73">
        <f t="shared" si="12"/>
        <v>0.25</v>
      </c>
      <c r="AD73">
        <f t="shared" si="8"/>
        <v>0</v>
      </c>
      <c r="AE73">
        <f t="shared" si="13"/>
        <v>0.12201679201860308</v>
      </c>
      <c r="AF73" t="str">
        <f t="shared" si="9"/>
        <v>Very Low</v>
      </c>
      <c r="AG73" t="str">
        <f t="shared" si="10"/>
        <v>NO ACTION</v>
      </c>
      <c r="AH73" t="str">
        <f t="shared" si="11"/>
        <v/>
      </c>
    </row>
    <row r="74" spans="1:34" x14ac:dyDescent="0.3">
      <c r="A74" t="s">
        <v>101</v>
      </c>
      <c r="B74">
        <v>0.236672967863894</v>
      </c>
      <c r="C74">
        <v>0.60210196962641604</v>
      </c>
      <c r="D74">
        <v>0.38181407203623502</v>
      </c>
      <c r="E74">
        <v>0</v>
      </c>
      <c r="F74">
        <v>0</v>
      </c>
      <c r="G74">
        <v>0.47634068035870403</v>
      </c>
      <c r="H74">
        <v>7</v>
      </c>
      <c r="I74">
        <v>13</v>
      </c>
      <c r="J74">
        <v>0.56886598921807097</v>
      </c>
      <c r="K74">
        <v>2.2838499184339299E-2</v>
      </c>
      <c r="L74">
        <v>1.0250714857724601E-2</v>
      </c>
      <c r="M74">
        <v>8.0808080808080808E-3</v>
      </c>
      <c r="N74">
        <v>8.5807356827559602E-3</v>
      </c>
      <c r="O74">
        <v>1201</v>
      </c>
      <c r="P74">
        <v>0.43195847362514</v>
      </c>
      <c r="Q74">
        <v>0.43202777095971101</v>
      </c>
      <c r="R74">
        <v>0</v>
      </c>
      <c r="S74">
        <v>0</v>
      </c>
      <c r="T74" t="s">
        <v>28</v>
      </c>
      <c r="U74">
        <v>1.6395575797007102E-2</v>
      </c>
      <c r="V74">
        <v>0</v>
      </c>
      <c r="W74">
        <v>0</v>
      </c>
      <c r="X74">
        <v>0.11454422161087</v>
      </c>
      <c r="Y74">
        <v>0.12147277597730299</v>
      </c>
      <c r="Z74">
        <v>0.26260737844818599</v>
      </c>
      <c r="AA74">
        <v>0</v>
      </c>
      <c r="AB74">
        <f t="shared" si="7"/>
        <v>0.12586951869687613</v>
      </c>
      <c r="AC74">
        <f t="shared" si="12"/>
        <v>0.25</v>
      </c>
      <c r="AD74">
        <f t="shared" si="8"/>
        <v>0</v>
      </c>
      <c r="AE74">
        <f t="shared" si="13"/>
        <v>0.15733689837109516</v>
      </c>
      <c r="AF74" t="str">
        <f t="shared" si="9"/>
        <v>Very Low</v>
      </c>
      <c r="AG74" t="str">
        <f t="shared" si="10"/>
        <v>NO ACTION</v>
      </c>
      <c r="AH74" t="str">
        <f t="shared" si="11"/>
        <v/>
      </c>
    </row>
    <row r="75" spans="1:34" x14ac:dyDescent="0.3">
      <c r="A75" t="s">
        <v>102</v>
      </c>
      <c r="B75">
        <v>0.23364839319470701</v>
      </c>
      <c r="C75">
        <v>0.77797700708123596</v>
      </c>
      <c r="D75">
        <v>0.37820698134494901</v>
      </c>
      <c r="E75">
        <v>0</v>
      </c>
      <c r="F75">
        <v>0</v>
      </c>
      <c r="G75">
        <v>0.48443768069255699</v>
      </c>
      <c r="H75">
        <v>8</v>
      </c>
      <c r="I75">
        <v>14</v>
      </c>
      <c r="J75">
        <v>0.66614188254377105</v>
      </c>
      <c r="K75">
        <v>2.6101141924959201E-2</v>
      </c>
      <c r="L75">
        <v>1.0004972798052399E-2</v>
      </c>
      <c r="M75">
        <v>9.23520923520923E-3</v>
      </c>
      <c r="N75">
        <v>8.3750283062997803E-3</v>
      </c>
      <c r="O75">
        <v>1356</v>
      </c>
      <c r="P75">
        <v>0.50543630751964097</v>
      </c>
      <c r="Q75">
        <v>0.505487569690381</v>
      </c>
      <c r="R75">
        <v>0</v>
      </c>
      <c r="S75">
        <v>0</v>
      </c>
      <c r="T75" t="s">
        <v>28</v>
      </c>
      <c r="U75">
        <v>1.6466552315608899E-2</v>
      </c>
      <c r="V75">
        <v>0</v>
      </c>
      <c r="W75">
        <v>0</v>
      </c>
      <c r="X75">
        <v>0.113462094403484</v>
      </c>
      <c r="Y75">
        <v>0.14074337139967</v>
      </c>
      <c r="Z75">
        <v>0.30661179583430398</v>
      </c>
      <c r="AA75">
        <v>0</v>
      </c>
      <c r="AB75">
        <f t="shared" si="7"/>
        <v>0.14341338193007017</v>
      </c>
      <c r="AC75">
        <f t="shared" si="12"/>
        <v>0.25</v>
      </c>
      <c r="AD75">
        <f t="shared" si="8"/>
        <v>0</v>
      </c>
      <c r="AE75">
        <f t="shared" si="13"/>
        <v>0.1792667274125877</v>
      </c>
      <c r="AF75" t="str">
        <f t="shared" si="9"/>
        <v>Very Low</v>
      </c>
      <c r="AG75" t="str">
        <f t="shared" si="10"/>
        <v>NO ACTION</v>
      </c>
      <c r="AH75" t="str">
        <f t="shared" si="11"/>
        <v/>
      </c>
    </row>
    <row r="76" spans="1:34" x14ac:dyDescent="0.3">
      <c r="A76" t="s">
        <v>103</v>
      </c>
      <c r="B76">
        <v>0.12892249527410199</v>
      </c>
      <c r="C76">
        <v>0.18476582604220201</v>
      </c>
      <c r="D76">
        <v>0</v>
      </c>
      <c r="E76">
        <v>0</v>
      </c>
      <c r="F76">
        <v>0</v>
      </c>
      <c r="G76">
        <v>0.99364953003345702</v>
      </c>
      <c r="H76">
        <v>7</v>
      </c>
      <c r="I76">
        <v>7</v>
      </c>
      <c r="J76">
        <v>0.60698439959925499</v>
      </c>
      <c r="K76">
        <v>2.5285481239804199E-2</v>
      </c>
      <c r="L76">
        <v>1.0636572078633401E-2</v>
      </c>
      <c r="M76">
        <v>8.3694083694083703E-3</v>
      </c>
      <c r="N76">
        <v>8.3292972827856502E-3</v>
      </c>
      <c r="O76">
        <v>1297</v>
      </c>
      <c r="P76">
        <v>0.46117424242424199</v>
      </c>
      <c r="Q76">
        <v>0.46123636873663099</v>
      </c>
      <c r="R76">
        <v>0</v>
      </c>
      <c r="S76">
        <v>0</v>
      </c>
      <c r="T76" t="s">
        <v>28</v>
      </c>
      <c r="U76">
        <v>1.7547169811320699E-2</v>
      </c>
      <c r="V76">
        <v>0</v>
      </c>
      <c r="W76">
        <v>0</v>
      </c>
      <c r="X76">
        <v>0</v>
      </c>
      <c r="Y76">
        <v>0.129213955144003</v>
      </c>
      <c r="Z76">
        <v>0.28003626436765899</v>
      </c>
      <c r="AA76">
        <v>0</v>
      </c>
      <c r="AB76">
        <f t="shared" si="7"/>
        <v>0.11459006146326536</v>
      </c>
      <c r="AC76">
        <f t="shared" si="12"/>
        <v>0.25</v>
      </c>
      <c r="AD76">
        <f t="shared" si="8"/>
        <v>0</v>
      </c>
      <c r="AE76">
        <f t="shared" si="13"/>
        <v>0.1432375768290817</v>
      </c>
      <c r="AF76" t="str">
        <f t="shared" si="9"/>
        <v>Very Low</v>
      </c>
      <c r="AG76" t="str">
        <f t="shared" si="10"/>
        <v>NO ACTION</v>
      </c>
      <c r="AH76" t="str">
        <f t="shared" si="11"/>
        <v/>
      </c>
    </row>
    <row r="77" spans="1:34" x14ac:dyDescent="0.3">
      <c r="A77" t="s">
        <v>104</v>
      </c>
      <c r="B77">
        <v>0.12892249527410199</v>
      </c>
      <c r="C77">
        <v>0.36953165208440503</v>
      </c>
      <c r="D77">
        <v>0</v>
      </c>
      <c r="E77">
        <v>0</v>
      </c>
      <c r="F77">
        <v>0</v>
      </c>
      <c r="G77">
        <v>0.99368590054116701</v>
      </c>
      <c r="H77">
        <v>8</v>
      </c>
      <c r="I77">
        <v>8</v>
      </c>
      <c r="J77">
        <v>0.50298172797099305</v>
      </c>
      <c r="K77">
        <v>1.38662316476345E-2</v>
      </c>
      <c r="L77">
        <v>7.0384812900974704E-3</v>
      </c>
      <c r="M77">
        <v>7.2150072150072098E-3</v>
      </c>
      <c r="N77">
        <v>8.6644384141539993E-3</v>
      </c>
      <c r="O77">
        <v>1141</v>
      </c>
      <c r="P77">
        <v>0.37924382716049299</v>
      </c>
      <c r="Q77">
        <v>0.379326063326203</v>
      </c>
      <c r="R77">
        <v>0</v>
      </c>
      <c r="S77">
        <v>0</v>
      </c>
      <c r="T77" t="s">
        <v>28</v>
      </c>
      <c r="U77">
        <v>1.1103047895500699E-2</v>
      </c>
      <c r="V77">
        <v>0</v>
      </c>
      <c r="W77">
        <v>0</v>
      </c>
      <c r="X77">
        <v>0</v>
      </c>
      <c r="Y77">
        <v>0.106714917763493</v>
      </c>
      <c r="Z77">
        <v>0.231012071661957</v>
      </c>
      <c r="AA77">
        <v>0</v>
      </c>
      <c r="AB77">
        <f t="shared" si="7"/>
        <v>9.4563557039126001E-2</v>
      </c>
      <c r="AC77">
        <f t="shared" si="12"/>
        <v>0.25</v>
      </c>
      <c r="AD77">
        <f t="shared" si="8"/>
        <v>0</v>
      </c>
      <c r="AE77">
        <f t="shared" si="13"/>
        <v>0.1182044462989075</v>
      </c>
      <c r="AF77" t="str">
        <f t="shared" si="9"/>
        <v>Very Low</v>
      </c>
      <c r="AG77" t="str">
        <f t="shared" si="10"/>
        <v>NO ACTION</v>
      </c>
      <c r="AH77" t="str">
        <f t="shared" si="11"/>
        <v/>
      </c>
    </row>
    <row r="78" spans="1:34" x14ac:dyDescent="0.3">
      <c r="A78" t="s">
        <v>105</v>
      </c>
      <c r="B78">
        <v>0.12892249527410199</v>
      </c>
      <c r="C78">
        <v>0.283307599931377</v>
      </c>
      <c r="D78">
        <v>7.4965657310309297E-2</v>
      </c>
      <c r="E78">
        <v>0</v>
      </c>
      <c r="F78">
        <v>0</v>
      </c>
      <c r="G78">
        <v>0.99365766589390103</v>
      </c>
      <c r="H78">
        <v>7</v>
      </c>
      <c r="I78">
        <v>8</v>
      </c>
      <c r="J78">
        <v>0.50441295739707004</v>
      </c>
      <c r="K78">
        <v>2.36541598694942E-2</v>
      </c>
      <c r="L78">
        <v>1.19727687808798E-2</v>
      </c>
      <c r="M78">
        <v>9.23520923520923E-3</v>
      </c>
      <c r="N78">
        <v>1.10590277351479E-2</v>
      </c>
      <c r="O78">
        <v>1119</v>
      </c>
      <c r="P78">
        <v>0.385486812570145</v>
      </c>
      <c r="Q78">
        <v>0.38556751639258002</v>
      </c>
      <c r="R78">
        <v>0</v>
      </c>
      <c r="S78">
        <v>0</v>
      </c>
      <c r="T78" t="s">
        <v>28</v>
      </c>
      <c r="U78">
        <v>1.4922813036020499E-2</v>
      </c>
      <c r="V78">
        <v>0</v>
      </c>
      <c r="W78">
        <v>0</v>
      </c>
      <c r="X78">
        <v>2.2489697193092802E-2</v>
      </c>
      <c r="Y78">
        <v>0.110186684190398</v>
      </c>
      <c r="Z78">
        <v>0.235715698636146</v>
      </c>
      <c r="AA78">
        <v>0</v>
      </c>
      <c r="AB78">
        <f t="shared" si="7"/>
        <v>0.10045101874232717</v>
      </c>
      <c r="AC78">
        <f t="shared" si="12"/>
        <v>0.25</v>
      </c>
      <c r="AD78">
        <f t="shared" si="8"/>
        <v>0</v>
      </c>
      <c r="AE78">
        <f t="shared" si="13"/>
        <v>0.12556377342790898</v>
      </c>
      <c r="AF78" t="str">
        <f t="shared" si="9"/>
        <v>Very Low</v>
      </c>
      <c r="AG78" t="str">
        <f t="shared" si="10"/>
        <v>NO ACTION</v>
      </c>
      <c r="AH78" t="str">
        <f t="shared" si="11"/>
        <v/>
      </c>
    </row>
    <row r="79" spans="1:34" x14ac:dyDescent="0.3">
      <c r="A79" t="s">
        <v>106</v>
      </c>
      <c r="B79">
        <v>0.12892249527410199</v>
      </c>
      <c r="C79">
        <v>0.281165387455525</v>
      </c>
      <c r="D79">
        <v>7.5061757440099602E-2</v>
      </c>
      <c r="E79">
        <v>0</v>
      </c>
      <c r="F79">
        <v>0</v>
      </c>
      <c r="G79">
        <v>0.99368322427128397</v>
      </c>
      <c r="H79">
        <v>7</v>
      </c>
      <c r="I79">
        <v>8</v>
      </c>
      <c r="J79">
        <v>0.44029387910882101</v>
      </c>
      <c r="K79">
        <v>1.71288743882544E-2</v>
      </c>
      <c r="L79">
        <v>9.9318370319847991E-3</v>
      </c>
      <c r="M79">
        <v>6.63780663780663E-3</v>
      </c>
      <c r="N79">
        <v>9.1055985143054605E-3</v>
      </c>
      <c r="O79">
        <v>1030</v>
      </c>
      <c r="P79">
        <v>0.33428030303030298</v>
      </c>
      <c r="Q79">
        <v>0.334373575511062</v>
      </c>
      <c r="R79">
        <v>0</v>
      </c>
      <c r="S79">
        <v>0</v>
      </c>
      <c r="T79" t="s">
        <v>28</v>
      </c>
      <c r="U79">
        <v>1.48584905660377E-2</v>
      </c>
      <c r="V79">
        <v>0</v>
      </c>
      <c r="W79">
        <v>0</v>
      </c>
      <c r="X79">
        <v>2.2518527232029802E-2</v>
      </c>
      <c r="Y79">
        <v>9.5756373892048205E-2</v>
      </c>
      <c r="Z79">
        <v>0.20421042122390401</v>
      </c>
      <c r="AA79">
        <v>0</v>
      </c>
      <c r="AB79">
        <f t="shared" si="7"/>
        <v>8.7593666989591396E-2</v>
      </c>
      <c r="AC79">
        <f t="shared" si="12"/>
        <v>0.25</v>
      </c>
      <c r="AD79">
        <f t="shared" si="8"/>
        <v>0</v>
      </c>
      <c r="AE79">
        <f t="shared" si="13"/>
        <v>0.10949208373698924</v>
      </c>
      <c r="AF79" t="str">
        <f t="shared" si="9"/>
        <v>Very Low</v>
      </c>
      <c r="AG79" t="str">
        <f t="shared" si="10"/>
        <v>NO ACTION</v>
      </c>
      <c r="AH79" t="str">
        <f t="shared" si="11"/>
        <v/>
      </c>
    </row>
    <row r="80" spans="1:34" x14ac:dyDescent="0.3">
      <c r="A80" t="s">
        <v>107</v>
      </c>
      <c r="B80">
        <v>7.8638941398865694E-2</v>
      </c>
      <c r="C80">
        <v>0.67631264626768495</v>
      </c>
      <c r="D80">
        <v>0.36892348856120999</v>
      </c>
      <c r="E80">
        <v>0</v>
      </c>
      <c r="F80">
        <v>0</v>
      </c>
      <c r="G80">
        <v>0.443958054319471</v>
      </c>
      <c r="H80">
        <v>7</v>
      </c>
      <c r="I80">
        <v>15</v>
      </c>
      <c r="J80">
        <v>6.4786985353752199E-2</v>
      </c>
      <c r="K80">
        <v>1.6313213703099501E-3</v>
      </c>
      <c r="L80">
        <v>6.4081740665442198E-3</v>
      </c>
      <c r="M80">
        <v>5.7720057720057698E-4</v>
      </c>
      <c r="N80">
        <v>5.3641964133526801E-3</v>
      </c>
      <c r="O80">
        <v>214</v>
      </c>
      <c r="P80">
        <v>4.8611111111111098E-2</v>
      </c>
      <c r="Q80">
        <v>4.8774501209719802E-2</v>
      </c>
      <c r="R80">
        <v>0.315634218289085</v>
      </c>
      <c r="S80">
        <v>1</v>
      </c>
      <c r="T80" t="s">
        <v>53</v>
      </c>
      <c r="U80">
        <v>1.13207547169811E-2</v>
      </c>
      <c r="V80">
        <v>0</v>
      </c>
      <c r="W80">
        <v>0</v>
      </c>
      <c r="X80">
        <v>0.110677046568363</v>
      </c>
      <c r="Y80">
        <v>1.77707430280283E-2</v>
      </c>
      <c r="Z80">
        <v>3.1312345232007703E-2</v>
      </c>
      <c r="AA80">
        <v>0.315634218289085</v>
      </c>
      <c r="AB80">
        <f t="shared" si="7"/>
        <v>0.11982917328469198</v>
      </c>
      <c r="AC80">
        <f t="shared" si="12"/>
        <v>0.1</v>
      </c>
      <c r="AD80">
        <f t="shared" si="8"/>
        <v>0</v>
      </c>
      <c r="AE80">
        <f t="shared" si="13"/>
        <v>0.13181209061316118</v>
      </c>
      <c r="AF80" t="str">
        <f t="shared" si="9"/>
        <v>Very Low</v>
      </c>
      <c r="AG80" t="str">
        <f t="shared" si="10"/>
        <v>NO ACTION</v>
      </c>
      <c r="AH80" t="str">
        <f t="shared" si="11"/>
        <v/>
      </c>
    </row>
    <row r="81" spans="1:34" x14ac:dyDescent="0.3">
      <c r="A81" t="s">
        <v>108</v>
      </c>
      <c r="B81">
        <v>0.12892249527410199</v>
      </c>
      <c r="C81">
        <v>0.36953165208440503</v>
      </c>
      <c r="D81">
        <v>0</v>
      </c>
      <c r="E81">
        <v>0</v>
      </c>
      <c r="F81">
        <v>0</v>
      </c>
      <c r="G81">
        <v>0.99369607036672203</v>
      </c>
      <c r="H81">
        <v>8</v>
      </c>
      <c r="I81">
        <v>8</v>
      </c>
      <c r="J81">
        <v>0.60865416726301202</v>
      </c>
      <c r="K81">
        <v>2.1207177814029299E-2</v>
      </c>
      <c r="L81">
        <v>8.89653187221634E-3</v>
      </c>
      <c r="M81">
        <v>9.5238095238095195E-3</v>
      </c>
      <c r="N81">
        <v>9.4521738805997992E-3</v>
      </c>
      <c r="O81">
        <v>1327</v>
      </c>
      <c r="P81">
        <v>0.46120931537598198</v>
      </c>
      <c r="Q81">
        <v>0.46127143307970098</v>
      </c>
      <c r="R81">
        <v>0</v>
      </c>
      <c r="S81">
        <v>0</v>
      </c>
      <c r="T81" t="s">
        <v>28</v>
      </c>
      <c r="U81">
        <v>1.29855715871254E-2</v>
      </c>
      <c r="V81">
        <v>0</v>
      </c>
      <c r="W81">
        <v>0</v>
      </c>
      <c r="X81">
        <v>0</v>
      </c>
      <c r="Y81">
        <v>0.12901475155288999</v>
      </c>
      <c r="Z81">
        <v>0.28050645877782898</v>
      </c>
      <c r="AA81">
        <v>0</v>
      </c>
      <c r="AB81">
        <f t="shared" si="7"/>
        <v>0.11466593889260132</v>
      </c>
      <c r="AC81">
        <f t="shared" si="12"/>
        <v>0.25</v>
      </c>
      <c r="AD81">
        <f t="shared" si="8"/>
        <v>0</v>
      </c>
      <c r="AE81">
        <f t="shared" si="13"/>
        <v>0.14333242361575166</v>
      </c>
      <c r="AF81" t="str">
        <f t="shared" si="9"/>
        <v>Very Low</v>
      </c>
      <c r="AG81" t="str">
        <f t="shared" si="10"/>
        <v>NO ACTION</v>
      </c>
      <c r="AH81" t="str">
        <f t="shared" si="11"/>
        <v/>
      </c>
    </row>
    <row r="82" spans="1:34" x14ac:dyDescent="0.3">
      <c r="A82" t="s">
        <v>109</v>
      </c>
      <c r="B82">
        <v>0.12665406427221099</v>
      </c>
      <c r="C82">
        <v>0.18476582604220201</v>
      </c>
      <c r="D82">
        <v>0</v>
      </c>
      <c r="E82">
        <v>0</v>
      </c>
      <c r="F82">
        <v>0</v>
      </c>
      <c r="G82">
        <v>0.99513191338789597</v>
      </c>
      <c r="H82">
        <v>7</v>
      </c>
      <c r="I82">
        <v>7</v>
      </c>
      <c r="J82">
        <v>0.44411049091169302</v>
      </c>
      <c r="K82">
        <v>1.6313213703099499E-2</v>
      </c>
      <c r="L82">
        <v>9.3776478985395997E-3</v>
      </c>
      <c r="M82">
        <v>6.0606060606060597E-3</v>
      </c>
      <c r="N82">
        <v>8.2423982144832399E-3</v>
      </c>
      <c r="O82">
        <v>996</v>
      </c>
      <c r="P82">
        <v>0.33645482603815902</v>
      </c>
      <c r="Q82">
        <v>0.33654756478137299</v>
      </c>
      <c r="R82">
        <v>0</v>
      </c>
      <c r="S82">
        <v>0</v>
      </c>
      <c r="T82" t="s">
        <v>28</v>
      </c>
      <c r="U82">
        <v>1.54373927958833E-2</v>
      </c>
      <c r="V82">
        <v>0</v>
      </c>
      <c r="W82">
        <v>0</v>
      </c>
      <c r="X82">
        <v>0</v>
      </c>
      <c r="Y82">
        <v>9.5983641595953406E-2</v>
      </c>
      <c r="Z82">
        <v>0.205169854908688</v>
      </c>
      <c r="AA82">
        <v>0</v>
      </c>
      <c r="AB82">
        <f t="shared" si="7"/>
        <v>8.4322979021299607E-2</v>
      </c>
      <c r="AC82">
        <f t="shared" si="12"/>
        <v>0.25</v>
      </c>
      <c r="AD82">
        <f t="shared" si="8"/>
        <v>0</v>
      </c>
      <c r="AE82">
        <f t="shared" si="13"/>
        <v>0.10540372377662451</v>
      </c>
      <c r="AF82" t="str">
        <f t="shared" si="9"/>
        <v>Very Low</v>
      </c>
      <c r="AG82" t="str">
        <f t="shared" si="10"/>
        <v>NO ACTION</v>
      </c>
      <c r="AH82" t="str">
        <f t="shared" si="11"/>
        <v/>
      </c>
    </row>
    <row r="83" spans="1:34" x14ac:dyDescent="0.3">
      <c r="A83" t="s">
        <v>110</v>
      </c>
      <c r="B83">
        <v>0.26238185255198399</v>
      </c>
      <c r="C83">
        <v>0.91429966067302004</v>
      </c>
      <c r="D83">
        <v>0.410160982500343</v>
      </c>
      <c r="E83">
        <v>0</v>
      </c>
      <c r="F83">
        <v>1.4326647564469901E-3</v>
      </c>
      <c r="G83">
        <v>0.41538620195770398</v>
      </c>
      <c r="H83">
        <v>8</v>
      </c>
      <c r="I83">
        <v>20</v>
      </c>
      <c r="J83">
        <v>0.59992366776394201</v>
      </c>
      <c r="K83">
        <v>2.6101141924959201E-2</v>
      </c>
      <c r="L83">
        <v>1.11088600988232E-2</v>
      </c>
      <c r="M83">
        <v>9.23520923520923E-3</v>
      </c>
      <c r="N83">
        <v>9.2990775343716504E-3</v>
      </c>
      <c r="O83">
        <v>1292</v>
      </c>
      <c r="P83">
        <v>0.45675505050505</v>
      </c>
      <c r="Q83">
        <v>0.45681826150986998</v>
      </c>
      <c r="R83">
        <v>0</v>
      </c>
      <c r="S83">
        <v>0</v>
      </c>
      <c r="T83" t="s">
        <v>28</v>
      </c>
      <c r="U83">
        <v>1.6466552315608899E-2</v>
      </c>
      <c r="V83">
        <v>0</v>
      </c>
      <c r="W83">
        <v>0</v>
      </c>
      <c r="X83">
        <v>0.12362136065268101</v>
      </c>
      <c r="Y83">
        <v>0.12832888686251101</v>
      </c>
      <c r="Z83">
        <v>0.27777266131677802</v>
      </c>
      <c r="AA83">
        <v>0</v>
      </c>
      <c r="AB83">
        <f t="shared" si="7"/>
        <v>0.13348785119462991</v>
      </c>
      <c r="AC83">
        <f t="shared" si="12"/>
        <v>0.25</v>
      </c>
      <c r="AD83">
        <f t="shared" si="8"/>
        <v>0</v>
      </c>
      <c r="AE83">
        <f t="shared" si="13"/>
        <v>0.16685981399328739</v>
      </c>
      <c r="AF83" t="str">
        <f t="shared" si="9"/>
        <v>Very Low</v>
      </c>
      <c r="AG83" t="str">
        <f t="shared" si="10"/>
        <v>NO ACTION</v>
      </c>
      <c r="AH83" t="str">
        <f t="shared" si="11"/>
        <v/>
      </c>
    </row>
    <row r="84" spans="1:34" x14ac:dyDescent="0.3">
      <c r="A84" t="s">
        <v>111</v>
      </c>
      <c r="B84">
        <v>0.12892249527410199</v>
      </c>
      <c r="C84">
        <v>0.27313209067108202</v>
      </c>
      <c r="D84">
        <v>7.5061757440099602E-2</v>
      </c>
      <c r="E84">
        <v>0</v>
      </c>
      <c r="F84">
        <v>0</v>
      </c>
      <c r="G84">
        <v>0.99367243890365498</v>
      </c>
      <c r="H84">
        <v>7</v>
      </c>
      <c r="I84">
        <v>8</v>
      </c>
      <c r="J84">
        <v>0.44764085682934901</v>
      </c>
      <c r="K84">
        <v>1.38662316476345E-2</v>
      </c>
      <c r="L84">
        <v>7.9081700732795204E-3</v>
      </c>
      <c r="M84">
        <v>6.63780663780663E-3</v>
      </c>
      <c r="N84">
        <v>8.9562310056558007E-3</v>
      </c>
      <c r="O84">
        <v>1011</v>
      </c>
      <c r="P84">
        <v>0.33827861952861898</v>
      </c>
      <c r="Q84">
        <v>0.33837091062098901</v>
      </c>
      <c r="R84">
        <v>0</v>
      </c>
      <c r="S84">
        <v>0</v>
      </c>
      <c r="T84" t="s">
        <v>28</v>
      </c>
      <c r="U84">
        <v>1.20283018867924E-2</v>
      </c>
      <c r="V84">
        <v>0</v>
      </c>
      <c r="W84">
        <v>0</v>
      </c>
      <c r="X84">
        <v>2.2518527232029802E-2</v>
      </c>
      <c r="Y84">
        <v>9.6169125704206396E-2</v>
      </c>
      <c r="Z84">
        <v>0.20654966411943401</v>
      </c>
      <c r="AA84">
        <v>0</v>
      </c>
      <c r="AB84">
        <f t="shared" si="7"/>
        <v>8.8364225507744087E-2</v>
      </c>
      <c r="AC84">
        <f t="shared" si="12"/>
        <v>0.25</v>
      </c>
      <c r="AD84">
        <f t="shared" si="8"/>
        <v>0</v>
      </c>
      <c r="AE84">
        <f t="shared" si="13"/>
        <v>0.11045528188468011</v>
      </c>
      <c r="AF84" t="str">
        <f t="shared" si="9"/>
        <v>Very Low</v>
      </c>
      <c r="AG84" t="str">
        <f t="shared" si="10"/>
        <v>NO ACTION</v>
      </c>
      <c r="AH84" t="str">
        <f t="shared" si="11"/>
        <v/>
      </c>
    </row>
    <row r="85" spans="1:34" x14ac:dyDescent="0.3">
      <c r="A85" t="s">
        <v>112</v>
      </c>
      <c r="B85">
        <v>0.12892249527410199</v>
      </c>
      <c r="C85">
        <v>0.36953165208440503</v>
      </c>
      <c r="D85">
        <v>0</v>
      </c>
      <c r="E85">
        <v>0</v>
      </c>
      <c r="F85">
        <v>0</v>
      </c>
      <c r="G85">
        <v>0.99366435656860896</v>
      </c>
      <c r="H85">
        <v>8</v>
      </c>
      <c r="I85">
        <v>8</v>
      </c>
      <c r="J85">
        <v>0.66347025428176098</v>
      </c>
      <c r="K85">
        <v>0.102773246329526</v>
      </c>
      <c r="L85">
        <v>3.95531554715415E-2</v>
      </c>
      <c r="M85">
        <v>1.7893217893217801E-2</v>
      </c>
      <c r="N85">
        <v>1.6291934377040702E-2</v>
      </c>
      <c r="O85">
        <v>1437</v>
      </c>
      <c r="P85">
        <v>0.54064955106621704</v>
      </c>
      <c r="Q85">
        <v>0.54069217013219195</v>
      </c>
      <c r="R85">
        <v>0</v>
      </c>
      <c r="S85">
        <v>0</v>
      </c>
      <c r="T85" t="s">
        <v>28</v>
      </c>
      <c r="U85">
        <v>3.3962264150943298E-2</v>
      </c>
      <c r="V85">
        <v>0</v>
      </c>
      <c r="W85">
        <v>0</v>
      </c>
      <c r="X85">
        <v>0</v>
      </c>
      <c r="Y85">
        <v>0.157358208905235</v>
      </c>
      <c r="Z85">
        <v>0.33090650439054697</v>
      </c>
      <c r="AA85">
        <v>0</v>
      </c>
      <c r="AB85">
        <f t="shared" si="7"/>
        <v>0.13671411972281897</v>
      </c>
      <c r="AC85">
        <f t="shared" si="12"/>
        <v>0.25</v>
      </c>
      <c r="AD85">
        <f t="shared" si="8"/>
        <v>0</v>
      </c>
      <c r="AE85">
        <f t="shared" si="13"/>
        <v>0.17089264965352371</v>
      </c>
      <c r="AF85" t="str">
        <f t="shared" si="9"/>
        <v>Very Low</v>
      </c>
      <c r="AG85" t="str">
        <f t="shared" si="10"/>
        <v>NO ACTION</v>
      </c>
      <c r="AH85" t="str">
        <f t="shared" si="11"/>
        <v/>
      </c>
    </row>
    <row r="86" spans="1:34" x14ac:dyDescent="0.3">
      <c r="A86" t="s">
        <v>113</v>
      </c>
      <c r="B86">
        <v>0.133081285444234</v>
      </c>
      <c r="C86">
        <v>0.29583292371925601</v>
      </c>
      <c r="D86">
        <v>0.124233663836833</v>
      </c>
      <c r="E86">
        <v>0</v>
      </c>
      <c r="F86">
        <v>0</v>
      </c>
      <c r="G86">
        <v>0.95828164574894104</v>
      </c>
      <c r="H86">
        <v>7</v>
      </c>
      <c r="I86">
        <v>16</v>
      </c>
      <c r="J86">
        <v>0.53523209770526203</v>
      </c>
      <c r="K86">
        <v>1.30505709624796E-2</v>
      </c>
      <c r="L86">
        <v>6.2254748771915702E-3</v>
      </c>
      <c r="M86">
        <v>3.4632034632034602E-3</v>
      </c>
      <c r="N86">
        <v>3.9084460324659799E-3</v>
      </c>
      <c r="O86">
        <v>1197</v>
      </c>
      <c r="P86">
        <v>0.40077861952861898</v>
      </c>
      <c r="Q86">
        <v>0.400855569970896</v>
      </c>
      <c r="R86">
        <v>0.67846607669616499</v>
      </c>
      <c r="S86">
        <v>1</v>
      </c>
      <c r="T86" t="s">
        <v>28</v>
      </c>
      <c r="U86">
        <v>2.0899854862119E-2</v>
      </c>
      <c r="V86">
        <v>0</v>
      </c>
      <c r="W86">
        <v>0</v>
      </c>
      <c r="X86">
        <v>3.7270099151050097E-2</v>
      </c>
      <c r="Y86">
        <v>0.111331690789388</v>
      </c>
      <c r="Z86">
        <v>0.24203055013015801</v>
      </c>
      <c r="AA86">
        <v>0.67846607669616499</v>
      </c>
      <c r="AB86">
        <f t="shared" si="7"/>
        <v>0.29487514479656712</v>
      </c>
      <c r="AC86">
        <f t="shared" si="12"/>
        <v>0.25</v>
      </c>
      <c r="AD86">
        <f t="shared" si="8"/>
        <v>0</v>
      </c>
      <c r="AE86">
        <f t="shared" si="13"/>
        <v>0.36859393099570892</v>
      </c>
      <c r="AF86" t="str">
        <f t="shared" si="9"/>
        <v>Low</v>
      </c>
      <c r="AG86" t="str">
        <f t="shared" si="10"/>
        <v>NO ACTION</v>
      </c>
      <c r="AH86" t="str">
        <f t="shared" si="11"/>
        <v/>
      </c>
    </row>
    <row r="87" spans="1:34" x14ac:dyDescent="0.3">
      <c r="A87" t="s">
        <v>114</v>
      </c>
      <c r="B87">
        <v>0.2351606805293</v>
      </c>
      <c r="C87">
        <v>0.60712987886391501</v>
      </c>
      <c r="D87">
        <v>0.38831068948142999</v>
      </c>
      <c r="E87">
        <v>0</v>
      </c>
      <c r="F87">
        <v>0</v>
      </c>
      <c r="G87">
        <v>0.48009305216445403</v>
      </c>
      <c r="H87">
        <v>7</v>
      </c>
      <c r="I87">
        <v>13</v>
      </c>
      <c r="J87">
        <v>0.44864271742760298</v>
      </c>
      <c r="K87">
        <v>2.0391517128874301E-2</v>
      </c>
      <c r="L87">
        <v>1.16037055647515E-2</v>
      </c>
      <c r="M87">
        <v>6.3492063492063397E-3</v>
      </c>
      <c r="N87">
        <v>8.5477093023059603E-3</v>
      </c>
      <c r="O87">
        <v>1019</v>
      </c>
      <c r="P87">
        <v>0.34168069584736199</v>
      </c>
      <c r="Q87">
        <v>0.341772151898734</v>
      </c>
      <c r="R87">
        <v>0.51032448377581097</v>
      </c>
      <c r="S87">
        <v>1</v>
      </c>
      <c r="T87" t="s">
        <v>28</v>
      </c>
      <c r="U87">
        <v>1.84577522559474E-2</v>
      </c>
      <c r="V87">
        <v>0</v>
      </c>
      <c r="W87">
        <v>0</v>
      </c>
      <c r="X87">
        <v>0.116493206844429</v>
      </c>
      <c r="Y87">
        <v>9.8094709058588206E-2</v>
      </c>
      <c r="Z87">
        <v>0.20842750122933901</v>
      </c>
      <c r="AA87">
        <v>0.51032448377581097</v>
      </c>
      <c r="AB87">
        <f t="shared" si="7"/>
        <v>0.24735598743295534</v>
      </c>
      <c r="AC87">
        <f t="shared" si="12"/>
        <v>0.25</v>
      </c>
      <c r="AD87">
        <f t="shared" si="8"/>
        <v>0</v>
      </c>
      <c r="AE87">
        <f t="shared" si="13"/>
        <v>0.30919498429119419</v>
      </c>
      <c r="AF87" t="str">
        <f t="shared" si="9"/>
        <v>Low</v>
      </c>
      <c r="AG87" t="str">
        <f t="shared" si="10"/>
        <v>NO ACTION</v>
      </c>
      <c r="AH87" t="str">
        <f t="shared" si="11"/>
        <v/>
      </c>
    </row>
    <row r="88" spans="1:34" x14ac:dyDescent="0.3">
      <c r="A88" t="s">
        <v>115</v>
      </c>
      <c r="B88">
        <v>0.12892249527410199</v>
      </c>
      <c r="C88">
        <v>0.28384315305034002</v>
      </c>
      <c r="D88">
        <v>7.4935284296444499E-2</v>
      </c>
      <c r="E88">
        <v>0</v>
      </c>
      <c r="F88">
        <v>0</v>
      </c>
      <c r="G88">
        <v>0.99365247393032796</v>
      </c>
      <c r="H88">
        <v>7</v>
      </c>
      <c r="I88">
        <v>8</v>
      </c>
      <c r="J88">
        <v>0.50813415390487005</v>
      </c>
      <c r="K88">
        <v>1.8760195758564399E-2</v>
      </c>
      <c r="L88">
        <v>9.4261378008678193E-3</v>
      </c>
      <c r="M88">
        <v>1.01010101010101E-2</v>
      </c>
      <c r="N88">
        <v>1.2007272423939E-2</v>
      </c>
      <c r="O88">
        <v>1088</v>
      </c>
      <c r="P88">
        <v>0.38653900112233402</v>
      </c>
      <c r="Q88">
        <v>0.38661944668466602</v>
      </c>
      <c r="R88">
        <v>0</v>
      </c>
      <c r="S88">
        <v>0</v>
      </c>
      <c r="T88" t="s">
        <v>28</v>
      </c>
      <c r="U88">
        <v>1.0849056603773499E-2</v>
      </c>
      <c r="V88">
        <v>0</v>
      </c>
      <c r="W88">
        <v>0</v>
      </c>
      <c r="X88">
        <v>2.2480585288933298E-2</v>
      </c>
      <c r="Y88">
        <v>0.10994208140858901</v>
      </c>
      <c r="Z88">
        <v>0.236726309642976</v>
      </c>
      <c r="AA88">
        <v>0</v>
      </c>
      <c r="AB88">
        <f t="shared" si="7"/>
        <v>0.10066404314066754</v>
      </c>
      <c r="AC88">
        <f t="shared" si="12"/>
        <v>0.25</v>
      </c>
      <c r="AD88">
        <f t="shared" si="8"/>
        <v>0</v>
      </c>
      <c r="AE88">
        <f t="shared" si="13"/>
        <v>0.12583005392583443</v>
      </c>
      <c r="AF88" t="str">
        <f t="shared" si="9"/>
        <v>Very Low</v>
      </c>
      <c r="AG88" t="str">
        <f t="shared" si="10"/>
        <v>NO ACTION</v>
      </c>
      <c r="AH88" t="str">
        <f t="shared" si="11"/>
        <v/>
      </c>
    </row>
    <row r="89" spans="1:34" x14ac:dyDescent="0.3">
      <c r="A89" t="s">
        <v>116</v>
      </c>
      <c r="B89">
        <v>0.12892249527410199</v>
      </c>
      <c r="C89">
        <v>0.36953165208440503</v>
      </c>
      <c r="D89">
        <v>0</v>
      </c>
      <c r="E89">
        <v>0</v>
      </c>
      <c r="F89">
        <v>0</v>
      </c>
      <c r="G89">
        <v>0.99369047696266699</v>
      </c>
      <c r="H89">
        <v>8</v>
      </c>
      <c r="I89">
        <v>8</v>
      </c>
      <c r="J89">
        <v>0.61189828729545304</v>
      </c>
      <c r="K89">
        <v>1.8760195758564399E-2</v>
      </c>
      <c r="L89">
        <v>7.82830055381868E-3</v>
      </c>
      <c r="M89">
        <v>6.63780663780663E-3</v>
      </c>
      <c r="N89">
        <v>6.5529652155791899E-3</v>
      </c>
      <c r="O89">
        <v>1285</v>
      </c>
      <c r="P89">
        <v>0.461139169472502</v>
      </c>
      <c r="Q89">
        <v>0.46120130439356199</v>
      </c>
      <c r="R89">
        <v>0</v>
      </c>
      <c r="S89">
        <v>0</v>
      </c>
      <c r="T89" t="s">
        <v>28</v>
      </c>
      <c r="U89">
        <v>1.6273584905660301E-2</v>
      </c>
      <c r="V89">
        <v>0</v>
      </c>
      <c r="W89">
        <v>0</v>
      </c>
      <c r="X89">
        <v>0</v>
      </c>
      <c r="Y89">
        <v>0.12825969730067299</v>
      </c>
      <c r="Z89">
        <v>0.279304687769733</v>
      </c>
      <c r="AA89">
        <v>0</v>
      </c>
      <c r="AB89">
        <f t="shared" si="7"/>
        <v>0.1141180278197137</v>
      </c>
      <c r="AC89">
        <f t="shared" si="12"/>
        <v>0.25</v>
      </c>
      <c r="AD89">
        <f t="shared" si="8"/>
        <v>0</v>
      </c>
      <c r="AE89">
        <f t="shared" si="13"/>
        <v>0.14264753477464212</v>
      </c>
      <c r="AF89" t="str">
        <f t="shared" si="9"/>
        <v>Very Low</v>
      </c>
      <c r="AG89" t="str">
        <f t="shared" si="10"/>
        <v>NO ACTION</v>
      </c>
      <c r="AH89" t="str">
        <f t="shared" si="11"/>
        <v/>
      </c>
    </row>
    <row r="90" spans="1:34" x14ac:dyDescent="0.3">
      <c r="A90" t="s">
        <v>117</v>
      </c>
      <c r="B90">
        <v>0.12892249527410199</v>
      </c>
      <c r="C90">
        <v>0.27741651562278502</v>
      </c>
      <c r="D90">
        <v>7.5132489407342906E-2</v>
      </c>
      <c r="E90">
        <v>0</v>
      </c>
      <c r="F90">
        <v>0</v>
      </c>
      <c r="G90">
        <v>0.99369210948729503</v>
      </c>
      <c r="H90">
        <v>7</v>
      </c>
      <c r="I90">
        <v>8</v>
      </c>
      <c r="J90">
        <v>0.433996469634082</v>
      </c>
      <c r="K90">
        <v>1.6313213703099499E-2</v>
      </c>
      <c r="L90">
        <v>9.5960681747965099E-3</v>
      </c>
      <c r="M90">
        <v>5.1948051948051896E-3</v>
      </c>
      <c r="N90">
        <v>7.2294657660511297E-3</v>
      </c>
      <c r="O90">
        <v>955</v>
      </c>
      <c r="P90">
        <v>0.32859848484848397</v>
      </c>
      <c r="Q90">
        <v>0.328693151933798</v>
      </c>
      <c r="R90">
        <v>0</v>
      </c>
      <c r="S90">
        <v>0</v>
      </c>
      <c r="T90" t="s">
        <v>28</v>
      </c>
      <c r="U90">
        <v>1.7874875868917499E-2</v>
      </c>
      <c r="V90">
        <v>0</v>
      </c>
      <c r="W90">
        <v>0</v>
      </c>
      <c r="X90">
        <v>2.2539746822202798E-2</v>
      </c>
      <c r="Y90">
        <v>9.3766167744030002E-2</v>
      </c>
      <c r="Z90">
        <v>0.20005087721551101</v>
      </c>
      <c r="AA90">
        <v>0</v>
      </c>
      <c r="AB90">
        <f t="shared" si="7"/>
        <v>8.5875132080223932E-2</v>
      </c>
      <c r="AC90">
        <f t="shared" si="12"/>
        <v>0.25</v>
      </c>
      <c r="AD90">
        <f t="shared" si="8"/>
        <v>0</v>
      </c>
      <c r="AE90">
        <f t="shared" si="13"/>
        <v>0.10734391510027991</v>
      </c>
      <c r="AF90" t="str">
        <f t="shared" si="9"/>
        <v>Very Low</v>
      </c>
      <c r="AG90" t="str">
        <f t="shared" si="10"/>
        <v>NO ACTION</v>
      </c>
      <c r="AH90" t="str">
        <f t="shared" si="11"/>
        <v/>
      </c>
    </row>
    <row r="91" spans="1:34" x14ac:dyDescent="0.3">
      <c r="A91" t="s">
        <v>118</v>
      </c>
      <c r="B91">
        <v>0.26540642722117203</v>
      </c>
      <c r="C91">
        <v>0.72022033040813205</v>
      </c>
      <c r="D91">
        <v>0.38818962965238701</v>
      </c>
      <c r="E91">
        <v>0</v>
      </c>
      <c r="F91">
        <v>0</v>
      </c>
      <c r="G91">
        <v>0.40899837662698502</v>
      </c>
      <c r="H91">
        <v>7</v>
      </c>
      <c r="I91">
        <v>16</v>
      </c>
      <c r="J91">
        <v>0.51848671342016095</v>
      </c>
      <c r="K91">
        <v>1.71288743882544E-2</v>
      </c>
      <c r="L91">
        <v>8.4347082822907801E-3</v>
      </c>
      <c r="M91">
        <v>4.9062049062049001E-3</v>
      </c>
      <c r="N91">
        <v>5.7157084104568698E-3</v>
      </c>
      <c r="O91">
        <v>1148</v>
      </c>
      <c r="P91">
        <v>0.39092312008978602</v>
      </c>
      <c r="Q91">
        <v>0.39100248956835698</v>
      </c>
      <c r="R91">
        <v>0.38348082595870198</v>
      </c>
      <c r="S91">
        <v>1</v>
      </c>
      <c r="T91" t="s">
        <v>28</v>
      </c>
      <c r="U91">
        <v>1.98113207547169E-2</v>
      </c>
      <c r="V91">
        <v>0</v>
      </c>
      <c r="W91">
        <v>0</v>
      </c>
      <c r="X91">
        <v>0.116456888895716</v>
      </c>
      <c r="Y91">
        <v>0.109629409348314</v>
      </c>
      <c r="Z91">
        <v>0.236840155418054</v>
      </c>
      <c r="AA91">
        <v>0.38348082595870198</v>
      </c>
      <c r="AB91">
        <f t="shared" si="7"/>
        <v>0.22301921162633417</v>
      </c>
      <c r="AC91">
        <f t="shared" si="12"/>
        <v>0.25</v>
      </c>
      <c r="AD91">
        <f t="shared" si="8"/>
        <v>0</v>
      </c>
      <c r="AE91">
        <f t="shared" si="13"/>
        <v>0.27877401453291772</v>
      </c>
      <c r="AF91" t="str">
        <f t="shared" si="9"/>
        <v>Low</v>
      </c>
      <c r="AG91" t="str">
        <f t="shared" si="10"/>
        <v>NO ACTION</v>
      </c>
      <c r="AH91" t="str">
        <f t="shared" si="11"/>
        <v/>
      </c>
    </row>
    <row r="92" spans="1:34" x14ac:dyDescent="0.3">
      <c r="A92" t="s">
        <v>119</v>
      </c>
      <c r="B92">
        <v>0.900567107750472</v>
      </c>
      <c r="C92">
        <v>0.934902689776828</v>
      </c>
      <c r="D92">
        <v>0.99702093309169504</v>
      </c>
      <c r="E92">
        <v>0</v>
      </c>
      <c r="F92">
        <v>0.395641240569991</v>
      </c>
      <c r="G92">
        <v>1.6384702646370299E-2</v>
      </c>
      <c r="H92">
        <v>0</v>
      </c>
      <c r="I92">
        <v>23</v>
      </c>
      <c r="J92">
        <v>0.28161824340441699</v>
      </c>
      <c r="K92">
        <v>1.1419249592169599E-2</v>
      </c>
      <c r="L92">
        <v>1.03487455600708E-2</v>
      </c>
      <c r="M92">
        <v>4.3290043290043203E-3</v>
      </c>
      <c r="N92">
        <v>9.2815669999149995E-3</v>
      </c>
      <c r="O92">
        <v>680</v>
      </c>
      <c r="P92">
        <v>0.21405022446689101</v>
      </c>
      <c r="Q92">
        <v>0.21417300746870499</v>
      </c>
      <c r="R92">
        <v>0</v>
      </c>
      <c r="S92">
        <v>0</v>
      </c>
      <c r="T92" t="s">
        <v>28</v>
      </c>
      <c r="U92">
        <v>1.48584905660377E-2</v>
      </c>
      <c r="V92">
        <v>0</v>
      </c>
      <c r="W92">
        <v>0</v>
      </c>
      <c r="X92">
        <v>0.45736277615550502</v>
      </c>
      <c r="Y92">
        <v>6.4282491560893398E-2</v>
      </c>
      <c r="Z92">
        <v>0.13214276148010001</v>
      </c>
      <c r="AA92">
        <v>0</v>
      </c>
      <c r="AB92">
        <f t="shared" si="7"/>
        <v>0.12817711503635898</v>
      </c>
      <c r="AC92">
        <f t="shared" si="12"/>
        <v>0.25</v>
      </c>
      <c r="AD92">
        <f t="shared" si="8"/>
        <v>0</v>
      </c>
      <c r="AE92">
        <f t="shared" si="13"/>
        <v>0.16022139379544872</v>
      </c>
      <c r="AF92" t="str">
        <f t="shared" si="9"/>
        <v>Very Low</v>
      </c>
      <c r="AG92" t="str">
        <f t="shared" si="10"/>
        <v>NO ACTION</v>
      </c>
      <c r="AH92" t="str">
        <f t="shared" si="11"/>
        <v/>
      </c>
    </row>
    <row r="93" spans="1:34" x14ac:dyDescent="0.3">
      <c r="A93" t="s">
        <v>120</v>
      </c>
      <c r="B93">
        <v>0.12892249527410199</v>
      </c>
      <c r="C93">
        <v>0.36953165208440503</v>
      </c>
      <c r="D93">
        <v>0</v>
      </c>
      <c r="E93">
        <v>0</v>
      </c>
      <c r="F93">
        <v>0</v>
      </c>
      <c r="G93">
        <v>0.99366743427897397</v>
      </c>
      <c r="H93">
        <v>8</v>
      </c>
      <c r="I93">
        <v>8</v>
      </c>
      <c r="J93">
        <v>0.499833023233624</v>
      </c>
      <c r="K93">
        <v>2.1207177814029299E-2</v>
      </c>
      <c r="L93">
        <v>1.0832516340879301E-2</v>
      </c>
      <c r="M93">
        <v>6.3492063492063397E-3</v>
      </c>
      <c r="N93">
        <v>7.67271482783789E-3</v>
      </c>
      <c r="O93">
        <v>1067</v>
      </c>
      <c r="P93">
        <v>0.37966470258136897</v>
      </c>
      <c r="Q93">
        <v>0.379746835443038</v>
      </c>
      <c r="R93">
        <v>0</v>
      </c>
      <c r="S93">
        <v>0</v>
      </c>
      <c r="T93" t="s">
        <v>28</v>
      </c>
      <c r="U93">
        <v>1.9196062346185299E-2</v>
      </c>
      <c r="V93">
        <v>0</v>
      </c>
      <c r="W93">
        <v>0</v>
      </c>
      <c r="X93">
        <v>0</v>
      </c>
      <c r="Y93">
        <v>0.10768467726551501</v>
      </c>
      <c r="Z93">
        <v>0.230867907479956</v>
      </c>
      <c r="AA93">
        <v>0</v>
      </c>
      <c r="AB93">
        <f t="shared" si="7"/>
        <v>9.4794723728731892E-2</v>
      </c>
      <c r="AC93">
        <f t="shared" si="12"/>
        <v>0.25</v>
      </c>
      <c r="AD93">
        <f t="shared" si="8"/>
        <v>0</v>
      </c>
      <c r="AE93">
        <f t="shared" si="13"/>
        <v>0.11849340466091486</v>
      </c>
      <c r="AF93" t="str">
        <f t="shared" si="9"/>
        <v>Very Low</v>
      </c>
      <c r="AG93" t="str">
        <f t="shared" si="10"/>
        <v>NO ACTION</v>
      </c>
      <c r="AH93" t="str">
        <f t="shared" si="11"/>
        <v/>
      </c>
    </row>
    <row r="94" spans="1:34" x14ac:dyDescent="0.3">
      <c r="A94" t="s">
        <v>121</v>
      </c>
      <c r="B94">
        <v>0.14933837429111499</v>
      </c>
      <c r="C94">
        <v>0.29775545399783498</v>
      </c>
      <c r="D94">
        <v>0.26599863640391402</v>
      </c>
      <c r="E94">
        <v>0</v>
      </c>
      <c r="F94">
        <v>0</v>
      </c>
      <c r="G94">
        <v>0.83866852466205799</v>
      </c>
      <c r="H94">
        <v>7</v>
      </c>
      <c r="I94">
        <v>15</v>
      </c>
      <c r="J94">
        <v>0.47492963121988402</v>
      </c>
      <c r="K94">
        <v>1.6313213703099499E-2</v>
      </c>
      <c r="L94">
        <v>8.7694189284134305E-3</v>
      </c>
      <c r="M94">
        <v>6.9264069264069203E-3</v>
      </c>
      <c r="N94">
        <v>8.8089153149394101E-3</v>
      </c>
      <c r="O94">
        <v>1073</v>
      </c>
      <c r="P94">
        <v>0.35953282828282801</v>
      </c>
      <c r="Q94">
        <v>0.35961990252112602</v>
      </c>
      <c r="R94">
        <v>0</v>
      </c>
      <c r="S94">
        <v>0</v>
      </c>
      <c r="T94" t="s">
        <v>28</v>
      </c>
      <c r="U94">
        <v>1.3584905660377299E-2</v>
      </c>
      <c r="V94">
        <v>0</v>
      </c>
      <c r="W94">
        <v>0</v>
      </c>
      <c r="X94">
        <v>7.9799590921174404E-2</v>
      </c>
      <c r="Y94">
        <v>0.102013310302665</v>
      </c>
      <c r="Z94">
        <v>0.21924326309567199</v>
      </c>
      <c r="AA94">
        <v>0</v>
      </c>
      <c r="AB94">
        <f t="shared" si="7"/>
        <v>0.10271977509892227</v>
      </c>
      <c r="AC94">
        <f t="shared" si="12"/>
        <v>0.25</v>
      </c>
      <c r="AD94">
        <f t="shared" si="8"/>
        <v>0</v>
      </c>
      <c r="AE94">
        <f t="shared" si="13"/>
        <v>0.12839971887365284</v>
      </c>
      <c r="AF94" t="str">
        <f t="shared" si="9"/>
        <v>Very Low</v>
      </c>
      <c r="AG94" t="str">
        <f t="shared" si="10"/>
        <v>NO ACTION</v>
      </c>
      <c r="AH94" t="str">
        <f t="shared" si="11"/>
        <v/>
      </c>
    </row>
    <row r="95" spans="1:34" x14ac:dyDescent="0.3">
      <c r="A95" t="s">
        <v>122</v>
      </c>
      <c r="B95">
        <v>0.27221172022684298</v>
      </c>
      <c r="C95">
        <v>0.64540438406178202</v>
      </c>
      <c r="D95">
        <v>0.52118535117810505</v>
      </c>
      <c r="E95">
        <v>0.125844076120319</v>
      </c>
      <c r="F95">
        <v>5.6629834254143599E-2</v>
      </c>
      <c r="G95">
        <v>0.395144129429987</v>
      </c>
      <c r="H95">
        <v>0</v>
      </c>
      <c r="I95">
        <v>23</v>
      </c>
      <c r="J95">
        <v>0.439148895567959</v>
      </c>
      <c r="K95">
        <v>1.7944535073409401E-2</v>
      </c>
      <c r="L95">
        <v>1.04318950900866E-2</v>
      </c>
      <c r="M95">
        <v>6.3492063492063397E-3</v>
      </c>
      <c r="N95">
        <v>8.7323992209985598E-3</v>
      </c>
      <c r="O95">
        <v>1038</v>
      </c>
      <c r="P95">
        <v>0.333648989898989</v>
      </c>
      <c r="Q95">
        <v>0.333742417335811</v>
      </c>
      <c r="R95">
        <v>4.1297935103244802E-2</v>
      </c>
      <c r="S95">
        <v>1</v>
      </c>
      <c r="T95" t="s">
        <v>28</v>
      </c>
      <c r="U95">
        <v>1.6242821985233798E-2</v>
      </c>
      <c r="V95">
        <v>0</v>
      </c>
      <c r="W95">
        <v>1.9278481727393298E-2</v>
      </c>
      <c r="X95">
        <v>0.21676076189118401</v>
      </c>
      <c r="Y95">
        <v>9.56654464249347E-2</v>
      </c>
      <c r="Z95">
        <v>0.20368235362779299</v>
      </c>
      <c r="AA95">
        <v>4.1297935103244802E-2</v>
      </c>
      <c r="AB95">
        <f t="shared" si="7"/>
        <v>0.13006252774626176</v>
      </c>
      <c r="AC95">
        <f t="shared" si="12"/>
        <v>0.25</v>
      </c>
      <c r="AD95">
        <f t="shared" si="8"/>
        <v>0</v>
      </c>
      <c r="AE95">
        <f t="shared" si="13"/>
        <v>0.16257815968282718</v>
      </c>
      <c r="AF95" t="str">
        <f t="shared" si="9"/>
        <v>Very Low</v>
      </c>
      <c r="AG95" t="str">
        <f t="shared" si="10"/>
        <v>NO ACTION</v>
      </c>
      <c r="AH95" t="str">
        <f t="shared" si="11"/>
        <v/>
      </c>
    </row>
    <row r="96" spans="1:34" x14ac:dyDescent="0.3">
      <c r="A96" t="s">
        <v>123</v>
      </c>
      <c r="B96">
        <v>0.12892249527410199</v>
      </c>
      <c r="C96">
        <v>0.18476582604220201</v>
      </c>
      <c r="D96">
        <v>0</v>
      </c>
      <c r="E96">
        <v>0</v>
      </c>
      <c r="F96">
        <v>0</v>
      </c>
      <c r="G96">
        <v>0.99364610440800705</v>
      </c>
      <c r="H96">
        <v>7</v>
      </c>
      <c r="I96">
        <v>7</v>
      </c>
      <c r="J96">
        <v>0.43848098850245598</v>
      </c>
      <c r="K96">
        <v>1.30505709624796E-2</v>
      </c>
      <c r="L96">
        <v>7.5983829949541398E-3</v>
      </c>
      <c r="M96">
        <v>7.2150072150072098E-3</v>
      </c>
      <c r="N96">
        <v>9.9382879939643697E-3</v>
      </c>
      <c r="O96">
        <v>989</v>
      </c>
      <c r="P96">
        <v>0.33147446689113302</v>
      </c>
      <c r="Q96">
        <v>0.33156842806550002</v>
      </c>
      <c r="R96">
        <v>0</v>
      </c>
      <c r="S96">
        <v>0</v>
      </c>
      <c r="T96" t="s">
        <v>28</v>
      </c>
      <c r="U96">
        <v>1.04499274310595E-2</v>
      </c>
      <c r="V96">
        <v>0</v>
      </c>
      <c r="W96">
        <v>0</v>
      </c>
      <c r="X96">
        <v>0</v>
      </c>
      <c r="Y96">
        <v>9.4476875596157694E-2</v>
      </c>
      <c r="Z96">
        <v>0.20285999533226501</v>
      </c>
      <c r="AA96">
        <v>0</v>
      </c>
      <c r="AB96">
        <f t="shared" si="7"/>
        <v>8.325432385995836E-2</v>
      </c>
      <c r="AC96">
        <f t="shared" si="12"/>
        <v>0.25</v>
      </c>
      <c r="AD96">
        <f t="shared" si="8"/>
        <v>0</v>
      </c>
      <c r="AE96">
        <f t="shared" si="13"/>
        <v>0.10406790482494795</v>
      </c>
      <c r="AF96" t="str">
        <f t="shared" si="9"/>
        <v>Very Low</v>
      </c>
      <c r="AG96" t="str">
        <f t="shared" si="10"/>
        <v>NO ACTION</v>
      </c>
      <c r="AH96" t="str">
        <f t="shared" si="11"/>
        <v/>
      </c>
    </row>
    <row r="97" spans="1:34" x14ac:dyDescent="0.3">
      <c r="A97" t="s">
        <v>124</v>
      </c>
      <c r="B97">
        <v>0.12892249527410199</v>
      </c>
      <c r="C97">
        <v>0.27688096250382199</v>
      </c>
      <c r="D97">
        <v>7.5132489407342906E-2</v>
      </c>
      <c r="E97">
        <v>0</v>
      </c>
      <c r="F97">
        <v>0</v>
      </c>
      <c r="G97">
        <v>0.99368111001807602</v>
      </c>
      <c r="H97">
        <v>7</v>
      </c>
      <c r="I97">
        <v>8</v>
      </c>
      <c r="J97">
        <v>0.50059634559419797</v>
      </c>
      <c r="K97">
        <v>2.2022838499184301E-2</v>
      </c>
      <c r="L97">
        <v>1.12320067547577E-2</v>
      </c>
      <c r="M97">
        <v>4.3290043290043203E-3</v>
      </c>
      <c r="N97">
        <v>5.2234233030575101E-3</v>
      </c>
      <c r="O97">
        <v>1143</v>
      </c>
      <c r="P97">
        <v>0.37959455667788999</v>
      </c>
      <c r="Q97">
        <v>0.37967670675689802</v>
      </c>
      <c r="R97">
        <v>0</v>
      </c>
      <c r="S97">
        <v>0</v>
      </c>
      <c r="T97" t="s">
        <v>28</v>
      </c>
      <c r="U97">
        <v>2.8655660377358401E-2</v>
      </c>
      <c r="V97">
        <v>0</v>
      </c>
      <c r="W97">
        <v>0</v>
      </c>
      <c r="X97">
        <v>2.2539746822202798E-2</v>
      </c>
      <c r="Y97">
        <v>0.107302299487135</v>
      </c>
      <c r="Z97">
        <v>0.22984610332795699</v>
      </c>
      <c r="AA97">
        <v>0</v>
      </c>
      <c r="AB97">
        <f t="shared" si="7"/>
        <v>9.8007912279778217E-2</v>
      </c>
      <c r="AC97">
        <f t="shared" si="12"/>
        <v>0.25</v>
      </c>
      <c r="AD97">
        <f t="shared" si="8"/>
        <v>0</v>
      </c>
      <c r="AE97">
        <f t="shared" si="13"/>
        <v>0.12250989034972277</v>
      </c>
      <c r="AF97" t="str">
        <f t="shared" si="9"/>
        <v>Very Low</v>
      </c>
      <c r="AG97" t="str">
        <f t="shared" si="10"/>
        <v>NO ACTION</v>
      </c>
      <c r="AH97" t="str">
        <f t="shared" si="11"/>
        <v/>
      </c>
    </row>
    <row r="98" spans="1:34" x14ac:dyDescent="0.3">
      <c r="A98" t="s">
        <v>125</v>
      </c>
      <c r="B98">
        <v>0.12892249527410199</v>
      </c>
      <c r="C98">
        <v>0.28491425928826603</v>
      </c>
      <c r="D98">
        <v>7.4866899962459793E-2</v>
      </c>
      <c r="E98">
        <v>0</v>
      </c>
      <c r="F98">
        <v>0</v>
      </c>
      <c r="G98">
        <v>0.99367318825922302</v>
      </c>
      <c r="H98">
        <v>7</v>
      </c>
      <c r="I98">
        <v>8</v>
      </c>
      <c r="J98">
        <v>0.60407423309956498</v>
      </c>
      <c r="K98">
        <v>0.16231647634584001</v>
      </c>
      <c r="L98">
        <v>6.8608743557561205E-2</v>
      </c>
      <c r="M98">
        <v>1</v>
      </c>
      <c r="N98">
        <v>1</v>
      </c>
      <c r="O98">
        <v>1345</v>
      </c>
      <c r="P98">
        <v>1</v>
      </c>
      <c r="Q98">
        <v>0.99992987131386002</v>
      </c>
      <c r="R98">
        <v>0</v>
      </c>
      <c r="S98">
        <v>0</v>
      </c>
      <c r="T98" t="s">
        <v>28</v>
      </c>
      <c r="U98">
        <v>9.7496978736839803E-4</v>
      </c>
      <c r="V98">
        <v>0</v>
      </c>
      <c r="W98">
        <v>0</v>
      </c>
      <c r="X98">
        <v>2.24600699887379E-2</v>
      </c>
      <c r="Y98">
        <v>0.45511921839869302</v>
      </c>
      <c r="Z98">
        <v>1</v>
      </c>
      <c r="AA98">
        <v>0</v>
      </c>
      <c r="AB98">
        <f t="shared" si="7"/>
        <v>0.41102699234983214</v>
      </c>
      <c r="AC98">
        <f t="shared" si="12"/>
        <v>0.25</v>
      </c>
      <c r="AD98">
        <f t="shared" si="8"/>
        <v>0</v>
      </c>
      <c r="AE98">
        <f t="shared" si="13"/>
        <v>0.51378374043729014</v>
      </c>
      <c r="AF98" t="str">
        <f t="shared" si="9"/>
        <v>Critical</v>
      </c>
      <c r="AG98" t="str">
        <f t="shared" si="10"/>
        <v>CRITICAL ALERT</v>
      </c>
      <c r="AH98" t="str">
        <f t="shared" si="11"/>
        <v>Network anomaly</v>
      </c>
    </row>
    <row r="99" spans="1:34" x14ac:dyDescent="0.3">
      <c r="A99" t="s">
        <v>126</v>
      </c>
      <c r="B99">
        <v>0.24763705103969699</v>
      </c>
      <c r="C99">
        <v>0.76878284523174401</v>
      </c>
      <c r="D99">
        <v>0.36683902814998998</v>
      </c>
      <c r="E99">
        <v>0</v>
      </c>
      <c r="F99">
        <v>0</v>
      </c>
      <c r="G99">
        <v>0.44857661126624399</v>
      </c>
      <c r="H99">
        <v>8</v>
      </c>
      <c r="I99">
        <v>17</v>
      </c>
      <c r="J99">
        <v>0.52158771050999397</v>
      </c>
      <c r="K99">
        <v>2.8548123980424101E-2</v>
      </c>
      <c r="L99">
        <v>1.3974307178848599E-2</v>
      </c>
      <c r="M99">
        <v>7.7922077922077896E-3</v>
      </c>
      <c r="N99">
        <v>9.0239436920731397E-3</v>
      </c>
      <c r="O99">
        <v>1180</v>
      </c>
      <c r="P99">
        <v>0.39951599326599302</v>
      </c>
      <c r="Q99">
        <v>0.399593253620393</v>
      </c>
      <c r="R99">
        <v>0.10176991150442399</v>
      </c>
      <c r="S99">
        <v>1</v>
      </c>
      <c r="T99" t="s">
        <v>28</v>
      </c>
      <c r="U99">
        <v>2.1226415094339601E-2</v>
      </c>
      <c r="V99">
        <v>0</v>
      </c>
      <c r="W99">
        <v>0</v>
      </c>
      <c r="X99">
        <v>0.110051708444997</v>
      </c>
      <c r="Y99">
        <v>0.11401187879904499</v>
      </c>
      <c r="Z99">
        <v>0.24331917343642501</v>
      </c>
      <c r="AA99">
        <v>0.10176991150442399</v>
      </c>
      <c r="AB99">
        <f t="shared" si="7"/>
        <v>0.14615654319836985</v>
      </c>
      <c r="AC99">
        <f t="shared" si="12"/>
        <v>0.25</v>
      </c>
      <c r="AD99">
        <f t="shared" si="8"/>
        <v>0</v>
      </c>
      <c r="AE99">
        <f t="shared" si="13"/>
        <v>0.1826956789979623</v>
      </c>
      <c r="AF99" t="str">
        <f t="shared" si="9"/>
        <v>Very Low</v>
      </c>
      <c r="AG99" t="str">
        <f t="shared" si="10"/>
        <v>NO ACTION</v>
      </c>
      <c r="AH99" t="str">
        <f t="shared" si="11"/>
        <v/>
      </c>
    </row>
    <row r="100" spans="1:34" x14ac:dyDescent="0.3">
      <c r="A100" t="s">
        <v>127</v>
      </c>
      <c r="B100">
        <v>0.13119092627599199</v>
      </c>
      <c r="C100">
        <v>0.191082606419713</v>
      </c>
      <c r="D100">
        <v>0.18176213760722401</v>
      </c>
      <c r="E100">
        <v>0.12978790756568501</v>
      </c>
      <c r="F100">
        <v>1.7094017094016999E-2</v>
      </c>
      <c r="G100">
        <v>0.97409076339609602</v>
      </c>
      <c r="H100">
        <v>0</v>
      </c>
      <c r="I100">
        <v>22</v>
      </c>
      <c r="J100">
        <v>0.49821096321740299</v>
      </c>
      <c r="K100">
        <v>1.6313213703099499E-2</v>
      </c>
      <c r="L100">
        <v>8.3598212602409797E-3</v>
      </c>
      <c r="M100">
        <v>5.1948051948051896E-3</v>
      </c>
      <c r="N100">
        <v>6.2981046518565597E-3</v>
      </c>
      <c r="O100">
        <v>1134</v>
      </c>
      <c r="P100">
        <v>0.37580667789001099</v>
      </c>
      <c r="Q100">
        <v>0.37588975770538902</v>
      </c>
      <c r="R100">
        <v>0.77876106194690198</v>
      </c>
      <c r="S100">
        <v>1</v>
      </c>
      <c r="T100" t="s">
        <v>28</v>
      </c>
      <c r="U100">
        <v>1.7874875868917499E-2</v>
      </c>
      <c r="V100">
        <v>0</v>
      </c>
      <c r="W100">
        <v>4.6634298973492801E-3</v>
      </c>
      <c r="X100">
        <v>0.100302620389479</v>
      </c>
      <c r="Y100">
        <v>0.105711534669158</v>
      </c>
      <c r="Z100">
        <v>0.22800324859474899</v>
      </c>
      <c r="AA100">
        <v>0.77876106194690198</v>
      </c>
      <c r="AB100">
        <f t="shared" si="7"/>
        <v>0.32754165592134321</v>
      </c>
      <c r="AC100">
        <f t="shared" si="12"/>
        <v>0.25</v>
      </c>
      <c r="AD100">
        <f t="shared" si="8"/>
        <v>0</v>
      </c>
      <c r="AE100">
        <f t="shared" si="13"/>
        <v>0.40942706990167899</v>
      </c>
      <c r="AF100" t="str">
        <f t="shared" si="9"/>
        <v>Medium</v>
      </c>
      <c r="AG100" t="str">
        <f t="shared" si="10"/>
        <v>REVIEW</v>
      </c>
      <c r="AH100" t="str">
        <f t="shared" si="11"/>
        <v>USB anomaly</v>
      </c>
    </row>
    <row r="101" spans="1:34" x14ac:dyDescent="0.3">
      <c r="A101" t="s">
        <v>128</v>
      </c>
      <c r="B101">
        <v>0.2351606805293</v>
      </c>
      <c r="C101">
        <v>0.66379926959890401</v>
      </c>
      <c r="D101">
        <v>0.36305962765025401</v>
      </c>
      <c r="E101">
        <v>0</v>
      </c>
      <c r="F101">
        <v>0</v>
      </c>
      <c r="G101">
        <v>0.48045884695871699</v>
      </c>
      <c r="H101">
        <v>7</v>
      </c>
      <c r="I101">
        <v>15</v>
      </c>
      <c r="J101">
        <v>0.498783454987834</v>
      </c>
      <c r="K101">
        <v>1.9575856443719401E-2</v>
      </c>
      <c r="L101">
        <v>1.00202767717397E-2</v>
      </c>
      <c r="M101">
        <v>7.2150072150072098E-3</v>
      </c>
      <c r="N101">
        <v>8.7373323510990808E-3</v>
      </c>
      <c r="O101">
        <v>1109</v>
      </c>
      <c r="P101">
        <v>0.37861251402918</v>
      </c>
      <c r="Q101">
        <v>0.378694905150952</v>
      </c>
      <c r="R101">
        <v>0</v>
      </c>
      <c r="S101">
        <v>0</v>
      </c>
      <c r="T101" t="s">
        <v>28</v>
      </c>
      <c r="U101">
        <v>1.5674891146589199E-2</v>
      </c>
      <c r="V101">
        <v>0</v>
      </c>
      <c r="W101">
        <v>0</v>
      </c>
      <c r="X101">
        <v>0.108917888295076</v>
      </c>
      <c r="Y101">
        <v>0.107388029088766</v>
      </c>
      <c r="Z101">
        <v>0.230662441357948</v>
      </c>
      <c r="AA101">
        <v>0</v>
      </c>
      <c r="AB101">
        <f t="shared" si="7"/>
        <v>0.11208099385229209</v>
      </c>
      <c r="AC101">
        <f t="shared" si="12"/>
        <v>0.25</v>
      </c>
      <c r="AD101">
        <f t="shared" si="8"/>
        <v>0</v>
      </c>
      <c r="AE101">
        <f t="shared" si="13"/>
        <v>0.14010124231536511</v>
      </c>
      <c r="AF101" t="str">
        <f t="shared" si="9"/>
        <v>Very Low</v>
      </c>
      <c r="AG101" t="str">
        <f t="shared" si="10"/>
        <v>NO ACTION</v>
      </c>
      <c r="AH101" t="str">
        <f t="shared" si="11"/>
        <v/>
      </c>
    </row>
    <row r="102" spans="1:34" x14ac:dyDescent="0.3">
      <c r="A102" t="s">
        <v>129</v>
      </c>
      <c r="B102">
        <v>0.12892249527410199</v>
      </c>
      <c r="C102">
        <v>0.36953165208440503</v>
      </c>
      <c r="D102">
        <v>0</v>
      </c>
      <c r="E102">
        <v>0</v>
      </c>
      <c r="F102">
        <v>0</v>
      </c>
      <c r="G102">
        <v>0.99365964633361503</v>
      </c>
      <c r="H102">
        <v>8</v>
      </c>
      <c r="I102">
        <v>8</v>
      </c>
      <c r="J102">
        <v>0.44177281618243402</v>
      </c>
      <c r="K102">
        <v>1.2234910277324601E-2</v>
      </c>
      <c r="L102">
        <v>7.0704327463840602E-3</v>
      </c>
      <c r="M102">
        <v>4.6176046176046098E-3</v>
      </c>
      <c r="N102">
        <v>6.3131352068211202E-3</v>
      </c>
      <c r="O102">
        <v>1002</v>
      </c>
      <c r="P102">
        <v>0.33228114478114401</v>
      </c>
      <c r="Q102">
        <v>0.33237490795609897</v>
      </c>
      <c r="R102">
        <v>0</v>
      </c>
      <c r="S102">
        <v>0</v>
      </c>
      <c r="T102" t="s">
        <v>28</v>
      </c>
      <c r="U102">
        <v>1.4983351831298499E-2</v>
      </c>
      <c r="V102">
        <v>0</v>
      </c>
      <c r="W102">
        <v>0</v>
      </c>
      <c r="X102">
        <v>0</v>
      </c>
      <c r="Y102">
        <v>9.3783720171725093E-2</v>
      </c>
      <c r="Z102">
        <v>0.201893940951415</v>
      </c>
      <c r="AA102">
        <v>0</v>
      </c>
      <c r="AB102">
        <f t="shared" si="7"/>
        <v>8.278974511447923E-2</v>
      </c>
      <c r="AC102">
        <f t="shared" si="12"/>
        <v>0.25</v>
      </c>
      <c r="AD102">
        <f t="shared" si="8"/>
        <v>0</v>
      </c>
      <c r="AE102">
        <f t="shared" si="13"/>
        <v>0.10348718139309904</v>
      </c>
      <c r="AF102" t="str">
        <f t="shared" si="9"/>
        <v>Very Low</v>
      </c>
      <c r="AG102" t="str">
        <f t="shared" si="10"/>
        <v>NO ACTION</v>
      </c>
      <c r="AH102" t="str">
        <f t="shared" si="11"/>
        <v/>
      </c>
    </row>
    <row r="103" spans="1:34" x14ac:dyDescent="0.3">
      <c r="A103" t="s">
        <v>130</v>
      </c>
      <c r="B103">
        <v>0.12892249527410199</v>
      </c>
      <c r="C103">
        <v>0.36953165208440503</v>
      </c>
      <c r="D103">
        <v>0</v>
      </c>
      <c r="E103">
        <v>0</v>
      </c>
      <c r="F103">
        <v>0</v>
      </c>
      <c r="G103">
        <v>0.99368651608323999</v>
      </c>
      <c r="H103">
        <v>8</v>
      </c>
      <c r="I103">
        <v>8</v>
      </c>
      <c r="J103">
        <v>0.50474691092982205</v>
      </c>
      <c r="K103">
        <v>2.2838499184339299E-2</v>
      </c>
      <c r="L103">
        <v>1.15522699610578E-2</v>
      </c>
      <c r="M103">
        <v>5.1948051948051896E-3</v>
      </c>
      <c r="N103">
        <v>6.2165892680772199E-3</v>
      </c>
      <c r="O103">
        <v>1110</v>
      </c>
      <c r="P103">
        <v>0.38341750841750799</v>
      </c>
      <c r="Q103">
        <v>0.38349872015147701</v>
      </c>
      <c r="R103">
        <v>0</v>
      </c>
      <c r="S103">
        <v>0</v>
      </c>
      <c r="T103" t="s">
        <v>28</v>
      </c>
      <c r="U103">
        <v>2.5024826216484601E-2</v>
      </c>
      <c r="V103">
        <v>0</v>
      </c>
      <c r="W103">
        <v>0</v>
      </c>
      <c r="X103">
        <v>0</v>
      </c>
      <c r="Y103">
        <v>0.108590493946916</v>
      </c>
      <c r="Z103">
        <v>0.23253714075773499</v>
      </c>
      <c r="AA103">
        <v>0</v>
      </c>
      <c r="AB103">
        <f t="shared" si="7"/>
        <v>9.551573771730229E-2</v>
      </c>
      <c r="AC103">
        <f t="shared" si="12"/>
        <v>0.25</v>
      </c>
      <c r="AD103">
        <f t="shared" si="8"/>
        <v>0</v>
      </c>
      <c r="AE103">
        <f t="shared" si="13"/>
        <v>0.11939467214662786</v>
      </c>
      <c r="AF103" t="str">
        <f t="shared" si="9"/>
        <v>Very Low</v>
      </c>
      <c r="AG103" t="str">
        <f t="shared" si="10"/>
        <v>NO ACTION</v>
      </c>
      <c r="AH103" t="str">
        <f t="shared" si="11"/>
        <v/>
      </c>
    </row>
    <row r="104" spans="1:34" x14ac:dyDescent="0.3">
      <c r="A104" t="s">
        <v>131</v>
      </c>
      <c r="B104">
        <v>0.139130434782608</v>
      </c>
      <c r="C104">
        <v>0.34767762964930599</v>
      </c>
      <c r="D104">
        <v>0.22154488846098699</v>
      </c>
      <c r="E104">
        <v>0</v>
      </c>
      <c r="F104">
        <v>0</v>
      </c>
      <c r="G104">
        <v>0.91054743646468606</v>
      </c>
      <c r="H104">
        <v>7</v>
      </c>
      <c r="I104">
        <v>16</v>
      </c>
      <c r="J104">
        <v>0.48561614426792599</v>
      </c>
      <c r="K104">
        <v>1.71288743882544E-2</v>
      </c>
      <c r="L104">
        <v>9.0053596969115902E-3</v>
      </c>
      <c r="M104">
        <v>4.6176046176046098E-3</v>
      </c>
      <c r="N104">
        <v>5.7434404645716501E-3</v>
      </c>
      <c r="O104">
        <v>1086</v>
      </c>
      <c r="P104">
        <v>0.366617564534231</v>
      </c>
      <c r="Q104">
        <v>0.36670289982117099</v>
      </c>
      <c r="R104">
        <v>0.38053097345132703</v>
      </c>
      <c r="S104">
        <v>1</v>
      </c>
      <c r="T104" t="s">
        <v>28</v>
      </c>
      <c r="U104">
        <v>2.09766925638179E-2</v>
      </c>
      <c r="V104">
        <v>0</v>
      </c>
      <c r="W104">
        <v>0</v>
      </c>
      <c r="X104">
        <v>6.6463466538296295E-2</v>
      </c>
      <c r="Y104">
        <v>0.103348940841412</v>
      </c>
      <c r="Z104">
        <v>0.22226791490636699</v>
      </c>
      <c r="AA104">
        <v>0.38053097345132703</v>
      </c>
      <c r="AB104">
        <f t="shared" si="7"/>
        <v>0.2083555468218771</v>
      </c>
      <c r="AC104">
        <f t="shared" si="12"/>
        <v>0.25</v>
      </c>
      <c r="AD104">
        <f t="shared" si="8"/>
        <v>0</v>
      </c>
      <c r="AE104">
        <f t="shared" si="13"/>
        <v>0.26044443352734636</v>
      </c>
      <c r="AF104" t="str">
        <f t="shared" si="9"/>
        <v>Low</v>
      </c>
      <c r="AG104" t="str">
        <f t="shared" si="10"/>
        <v>NO ACTION</v>
      </c>
      <c r="AH104" t="str">
        <f t="shared" si="11"/>
        <v/>
      </c>
    </row>
    <row r="105" spans="1:34" x14ac:dyDescent="0.3">
      <c r="A105" t="s">
        <v>132</v>
      </c>
      <c r="B105">
        <v>0.12892249527410199</v>
      </c>
      <c r="C105">
        <v>0.27580985626589599</v>
      </c>
      <c r="D105">
        <v>7.5124914167671697E-2</v>
      </c>
      <c r="E105">
        <v>0</v>
      </c>
      <c r="F105">
        <v>0</v>
      </c>
      <c r="G105">
        <v>0.99368301016969296</v>
      </c>
      <c r="H105">
        <v>7</v>
      </c>
      <c r="I105">
        <v>8</v>
      </c>
      <c r="J105">
        <v>0.50035780735651902</v>
      </c>
      <c r="K105">
        <v>2.0391517128874301E-2</v>
      </c>
      <c r="L105">
        <v>1.04049619421278E-2</v>
      </c>
      <c r="M105">
        <v>5.4834054834054799E-3</v>
      </c>
      <c r="N105">
        <v>6.6194889219762902E-3</v>
      </c>
      <c r="O105">
        <v>1087</v>
      </c>
      <c r="P105">
        <v>0.37927890011223298</v>
      </c>
      <c r="Q105">
        <v>0.37936112766927299</v>
      </c>
      <c r="R105">
        <v>0</v>
      </c>
      <c r="S105">
        <v>0</v>
      </c>
      <c r="T105" t="s">
        <v>28</v>
      </c>
      <c r="U105">
        <v>2.1226415094339601E-2</v>
      </c>
      <c r="V105">
        <v>0</v>
      </c>
      <c r="W105">
        <v>0</v>
      </c>
      <c r="X105">
        <v>2.25374742503015E-2</v>
      </c>
      <c r="Y105">
        <v>0.10725988911896001</v>
      </c>
      <c r="Z105">
        <v>0.23021513563613</v>
      </c>
      <c r="AA105">
        <v>0</v>
      </c>
      <c r="AB105">
        <f t="shared" si="7"/>
        <v>9.8099002811473462E-2</v>
      </c>
      <c r="AC105">
        <f t="shared" si="12"/>
        <v>0.25</v>
      </c>
      <c r="AD105">
        <f t="shared" si="8"/>
        <v>0</v>
      </c>
      <c r="AE105">
        <f t="shared" si="13"/>
        <v>0.12262375351434182</v>
      </c>
      <c r="AF105" t="str">
        <f t="shared" si="9"/>
        <v>Very Low</v>
      </c>
      <c r="AG105" t="str">
        <f t="shared" si="10"/>
        <v>NO ACTION</v>
      </c>
      <c r="AH105" t="str">
        <f t="shared" si="11"/>
        <v/>
      </c>
    </row>
    <row r="106" spans="1:34" x14ac:dyDescent="0.3">
      <c r="A106" t="s">
        <v>133</v>
      </c>
      <c r="B106">
        <v>0.12892249527410199</v>
      </c>
      <c r="C106">
        <v>0.18476582604220201</v>
      </c>
      <c r="D106">
        <v>0</v>
      </c>
      <c r="E106">
        <v>0</v>
      </c>
      <c r="F106">
        <v>0</v>
      </c>
      <c r="G106">
        <v>0.99369665914609595</v>
      </c>
      <c r="H106">
        <v>7</v>
      </c>
      <c r="I106">
        <v>7</v>
      </c>
      <c r="J106">
        <v>0.49663661084871902</v>
      </c>
      <c r="K106">
        <v>2.2022838499184301E-2</v>
      </c>
      <c r="L106">
        <v>1.1321517706331901E-2</v>
      </c>
      <c r="M106">
        <v>6.9264069264069203E-3</v>
      </c>
      <c r="N106">
        <v>8.42408032038372E-3</v>
      </c>
      <c r="O106">
        <v>1133</v>
      </c>
      <c r="P106">
        <v>0.37794612794612797</v>
      </c>
      <c r="Q106">
        <v>0.37802868263263001</v>
      </c>
      <c r="R106">
        <v>0</v>
      </c>
      <c r="S106">
        <v>0</v>
      </c>
      <c r="T106" t="s">
        <v>28</v>
      </c>
      <c r="U106">
        <v>1.8339622641509401E-2</v>
      </c>
      <c r="V106">
        <v>0</v>
      </c>
      <c r="W106">
        <v>0</v>
      </c>
      <c r="X106">
        <v>0</v>
      </c>
      <c r="Y106">
        <v>0.107515305119024</v>
      </c>
      <c r="Z106">
        <v>0.23013730889583001</v>
      </c>
      <c r="AA106">
        <v>0</v>
      </c>
      <c r="AB106">
        <f t="shared" si="7"/>
        <v>9.4542731924159129E-2</v>
      </c>
      <c r="AC106">
        <f t="shared" si="12"/>
        <v>0.25</v>
      </c>
      <c r="AD106">
        <f t="shared" si="8"/>
        <v>0</v>
      </c>
      <c r="AE106">
        <f t="shared" si="13"/>
        <v>0.11817841490519891</v>
      </c>
      <c r="AF106" t="str">
        <f t="shared" si="9"/>
        <v>Very Low</v>
      </c>
      <c r="AG106" t="str">
        <f t="shared" si="10"/>
        <v>NO ACTION</v>
      </c>
      <c r="AH106" t="str">
        <f t="shared" si="11"/>
        <v/>
      </c>
    </row>
    <row r="107" spans="1:34" x14ac:dyDescent="0.3">
      <c r="A107" t="s">
        <v>134</v>
      </c>
      <c r="B107">
        <v>0.12892249527410199</v>
      </c>
      <c r="C107">
        <v>0.28009428121759899</v>
      </c>
      <c r="D107">
        <v>7.50946055673926E-2</v>
      </c>
      <c r="E107">
        <v>0</v>
      </c>
      <c r="F107">
        <v>0</v>
      </c>
      <c r="G107">
        <v>0.99369007552218402</v>
      </c>
      <c r="H107">
        <v>7</v>
      </c>
      <c r="I107">
        <v>8</v>
      </c>
      <c r="J107">
        <v>0.49988073088115997</v>
      </c>
      <c r="K107">
        <v>1.7944535073409401E-2</v>
      </c>
      <c r="L107">
        <v>9.1651009996849692E-3</v>
      </c>
      <c r="M107">
        <v>6.9264069264069203E-3</v>
      </c>
      <c r="N107">
        <v>8.3694358997230302E-3</v>
      </c>
      <c r="O107">
        <v>1110</v>
      </c>
      <c r="P107">
        <v>0.37857744107744101</v>
      </c>
      <c r="Q107">
        <v>0.37865984080788201</v>
      </c>
      <c r="R107">
        <v>0</v>
      </c>
      <c r="S107">
        <v>0</v>
      </c>
      <c r="T107" t="s">
        <v>28</v>
      </c>
      <c r="U107">
        <v>1.4943396226415001E-2</v>
      </c>
      <c r="V107">
        <v>0</v>
      </c>
      <c r="W107">
        <v>0</v>
      </c>
      <c r="X107">
        <v>2.2528381670217701E-2</v>
      </c>
      <c r="Y107">
        <v>0.10706952744599101</v>
      </c>
      <c r="Z107">
        <v>0.23049423900635299</v>
      </c>
      <c r="AA107">
        <v>0</v>
      </c>
      <c r="AB107">
        <f t="shared" si="7"/>
        <v>9.8122395673891152E-2</v>
      </c>
      <c r="AC107">
        <f t="shared" si="12"/>
        <v>0.25</v>
      </c>
      <c r="AD107">
        <f t="shared" si="8"/>
        <v>0</v>
      </c>
      <c r="AE107">
        <f t="shared" si="13"/>
        <v>0.12265299459236394</v>
      </c>
      <c r="AF107" t="str">
        <f t="shared" si="9"/>
        <v>Very Low</v>
      </c>
      <c r="AG107" t="str">
        <f t="shared" si="10"/>
        <v>NO ACTION</v>
      </c>
      <c r="AH107" t="str">
        <f t="shared" si="11"/>
        <v/>
      </c>
    </row>
    <row r="108" spans="1:34" x14ac:dyDescent="0.3">
      <c r="A108" t="s">
        <v>135</v>
      </c>
      <c r="B108">
        <v>0.16294896030245701</v>
      </c>
      <c r="C108">
        <v>0.50205334800432999</v>
      </c>
      <c r="D108">
        <v>0.46767706808943899</v>
      </c>
      <c r="E108">
        <v>0.31417624521072701</v>
      </c>
      <c r="F108">
        <v>8.2758620689655102E-2</v>
      </c>
      <c r="G108">
        <v>0.75679130751353996</v>
      </c>
      <c r="H108">
        <v>0</v>
      </c>
      <c r="I108">
        <v>23</v>
      </c>
      <c r="J108">
        <v>0.499594484995944</v>
      </c>
      <c r="K108">
        <v>1.71288743882544E-2</v>
      </c>
      <c r="L108">
        <v>8.7535156202488903E-3</v>
      </c>
      <c r="M108">
        <v>5.4834054834054799E-3</v>
      </c>
      <c r="N108">
        <v>6.6295979057265598E-3</v>
      </c>
      <c r="O108">
        <v>1151</v>
      </c>
      <c r="P108">
        <v>0.37731481481481399</v>
      </c>
      <c r="Q108">
        <v>0.37739752445737901</v>
      </c>
      <c r="R108">
        <v>0.44395280235988199</v>
      </c>
      <c r="S108">
        <v>1</v>
      </c>
      <c r="T108" t="s">
        <v>28</v>
      </c>
      <c r="U108">
        <v>1.7830188679245199E-2</v>
      </c>
      <c r="V108">
        <v>0</v>
      </c>
      <c r="W108">
        <v>2.36406863802208E-2</v>
      </c>
      <c r="X108">
        <v>0.26765944226591198</v>
      </c>
      <c r="Y108">
        <v>0.106284534181031</v>
      </c>
      <c r="Z108">
        <v>0.229040728051179</v>
      </c>
      <c r="AA108">
        <v>0.44395280235988199</v>
      </c>
      <c r="AB108">
        <f t="shared" si="7"/>
        <v>0.26102336884833166</v>
      </c>
      <c r="AC108">
        <f t="shared" si="12"/>
        <v>0.25</v>
      </c>
      <c r="AD108">
        <f t="shared" si="8"/>
        <v>0</v>
      </c>
      <c r="AE108">
        <f t="shared" si="13"/>
        <v>0.32627921106041458</v>
      </c>
      <c r="AF108" t="str">
        <f t="shared" si="9"/>
        <v>Low</v>
      </c>
      <c r="AG108" t="str">
        <f t="shared" si="10"/>
        <v>NO ACTION</v>
      </c>
      <c r="AH108" t="str">
        <f t="shared" si="11"/>
        <v/>
      </c>
    </row>
    <row r="109" spans="1:34" x14ac:dyDescent="0.3">
      <c r="A109" t="s">
        <v>136</v>
      </c>
      <c r="B109">
        <v>0.12892249527410199</v>
      </c>
      <c r="C109">
        <v>0.27634540938485902</v>
      </c>
      <c r="D109">
        <v>7.5129964412319103E-2</v>
      </c>
      <c r="E109">
        <v>0</v>
      </c>
      <c r="F109">
        <v>0</v>
      </c>
      <c r="G109">
        <v>0.99368919235312303</v>
      </c>
      <c r="H109">
        <v>7</v>
      </c>
      <c r="I109">
        <v>8</v>
      </c>
      <c r="J109">
        <v>0.49849720910261902</v>
      </c>
      <c r="K109">
        <v>1.30505709624796E-2</v>
      </c>
      <c r="L109">
        <v>6.6840185595559796E-3</v>
      </c>
      <c r="M109">
        <v>6.63780663780663E-3</v>
      </c>
      <c r="N109">
        <v>8.0429593151995996E-3</v>
      </c>
      <c r="O109">
        <v>1097</v>
      </c>
      <c r="P109">
        <v>0.37531565656565602</v>
      </c>
      <c r="Q109">
        <v>0.37539885690241498</v>
      </c>
      <c r="R109">
        <v>0</v>
      </c>
      <c r="S109">
        <v>0</v>
      </c>
      <c r="T109" t="s">
        <v>28</v>
      </c>
      <c r="U109">
        <v>1.13207547169811E-2</v>
      </c>
      <c r="V109">
        <v>0</v>
      </c>
      <c r="W109">
        <v>0</v>
      </c>
      <c r="X109">
        <v>2.2538989323695701E-2</v>
      </c>
      <c r="Y109">
        <v>0.105454338894861</v>
      </c>
      <c r="Z109">
        <v>0.22840657766547301</v>
      </c>
      <c r="AA109">
        <v>0</v>
      </c>
      <c r="AB109">
        <f t="shared" si="7"/>
        <v>9.7087294928684842E-2</v>
      </c>
      <c r="AC109">
        <f t="shared" si="12"/>
        <v>0.25</v>
      </c>
      <c r="AD109">
        <f t="shared" si="8"/>
        <v>0</v>
      </c>
      <c r="AE109">
        <f t="shared" si="13"/>
        <v>0.12135911866085605</v>
      </c>
      <c r="AF109" t="str">
        <f t="shared" si="9"/>
        <v>Very Low</v>
      </c>
      <c r="AG109" t="str">
        <f t="shared" si="10"/>
        <v>NO ACTION</v>
      </c>
      <c r="AH109" t="str">
        <f t="shared" si="11"/>
        <v/>
      </c>
    </row>
    <row r="110" spans="1:34" x14ac:dyDescent="0.3">
      <c r="A110" t="s">
        <v>137</v>
      </c>
      <c r="B110">
        <v>0.12892249527410199</v>
      </c>
      <c r="C110">
        <v>0.36953165208440503</v>
      </c>
      <c r="D110">
        <v>0</v>
      </c>
      <c r="E110">
        <v>0</v>
      </c>
      <c r="F110">
        <v>0</v>
      </c>
      <c r="G110">
        <v>0.993670003498062</v>
      </c>
      <c r="H110">
        <v>8</v>
      </c>
      <c r="I110">
        <v>8</v>
      </c>
      <c r="J110">
        <v>0.50679833977386501</v>
      </c>
      <c r="K110">
        <v>1.6313213703099499E-2</v>
      </c>
      <c r="L110">
        <v>8.2182360300148503E-3</v>
      </c>
      <c r="M110">
        <v>8.6580086580086493E-3</v>
      </c>
      <c r="N110">
        <v>1.0319062445520799E-2</v>
      </c>
      <c r="O110">
        <v>1113</v>
      </c>
      <c r="P110">
        <v>0.38380331088664399</v>
      </c>
      <c r="Q110">
        <v>0.38388442792524202</v>
      </c>
      <c r="R110">
        <v>0</v>
      </c>
      <c r="S110">
        <v>0</v>
      </c>
      <c r="T110" t="s">
        <v>28</v>
      </c>
      <c r="U110">
        <v>1.09555690809494E-2</v>
      </c>
      <c r="V110">
        <v>0</v>
      </c>
      <c r="W110">
        <v>0</v>
      </c>
      <c r="X110">
        <v>0</v>
      </c>
      <c r="Y110">
        <v>0.108564504703436</v>
      </c>
      <c r="Z110">
        <v>0.23440961151019399</v>
      </c>
      <c r="AA110">
        <v>0</v>
      </c>
      <c r="AB110">
        <f t="shared" si="7"/>
        <v>9.6032752539816413E-2</v>
      </c>
      <c r="AC110">
        <f t="shared" si="12"/>
        <v>0.25</v>
      </c>
      <c r="AD110">
        <f t="shared" si="8"/>
        <v>0</v>
      </c>
      <c r="AE110">
        <f t="shared" si="13"/>
        <v>0.12004094067477052</v>
      </c>
      <c r="AF110" t="str">
        <f t="shared" si="9"/>
        <v>Very Low</v>
      </c>
      <c r="AG110" t="str">
        <f t="shared" si="10"/>
        <v>NO ACTION</v>
      </c>
      <c r="AH110" t="str">
        <f t="shared" si="11"/>
        <v/>
      </c>
    </row>
    <row r="111" spans="1:34" x14ac:dyDescent="0.3">
      <c r="A111" t="s">
        <v>138</v>
      </c>
      <c r="B111">
        <v>0.13497164461247599</v>
      </c>
      <c r="C111">
        <v>0.354177151305275</v>
      </c>
      <c r="D111">
        <v>0.280435645507493</v>
      </c>
      <c r="E111">
        <v>0</v>
      </c>
      <c r="F111">
        <v>0</v>
      </c>
      <c r="G111">
        <v>0.94290691363497903</v>
      </c>
      <c r="H111">
        <v>7</v>
      </c>
      <c r="I111">
        <v>19</v>
      </c>
      <c r="J111">
        <v>0.65555078479080198</v>
      </c>
      <c r="K111">
        <v>2.4469820554649201E-2</v>
      </c>
      <c r="L111">
        <v>9.5311449723917297E-3</v>
      </c>
      <c r="M111">
        <v>8.3694083694083703E-3</v>
      </c>
      <c r="N111">
        <v>7.7124469529532801E-3</v>
      </c>
      <c r="O111">
        <v>1333</v>
      </c>
      <c r="P111">
        <v>0.49652777777777701</v>
      </c>
      <c r="Q111">
        <v>0.49658122655072001</v>
      </c>
      <c r="R111">
        <v>0</v>
      </c>
      <c r="S111">
        <v>0</v>
      </c>
      <c r="T111" t="s">
        <v>28</v>
      </c>
      <c r="U111">
        <v>1.6981132075471601E-2</v>
      </c>
      <c r="V111">
        <v>0</v>
      </c>
      <c r="W111">
        <v>0</v>
      </c>
      <c r="X111">
        <v>8.4130693652247901E-2</v>
      </c>
      <c r="Y111">
        <v>0.138189463530242</v>
      </c>
      <c r="Z111">
        <v>0.30100164544784702</v>
      </c>
      <c r="AA111">
        <v>0</v>
      </c>
      <c r="AB111">
        <f t="shared" si="7"/>
        <v>0.1364344214982246</v>
      </c>
      <c r="AC111">
        <f t="shared" si="12"/>
        <v>0.25</v>
      </c>
      <c r="AD111">
        <f t="shared" si="8"/>
        <v>0</v>
      </c>
      <c r="AE111">
        <f t="shared" si="13"/>
        <v>0.17054302687278075</v>
      </c>
      <c r="AF111" t="str">
        <f t="shared" si="9"/>
        <v>Very Low</v>
      </c>
      <c r="AG111" t="str">
        <f t="shared" si="10"/>
        <v>NO ACTION</v>
      </c>
      <c r="AH111" t="str">
        <f t="shared" si="11"/>
        <v/>
      </c>
    </row>
    <row r="112" spans="1:34" x14ac:dyDescent="0.3">
      <c r="A112" t="s">
        <v>139</v>
      </c>
      <c r="B112">
        <v>0.12892249527410199</v>
      </c>
      <c r="C112">
        <v>0.27206098443315602</v>
      </c>
      <c r="D112">
        <v>7.5018780494472401E-2</v>
      </c>
      <c r="E112">
        <v>0</v>
      </c>
      <c r="F112">
        <v>0</v>
      </c>
      <c r="G112">
        <v>0.993663071959065</v>
      </c>
      <c r="H112">
        <v>7</v>
      </c>
      <c r="I112">
        <v>8</v>
      </c>
      <c r="J112">
        <v>0.49744764085682902</v>
      </c>
      <c r="K112">
        <v>1.30505709624796E-2</v>
      </c>
      <c r="L112">
        <v>6.6981144575918496E-3</v>
      </c>
      <c r="M112">
        <v>6.63780663780663E-3</v>
      </c>
      <c r="N112">
        <v>8.0599210775591096E-3</v>
      </c>
      <c r="O112">
        <v>1103</v>
      </c>
      <c r="P112">
        <v>0.37454405162738402</v>
      </c>
      <c r="Q112">
        <v>0.37462744135488601</v>
      </c>
      <c r="R112">
        <v>0</v>
      </c>
      <c r="S112">
        <v>0</v>
      </c>
      <c r="T112" t="s">
        <v>28</v>
      </c>
      <c r="U112">
        <v>1.13207547169811E-2</v>
      </c>
      <c r="V112">
        <v>0</v>
      </c>
      <c r="W112">
        <v>0</v>
      </c>
      <c r="X112">
        <v>2.25056341483417E-2</v>
      </c>
      <c r="Y112">
        <v>0.105256561723429</v>
      </c>
      <c r="Z112">
        <v>0.22795039940745401</v>
      </c>
      <c r="AA112">
        <v>0</v>
      </c>
      <c r="AB112">
        <f t="shared" si="7"/>
        <v>9.6898850580381918E-2</v>
      </c>
      <c r="AC112">
        <f t="shared" si="12"/>
        <v>0.25</v>
      </c>
      <c r="AD112">
        <f t="shared" si="8"/>
        <v>0</v>
      </c>
      <c r="AE112">
        <f t="shared" si="13"/>
        <v>0.1211235632254774</v>
      </c>
      <c r="AF112" t="str">
        <f t="shared" si="9"/>
        <v>Very Low</v>
      </c>
      <c r="AG112" t="str">
        <f t="shared" si="10"/>
        <v>NO ACTION</v>
      </c>
      <c r="AH112" t="str">
        <f t="shared" si="11"/>
        <v/>
      </c>
    </row>
    <row r="113" spans="1:34" x14ac:dyDescent="0.3">
      <c r="A113" t="s">
        <v>140</v>
      </c>
      <c r="B113">
        <v>0.17353497164461201</v>
      </c>
      <c r="C113">
        <v>0.401456632826038</v>
      </c>
      <c r="D113">
        <v>0.358558694902538</v>
      </c>
      <c r="E113">
        <v>0</v>
      </c>
      <c r="F113">
        <v>0</v>
      </c>
      <c r="G113">
        <v>0.70192183911689399</v>
      </c>
      <c r="H113">
        <v>7</v>
      </c>
      <c r="I113">
        <v>16</v>
      </c>
      <c r="J113">
        <v>0.489098802538046</v>
      </c>
      <c r="K113">
        <v>1.5497553017944501E-2</v>
      </c>
      <c r="L113">
        <v>8.0897184265036493E-3</v>
      </c>
      <c r="M113">
        <v>7.5036075036075001E-3</v>
      </c>
      <c r="N113">
        <v>9.2666663008868291E-3</v>
      </c>
      <c r="O113">
        <v>1030</v>
      </c>
      <c r="P113">
        <v>0.36987934904601499</v>
      </c>
      <c r="Q113">
        <v>0.36996388372663802</v>
      </c>
      <c r="R113">
        <v>0</v>
      </c>
      <c r="S113">
        <v>0</v>
      </c>
      <c r="T113" t="s">
        <v>28</v>
      </c>
      <c r="U113">
        <v>1.19496855345911E-2</v>
      </c>
      <c r="V113">
        <v>0</v>
      </c>
      <c r="W113">
        <v>0</v>
      </c>
      <c r="X113">
        <v>0.10756760847076099</v>
      </c>
      <c r="Y113">
        <v>0.104644619611127</v>
      </c>
      <c r="Z113">
        <v>0.22563427594796401</v>
      </c>
      <c r="AA113">
        <v>0</v>
      </c>
      <c r="AB113">
        <f t="shared" si="7"/>
        <v>0.10968890811186725</v>
      </c>
      <c r="AC113">
        <f t="shared" si="12"/>
        <v>0.25</v>
      </c>
      <c r="AD113">
        <f t="shared" si="8"/>
        <v>0</v>
      </c>
      <c r="AE113">
        <f t="shared" si="13"/>
        <v>0.13711113513983406</v>
      </c>
      <c r="AF113" t="str">
        <f t="shared" si="9"/>
        <v>Very Low</v>
      </c>
      <c r="AG113" t="str">
        <f t="shared" si="10"/>
        <v>NO ACTION</v>
      </c>
      <c r="AH113" t="str">
        <f t="shared" si="11"/>
        <v/>
      </c>
    </row>
    <row r="114" spans="1:34" x14ac:dyDescent="0.3">
      <c r="A114" t="s">
        <v>141</v>
      </c>
      <c r="B114">
        <v>0.12892249527410199</v>
      </c>
      <c r="C114">
        <v>0.27848762186071102</v>
      </c>
      <c r="D114">
        <v>7.5124914167671697E-2</v>
      </c>
      <c r="E114">
        <v>0</v>
      </c>
      <c r="F114">
        <v>0</v>
      </c>
      <c r="G114">
        <v>0.99368525823639497</v>
      </c>
      <c r="H114">
        <v>7</v>
      </c>
      <c r="I114">
        <v>8</v>
      </c>
      <c r="J114">
        <v>0.54458279662229803</v>
      </c>
      <c r="K114">
        <v>1.7944535073409401E-2</v>
      </c>
      <c r="L114">
        <v>8.4131132906915592E-3</v>
      </c>
      <c r="M114">
        <v>8.0808080808080808E-3</v>
      </c>
      <c r="N114">
        <v>8.9631870367422005E-3</v>
      </c>
      <c r="O114">
        <v>1134</v>
      </c>
      <c r="P114">
        <v>0.41200196408529699</v>
      </c>
      <c r="Q114">
        <v>0.41207615975314699</v>
      </c>
      <c r="R114">
        <v>0</v>
      </c>
      <c r="S114">
        <v>0</v>
      </c>
      <c r="T114" t="s">
        <v>28</v>
      </c>
      <c r="U114">
        <v>1.28822381262199E-2</v>
      </c>
      <c r="V114">
        <v>0</v>
      </c>
      <c r="W114">
        <v>0</v>
      </c>
      <c r="X114">
        <v>2.25374742503015E-2</v>
      </c>
      <c r="Y114">
        <v>0.115812072080828</v>
      </c>
      <c r="Z114">
        <v>0.25078645326587501</v>
      </c>
      <c r="AA114">
        <v>0</v>
      </c>
      <c r="AB114">
        <f t="shared" si="7"/>
        <v>0.1062535829771251</v>
      </c>
      <c r="AC114">
        <f t="shared" si="12"/>
        <v>0.25</v>
      </c>
      <c r="AD114">
        <f t="shared" si="8"/>
        <v>0</v>
      </c>
      <c r="AE114">
        <f t="shared" si="13"/>
        <v>0.13281697872140638</v>
      </c>
      <c r="AF114" t="str">
        <f t="shared" si="9"/>
        <v>Very Low</v>
      </c>
      <c r="AG114" t="str">
        <f t="shared" si="10"/>
        <v>NO ACTION</v>
      </c>
      <c r="AH114" t="str">
        <f t="shared" si="11"/>
        <v/>
      </c>
    </row>
    <row r="115" spans="1:34" x14ac:dyDescent="0.3">
      <c r="A115" t="s">
        <v>142</v>
      </c>
      <c r="B115">
        <v>0.12892249527410199</v>
      </c>
      <c r="C115">
        <v>0.36953165208440503</v>
      </c>
      <c r="D115">
        <v>0</v>
      </c>
      <c r="E115">
        <v>0</v>
      </c>
      <c r="F115">
        <v>0</v>
      </c>
      <c r="G115">
        <v>0.99365292889620804</v>
      </c>
      <c r="H115">
        <v>8</v>
      </c>
      <c r="I115">
        <v>8</v>
      </c>
      <c r="J115">
        <v>0.44473069032965901</v>
      </c>
      <c r="K115">
        <v>1.71288743882544E-2</v>
      </c>
      <c r="L115">
        <v>9.8328061706173097E-3</v>
      </c>
      <c r="M115">
        <v>5.4834054834054799E-3</v>
      </c>
      <c r="N115">
        <v>7.4470137512916501E-3</v>
      </c>
      <c r="O115">
        <v>1012</v>
      </c>
      <c r="P115">
        <v>0.33698092031425297</v>
      </c>
      <c r="Q115">
        <v>0.33707352992741602</v>
      </c>
      <c r="R115">
        <v>0</v>
      </c>
      <c r="S115">
        <v>0</v>
      </c>
      <c r="T115" t="s">
        <v>28</v>
      </c>
      <c r="U115">
        <v>1.7830188679245199E-2</v>
      </c>
      <c r="V115">
        <v>0</v>
      </c>
      <c r="W115">
        <v>0</v>
      </c>
      <c r="X115">
        <v>0</v>
      </c>
      <c r="Y115">
        <v>9.6096645276628104E-2</v>
      </c>
      <c r="Z115">
        <v>0.20516735768906799</v>
      </c>
      <c r="AA115">
        <v>0</v>
      </c>
      <c r="AB115">
        <f t="shared" si="7"/>
        <v>8.4353920830394918E-2</v>
      </c>
      <c r="AC115">
        <f t="shared" si="12"/>
        <v>0.25</v>
      </c>
      <c r="AD115">
        <f t="shared" si="8"/>
        <v>0</v>
      </c>
      <c r="AE115">
        <f t="shared" si="13"/>
        <v>0.10544240103799365</v>
      </c>
      <c r="AF115" t="str">
        <f t="shared" si="9"/>
        <v>Very Low</v>
      </c>
      <c r="AG115" t="str">
        <f t="shared" si="10"/>
        <v>NO ACTION</v>
      </c>
      <c r="AH115" t="str">
        <f t="shared" si="11"/>
        <v/>
      </c>
    </row>
    <row r="116" spans="1:34" x14ac:dyDescent="0.3">
      <c r="A116" t="s">
        <v>143</v>
      </c>
      <c r="B116">
        <v>0.12892249527410199</v>
      </c>
      <c r="C116">
        <v>9.0508477104731005E-2</v>
      </c>
      <c r="D116">
        <v>7.51173381640724E-2</v>
      </c>
      <c r="E116">
        <v>0</v>
      </c>
      <c r="F116">
        <v>0.51014492753623097</v>
      </c>
      <c r="G116">
        <v>0.99366628348292396</v>
      </c>
      <c r="H116">
        <v>6</v>
      </c>
      <c r="I116">
        <v>7</v>
      </c>
      <c r="J116">
        <v>0.44787939506702901</v>
      </c>
      <c r="K116">
        <v>2.2022838499184301E-2</v>
      </c>
      <c r="L116">
        <v>1.2553348973857801E-2</v>
      </c>
      <c r="M116">
        <v>5.4834054834054799E-3</v>
      </c>
      <c r="N116">
        <v>7.3946872413815801E-3</v>
      </c>
      <c r="O116">
        <v>1003</v>
      </c>
      <c r="P116">
        <v>0.34140011223344502</v>
      </c>
      <c r="Q116">
        <v>0.34149163715417702</v>
      </c>
      <c r="R116">
        <v>0</v>
      </c>
      <c r="S116">
        <v>0</v>
      </c>
      <c r="T116" t="s">
        <v>28</v>
      </c>
      <c r="U116">
        <v>2.2924528301886699E-2</v>
      </c>
      <c r="V116">
        <v>0</v>
      </c>
      <c r="W116">
        <v>0</v>
      </c>
      <c r="X116">
        <v>0.22659317246371399</v>
      </c>
      <c r="Y116">
        <v>9.8070959672749203E-2</v>
      </c>
      <c r="Z116">
        <v>0.20779794223661999</v>
      </c>
      <c r="AA116">
        <v>0</v>
      </c>
      <c r="AB116">
        <f t="shared" si="7"/>
        <v>0.12189820012881762</v>
      </c>
      <c r="AC116">
        <f t="shared" si="12"/>
        <v>0.25</v>
      </c>
      <c r="AD116">
        <f t="shared" si="8"/>
        <v>0.08</v>
      </c>
      <c r="AE116">
        <f t="shared" si="13"/>
        <v>0.16212460617132746</v>
      </c>
      <c r="AF116" t="str">
        <f t="shared" si="9"/>
        <v>Very Low</v>
      </c>
      <c r="AG116" t="str">
        <f t="shared" si="10"/>
        <v>NO ACTION</v>
      </c>
      <c r="AH116" t="str">
        <f t="shared" si="11"/>
        <v/>
      </c>
    </row>
    <row r="117" spans="1:34" x14ac:dyDescent="0.3">
      <c r="A117" t="s">
        <v>144</v>
      </c>
      <c r="B117">
        <v>0.12892249527410199</v>
      </c>
      <c r="C117">
        <v>8.7295158390953503E-2</v>
      </c>
      <c r="D117">
        <v>7.5018780494472401E-2</v>
      </c>
      <c r="E117">
        <v>0</v>
      </c>
      <c r="F117">
        <v>0.52753623188405796</v>
      </c>
      <c r="G117">
        <v>0.99367342912351198</v>
      </c>
      <c r="H117">
        <v>6</v>
      </c>
      <c r="I117">
        <v>7</v>
      </c>
      <c r="J117">
        <v>0.49973760793855199</v>
      </c>
      <c r="K117">
        <v>2.6101141924959201E-2</v>
      </c>
      <c r="L117">
        <v>1.33348721415263E-2</v>
      </c>
      <c r="M117">
        <v>4.9062049062049001E-3</v>
      </c>
      <c r="N117">
        <v>5.9300474758489999E-3</v>
      </c>
      <c r="O117">
        <v>1133</v>
      </c>
      <c r="P117">
        <v>0.38099747474747397</v>
      </c>
      <c r="Q117">
        <v>0.38107928047967998</v>
      </c>
      <c r="R117">
        <v>0</v>
      </c>
      <c r="S117">
        <v>0</v>
      </c>
      <c r="T117" t="s">
        <v>28</v>
      </c>
      <c r="U117">
        <v>3.0188679245282998E-2</v>
      </c>
      <c r="V117">
        <v>0</v>
      </c>
      <c r="W117">
        <v>0</v>
      </c>
      <c r="X117">
        <v>0.233520126901964</v>
      </c>
      <c r="Y117">
        <v>0.108393971901228</v>
      </c>
      <c r="Z117">
        <v>0.230970503838824</v>
      </c>
      <c r="AA117">
        <v>0</v>
      </c>
      <c r="AB117">
        <f t="shared" si="7"/>
        <v>0.13238527351152882</v>
      </c>
      <c r="AC117">
        <f t="shared" si="12"/>
        <v>0.25</v>
      </c>
      <c r="AD117">
        <f t="shared" si="8"/>
        <v>0.08</v>
      </c>
      <c r="AE117">
        <f t="shared" si="13"/>
        <v>0.17607241377033334</v>
      </c>
      <c r="AF117" t="str">
        <f t="shared" si="9"/>
        <v>Very Low</v>
      </c>
      <c r="AG117" t="str">
        <f t="shared" si="10"/>
        <v>NO ACTION</v>
      </c>
      <c r="AH117" t="str">
        <f t="shared" si="11"/>
        <v/>
      </c>
    </row>
    <row r="118" spans="1:34" x14ac:dyDescent="0.3">
      <c r="A118" t="s">
        <v>145</v>
      </c>
      <c r="B118">
        <v>0.12892249527410199</v>
      </c>
      <c r="C118">
        <v>0.36953165208440503</v>
      </c>
      <c r="D118">
        <v>0</v>
      </c>
      <c r="E118">
        <v>0</v>
      </c>
      <c r="F118">
        <v>0</v>
      </c>
      <c r="G118">
        <v>0.99365697006373099</v>
      </c>
      <c r="H118">
        <v>8</v>
      </c>
      <c r="I118">
        <v>8</v>
      </c>
      <c r="J118">
        <v>0.54377176661418802</v>
      </c>
      <c r="K118">
        <v>1.6313213703099499E-2</v>
      </c>
      <c r="L118">
        <v>7.6596871461017098E-3</v>
      </c>
      <c r="M118">
        <v>9.5238095238095195E-3</v>
      </c>
      <c r="N118">
        <v>1.05795049757164E-2</v>
      </c>
      <c r="O118">
        <v>1215</v>
      </c>
      <c r="P118">
        <v>0.411405723905723</v>
      </c>
      <c r="Q118">
        <v>0.41148006592096498</v>
      </c>
      <c r="R118">
        <v>0</v>
      </c>
      <c r="S118">
        <v>0</v>
      </c>
      <c r="T118" t="s">
        <v>28</v>
      </c>
      <c r="U118">
        <v>9.9889012208657004E-3</v>
      </c>
      <c r="V118">
        <v>0</v>
      </c>
      <c r="W118">
        <v>0</v>
      </c>
      <c r="X118">
        <v>0</v>
      </c>
      <c r="Y118">
        <v>0.115758048388603</v>
      </c>
      <c r="Z118">
        <v>0.25107523633372097</v>
      </c>
      <c r="AA118">
        <v>0</v>
      </c>
      <c r="AB118">
        <f t="shared" si="7"/>
        <v>0.10271331972225073</v>
      </c>
      <c r="AC118">
        <f t="shared" si="12"/>
        <v>0.25</v>
      </c>
      <c r="AD118">
        <f t="shared" si="8"/>
        <v>0</v>
      </c>
      <c r="AE118">
        <f t="shared" si="13"/>
        <v>0.12839164965281341</v>
      </c>
      <c r="AF118" t="str">
        <f t="shared" si="9"/>
        <v>Very Low</v>
      </c>
      <c r="AG118" t="str">
        <f t="shared" si="10"/>
        <v>NO ACTION</v>
      </c>
      <c r="AH118" t="str">
        <f t="shared" si="11"/>
        <v/>
      </c>
    </row>
    <row r="119" spans="1:34" x14ac:dyDescent="0.3">
      <c r="A119" t="s">
        <v>146</v>
      </c>
      <c r="B119">
        <v>0.13875236294896001</v>
      </c>
      <c r="C119">
        <v>0.42082782481310299</v>
      </c>
      <c r="D119">
        <v>0.18630298390568101</v>
      </c>
      <c r="E119">
        <v>0</v>
      </c>
      <c r="F119">
        <v>0</v>
      </c>
      <c r="G119">
        <v>0.91340773185554602</v>
      </c>
      <c r="H119">
        <v>8</v>
      </c>
      <c r="I119">
        <v>17</v>
      </c>
      <c r="J119">
        <v>0.55130957492485999</v>
      </c>
      <c r="K119">
        <v>2.4469820554649201E-2</v>
      </c>
      <c r="L119">
        <v>1.13325074639301E-2</v>
      </c>
      <c r="M119">
        <v>8.3694083694083703E-3</v>
      </c>
      <c r="N119">
        <v>9.1700800809009393E-3</v>
      </c>
      <c r="O119">
        <v>1243</v>
      </c>
      <c r="P119">
        <v>0.41989337822671102</v>
      </c>
      <c r="Q119">
        <v>0.41996563694379102</v>
      </c>
      <c r="R119">
        <v>0.50147492625368695</v>
      </c>
      <c r="S119">
        <v>1</v>
      </c>
      <c r="T119" t="s">
        <v>28</v>
      </c>
      <c r="U119">
        <v>1.6981132075471601E-2</v>
      </c>
      <c r="V119">
        <v>0</v>
      </c>
      <c r="W119">
        <v>0</v>
      </c>
      <c r="X119">
        <v>5.5890895171704397E-2</v>
      </c>
      <c r="Y119">
        <v>0.118679192741207</v>
      </c>
      <c r="Z119">
        <v>0.255604058968387</v>
      </c>
      <c r="AA119">
        <v>0.50147492625368695</v>
      </c>
      <c r="AB119">
        <f t="shared" si="7"/>
        <v>0.25415483305719139</v>
      </c>
      <c r="AC119">
        <f t="shared" si="12"/>
        <v>0.25</v>
      </c>
      <c r="AD119">
        <f t="shared" si="8"/>
        <v>0</v>
      </c>
      <c r="AE119">
        <f t="shared" si="13"/>
        <v>0.31769354132148925</v>
      </c>
      <c r="AF119" t="str">
        <f t="shared" si="9"/>
        <v>Low</v>
      </c>
      <c r="AG119" t="str">
        <f t="shared" si="10"/>
        <v>NO ACTION</v>
      </c>
      <c r="AH119" t="str">
        <f t="shared" si="11"/>
        <v/>
      </c>
    </row>
    <row r="120" spans="1:34" x14ac:dyDescent="0.3">
      <c r="A120" t="s">
        <v>147</v>
      </c>
      <c r="B120">
        <v>0.235538752362948</v>
      </c>
      <c r="C120">
        <v>0.66185653156425395</v>
      </c>
      <c r="D120">
        <v>0.36382848101835502</v>
      </c>
      <c r="E120">
        <v>0</v>
      </c>
      <c r="F120">
        <v>0</v>
      </c>
      <c r="G120">
        <v>0.47942544498913398</v>
      </c>
      <c r="H120">
        <v>7</v>
      </c>
      <c r="I120">
        <v>14</v>
      </c>
      <c r="J120">
        <v>0.43652497495348502</v>
      </c>
      <c r="K120">
        <v>5.79119086460032E-2</v>
      </c>
      <c r="L120">
        <v>3.38688273589123E-2</v>
      </c>
      <c r="M120">
        <v>1.3275613275613199E-2</v>
      </c>
      <c r="N120">
        <v>1.8368344441528399E-2</v>
      </c>
      <c r="O120">
        <v>1068</v>
      </c>
      <c r="P120">
        <v>0.35227272727272702</v>
      </c>
      <c r="Q120">
        <v>0.35236158350573299</v>
      </c>
      <c r="R120">
        <v>0</v>
      </c>
      <c r="S120">
        <v>0</v>
      </c>
      <c r="T120" t="s">
        <v>28</v>
      </c>
      <c r="U120">
        <v>2.5652348454435901E-2</v>
      </c>
      <c r="V120">
        <v>0</v>
      </c>
      <c r="W120">
        <v>0</v>
      </c>
      <c r="X120">
        <v>0.109148544305506</v>
      </c>
      <c r="Y120">
        <v>0.109749912002611</v>
      </c>
      <c r="Z120">
        <v>0.21871097414024701</v>
      </c>
      <c r="AA120">
        <v>0</v>
      </c>
      <c r="AB120">
        <f t="shared" si="7"/>
        <v>0.10943281520888121</v>
      </c>
      <c r="AC120">
        <f t="shared" si="12"/>
        <v>0.25</v>
      </c>
      <c r="AD120">
        <f t="shared" si="8"/>
        <v>0</v>
      </c>
      <c r="AE120">
        <f t="shared" si="13"/>
        <v>0.13679101901110152</v>
      </c>
      <c r="AF120" t="str">
        <f t="shared" si="9"/>
        <v>Very Low</v>
      </c>
      <c r="AG120" t="str">
        <f t="shared" si="10"/>
        <v>NO ACTION</v>
      </c>
      <c r="AH120" t="str">
        <f t="shared" si="11"/>
        <v/>
      </c>
    </row>
    <row r="121" spans="1:34" x14ac:dyDescent="0.3">
      <c r="A121" t="s">
        <v>148</v>
      </c>
      <c r="B121">
        <v>0.12892249527410199</v>
      </c>
      <c r="C121">
        <v>0.55429747812660801</v>
      </c>
      <c r="D121">
        <v>0</v>
      </c>
      <c r="E121">
        <v>0</v>
      </c>
      <c r="F121">
        <v>0</v>
      </c>
      <c r="G121">
        <v>0.99364765664453902</v>
      </c>
      <c r="H121">
        <v>9</v>
      </c>
      <c r="I121">
        <v>9</v>
      </c>
      <c r="J121">
        <v>0.54057535422928205</v>
      </c>
      <c r="K121">
        <v>1.6313213703099499E-2</v>
      </c>
      <c r="L121">
        <v>7.7049587620852001E-3</v>
      </c>
      <c r="M121">
        <v>7.2150072150072098E-3</v>
      </c>
      <c r="N121">
        <v>8.0621468236147104E-3</v>
      </c>
      <c r="O121">
        <v>1204</v>
      </c>
      <c r="P121">
        <v>0.40793350168350101</v>
      </c>
      <c r="Q121">
        <v>0.408008695957081</v>
      </c>
      <c r="R121">
        <v>0</v>
      </c>
      <c r="S121">
        <v>0</v>
      </c>
      <c r="T121" t="s">
        <v>28</v>
      </c>
      <c r="U121">
        <v>1.30624092888243E-2</v>
      </c>
      <c r="V121">
        <v>0</v>
      </c>
      <c r="W121">
        <v>0</v>
      </c>
      <c r="X121">
        <v>0</v>
      </c>
      <c r="Y121">
        <v>0.114386194273983</v>
      </c>
      <c r="Z121">
        <v>0.24798495973954601</v>
      </c>
      <c r="AA121">
        <v>0</v>
      </c>
      <c r="AB121">
        <f t="shared" si="7"/>
        <v>0.10146392312378813</v>
      </c>
      <c r="AC121">
        <f t="shared" si="12"/>
        <v>0.25</v>
      </c>
      <c r="AD121">
        <f t="shared" si="8"/>
        <v>0</v>
      </c>
      <c r="AE121">
        <f t="shared" si="13"/>
        <v>0.12682990390473517</v>
      </c>
      <c r="AF121" t="str">
        <f t="shared" si="9"/>
        <v>Very Low</v>
      </c>
      <c r="AG121" t="str">
        <f t="shared" si="10"/>
        <v>NO ACTION</v>
      </c>
      <c r="AH121" t="str">
        <f t="shared" si="11"/>
        <v/>
      </c>
    </row>
    <row r="122" spans="1:34" x14ac:dyDescent="0.3">
      <c r="A122" t="s">
        <v>149</v>
      </c>
      <c r="B122">
        <v>0.12892249527410199</v>
      </c>
      <c r="C122">
        <v>0.18476582604220201</v>
      </c>
      <c r="D122">
        <v>0</v>
      </c>
      <c r="E122">
        <v>0</v>
      </c>
      <c r="F122">
        <v>0</v>
      </c>
      <c r="G122">
        <v>0.99367527574973102</v>
      </c>
      <c r="H122">
        <v>7</v>
      </c>
      <c r="I122">
        <v>7</v>
      </c>
      <c r="J122">
        <v>0.511139735699632</v>
      </c>
      <c r="K122">
        <v>1.2234910277324601E-2</v>
      </c>
      <c r="L122">
        <v>6.1113498829413497E-3</v>
      </c>
      <c r="M122">
        <v>5.1948051948051896E-3</v>
      </c>
      <c r="N122">
        <v>6.1388746527285499E-3</v>
      </c>
      <c r="O122">
        <v>1133</v>
      </c>
      <c r="P122">
        <v>0.38355780022446601</v>
      </c>
      <c r="Q122">
        <v>0.38363897752375598</v>
      </c>
      <c r="R122">
        <v>0</v>
      </c>
      <c r="S122">
        <v>0</v>
      </c>
      <c r="T122" t="s">
        <v>28</v>
      </c>
      <c r="U122">
        <v>1.34061569016881E-2</v>
      </c>
      <c r="V122">
        <v>0</v>
      </c>
      <c r="W122">
        <v>0</v>
      </c>
      <c r="X122">
        <v>0</v>
      </c>
      <c r="Y122">
        <v>0.107125284477215</v>
      </c>
      <c r="Z122">
        <v>0.232590229995771</v>
      </c>
      <c r="AA122">
        <v>0</v>
      </c>
      <c r="AB122">
        <f t="shared" si="7"/>
        <v>9.5120344052436093E-2</v>
      </c>
      <c r="AC122">
        <f t="shared" si="12"/>
        <v>0.25</v>
      </c>
      <c r="AD122">
        <f t="shared" si="8"/>
        <v>0</v>
      </c>
      <c r="AE122">
        <f t="shared" si="13"/>
        <v>0.11890043006554511</v>
      </c>
      <c r="AF122" t="str">
        <f t="shared" si="9"/>
        <v>Very Low</v>
      </c>
      <c r="AG122" t="str">
        <f t="shared" si="10"/>
        <v>NO ACTION</v>
      </c>
      <c r="AH122" t="str">
        <f t="shared" si="11"/>
        <v/>
      </c>
    </row>
    <row r="123" spans="1:34" x14ac:dyDescent="0.3">
      <c r="A123" t="s">
        <v>150</v>
      </c>
      <c r="B123">
        <v>0.12892249527410199</v>
      </c>
      <c r="C123">
        <v>0.45896902295121</v>
      </c>
      <c r="D123">
        <v>7.50946055673926E-2</v>
      </c>
      <c r="E123">
        <v>0</v>
      </c>
      <c r="F123">
        <v>0</v>
      </c>
      <c r="G123">
        <v>0.99367781820612</v>
      </c>
      <c r="H123">
        <v>8</v>
      </c>
      <c r="I123">
        <v>9</v>
      </c>
      <c r="J123">
        <v>0.60808167549258096</v>
      </c>
      <c r="K123">
        <v>2.0391517128874301E-2</v>
      </c>
      <c r="L123">
        <v>8.5624080980901303E-3</v>
      </c>
      <c r="M123">
        <v>7.5036075036075001E-3</v>
      </c>
      <c r="N123">
        <v>7.4541758488115596E-3</v>
      </c>
      <c r="O123">
        <v>1300</v>
      </c>
      <c r="P123">
        <v>0.45945566778900099</v>
      </c>
      <c r="Q123">
        <v>0.45951821592622399</v>
      </c>
      <c r="R123">
        <v>0</v>
      </c>
      <c r="S123">
        <v>0</v>
      </c>
      <c r="T123" t="s">
        <v>28</v>
      </c>
      <c r="U123">
        <v>1.5723270440251499E-2</v>
      </c>
      <c r="V123">
        <v>0</v>
      </c>
      <c r="W123">
        <v>0</v>
      </c>
      <c r="X123">
        <v>2.2528381670217701E-2</v>
      </c>
      <c r="Y123">
        <v>0.128133791902204</v>
      </c>
      <c r="Z123">
        <v>0.27865507101292503</v>
      </c>
      <c r="AA123">
        <v>0</v>
      </c>
      <c r="AB123">
        <f t="shared" si="7"/>
        <v>0.11750542268347097</v>
      </c>
      <c r="AC123">
        <f t="shared" si="12"/>
        <v>0.25</v>
      </c>
      <c r="AD123">
        <f t="shared" si="8"/>
        <v>0</v>
      </c>
      <c r="AE123">
        <f t="shared" si="13"/>
        <v>0.14688177835433872</v>
      </c>
      <c r="AF123" t="str">
        <f t="shared" si="9"/>
        <v>Very Low</v>
      </c>
      <c r="AG123" t="str">
        <f t="shared" si="10"/>
        <v>NO ACTION</v>
      </c>
      <c r="AH123" t="str">
        <f t="shared" si="11"/>
        <v/>
      </c>
    </row>
    <row r="124" spans="1:34" x14ac:dyDescent="0.3">
      <c r="A124" t="s">
        <v>151</v>
      </c>
      <c r="B124">
        <v>0.12892249527410199</v>
      </c>
      <c r="C124">
        <v>0</v>
      </c>
      <c r="D124">
        <v>0</v>
      </c>
      <c r="E124">
        <v>0</v>
      </c>
      <c r="F124">
        <v>1</v>
      </c>
      <c r="G124">
        <v>0.99366079712966404</v>
      </c>
      <c r="H124">
        <v>6</v>
      </c>
      <c r="I124">
        <v>6</v>
      </c>
      <c r="J124">
        <v>0.50655980153618596</v>
      </c>
      <c r="K124">
        <v>2.4469820554649201E-2</v>
      </c>
      <c r="L124">
        <v>1.23331562449869E-2</v>
      </c>
      <c r="M124">
        <v>7.2150072150072098E-3</v>
      </c>
      <c r="N124">
        <v>8.6032661576293298E-3</v>
      </c>
      <c r="O124">
        <v>1113</v>
      </c>
      <c r="P124">
        <v>0.386433782267115</v>
      </c>
      <c r="Q124">
        <v>0.386514253655457</v>
      </c>
      <c r="R124">
        <v>0</v>
      </c>
      <c r="S124">
        <v>0</v>
      </c>
      <c r="T124" t="s">
        <v>28</v>
      </c>
      <c r="U124">
        <v>1.9593613933236501E-2</v>
      </c>
      <c r="V124">
        <v>0</v>
      </c>
      <c r="W124">
        <v>0</v>
      </c>
      <c r="X124">
        <v>0.4</v>
      </c>
      <c r="Y124">
        <v>0.110059518277019</v>
      </c>
      <c r="Z124">
        <v>0.23530157582332101</v>
      </c>
      <c r="AA124">
        <v>0</v>
      </c>
      <c r="AB124">
        <f t="shared" si="7"/>
        <v>0.1607011063480952</v>
      </c>
      <c r="AC124">
        <f t="shared" si="12"/>
        <v>0.25</v>
      </c>
      <c r="AD124">
        <f t="shared" si="8"/>
        <v>0.08</v>
      </c>
      <c r="AE124">
        <f t="shared" si="13"/>
        <v>0.21373247144296664</v>
      </c>
      <c r="AF124" t="str">
        <f t="shared" si="9"/>
        <v>Low</v>
      </c>
      <c r="AG124" t="str">
        <f t="shared" si="10"/>
        <v>NO ACTION</v>
      </c>
      <c r="AH124" t="str">
        <f t="shared" si="11"/>
        <v/>
      </c>
    </row>
    <row r="125" spans="1:34" x14ac:dyDescent="0.3">
      <c r="A125" t="s">
        <v>152</v>
      </c>
      <c r="B125">
        <v>0.12892249527410199</v>
      </c>
      <c r="C125">
        <v>0.55429747812660801</v>
      </c>
      <c r="D125">
        <v>0</v>
      </c>
      <c r="E125">
        <v>0</v>
      </c>
      <c r="F125">
        <v>0</v>
      </c>
      <c r="G125">
        <v>0.99369165452141495</v>
      </c>
      <c r="H125">
        <v>9</v>
      </c>
      <c r="I125">
        <v>9</v>
      </c>
      <c r="J125">
        <v>0.44420590620676398</v>
      </c>
      <c r="K125">
        <v>1.6313213703099499E-2</v>
      </c>
      <c r="L125">
        <v>9.3756346636966297E-3</v>
      </c>
      <c r="M125">
        <v>4.0404040404040404E-3</v>
      </c>
      <c r="N125">
        <v>5.49375246670223E-3</v>
      </c>
      <c r="O125">
        <v>1013</v>
      </c>
      <c r="P125">
        <v>0.335542929292929</v>
      </c>
      <c r="Q125">
        <v>0.33563589186156501</v>
      </c>
      <c r="R125">
        <v>0</v>
      </c>
      <c r="S125">
        <v>0</v>
      </c>
      <c r="T125" t="s">
        <v>28</v>
      </c>
      <c r="U125">
        <v>2.26415094339622E-2</v>
      </c>
      <c r="V125">
        <v>0</v>
      </c>
      <c r="W125">
        <v>0</v>
      </c>
      <c r="X125">
        <v>0</v>
      </c>
      <c r="Y125">
        <v>9.5177124313211903E-2</v>
      </c>
      <c r="Z125">
        <v>0.203523258562438</v>
      </c>
      <c r="AA125">
        <v>0</v>
      </c>
      <c r="AB125">
        <f t="shared" si="7"/>
        <v>8.3636107205181984E-2</v>
      </c>
      <c r="AC125">
        <f t="shared" si="12"/>
        <v>0.25</v>
      </c>
      <c r="AD125">
        <f t="shared" si="8"/>
        <v>0</v>
      </c>
      <c r="AE125">
        <f t="shared" si="13"/>
        <v>0.10454513400647748</v>
      </c>
      <c r="AF125" t="str">
        <f t="shared" si="9"/>
        <v>Very Low</v>
      </c>
      <c r="AG125" t="str">
        <f t="shared" si="10"/>
        <v>NO ACTION</v>
      </c>
      <c r="AH125" t="str">
        <f t="shared" si="11"/>
        <v/>
      </c>
    </row>
    <row r="126" spans="1:34" x14ac:dyDescent="0.3">
      <c r="A126" t="s">
        <v>153</v>
      </c>
      <c r="B126">
        <v>0.25973534971644602</v>
      </c>
      <c r="C126">
        <v>0.62194690502773198</v>
      </c>
      <c r="D126">
        <v>0.37693569947949701</v>
      </c>
      <c r="E126">
        <v>0</v>
      </c>
      <c r="F126">
        <v>0</v>
      </c>
      <c r="G126">
        <v>0.42115940646554201</v>
      </c>
      <c r="H126">
        <v>7</v>
      </c>
      <c r="I126">
        <v>14</v>
      </c>
      <c r="J126">
        <v>0.40699394112876203</v>
      </c>
      <c r="K126">
        <v>8.9722675367047301E-3</v>
      </c>
      <c r="L126">
        <v>5.6277971989044896E-3</v>
      </c>
      <c r="M126">
        <v>4.3290043290043203E-3</v>
      </c>
      <c r="N126">
        <v>6.4240273940367604E-3</v>
      </c>
      <c r="O126">
        <v>931</v>
      </c>
      <c r="P126">
        <v>0.30516975308641903</v>
      </c>
      <c r="Q126">
        <v>0.30527017076335</v>
      </c>
      <c r="R126">
        <v>0</v>
      </c>
      <c r="S126">
        <v>0</v>
      </c>
      <c r="T126" t="s">
        <v>28</v>
      </c>
      <c r="U126">
        <v>1.16745283018867E-2</v>
      </c>
      <c r="V126">
        <v>0</v>
      </c>
      <c r="W126">
        <v>0</v>
      </c>
      <c r="X126">
        <v>0.11308070984384901</v>
      </c>
      <c r="Y126">
        <v>8.6139895043415807E-2</v>
      </c>
      <c r="Z126">
        <v>0.185671462809466</v>
      </c>
      <c r="AA126">
        <v>0</v>
      </c>
      <c r="AB126">
        <f t="shared" si="7"/>
        <v>9.4200093773822768E-2</v>
      </c>
      <c r="AC126">
        <f t="shared" si="12"/>
        <v>0.25</v>
      </c>
      <c r="AD126">
        <f t="shared" si="8"/>
        <v>0</v>
      </c>
      <c r="AE126">
        <f t="shared" si="13"/>
        <v>0.11775011721727846</v>
      </c>
      <c r="AF126" t="str">
        <f t="shared" si="9"/>
        <v>Very Low</v>
      </c>
      <c r="AG126" t="str">
        <f t="shared" si="10"/>
        <v>NO ACTION</v>
      </c>
      <c r="AH126" t="str">
        <f t="shared" si="11"/>
        <v/>
      </c>
    </row>
    <row r="127" spans="1:34" x14ac:dyDescent="0.3">
      <c r="A127" t="s">
        <v>154</v>
      </c>
      <c r="B127">
        <v>0.12892249527410199</v>
      </c>
      <c r="C127">
        <v>0.36953165208440503</v>
      </c>
      <c r="D127">
        <v>0</v>
      </c>
      <c r="E127">
        <v>0</v>
      </c>
      <c r="F127">
        <v>0</v>
      </c>
      <c r="G127">
        <v>0.99367158249729304</v>
      </c>
      <c r="H127">
        <v>8</v>
      </c>
      <c r="I127">
        <v>8</v>
      </c>
      <c r="J127">
        <v>0.54563236486808797</v>
      </c>
      <c r="K127">
        <v>2.2022838499184301E-2</v>
      </c>
      <c r="L127">
        <v>1.0305331839839799E-2</v>
      </c>
      <c r="M127">
        <v>6.63780663780663E-3</v>
      </c>
      <c r="N127">
        <v>7.3484615173131096E-3</v>
      </c>
      <c r="O127">
        <v>1170</v>
      </c>
      <c r="P127">
        <v>0.41382575757575701</v>
      </c>
      <c r="Q127">
        <v>0.41389950559276201</v>
      </c>
      <c r="R127">
        <v>0</v>
      </c>
      <c r="S127">
        <v>0</v>
      </c>
      <c r="T127" t="s">
        <v>28</v>
      </c>
      <c r="U127">
        <v>1.9103773584905601E-2</v>
      </c>
      <c r="V127">
        <v>0</v>
      </c>
      <c r="W127">
        <v>0</v>
      </c>
      <c r="X127">
        <v>0</v>
      </c>
      <c r="Y127">
        <v>0.116483677348731</v>
      </c>
      <c r="Z127">
        <v>0.25123483915237899</v>
      </c>
      <c r="AA127">
        <v>0</v>
      </c>
      <c r="AB127">
        <f t="shared" si="7"/>
        <v>0.10296118462031081</v>
      </c>
      <c r="AC127">
        <f t="shared" si="12"/>
        <v>0.25</v>
      </c>
      <c r="AD127">
        <f t="shared" si="8"/>
        <v>0</v>
      </c>
      <c r="AE127">
        <f t="shared" si="13"/>
        <v>0.12870148077538851</v>
      </c>
      <c r="AF127" t="str">
        <f t="shared" si="9"/>
        <v>Very Low</v>
      </c>
      <c r="AG127" t="str">
        <f t="shared" si="10"/>
        <v>NO ACTION</v>
      </c>
      <c r="AH127" t="str">
        <f t="shared" si="11"/>
        <v/>
      </c>
    </row>
    <row r="128" spans="1:34" x14ac:dyDescent="0.3">
      <c r="A128" t="s">
        <v>155</v>
      </c>
      <c r="B128">
        <v>0.12892249527410199</v>
      </c>
      <c r="C128">
        <v>9.2650689580582701E-2</v>
      </c>
      <c r="D128">
        <v>7.5132489407342906E-2</v>
      </c>
      <c r="E128">
        <v>0</v>
      </c>
      <c r="F128">
        <v>0.49855072463768102</v>
      </c>
      <c r="G128">
        <v>0.99367511517353801</v>
      </c>
      <c r="H128">
        <v>6</v>
      </c>
      <c r="I128">
        <v>7</v>
      </c>
      <c r="J128">
        <v>0.55794093793235</v>
      </c>
      <c r="K128">
        <v>1.7944535073409401E-2</v>
      </c>
      <c r="L128">
        <v>8.2117738273245807E-3</v>
      </c>
      <c r="M128">
        <v>7.5036075036075001E-3</v>
      </c>
      <c r="N128">
        <v>8.1237774571107802E-3</v>
      </c>
      <c r="O128">
        <v>1248</v>
      </c>
      <c r="P128">
        <v>0.42154180695847299</v>
      </c>
      <c r="Q128">
        <v>0.42161366106805898</v>
      </c>
      <c r="R128">
        <v>0</v>
      </c>
      <c r="S128">
        <v>0</v>
      </c>
      <c r="T128" t="s">
        <v>28</v>
      </c>
      <c r="U128">
        <v>1.3836477987421301E-2</v>
      </c>
      <c r="V128">
        <v>0</v>
      </c>
      <c r="W128">
        <v>0</v>
      </c>
      <c r="X128">
        <v>0.22196003667727501</v>
      </c>
      <c r="Y128">
        <v>0.118131207737265</v>
      </c>
      <c r="Z128">
        <v>0.25617459515792801</v>
      </c>
      <c r="AA128">
        <v>0</v>
      </c>
      <c r="AB128">
        <f t="shared" si="7"/>
        <v>0.14031923067901805</v>
      </c>
      <c r="AC128">
        <f t="shared" si="12"/>
        <v>0.25</v>
      </c>
      <c r="AD128">
        <f t="shared" si="8"/>
        <v>0</v>
      </c>
      <c r="AE128">
        <f t="shared" si="13"/>
        <v>0.17539903834877257</v>
      </c>
      <c r="AF128" t="str">
        <f t="shared" si="9"/>
        <v>Very Low</v>
      </c>
      <c r="AG128" t="str">
        <f t="shared" si="10"/>
        <v>NO ACTION</v>
      </c>
      <c r="AH128" t="str">
        <f t="shared" si="11"/>
        <v/>
      </c>
    </row>
    <row r="129" spans="1:34" x14ac:dyDescent="0.3">
      <c r="A129" t="s">
        <v>156</v>
      </c>
      <c r="B129">
        <v>4.0075614366729601E-2</v>
      </c>
      <c r="C129">
        <v>9.5742291676414099E-2</v>
      </c>
      <c r="D129">
        <v>0.53224081093370201</v>
      </c>
      <c r="E129">
        <v>0</v>
      </c>
      <c r="F129">
        <v>1</v>
      </c>
      <c r="G129">
        <v>0.84390414087052101</v>
      </c>
      <c r="H129">
        <v>2</v>
      </c>
      <c r="I129">
        <v>23</v>
      </c>
      <c r="J129">
        <v>8.9165593244597094E-2</v>
      </c>
      <c r="K129">
        <v>3.2626427406199001E-3</v>
      </c>
      <c r="L129">
        <v>9.3216021907148103E-3</v>
      </c>
      <c r="M129">
        <v>5.7720057720057698E-4</v>
      </c>
      <c r="N129">
        <v>3.9014939762004801E-3</v>
      </c>
      <c r="O129">
        <v>265</v>
      </c>
      <c r="P129">
        <v>6.7234848484848495E-2</v>
      </c>
      <c r="Q129">
        <v>6.73936673796416E-2</v>
      </c>
      <c r="R129">
        <v>0</v>
      </c>
      <c r="S129">
        <v>0</v>
      </c>
      <c r="T129" t="s">
        <v>53</v>
      </c>
      <c r="U129">
        <v>2.26415094339622E-2</v>
      </c>
      <c r="V129">
        <v>0</v>
      </c>
      <c r="W129">
        <v>0</v>
      </c>
      <c r="X129">
        <v>0.55967224328011</v>
      </c>
      <c r="Y129">
        <v>2.3664367937136901E-2</v>
      </c>
      <c r="Z129">
        <v>4.19015066813892E-2</v>
      </c>
      <c r="AA129">
        <v>0</v>
      </c>
      <c r="AB129">
        <f t="shared" si="7"/>
        <v>0.1079060038180049</v>
      </c>
      <c r="AC129">
        <f t="shared" si="12"/>
        <v>0.1</v>
      </c>
      <c r="AD129">
        <f t="shared" si="8"/>
        <v>0.08</v>
      </c>
      <c r="AE129">
        <f t="shared" si="13"/>
        <v>0.1273290845052458</v>
      </c>
      <c r="AF129" t="str">
        <f t="shared" si="9"/>
        <v>Very Low</v>
      </c>
      <c r="AG129" t="str">
        <f t="shared" si="10"/>
        <v>NO ACTION</v>
      </c>
      <c r="AH129" t="str">
        <f t="shared" si="11"/>
        <v/>
      </c>
    </row>
    <row r="130" spans="1:34" x14ac:dyDescent="0.3">
      <c r="A130" t="s">
        <v>157</v>
      </c>
      <c r="B130">
        <v>0.12892249527410199</v>
      </c>
      <c r="C130">
        <v>0.18476582604220201</v>
      </c>
      <c r="D130">
        <v>0</v>
      </c>
      <c r="E130">
        <v>0</v>
      </c>
      <c r="F130">
        <v>0</v>
      </c>
      <c r="G130">
        <v>0.99367484754655</v>
      </c>
      <c r="H130">
        <v>7</v>
      </c>
      <c r="I130">
        <v>7</v>
      </c>
      <c r="J130">
        <v>0.48447116072706398</v>
      </c>
      <c r="K130">
        <v>1.8760195758564399E-2</v>
      </c>
      <c r="L130">
        <v>9.8863114572881397E-3</v>
      </c>
      <c r="M130">
        <v>1.47186147186147E-2</v>
      </c>
      <c r="N130">
        <v>1.8350461874083901E-2</v>
      </c>
      <c r="O130">
        <v>1121</v>
      </c>
      <c r="P130">
        <v>0.371387485970819</v>
      </c>
      <c r="Q130">
        <v>0.37147165047862801</v>
      </c>
      <c r="R130">
        <v>0</v>
      </c>
      <c r="S130">
        <v>0</v>
      </c>
      <c r="T130" t="s">
        <v>28</v>
      </c>
      <c r="U130">
        <v>7.5108853410740199E-3</v>
      </c>
      <c r="V130">
        <v>0</v>
      </c>
      <c r="W130">
        <v>0</v>
      </c>
      <c r="X130">
        <v>0</v>
      </c>
      <c r="Y130">
        <v>0.107342526436282</v>
      </c>
      <c r="Z130">
        <v>0.23017267633212499</v>
      </c>
      <c r="AA130">
        <v>0</v>
      </c>
      <c r="AB130">
        <f t="shared" si="7"/>
        <v>9.4504256775153964E-2</v>
      </c>
      <c r="AC130">
        <f t="shared" si="12"/>
        <v>0.25</v>
      </c>
      <c r="AD130">
        <f t="shared" si="8"/>
        <v>0</v>
      </c>
      <c r="AE130">
        <f t="shared" si="13"/>
        <v>0.11813032096894245</v>
      </c>
      <c r="AF130" t="str">
        <f t="shared" si="9"/>
        <v>Very Low</v>
      </c>
      <c r="AG130" t="str">
        <f t="shared" si="10"/>
        <v>NO ACTION</v>
      </c>
      <c r="AH130" t="str">
        <f t="shared" si="11"/>
        <v/>
      </c>
    </row>
    <row r="131" spans="1:34" x14ac:dyDescent="0.3">
      <c r="A131" t="s">
        <v>158</v>
      </c>
      <c r="B131">
        <v>0.23742911153119001</v>
      </c>
      <c r="C131">
        <v>0.77034486016013304</v>
      </c>
      <c r="D131">
        <v>0.36524612517072003</v>
      </c>
      <c r="E131">
        <v>0</v>
      </c>
      <c r="F131">
        <v>0</v>
      </c>
      <c r="G131">
        <v>0.47445203818235798</v>
      </c>
      <c r="H131">
        <v>8</v>
      </c>
      <c r="I131">
        <v>14</v>
      </c>
      <c r="J131">
        <v>0.43452125375697698</v>
      </c>
      <c r="K131">
        <v>1.6313213703099499E-2</v>
      </c>
      <c r="L131">
        <v>9.5844850792272396E-3</v>
      </c>
      <c r="M131">
        <v>1.0678210678210599E-2</v>
      </c>
      <c r="N131">
        <v>1.4842630819806199E-2</v>
      </c>
      <c r="O131">
        <v>1049</v>
      </c>
      <c r="P131">
        <v>0.33164983164983097</v>
      </c>
      <c r="Q131">
        <v>0.33174374978084697</v>
      </c>
      <c r="R131">
        <v>0.87315634218288996</v>
      </c>
      <c r="S131">
        <v>1</v>
      </c>
      <c r="T131" t="s">
        <v>28</v>
      </c>
      <c r="U131">
        <v>8.9374379344587807E-3</v>
      </c>
      <c r="V131">
        <v>0</v>
      </c>
      <c r="W131">
        <v>0</v>
      </c>
      <c r="X131">
        <v>0.109573837551216</v>
      </c>
      <c r="Y131">
        <v>9.6149282536950903E-2</v>
      </c>
      <c r="Z131">
        <v>0.20492695131782099</v>
      </c>
      <c r="AA131">
        <v>0.87315634218288996</v>
      </c>
      <c r="AB131">
        <f t="shared" ref="AB131:AB194" si="14">0.16*X131 + 0.28*Y131 + 0.28*Z131 + 0.28*AA131</f>
        <v>0.34631693529873991</v>
      </c>
      <c r="AC131">
        <f t="shared" si="12"/>
        <v>0.25</v>
      </c>
      <c r="AD131">
        <f t="shared" ref="AD131:AD194" si="15">IF(V131&gt;0.7, 0.1,
 IF(F131&gt;0.5, 0.08,
 IF(E131&gt;0.5, 0.05,
 0)))</f>
        <v>0</v>
      </c>
      <c r="AE131">
        <f t="shared" si="13"/>
        <v>0.43289616912342488</v>
      </c>
      <c r="AF131" t="str">
        <f t="shared" ref="AF131:AF194" si="16">IF(MAX(X131, Y131, Z131, AA131)&gt;0.9,
 "Critical",
 IF(AE131&lt;=0.2,"Very Low",
 IF(AE131&lt;=0.4,"Low",
 IF(AE131&lt;=0.6,"Medium",
 IF(AE131&lt;=0.8,"High","Critical")))))</f>
        <v>Medium</v>
      </c>
      <c r="AG131" t="str">
        <f t="shared" ref="AG131:AG194" si="17">IF(MAX(X131:AA131)&gt;0.9,"CRITICAL ALERT",
 IF(AE131&gt;0.8,"CRITICAL ALERT",
 IF(AE131&gt;0.6,"ALERT",
 IF(AE131&gt;=0.4,"REVIEW","NO ACTION"))))</f>
        <v>REVIEW</v>
      </c>
      <c r="AH131" t="str">
        <f t="shared" ref="AH131:AH194" si="18">IF(AG131="NO ACTION","",
 IF(_xlfn.TEXTJOIN(", ", TRUE,
  IF(X131&gt;0.7,"Login anomaly",""),
  IF(Y131&gt;0.7,"File anomaly",""),
  IF(Z131&gt;0.7,"Network anomaly",""),
  IF(AA131&gt;0.7,"USB anomaly","")
 )="",
 "General anomaly detected",
 _xlfn.TEXTJOIN(", ", TRUE,
  IF(X131&gt;0.7,"Login anomaly",""),
  IF(Y131&gt;0.7,"File anomaly",""),
  IF(Z131&gt;0.7,"Network anomaly",""),
  IF(AA131&gt;0.7,"USB anomaly","")
 )))</f>
        <v>USB anomaly</v>
      </c>
    </row>
    <row r="132" spans="1:34" x14ac:dyDescent="0.3">
      <c r="A132" t="s">
        <v>159</v>
      </c>
      <c r="B132">
        <v>0.12892249527410199</v>
      </c>
      <c r="C132">
        <v>0.26670545324352701</v>
      </c>
      <c r="D132">
        <v>7.4651206918551496E-2</v>
      </c>
      <c r="E132">
        <v>0</v>
      </c>
      <c r="F132">
        <v>0</v>
      </c>
      <c r="G132">
        <v>0.99367439258067003</v>
      </c>
      <c r="H132">
        <v>7</v>
      </c>
      <c r="I132">
        <v>8</v>
      </c>
      <c r="J132">
        <v>0.35890463241257498</v>
      </c>
      <c r="K132">
        <v>2.5285481239804199E-2</v>
      </c>
      <c r="L132">
        <v>1.7983832281727698E-2</v>
      </c>
      <c r="M132">
        <v>3.8383838383838298E-2</v>
      </c>
      <c r="N132">
        <v>6.4586620723708896E-2</v>
      </c>
      <c r="O132">
        <v>972</v>
      </c>
      <c r="P132">
        <v>0.29338524130190702</v>
      </c>
      <c r="Q132">
        <v>0.29348855149198699</v>
      </c>
      <c r="R132">
        <v>0</v>
      </c>
      <c r="S132">
        <v>0</v>
      </c>
      <c r="T132" t="s">
        <v>28</v>
      </c>
      <c r="U132">
        <v>3.9284708532807602E-3</v>
      </c>
      <c r="V132">
        <v>0</v>
      </c>
      <c r="W132">
        <v>0</v>
      </c>
      <c r="X132">
        <v>2.23953620755654E-2</v>
      </c>
      <c r="Y132">
        <v>0.10014882884049101</v>
      </c>
      <c r="Z132">
        <v>0.20186579307062799</v>
      </c>
      <c r="AA132">
        <v>0</v>
      </c>
      <c r="AB132">
        <f t="shared" si="14"/>
        <v>8.8147352067203782E-2</v>
      </c>
      <c r="AC132">
        <f t="shared" ref="AC132:AC195" si="19">IF(T132="IT_Admin", 0.25, IF(AND(T132="HR", AA132&gt;0.6), 0.25, IF(AND(T132="General", Z132&gt;0.7), 0.2, 0.1)))</f>
        <v>0.25</v>
      </c>
      <c r="AD132">
        <f t="shared" si="15"/>
        <v>0</v>
      </c>
      <c r="AE132">
        <f t="shared" ref="AE132:AE195" si="20">MIN(1,AB132*(1+AC132+AD132))</f>
        <v>0.11018419008400474</v>
      </c>
      <c r="AF132" t="str">
        <f t="shared" si="16"/>
        <v>Very Low</v>
      </c>
      <c r="AG132" t="str">
        <f t="shared" si="17"/>
        <v>NO ACTION</v>
      </c>
      <c r="AH132" t="str">
        <f t="shared" si="18"/>
        <v/>
      </c>
    </row>
    <row r="133" spans="1:34" x14ac:dyDescent="0.3">
      <c r="A133" t="s">
        <v>160</v>
      </c>
      <c r="B133">
        <v>0.237807183364839</v>
      </c>
      <c r="C133">
        <v>0.66404779501739497</v>
      </c>
      <c r="D133">
        <v>0.36640724339243802</v>
      </c>
      <c r="E133">
        <v>0</v>
      </c>
      <c r="F133">
        <v>0</v>
      </c>
      <c r="G133">
        <v>0.47314891225526101</v>
      </c>
      <c r="H133">
        <v>7</v>
      </c>
      <c r="I133">
        <v>16</v>
      </c>
      <c r="J133">
        <v>0.46033109107389902</v>
      </c>
      <c r="K133">
        <v>1.71288743882544E-2</v>
      </c>
      <c r="L133">
        <v>9.4997496533403402E-3</v>
      </c>
      <c r="M133">
        <v>4.6176046176046098E-3</v>
      </c>
      <c r="N133">
        <v>6.0587526094051797E-3</v>
      </c>
      <c r="O133">
        <v>1095</v>
      </c>
      <c r="P133">
        <v>0.34802890011223298</v>
      </c>
      <c r="Q133">
        <v>0.348118797994319</v>
      </c>
      <c r="R133">
        <v>0</v>
      </c>
      <c r="S133">
        <v>0</v>
      </c>
      <c r="T133" t="s">
        <v>28</v>
      </c>
      <c r="U133">
        <v>2.09766925638179E-2</v>
      </c>
      <c r="V133">
        <v>0</v>
      </c>
      <c r="W133">
        <v>0</v>
      </c>
      <c r="X133">
        <v>0.109922173017731</v>
      </c>
      <c r="Y133">
        <v>9.8633718824271494E-2</v>
      </c>
      <c r="Z133">
        <v>0.211240841111102</v>
      </c>
      <c r="AA133">
        <v>0</v>
      </c>
      <c r="AB133">
        <f t="shared" si="14"/>
        <v>0.10435242446474155</v>
      </c>
      <c r="AC133">
        <f t="shared" si="19"/>
        <v>0.25</v>
      </c>
      <c r="AD133">
        <f t="shared" si="15"/>
        <v>0</v>
      </c>
      <c r="AE133">
        <f t="shared" si="20"/>
        <v>0.13044053058092694</v>
      </c>
      <c r="AF133" t="str">
        <f t="shared" si="16"/>
        <v>Very Low</v>
      </c>
      <c r="AG133" t="str">
        <f t="shared" si="17"/>
        <v>NO ACTION</v>
      </c>
      <c r="AH133" t="str">
        <f t="shared" si="18"/>
        <v/>
      </c>
    </row>
    <row r="134" spans="1:34" x14ac:dyDescent="0.3">
      <c r="A134" t="s">
        <v>161</v>
      </c>
      <c r="B134">
        <v>2.0793950850661599E-2</v>
      </c>
      <c r="C134">
        <v>0.44782225633957501</v>
      </c>
      <c r="D134">
        <v>7.4782285312506205E-2</v>
      </c>
      <c r="E134">
        <v>0</v>
      </c>
      <c r="F134">
        <v>0</v>
      </c>
      <c r="G134">
        <v>0.94841201417588405</v>
      </c>
      <c r="H134">
        <v>8</v>
      </c>
      <c r="I134">
        <v>9</v>
      </c>
      <c r="J134">
        <v>2.4521730833452601E-2</v>
      </c>
      <c r="K134">
        <v>8.1566068515497503E-4</v>
      </c>
      <c r="L134">
        <v>8.4145869486510396E-3</v>
      </c>
      <c r="M134">
        <v>5.7720057720057698E-4</v>
      </c>
      <c r="N134">
        <v>1.4087475359151599E-2</v>
      </c>
      <c r="O134">
        <v>123</v>
      </c>
      <c r="P134">
        <v>1.86588103254769E-2</v>
      </c>
      <c r="Q134">
        <v>1.8829552228339E-2</v>
      </c>
      <c r="R134">
        <v>0</v>
      </c>
      <c r="S134">
        <v>0</v>
      </c>
      <c r="T134" t="s">
        <v>53</v>
      </c>
      <c r="U134">
        <v>5.6603773584905596E-3</v>
      </c>
      <c r="V134">
        <v>0</v>
      </c>
      <c r="W134">
        <v>0</v>
      </c>
      <c r="X134">
        <v>2.2434685593751801E-2</v>
      </c>
      <c r="Y134">
        <v>1.33378822487615E-2</v>
      </c>
      <c r="Z134">
        <v>1.6830276338946799E-2</v>
      </c>
      <c r="AA134">
        <v>0</v>
      </c>
      <c r="AB134">
        <f t="shared" si="14"/>
        <v>1.2036634099558612E-2</v>
      </c>
      <c r="AC134">
        <f t="shared" si="19"/>
        <v>0.1</v>
      </c>
      <c r="AD134">
        <f t="shared" si="15"/>
        <v>0</v>
      </c>
      <c r="AE134">
        <f t="shared" si="20"/>
        <v>1.3240297509514474E-2</v>
      </c>
      <c r="AF134" t="str">
        <f t="shared" si="16"/>
        <v>Very Low</v>
      </c>
      <c r="AG134" t="str">
        <f t="shared" si="17"/>
        <v>NO ACTION</v>
      </c>
      <c r="AH134" t="str">
        <f t="shared" si="18"/>
        <v/>
      </c>
    </row>
    <row r="135" spans="1:34" x14ac:dyDescent="0.3">
      <c r="A135" t="s">
        <v>162</v>
      </c>
      <c r="B135">
        <v>5.1795841209829802E-2</v>
      </c>
      <c r="C135">
        <v>0.36953165208440503</v>
      </c>
      <c r="D135">
        <v>0</v>
      </c>
      <c r="E135">
        <v>0</v>
      </c>
      <c r="F135">
        <v>0</v>
      </c>
      <c r="G135">
        <v>0.98206366255567501</v>
      </c>
      <c r="H135">
        <v>8</v>
      </c>
      <c r="I135">
        <v>8</v>
      </c>
      <c r="J135">
        <v>0.109107389914603</v>
      </c>
      <c r="K135">
        <v>1.6313213703099501E-3</v>
      </c>
      <c r="L135">
        <v>3.8107946128707599E-3</v>
      </c>
      <c r="M135">
        <v>1.1544011544011501E-3</v>
      </c>
      <c r="N135">
        <v>6.3799299401393599E-3</v>
      </c>
      <c r="O135">
        <v>348</v>
      </c>
      <c r="P135">
        <v>8.1474466891133496E-2</v>
      </c>
      <c r="Q135">
        <v>8.1629790665871796E-2</v>
      </c>
      <c r="R135">
        <v>0</v>
      </c>
      <c r="S135">
        <v>0</v>
      </c>
      <c r="T135" t="s">
        <v>28</v>
      </c>
      <c r="U135">
        <v>6.7924528301886696E-3</v>
      </c>
      <c r="V135">
        <v>0</v>
      </c>
      <c r="W135">
        <v>0</v>
      </c>
      <c r="X135">
        <v>0</v>
      </c>
      <c r="Y135">
        <v>2.5640854271397801E-2</v>
      </c>
      <c r="Z135">
        <v>5.1436652110735802E-2</v>
      </c>
      <c r="AA135">
        <v>0</v>
      </c>
      <c r="AB135">
        <f t="shared" si="14"/>
        <v>2.158170178699741E-2</v>
      </c>
      <c r="AC135">
        <f t="shared" si="19"/>
        <v>0.25</v>
      </c>
      <c r="AD135">
        <f t="shared" si="15"/>
        <v>0</v>
      </c>
      <c r="AE135">
        <f t="shared" si="20"/>
        <v>2.6977127233746762E-2</v>
      </c>
      <c r="AF135" t="str">
        <f t="shared" si="16"/>
        <v>Very Low</v>
      </c>
      <c r="AG135" t="str">
        <f t="shared" si="17"/>
        <v>NO ACTION</v>
      </c>
      <c r="AH135" t="str">
        <f t="shared" si="18"/>
        <v/>
      </c>
    </row>
    <row r="136" spans="1:34" x14ac:dyDescent="0.3">
      <c r="A136" t="s">
        <v>163</v>
      </c>
      <c r="B136">
        <v>0.12892249527410199</v>
      </c>
      <c r="C136">
        <v>0.18476582604220201</v>
      </c>
      <c r="D136">
        <v>0</v>
      </c>
      <c r="E136">
        <v>0</v>
      </c>
      <c r="F136">
        <v>0</v>
      </c>
      <c r="G136">
        <v>0.99366930766789197</v>
      </c>
      <c r="H136">
        <v>7</v>
      </c>
      <c r="I136">
        <v>7</v>
      </c>
      <c r="J136">
        <v>0.56118505796479101</v>
      </c>
      <c r="K136">
        <v>2.0391517128874301E-2</v>
      </c>
      <c r="L136">
        <v>9.2776398418377998E-3</v>
      </c>
      <c r="M136">
        <v>7.2150072150072098E-3</v>
      </c>
      <c r="N136">
        <v>7.7661876608171596E-3</v>
      </c>
      <c r="O136">
        <v>1239</v>
      </c>
      <c r="P136">
        <v>0.42483866442199703</v>
      </c>
      <c r="Q136">
        <v>0.424909709316595</v>
      </c>
      <c r="R136">
        <v>0</v>
      </c>
      <c r="S136">
        <v>0</v>
      </c>
      <c r="T136" t="s">
        <v>28</v>
      </c>
      <c r="U136">
        <v>1.63280116110304E-2</v>
      </c>
      <c r="V136">
        <v>0</v>
      </c>
      <c r="W136">
        <v>0</v>
      </c>
      <c r="X136">
        <v>0</v>
      </c>
      <c r="Y136">
        <v>0.119205687812122</v>
      </c>
      <c r="Z136">
        <v>0.25800967371752498</v>
      </c>
      <c r="AA136">
        <v>0</v>
      </c>
      <c r="AB136">
        <f t="shared" si="14"/>
        <v>0.10562030122830116</v>
      </c>
      <c r="AC136">
        <f t="shared" si="19"/>
        <v>0.25</v>
      </c>
      <c r="AD136">
        <f t="shared" si="15"/>
        <v>0</v>
      </c>
      <c r="AE136">
        <f t="shared" si="20"/>
        <v>0.13202537653537644</v>
      </c>
      <c r="AF136" t="str">
        <f t="shared" si="16"/>
        <v>Very Low</v>
      </c>
      <c r="AG136" t="str">
        <f t="shared" si="17"/>
        <v>NO ACTION</v>
      </c>
      <c r="AH136" t="str">
        <f t="shared" si="18"/>
        <v/>
      </c>
    </row>
    <row r="137" spans="1:34" x14ac:dyDescent="0.3">
      <c r="A137" t="s">
        <v>164</v>
      </c>
      <c r="B137">
        <v>0.29754253308128498</v>
      </c>
      <c r="C137">
        <v>0.68066702539441004</v>
      </c>
      <c r="D137">
        <v>0.51683832854010503</v>
      </c>
      <c r="E137">
        <v>0.28796179238657099</v>
      </c>
      <c r="F137">
        <v>5.30973451327433E-2</v>
      </c>
      <c r="G137">
        <v>0.34960075065444002</v>
      </c>
      <c r="H137">
        <v>0</v>
      </c>
      <c r="I137">
        <v>23</v>
      </c>
      <c r="J137">
        <v>0.43752683555173799</v>
      </c>
      <c r="K137">
        <v>1.9575856443719401E-2</v>
      </c>
      <c r="L137">
        <v>1.14224166338706E-2</v>
      </c>
      <c r="M137">
        <v>6.9264069264069203E-3</v>
      </c>
      <c r="N137">
        <v>9.5615514970353605E-3</v>
      </c>
      <c r="O137">
        <v>1057</v>
      </c>
      <c r="P137">
        <v>0.33343855218855201</v>
      </c>
      <c r="Q137">
        <v>0.333532031277394</v>
      </c>
      <c r="R137">
        <v>2.3598820058997001E-2</v>
      </c>
      <c r="S137">
        <v>1</v>
      </c>
      <c r="T137" t="s">
        <v>28</v>
      </c>
      <c r="U137">
        <v>1.6301886792452799E-2</v>
      </c>
      <c r="V137">
        <v>0</v>
      </c>
      <c r="W137">
        <v>1.97922483016808E-2</v>
      </c>
      <c r="X137">
        <v>0.26267897433109999</v>
      </c>
      <c r="Y137">
        <v>9.6085040876393704E-2</v>
      </c>
      <c r="Z137">
        <v>0.203887751911945</v>
      </c>
      <c r="AA137">
        <v>2.3598820058997001E-2</v>
      </c>
      <c r="AB137">
        <f t="shared" si="14"/>
        <v>0.13262868749022999</v>
      </c>
      <c r="AC137">
        <f t="shared" si="19"/>
        <v>0.25</v>
      </c>
      <c r="AD137">
        <f t="shared" si="15"/>
        <v>0</v>
      </c>
      <c r="AE137">
        <f t="shared" si="20"/>
        <v>0.1657858593627875</v>
      </c>
      <c r="AF137" t="str">
        <f t="shared" si="16"/>
        <v>Very Low</v>
      </c>
      <c r="AG137" t="str">
        <f t="shared" si="17"/>
        <v>NO ACTION</v>
      </c>
      <c r="AH137" t="str">
        <f t="shared" si="18"/>
        <v/>
      </c>
    </row>
    <row r="138" spans="1:34" x14ac:dyDescent="0.3">
      <c r="A138" t="s">
        <v>165</v>
      </c>
      <c r="B138">
        <v>0.22986767485822299</v>
      </c>
      <c r="C138">
        <v>0.47248123816347598</v>
      </c>
      <c r="D138">
        <v>0.36081151212182699</v>
      </c>
      <c r="E138">
        <v>0</v>
      </c>
      <c r="F138">
        <v>0.27124183006535901</v>
      </c>
      <c r="G138">
        <v>0.49479721178863401</v>
      </c>
      <c r="H138">
        <v>6</v>
      </c>
      <c r="I138">
        <v>13</v>
      </c>
      <c r="J138">
        <v>0.460140260483755</v>
      </c>
      <c r="K138">
        <v>1.30505709624796E-2</v>
      </c>
      <c r="L138">
        <v>7.2409046654505899E-3</v>
      </c>
      <c r="M138">
        <v>4.9062049062049001E-3</v>
      </c>
      <c r="N138">
        <v>6.4400930100411901E-3</v>
      </c>
      <c r="O138">
        <v>1075</v>
      </c>
      <c r="P138">
        <v>0.34627525252525199</v>
      </c>
      <c r="Q138">
        <v>0.34636558084084201</v>
      </c>
      <c r="R138">
        <v>0.65929203539823</v>
      </c>
      <c r="S138">
        <v>1</v>
      </c>
      <c r="T138" t="s">
        <v>28</v>
      </c>
      <c r="U138">
        <v>1.5094339622641499E-2</v>
      </c>
      <c r="V138">
        <v>0</v>
      </c>
      <c r="W138">
        <v>6.4093475522509297E-2</v>
      </c>
      <c r="X138">
        <v>0.21674018566269199</v>
      </c>
      <c r="Y138">
        <v>9.7580532332488701E-2</v>
      </c>
      <c r="Z138">
        <v>0.21034118871916799</v>
      </c>
      <c r="AA138">
        <v>0.65929203539823</v>
      </c>
      <c r="AB138">
        <f t="shared" si="14"/>
        <v>0.30549828151199898</v>
      </c>
      <c r="AC138">
        <f t="shared" si="19"/>
        <v>0.25</v>
      </c>
      <c r="AD138">
        <f t="shared" si="15"/>
        <v>0</v>
      </c>
      <c r="AE138">
        <f t="shared" si="20"/>
        <v>0.38187285188999875</v>
      </c>
      <c r="AF138" t="str">
        <f t="shared" si="16"/>
        <v>Low</v>
      </c>
      <c r="AG138" t="str">
        <f t="shared" si="17"/>
        <v>NO ACTION</v>
      </c>
      <c r="AH138" t="str">
        <f t="shared" si="18"/>
        <v/>
      </c>
    </row>
    <row r="139" spans="1:34" x14ac:dyDescent="0.3">
      <c r="A139" t="s">
        <v>166</v>
      </c>
      <c r="B139">
        <v>0.12892249527410199</v>
      </c>
      <c r="C139">
        <v>0.36953165208440503</v>
      </c>
      <c r="D139">
        <v>0</v>
      </c>
      <c r="E139">
        <v>0</v>
      </c>
      <c r="F139">
        <v>0</v>
      </c>
      <c r="G139">
        <v>0.99368236786492103</v>
      </c>
      <c r="H139">
        <v>8</v>
      </c>
      <c r="I139">
        <v>8</v>
      </c>
      <c r="J139">
        <v>0.52320977052621498</v>
      </c>
      <c r="K139">
        <v>2.1207177814029299E-2</v>
      </c>
      <c r="L139">
        <v>1.03487455600708E-2</v>
      </c>
      <c r="M139">
        <v>8.3694083694083703E-3</v>
      </c>
      <c r="N139">
        <v>9.6623492358089494E-3</v>
      </c>
      <c r="O139">
        <v>1211</v>
      </c>
      <c r="P139">
        <v>0.39783249158249101</v>
      </c>
      <c r="Q139">
        <v>0.397910165153055</v>
      </c>
      <c r="R139">
        <v>0</v>
      </c>
      <c r="S139">
        <v>0</v>
      </c>
      <c r="T139" t="s">
        <v>28</v>
      </c>
      <c r="U139">
        <v>1.47169811320754E-2</v>
      </c>
      <c r="V139">
        <v>0</v>
      </c>
      <c r="W139">
        <v>0</v>
      </c>
      <c r="X139">
        <v>0</v>
      </c>
      <c r="Y139">
        <v>0.11271503165602099</v>
      </c>
      <c r="Z139">
        <v>0.24256443464381799</v>
      </c>
      <c r="AA139">
        <v>0</v>
      </c>
      <c r="AB139">
        <f t="shared" si="14"/>
        <v>9.9478250563954929E-2</v>
      </c>
      <c r="AC139">
        <f t="shared" si="19"/>
        <v>0.25</v>
      </c>
      <c r="AD139">
        <f t="shared" si="15"/>
        <v>0</v>
      </c>
      <c r="AE139">
        <f t="shared" si="20"/>
        <v>0.12434781320494366</v>
      </c>
      <c r="AF139" t="str">
        <f t="shared" si="16"/>
        <v>Very Low</v>
      </c>
      <c r="AG139" t="str">
        <f t="shared" si="17"/>
        <v>NO ACTION</v>
      </c>
      <c r="AH139" t="str">
        <f t="shared" si="18"/>
        <v/>
      </c>
    </row>
    <row r="140" spans="1:34" x14ac:dyDescent="0.3">
      <c r="A140" t="s">
        <v>167</v>
      </c>
      <c r="B140">
        <v>0.92589792060491505</v>
      </c>
      <c r="C140">
        <v>0.905977723455203</v>
      </c>
      <c r="D140">
        <v>0.98467516146358203</v>
      </c>
      <c r="E140">
        <v>0</v>
      </c>
      <c r="F140">
        <v>0.39869547492865798</v>
      </c>
      <c r="G140">
        <v>1.19442997443242E-2</v>
      </c>
      <c r="H140">
        <v>0</v>
      </c>
      <c r="I140">
        <v>23</v>
      </c>
      <c r="J140">
        <v>0.26368016793091897</v>
      </c>
      <c r="K140">
        <v>6.5252854812398002E-3</v>
      </c>
      <c r="L140">
        <v>6.3155034365146596E-3</v>
      </c>
      <c r="M140">
        <v>2.8860028860028799E-3</v>
      </c>
      <c r="N140">
        <v>6.6082788425521604E-3</v>
      </c>
      <c r="O140">
        <v>739</v>
      </c>
      <c r="P140">
        <v>0.19805695847362501</v>
      </c>
      <c r="Q140">
        <v>0.19818366702899801</v>
      </c>
      <c r="R140">
        <v>0</v>
      </c>
      <c r="S140">
        <v>0</v>
      </c>
      <c r="T140" t="s">
        <v>28</v>
      </c>
      <c r="U140">
        <v>1.2349914236706601E-2</v>
      </c>
      <c r="V140">
        <v>0</v>
      </c>
      <c r="W140">
        <v>0</v>
      </c>
      <c r="X140">
        <v>0.454880738410538</v>
      </c>
      <c r="Y140">
        <v>5.7876268957206801E-2</v>
      </c>
      <c r="Z140">
        <v>0.12147748662119499</v>
      </c>
      <c r="AA140">
        <v>0</v>
      </c>
      <c r="AB140">
        <f t="shared" si="14"/>
        <v>0.1229999697076386</v>
      </c>
      <c r="AC140">
        <f t="shared" si="19"/>
        <v>0.25</v>
      </c>
      <c r="AD140">
        <f t="shared" si="15"/>
        <v>0</v>
      </c>
      <c r="AE140">
        <f t="shared" si="20"/>
        <v>0.15374996213454825</v>
      </c>
      <c r="AF140" t="str">
        <f t="shared" si="16"/>
        <v>Very Low</v>
      </c>
      <c r="AG140" t="str">
        <f t="shared" si="17"/>
        <v>NO ACTION</v>
      </c>
      <c r="AH140" t="str">
        <f t="shared" si="18"/>
        <v/>
      </c>
    </row>
    <row r="141" spans="1:34" x14ac:dyDescent="0.3">
      <c r="A141" t="s">
        <v>168</v>
      </c>
      <c r="B141">
        <v>0.12892249527410199</v>
      </c>
      <c r="C141">
        <v>0.46164678854602498</v>
      </c>
      <c r="D141">
        <v>7.5132489407342906E-2</v>
      </c>
      <c r="E141">
        <v>0</v>
      </c>
      <c r="F141">
        <v>0</v>
      </c>
      <c r="G141">
        <v>0.99365220630333995</v>
      </c>
      <c r="H141">
        <v>8</v>
      </c>
      <c r="I141">
        <v>9</v>
      </c>
      <c r="J141">
        <v>0.45551261867277298</v>
      </c>
      <c r="K141">
        <v>1.1419249592169599E-2</v>
      </c>
      <c r="L141">
        <v>6.4001244393277999E-3</v>
      </c>
      <c r="M141">
        <v>2.0202020202020202E-3</v>
      </c>
      <c r="N141">
        <v>2.6787290892807398E-3</v>
      </c>
      <c r="O141">
        <v>1090</v>
      </c>
      <c r="P141">
        <v>0.34076879910213198</v>
      </c>
      <c r="Q141">
        <v>0.34086047897892602</v>
      </c>
      <c r="R141">
        <v>0</v>
      </c>
      <c r="S141">
        <v>0</v>
      </c>
      <c r="T141" t="s">
        <v>28</v>
      </c>
      <c r="U141">
        <v>2.9716981132075399E-2</v>
      </c>
      <c r="V141">
        <v>0</v>
      </c>
      <c r="W141">
        <v>0</v>
      </c>
      <c r="X141">
        <v>2.2539746822202798E-2</v>
      </c>
      <c r="Y141">
        <v>9.5106204681002698E-2</v>
      </c>
      <c r="Z141">
        <v>0.205532771096991</v>
      </c>
      <c r="AA141">
        <v>0</v>
      </c>
      <c r="AB141">
        <f t="shared" si="14"/>
        <v>8.7785272709390696E-2</v>
      </c>
      <c r="AC141">
        <f t="shared" si="19"/>
        <v>0.25</v>
      </c>
      <c r="AD141">
        <f t="shared" si="15"/>
        <v>0</v>
      </c>
      <c r="AE141">
        <f t="shared" si="20"/>
        <v>0.10973159088673837</v>
      </c>
      <c r="AF141" t="str">
        <f t="shared" si="16"/>
        <v>Very Low</v>
      </c>
      <c r="AG141" t="str">
        <f t="shared" si="17"/>
        <v>NO ACTION</v>
      </c>
      <c r="AH141" t="str">
        <f t="shared" si="18"/>
        <v/>
      </c>
    </row>
    <row r="142" spans="1:34" x14ac:dyDescent="0.3">
      <c r="A142" t="s">
        <v>169</v>
      </c>
      <c r="B142">
        <v>0.26729678638941401</v>
      </c>
      <c r="C142">
        <v>0.65876423209139801</v>
      </c>
      <c r="D142">
        <v>0.40122799479489102</v>
      </c>
      <c r="E142">
        <v>0</v>
      </c>
      <c r="F142">
        <v>0</v>
      </c>
      <c r="G142">
        <v>0.40503639947985898</v>
      </c>
      <c r="H142">
        <v>7</v>
      </c>
      <c r="I142">
        <v>16</v>
      </c>
      <c r="J142">
        <v>0.49053003196412298</v>
      </c>
      <c r="K142">
        <v>1.30505709624796E-2</v>
      </c>
      <c r="L142">
        <v>6.7925274639446098E-3</v>
      </c>
      <c r="M142">
        <v>4.6176046176046098E-3</v>
      </c>
      <c r="N142">
        <v>5.6859334782927602E-3</v>
      </c>
      <c r="O142">
        <v>1058</v>
      </c>
      <c r="P142">
        <v>0.36847643097643001</v>
      </c>
      <c r="Q142">
        <v>0.368561310003857</v>
      </c>
      <c r="R142">
        <v>0</v>
      </c>
      <c r="S142">
        <v>0</v>
      </c>
      <c r="T142" t="s">
        <v>28</v>
      </c>
      <c r="U142">
        <v>1.5982241953385101E-2</v>
      </c>
      <c r="V142">
        <v>0</v>
      </c>
      <c r="W142">
        <v>0</v>
      </c>
      <c r="X142">
        <v>0.120368398438467</v>
      </c>
      <c r="Y142">
        <v>0.10320805016828399</v>
      </c>
      <c r="Z142">
        <v>0.223360231977175</v>
      </c>
      <c r="AA142">
        <v>0</v>
      </c>
      <c r="AB142">
        <f t="shared" si="14"/>
        <v>0.11069806275088326</v>
      </c>
      <c r="AC142">
        <f t="shared" si="19"/>
        <v>0.25</v>
      </c>
      <c r="AD142">
        <f t="shared" si="15"/>
        <v>0</v>
      </c>
      <c r="AE142">
        <f t="shared" si="20"/>
        <v>0.13837257843860407</v>
      </c>
      <c r="AF142" t="str">
        <f t="shared" si="16"/>
        <v>Very Low</v>
      </c>
      <c r="AG142" t="str">
        <f t="shared" si="17"/>
        <v>NO ACTION</v>
      </c>
      <c r="AH142" t="str">
        <f t="shared" si="18"/>
        <v/>
      </c>
    </row>
    <row r="143" spans="1:34" x14ac:dyDescent="0.3">
      <c r="A143" t="s">
        <v>170</v>
      </c>
      <c r="B143">
        <v>0.26691871455576499</v>
      </c>
      <c r="C143">
        <v>0.63210731191057801</v>
      </c>
      <c r="D143">
        <v>0.382406169887064</v>
      </c>
      <c r="E143">
        <v>0</v>
      </c>
      <c r="F143">
        <v>0</v>
      </c>
      <c r="G143">
        <v>0.40583436961291602</v>
      </c>
      <c r="H143">
        <v>7</v>
      </c>
      <c r="I143">
        <v>14</v>
      </c>
      <c r="J143">
        <v>0.36758742426410901</v>
      </c>
      <c r="K143">
        <v>1.2234910277324601E-2</v>
      </c>
      <c r="L143">
        <v>8.4964409072955001E-3</v>
      </c>
      <c r="M143">
        <v>1.7316017316017301E-3</v>
      </c>
      <c r="N143">
        <v>2.8449026114395698E-3</v>
      </c>
      <c r="O143">
        <v>896</v>
      </c>
      <c r="P143">
        <v>0.27633978675645299</v>
      </c>
      <c r="Q143">
        <v>0.27644728076019498</v>
      </c>
      <c r="R143">
        <v>0</v>
      </c>
      <c r="S143">
        <v>0</v>
      </c>
      <c r="T143" t="s">
        <v>28</v>
      </c>
      <c r="U143">
        <v>3.6388140161725001E-2</v>
      </c>
      <c r="V143">
        <v>0</v>
      </c>
      <c r="W143">
        <v>0</v>
      </c>
      <c r="X143">
        <v>0.114721850966119</v>
      </c>
      <c r="Y143">
        <v>7.8619176089901502E-2</v>
      </c>
      <c r="Z143">
        <v>0.16694183309844701</v>
      </c>
      <c r="AA143">
        <v>0</v>
      </c>
      <c r="AB143">
        <f t="shared" si="14"/>
        <v>8.7112578727316634E-2</v>
      </c>
      <c r="AC143">
        <f t="shared" si="19"/>
        <v>0.25</v>
      </c>
      <c r="AD143">
        <f t="shared" si="15"/>
        <v>0</v>
      </c>
      <c r="AE143">
        <f t="shared" si="20"/>
        <v>0.1088907234091458</v>
      </c>
      <c r="AF143" t="str">
        <f t="shared" si="16"/>
        <v>Very Low</v>
      </c>
      <c r="AG143" t="str">
        <f t="shared" si="17"/>
        <v>NO ACTION</v>
      </c>
      <c r="AH143" t="str">
        <f t="shared" si="18"/>
        <v/>
      </c>
    </row>
    <row r="144" spans="1:34" x14ac:dyDescent="0.3">
      <c r="A144" t="s">
        <v>171</v>
      </c>
      <c r="B144">
        <v>0.14102079395084999</v>
      </c>
      <c r="C144">
        <v>0.34159623541489398</v>
      </c>
      <c r="D144">
        <v>0.20769056380664799</v>
      </c>
      <c r="E144">
        <v>0</v>
      </c>
      <c r="F144">
        <v>0</v>
      </c>
      <c r="G144">
        <v>0.89647295031705199</v>
      </c>
      <c r="H144">
        <v>7</v>
      </c>
      <c r="I144">
        <v>16</v>
      </c>
      <c r="J144">
        <v>0.47798292066218201</v>
      </c>
      <c r="K144">
        <v>2.36541598694942E-2</v>
      </c>
      <c r="L144">
        <v>1.2634472083414399E-2</v>
      </c>
      <c r="M144">
        <v>2.8860028860028799E-3</v>
      </c>
      <c r="N144">
        <v>3.6469471824619399E-3</v>
      </c>
      <c r="O144">
        <v>1096</v>
      </c>
      <c r="P144">
        <v>0.36296997755331001</v>
      </c>
      <c r="Q144">
        <v>0.36305620814194001</v>
      </c>
      <c r="R144">
        <v>0</v>
      </c>
      <c r="S144">
        <v>0</v>
      </c>
      <c r="T144" t="s">
        <v>28</v>
      </c>
      <c r="U144">
        <v>4.4768439108061699E-2</v>
      </c>
      <c r="V144">
        <v>0</v>
      </c>
      <c r="W144">
        <v>0</v>
      </c>
      <c r="X144">
        <v>6.2307169141994599E-2</v>
      </c>
      <c r="Y144">
        <v>0.103007904328882</v>
      </c>
      <c r="Z144">
        <v>0.21924076540497101</v>
      </c>
      <c r="AA144">
        <v>0</v>
      </c>
      <c r="AB144">
        <f t="shared" si="14"/>
        <v>0.10019877458819798</v>
      </c>
      <c r="AC144">
        <f t="shared" si="19"/>
        <v>0.25</v>
      </c>
      <c r="AD144">
        <f t="shared" si="15"/>
        <v>0</v>
      </c>
      <c r="AE144">
        <f t="shared" si="20"/>
        <v>0.12524846823524749</v>
      </c>
      <c r="AF144" t="str">
        <f t="shared" si="16"/>
        <v>Very Low</v>
      </c>
      <c r="AG144" t="str">
        <f t="shared" si="17"/>
        <v>NO ACTION</v>
      </c>
      <c r="AH144" t="str">
        <f t="shared" si="18"/>
        <v/>
      </c>
    </row>
    <row r="145" spans="1:34" x14ac:dyDescent="0.3">
      <c r="A145" t="s">
        <v>172</v>
      </c>
      <c r="B145">
        <v>0.23591682419659701</v>
      </c>
      <c r="C145">
        <v>0.79172744885281399</v>
      </c>
      <c r="D145">
        <v>0.38649251444236299</v>
      </c>
      <c r="E145">
        <v>0</v>
      </c>
      <c r="F145">
        <v>0</v>
      </c>
      <c r="G145">
        <v>0.47838005414305601</v>
      </c>
      <c r="H145">
        <v>8</v>
      </c>
      <c r="I145">
        <v>14</v>
      </c>
      <c r="J145">
        <v>0.364581842469347</v>
      </c>
      <c r="K145">
        <v>9.2985318107667206E-2</v>
      </c>
      <c r="L145">
        <v>6.5104936760021895E-2</v>
      </c>
      <c r="M145">
        <v>3.3766233766233701E-2</v>
      </c>
      <c r="N145">
        <v>5.5932638043269603E-2</v>
      </c>
      <c r="O145">
        <v>1206</v>
      </c>
      <c r="P145">
        <v>0.32442480359147002</v>
      </c>
      <c r="Q145">
        <v>0.32452049510852399</v>
      </c>
      <c r="R145">
        <v>0</v>
      </c>
      <c r="S145">
        <v>0</v>
      </c>
      <c r="T145" t="s">
        <v>28</v>
      </c>
      <c r="U145">
        <v>1.64055004796929E-2</v>
      </c>
      <c r="V145">
        <v>0</v>
      </c>
      <c r="W145">
        <v>0</v>
      </c>
      <c r="X145">
        <v>0.115947754332708</v>
      </c>
      <c r="Y145">
        <v>0.12224862828686101</v>
      </c>
      <c r="Z145">
        <v>0.21702793737219001</v>
      </c>
      <c r="AA145">
        <v>0</v>
      </c>
      <c r="AB145">
        <f t="shared" si="14"/>
        <v>0.11354907907776758</v>
      </c>
      <c r="AC145">
        <f t="shared" si="19"/>
        <v>0.25</v>
      </c>
      <c r="AD145">
        <f t="shared" si="15"/>
        <v>0</v>
      </c>
      <c r="AE145">
        <f t="shared" si="20"/>
        <v>0.14193634884720949</v>
      </c>
      <c r="AF145" t="str">
        <f t="shared" si="16"/>
        <v>Very Low</v>
      </c>
      <c r="AG145" t="str">
        <f t="shared" si="17"/>
        <v>NO ACTION</v>
      </c>
      <c r="AH145" t="str">
        <f t="shared" si="18"/>
        <v/>
      </c>
    </row>
    <row r="146" spans="1:34" x14ac:dyDescent="0.3">
      <c r="A146" t="s">
        <v>173</v>
      </c>
      <c r="B146">
        <v>0.12892249527410199</v>
      </c>
      <c r="C146">
        <v>0.18476582604220201</v>
      </c>
      <c r="D146">
        <v>0</v>
      </c>
      <c r="E146">
        <v>0</v>
      </c>
      <c r="F146">
        <v>0</v>
      </c>
      <c r="G146">
        <v>0.99367179659888305</v>
      </c>
      <c r="H146">
        <v>7</v>
      </c>
      <c r="I146">
        <v>7</v>
      </c>
      <c r="J146">
        <v>0.424788893659653</v>
      </c>
      <c r="K146">
        <v>2.2022838499184301E-2</v>
      </c>
      <c r="L146">
        <v>1.3235335830221901E-2</v>
      </c>
      <c r="M146">
        <v>1.44300144300144E-3</v>
      </c>
      <c r="N146">
        <v>2.0516892219664602E-3</v>
      </c>
      <c r="O146">
        <v>953</v>
      </c>
      <c r="P146">
        <v>0.32246071829405099</v>
      </c>
      <c r="Q146">
        <v>0.32255689189663</v>
      </c>
      <c r="R146">
        <v>0</v>
      </c>
      <c r="S146">
        <v>0</v>
      </c>
      <c r="T146" t="s">
        <v>28</v>
      </c>
      <c r="U146">
        <v>7.6415094339622597E-2</v>
      </c>
      <c r="V146">
        <v>0</v>
      </c>
      <c r="W146">
        <v>0</v>
      </c>
      <c r="X146">
        <v>0</v>
      </c>
      <c r="Y146">
        <v>9.2190953413631593E-2</v>
      </c>
      <c r="Z146">
        <v>0.19429710666521699</v>
      </c>
      <c r="AA146">
        <v>0</v>
      </c>
      <c r="AB146">
        <f t="shared" si="14"/>
        <v>8.0216656822077612E-2</v>
      </c>
      <c r="AC146">
        <f t="shared" si="19"/>
        <v>0.25</v>
      </c>
      <c r="AD146">
        <f t="shared" si="15"/>
        <v>0</v>
      </c>
      <c r="AE146">
        <f t="shared" si="20"/>
        <v>0.10027082102759702</v>
      </c>
      <c r="AF146" t="str">
        <f t="shared" si="16"/>
        <v>Very Low</v>
      </c>
      <c r="AG146" t="str">
        <f t="shared" si="17"/>
        <v>NO ACTION</v>
      </c>
      <c r="AH146" t="str">
        <f t="shared" si="18"/>
        <v/>
      </c>
    </row>
    <row r="147" spans="1:34" x14ac:dyDescent="0.3">
      <c r="A147" t="s">
        <v>174</v>
      </c>
      <c r="B147">
        <v>9.64083175803402E-2</v>
      </c>
      <c r="C147">
        <v>0.42374865123192401</v>
      </c>
      <c r="D147">
        <v>0.19985238080798301</v>
      </c>
      <c r="E147">
        <v>0</v>
      </c>
      <c r="F147">
        <v>0</v>
      </c>
      <c r="G147">
        <v>0.918112115896763</v>
      </c>
      <c r="H147">
        <v>8</v>
      </c>
      <c r="I147">
        <v>17</v>
      </c>
      <c r="J147">
        <v>0.12909689423214499</v>
      </c>
      <c r="K147">
        <v>1.1419249592169599E-2</v>
      </c>
      <c r="L147">
        <v>2.2552707033898299E-2</v>
      </c>
      <c r="M147">
        <v>2.8860028860028799E-3</v>
      </c>
      <c r="N147">
        <v>1.34846914632971E-2</v>
      </c>
      <c r="O147">
        <v>494</v>
      </c>
      <c r="P147">
        <v>0.101220538720538</v>
      </c>
      <c r="Q147">
        <v>0.101371015814018</v>
      </c>
      <c r="R147">
        <v>0</v>
      </c>
      <c r="S147">
        <v>0</v>
      </c>
      <c r="T147" t="s">
        <v>28</v>
      </c>
      <c r="U147">
        <v>2.16123499142367E-2</v>
      </c>
      <c r="V147">
        <v>0</v>
      </c>
      <c r="W147">
        <v>0</v>
      </c>
      <c r="X147">
        <v>5.9955714242394903E-2</v>
      </c>
      <c r="Y147">
        <v>4.1141139802367402E-2</v>
      </c>
      <c r="Z147">
        <v>6.6126199817642103E-2</v>
      </c>
      <c r="AA147">
        <v>0</v>
      </c>
      <c r="AB147">
        <f t="shared" si="14"/>
        <v>3.9627769372385852E-2</v>
      </c>
      <c r="AC147">
        <f t="shared" si="19"/>
        <v>0.25</v>
      </c>
      <c r="AD147">
        <f t="shared" si="15"/>
        <v>0</v>
      </c>
      <c r="AE147">
        <f t="shared" si="20"/>
        <v>4.9534711715482314E-2</v>
      </c>
      <c r="AF147" t="str">
        <f t="shared" si="16"/>
        <v>Very Low</v>
      </c>
      <c r="AG147" t="str">
        <f t="shared" si="17"/>
        <v>NO ACTION</v>
      </c>
      <c r="AH147" t="str">
        <f t="shared" si="18"/>
        <v/>
      </c>
    </row>
    <row r="148" spans="1:34" x14ac:dyDescent="0.3">
      <c r="A148" t="s">
        <v>175</v>
      </c>
      <c r="B148">
        <v>0.27637051039697502</v>
      </c>
      <c r="C148">
        <v>0.90472409241617302</v>
      </c>
      <c r="D148">
        <v>0.36679428605821901</v>
      </c>
      <c r="E148">
        <v>0</v>
      </c>
      <c r="F148">
        <v>0</v>
      </c>
      <c r="G148">
        <v>0.386914869052702</v>
      </c>
      <c r="H148">
        <v>8</v>
      </c>
      <c r="I148">
        <v>16</v>
      </c>
      <c r="J148">
        <v>0.25036973426840298</v>
      </c>
      <c r="K148">
        <v>1.7944535073409401E-2</v>
      </c>
      <c r="L148">
        <v>1.8290073059146698E-2</v>
      </c>
      <c r="M148">
        <v>3.4632034632034602E-3</v>
      </c>
      <c r="N148">
        <v>8.35111331970269E-3</v>
      </c>
      <c r="O148">
        <v>822</v>
      </c>
      <c r="P148">
        <v>0.19346240179573501</v>
      </c>
      <c r="Q148">
        <v>0.19359023808688899</v>
      </c>
      <c r="R148">
        <v>0</v>
      </c>
      <c r="S148">
        <v>0</v>
      </c>
      <c r="T148" t="s">
        <v>28</v>
      </c>
      <c r="U148">
        <v>2.8737300435413601E-2</v>
      </c>
      <c r="V148">
        <v>0</v>
      </c>
      <c r="W148">
        <v>0</v>
      </c>
      <c r="X148">
        <v>0.110038285817465</v>
      </c>
      <c r="Y148">
        <v>6.1724317379164798E-2</v>
      </c>
      <c r="Z148">
        <v>0.119417886405322</v>
      </c>
      <c r="AA148">
        <v>0</v>
      </c>
      <c r="AB148">
        <f t="shared" si="14"/>
        <v>6.8325942790450706E-2</v>
      </c>
      <c r="AC148">
        <f t="shared" si="19"/>
        <v>0.25</v>
      </c>
      <c r="AD148">
        <f t="shared" si="15"/>
        <v>0</v>
      </c>
      <c r="AE148">
        <f t="shared" si="20"/>
        <v>8.5407428488063375E-2</v>
      </c>
      <c r="AF148" t="str">
        <f t="shared" si="16"/>
        <v>Very Low</v>
      </c>
      <c r="AG148" t="str">
        <f t="shared" si="17"/>
        <v>NO ACTION</v>
      </c>
      <c r="AH148" t="str">
        <f t="shared" si="18"/>
        <v/>
      </c>
    </row>
    <row r="149" spans="1:34" x14ac:dyDescent="0.3">
      <c r="A149" t="s">
        <v>176</v>
      </c>
      <c r="B149">
        <v>0.12892249527410199</v>
      </c>
      <c r="C149">
        <v>0.36953165208440503</v>
      </c>
      <c r="D149">
        <v>0</v>
      </c>
      <c r="E149">
        <v>0</v>
      </c>
      <c r="F149">
        <v>0</v>
      </c>
      <c r="G149">
        <v>0.99368980789519601</v>
      </c>
      <c r="H149">
        <v>8</v>
      </c>
      <c r="I149">
        <v>8</v>
      </c>
      <c r="J149">
        <v>0.348933734077572</v>
      </c>
      <c r="K149">
        <v>3.0995106035889002E-2</v>
      </c>
      <c r="L149">
        <v>2.2674201913006599E-2</v>
      </c>
      <c r="M149">
        <v>1.7316017316017301E-3</v>
      </c>
      <c r="N149">
        <v>2.9968847020356701E-3</v>
      </c>
      <c r="O149">
        <v>992</v>
      </c>
      <c r="P149">
        <v>0.27069304152637402</v>
      </c>
      <c r="Q149">
        <v>0.27080192152600002</v>
      </c>
      <c r="R149">
        <v>0</v>
      </c>
      <c r="S149">
        <v>0</v>
      </c>
      <c r="T149" t="s">
        <v>28</v>
      </c>
      <c r="U149">
        <v>9.2183288409703495E-2</v>
      </c>
      <c r="V149">
        <v>0</v>
      </c>
      <c r="W149">
        <v>0</v>
      </c>
      <c r="X149">
        <v>0</v>
      </c>
      <c r="Y149">
        <v>8.2022913182628499E-2</v>
      </c>
      <c r="Z149">
        <v>0.16361457879663899</v>
      </c>
      <c r="AA149">
        <v>0</v>
      </c>
      <c r="AB149">
        <f t="shared" si="14"/>
        <v>6.8778497754194909E-2</v>
      </c>
      <c r="AC149">
        <f t="shared" si="19"/>
        <v>0.25</v>
      </c>
      <c r="AD149">
        <f t="shared" si="15"/>
        <v>0</v>
      </c>
      <c r="AE149">
        <f t="shared" si="20"/>
        <v>8.597312219274364E-2</v>
      </c>
      <c r="AF149" t="str">
        <f t="shared" si="16"/>
        <v>Very Low</v>
      </c>
      <c r="AG149" t="str">
        <f t="shared" si="17"/>
        <v>NO ACTION</v>
      </c>
      <c r="AH149" t="str">
        <f t="shared" si="18"/>
        <v/>
      </c>
    </row>
    <row r="150" spans="1:34" x14ac:dyDescent="0.3">
      <c r="A150" t="s">
        <v>177</v>
      </c>
      <c r="B150">
        <v>0.12892249527410199</v>
      </c>
      <c r="C150">
        <v>0.36953165208440503</v>
      </c>
      <c r="D150">
        <v>0</v>
      </c>
      <c r="E150">
        <v>0</v>
      </c>
      <c r="F150">
        <v>0</v>
      </c>
      <c r="G150">
        <v>0.993677871731517</v>
      </c>
      <c r="H150">
        <v>8</v>
      </c>
      <c r="I150">
        <v>8</v>
      </c>
      <c r="J150">
        <v>0.31305758313057502</v>
      </c>
      <c r="K150">
        <v>1.71288743882544E-2</v>
      </c>
      <c r="L150">
        <v>1.39653697507762E-2</v>
      </c>
      <c r="M150">
        <v>1.7316017316017301E-3</v>
      </c>
      <c r="N150">
        <v>3.3400638243031998E-3</v>
      </c>
      <c r="O150">
        <v>815</v>
      </c>
      <c r="P150">
        <v>0.23835578002244601</v>
      </c>
      <c r="Q150">
        <v>0.23847259721589101</v>
      </c>
      <c r="R150">
        <v>0</v>
      </c>
      <c r="S150">
        <v>0</v>
      </c>
      <c r="T150" t="s">
        <v>28</v>
      </c>
      <c r="U150">
        <v>5.0943396226415097E-2</v>
      </c>
      <c r="V150">
        <v>0</v>
      </c>
      <c r="W150">
        <v>0</v>
      </c>
      <c r="X150">
        <v>0</v>
      </c>
      <c r="Y150">
        <v>7.05962206487942E-2</v>
      </c>
      <c r="Z150">
        <v>0.14434949354318899</v>
      </c>
      <c r="AA150">
        <v>0</v>
      </c>
      <c r="AB150">
        <f t="shared" si="14"/>
        <v>6.0184799973755296E-2</v>
      </c>
      <c r="AC150">
        <f t="shared" si="19"/>
        <v>0.25</v>
      </c>
      <c r="AD150">
        <f t="shared" si="15"/>
        <v>0</v>
      </c>
      <c r="AE150">
        <f t="shared" si="20"/>
        <v>7.5230999967194123E-2</v>
      </c>
      <c r="AF150" t="str">
        <f t="shared" si="16"/>
        <v>Very Low</v>
      </c>
      <c r="AG150" t="str">
        <f t="shared" si="17"/>
        <v>NO ACTION</v>
      </c>
      <c r="AH150" t="str">
        <f t="shared" si="18"/>
        <v/>
      </c>
    </row>
    <row r="151" spans="1:34" x14ac:dyDescent="0.3">
      <c r="A151" t="s">
        <v>178</v>
      </c>
      <c r="B151">
        <v>0.12892249527410199</v>
      </c>
      <c r="C151">
        <v>0.456826810475359</v>
      </c>
      <c r="D151">
        <v>7.5018780494472401E-2</v>
      </c>
      <c r="E151">
        <v>0</v>
      </c>
      <c r="F151">
        <v>0</v>
      </c>
      <c r="G151">
        <v>0.99365325004859395</v>
      </c>
      <c r="H151">
        <v>8</v>
      </c>
      <c r="I151">
        <v>9</v>
      </c>
      <c r="J151">
        <v>0.38299699441820501</v>
      </c>
      <c r="K151">
        <v>0.104404567699836</v>
      </c>
      <c r="L151">
        <v>6.9587680838140903E-2</v>
      </c>
      <c r="M151">
        <v>7.2150072150072098E-3</v>
      </c>
      <c r="N151">
        <v>1.13771313821108E-2</v>
      </c>
      <c r="O151">
        <v>1111</v>
      </c>
      <c r="P151">
        <v>0.32996632996632902</v>
      </c>
      <c r="Q151">
        <v>0.33006066131350997</v>
      </c>
      <c r="R151">
        <v>0</v>
      </c>
      <c r="S151">
        <v>0</v>
      </c>
      <c r="T151" t="s">
        <v>28</v>
      </c>
      <c r="U151">
        <v>8.3599419448476001E-2</v>
      </c>
      <c r="V151">
        <v>0</v>
      </c>
      <c r="W151">
        <v>0</v>
      </c>
      <c r="X151">
        <v>2.25056341483417E-2</v>
      </c>
      <c r="Y151">
        <v>0.114806378717344</v>
      </c>
      <c r="Z151">
        <v>0.20253065053264199</v>
      </c>
      <c r="AA151">
        <v>0</v>
      </c>
      <c r="AB151">
        <f t="shared" si="14"/>
        <v>9.2455269653730757E-2</v>
      </c>
      <c r="AC151">
        <f t="shared" si="19"/>
        <v>0.25</v>
      </c>
      <c r="AD151">
        <f t="shared" si="15"/>
        <v>0</v>
      </c>
      <c r="AE151">
        <f t="shared" si="20"/>
        <v>0.11556908706716344</v>
      </c>
      <c r="AF151" t="str">
        <f t="shared" si="16"/>
        <v>Very Low</v>
      </c>
      <c r="AG151" t="str">
        <f t="shared" si="17"/>
        <v>NO ACTION</v>
      </c>
      <c r="AH151" t="str">
        <f t="shared" si="18"/>
        <v/>
      </c>
    </row>
    <row r="152" spans="1:34" x14ac:dyDescent="0.3">
      <c r="A152" t="s">
        <v>179</v>
      </c>
      <c r="B152">
        <v>0.12892249527410199</v>
      </c>
      <c r="C152">
        <v>0.18476582604220201</v>
      </c>
      <c r="D152">
        <v>0</v>
      </c>
      <c r="E152">
        <v>0</v>
      </c>
      <c r="F152">
        <v>0</v>
      </c>
      <c r="G152">
        <v>0.99364701433976699</v>
      </c>
      <c r="H152">
        <v>7</v>
      </c>
      <c r="I152">
        <v>7</v>
      </c>
      <c r="J152">
        <v>0.35003100997089798</v>
      </c>
      <c r="K152">
        <v>9.7879282218597003E-3</v>
      </c>
      <c r="L152">
        <v>7.1378435734403001E-3</v>
      </c>
      <c r="M152">
        <v>1.1544011544011501E-3</v>
      </c>
      <c r="N152">
        <v>1.99166431800591E-3</v>
      </c>
      <c r="O152">
        <v>860</v>
      </c>
      <c r="P152">
        <v>0.26210016835016797</v>
      </c>
      <c r="Q152">
        <v>0.26221115747396401</v>
      </c>
      <c r="R152">
        <v>0</v>
      </c>
      <c r="S152">
        <v>0</v>
      </c>
      <c r="T152" t="s">
        <v>28</v>
      </c>
      <c r="U152">
        <v>4.0754716981131998E-2</v>
      </c>
      <c r="V152">
        <v>0</v>
      </c>
      <c r="W152">
        <v>0</v>
      </c>
      <c r="X152">
        <v>0</v>
      </c>
      <c r="Y152">
        <v>7.41726230763015E-2</v>
      </c>
      <c r="Z152">
        <v>0.15805676673730301</v>
      </c>
      <c r="AA152">
        <v>0</v>
      </c>
      <c r="AB152">
        <f t="shared" si="14"/>
        <v>6.5024229147809268E-2</v>
      </c>
      <c r="AC152">
        <f t="shared" si="19"/>
        <v>0.25</v>
      </c>
      <c r="AD152">
        <f t="shared" si="15"/>
        <v>0</v>
      </c>
      <c r="AE152">
        <f t="shared" si="20"/>
        <v>8.1280286434761581E-2</v>
      </c>
      <c r="AF152" t="str">
        <f t="shared" si="16"/>
        <v>Very Low</v>
      </c>
      <c r="AG152" t="str">
        <f t="shared" si="17"/>
        <v>NO ACTION</v>
      </c>
      <c r="AH152" t="str">
        <f t="shared" si="18"/>
        <v/>
      </c>
    </row>
    <row r="153" spans="1:34" x14ac:dyDescent="0.3">
      <c r="A153" t="s">
        <v>180</v>
      </c>
      <c r="B153">
        <v>0.23742911153119001</v>
      </c>
      <c r="C153">
        <v>0.66860671544069195</v>
      </c>
      <c r="D153">
        <v>0.36270791480389503</v>
      </c>
      <c r="E153">
        <v>0</v>
      </c>
      <c r="F153">
        <v>0</v>
      </c>
      <c r="G153">
        <v>0.474423645800581</v>
      </c>
      <c r="H153">
        <v>7</v>
      </c>
      <c r="I153">
        <v>14</v>
      </c>
      <c r="J153">
        <v>0.38595486856543099</v>
      </c>
      <c r="K153">
        <v>1.5497553017944501E-2</v>
      </c>
      <c r="L153">
        <v>1.02503078320751E-2</v>
      </c>
      <c r="M153">
        <v>1.1544011544011501E-3</v>
      </c>
      <c r="N153">
        <v>1.8063989404322901E-3</v>
      </c>
      <c r="O153">
        <v>915</v>
      </c>
      <c r="P153">
        <v>0.290965207631874</v>
      </c>
      <c r="Q153">
        <v>0.29106911182019002</v>
      </c>
      <c r="R153">
        <v>0</v>
      </c>
      <c r="S153">
        <v>0</v>
      </c>
      <c r="T153" t="s">
        <v>28</v>
      </c>
      <c r="U153">
        <v>6.45283018867924E-2</v>
      </c>
      <c r="V153">
        <v>0</v>
      </c>
      <c r="W153">
        <v>0</v>
      </c>
      <c r="X153">
        <v>0.10881237444116799</v>
      </c>
      <c r="Y153">
        <v>8.2858047311253402E-2</v>
      </c>
      <c r="Z153">
        <v>0.17530168415529701</v>
      </c>
      <c r="AA153">
        <v>0</v>
      </c>
      <c r="AB153">
        <f t="shared" si="14"/>
        <v>8.9694704721221E-2</v>
      </c>
      <c r="AC153">
        <f t="shared" si="19"/>
        <v>0.25</v>
      </c>
      <c r="AD153">
        <f t="shared" si="15"/>
        <v>0</v>
      </c>
      <c r="AE153">
        <f t="shared" si="20"/>
        <v>0.11211838090152625</v>
      </c>
      <c r="AF153" t="str">
        <f t="shared" si="16"/>
        <v>Very Low</v>
      </c>
      <c r="AG153" t="str">
        <f t="shared" si="17"/>
        <v>NO ACTION</v>
      </c>
      <c r="AH153" t="str">
        <f t="shared" si="18"/>
        <v/>
      </c>
    </row>
    <row r="154" spans="1:34" x14ac:dyDescent="0.3">
      <c r="A154" t="s">
        <v>181</v>
      </c>
      <c r="B154">
        <v>0.12892249527410199</v>
      </c>
      <c r="C154">
        <v>0.36953165208440503</v>
      </c>
      <c r="D154">
        <v>0</v>
      </c>
      <c r="E154">
        <v>0</v>
      </c>
      <c r="F154">
        <v>0</v>
      </c>
      <c r="G154">
        <v>0.99368528499909403</v>
      </c>
      <c r="H154">
        <v>8</v>
      </c>
      <c r="I154">
        <v>8</v>
      </c>
      <c r="J154">
        <v>0.38714755975382797</v>
      </c>
      <c r="K154">
        <v>5.7096247960848204E-3</v>
      </c>
      <c r="L154">
        <v>3.7648022640947298E-3</v>
      </c>
      <c r="M154">
        <v>2.59740259740259E-3</v>
      </c>
      <c r="N154">
        <v>4.0518840765146101E-3</v>
      </c>
      <c r="O154">
        <v>1015</v>
      </c>
      <c r="P154">
        <v>0.28833473625140199</v>
      </c>
      <c r="Q154">
        <v>0.28843928608997499</v>
      </c>
      <c r="R154">
        <v>0</v>
      </c>
      <c r="S154">
        <v>0</v>
      </c>
      <c r="T154" t="s">
        <v>28</v>
      </c>
      <c r="U154">
        <v>1.18867924528301E-2</v>
      </c>
      <c r="V154">
        <v>0</v>
      </c>
      <c r="W154">
        <v>0</v>
      </c>
      <c r="X154">
        <v>0</v>
      </c>
      <c r="Y154">
        <v>8.0527478305767397E-2</v>
      </c>
      <c r="Z154">
        <v>0.174621595381447</v>
      </c>
      <c r="AA154">
        <v>0</v>
      </c>
      <c r="AB154">
        <f t="shared" si="14"/>
        <v>7.1441740632420037E-2</v>
      </c>
      <c r="AC154">
        <f t="shared" si="19"/>
        <v>0.25</v>
      </c>
      <c r="AD154">
        <f t="shared" si="15"/>
        <v>0</v>
      </c>
      <c r="AE154">
        <f t="shared" si="20"/>
        <v>8.9302175790525046E-2</v>
      </c>
      <c r="AF154" t="str">
        <f t="shared" si="16"/>
        <v>Very Low</v>
      </c>
      <c r="AG154" t="str">
        <f t="shared" si="17"/>
        <v>NO ACTION</v>
      </c>
      <c r="AH154" t="str">
        <f t="shared" si="18"/>
        <v/>
      </c>
    </row>
    <row r="155" spans="1:34" x14ac:dyDescent="0.3">
      <c r="A155" t="s">
        <v>182</v>
      </c>
      <c r="B155">
        <v>4.9905482041587901E-2</v>
      </c>
      <c r="C155">
        <v>0.27307302231237202</v>
      </c>
      <c r="D155">
        <v>7.5227873718231295E-2</v>
      </c>
      <c r="E155">
        <v>0</v>
      </c>
      <c r="F155">
        <v>0</v>
      </c>
      <c r="G155">
        <v>0.98266308968914395</v>
      </c>
      <c r="H155">
        <v>7</v>
      </c>
      <c r="I155">
        <v>8</v>
      </c>
      <c r="J155">
        <v>7.5330375459186097E-2</v>
      </c>
      <c r="K155">
        <v>3.2626427406199001E-3</v>
      </c>
      <c r="L155">
        <v>1.10282086523987E-2</v>
      </c>
      <c r="M155">
        <v>2.3088023088023001E-3</v>
      </c>
      <c r="N155">
        <v>1.84631305843427E-2</v>
      </c>
      <c r="O155">
        <v>309</v>
      </c>
      <c r="P155">
        <v>5.7905443322109902E-2</v>
      </c>
      <c r="Q155">
        <v>5.8066552123145897E-2</v>
      </c>
      <c r="R155">
        <v>0.12241887905604699</v>
      </c>
      <c r="S155">
        <v>1</v>
      </c>
      <c r="T155" t="s">
        <v>53</v>
      </c>
      <c r="U155">
        <v>7.5471698113207496E-3</v>
      </c>
      <c r="V155">
        <v>0</v>
      </c>
      <c r="W155">
        <v>0</v>
      </c>
      <c r="X155">
        <v>2.2568362115469299E-2</v>
      </c>
      <c r="Y155">
        <v>2.6119118593339301E-2</v>
      </c>
      <c r="Z155">
        <v>4.2128518227003003E-2</v>
      </c>
      <c r="AA155">
        <v>0.12241887905604699</v>
      </c>
      <c r="AB155">
        <f t="shared" si="14"/>
        <v>5.6997562383864095E-2</v>
      </c>
      <c r="AC155">
        <f t="shared" si="19"/>
        <v>0.1</v>
      </c>
      <c r="AD155">
        <f t="shared" si="15"/>
        <v>0</v>
      </c>
      <c r="AE155">
        <f t="shared" si="20"/>
        <v>6.2697318622250503E-2</v>
      </c>
      <c r="AF155" t="str">
        <f t="shared" si="16"/>
        <v>Very Low</v>
      </c>
      <c r="AG155" t="str">
        <f t="shared" si="17"/>
        <v>NO ACTION</v>
      </c>
      <c r="AH155" t="str">
        <f t="shared" si="18"/>
        <v/>
      </c>
    </row>
    <row r="156" spans="1:34" x14ac:dyDescent="0.3">
      <c r="A156" t="s">
        <v>183</v>
      </c>
      <c r="B156">
        <v>0.25444234404536797</v>
      </c>
      <c r="C156">
        <v>0.609699934089041</v>
      </c>
      <c r="D156">
        <v>0.37799943448498502</v>
      </c>
      <c r="E156">
        <v>0</v>
      </c>
      <c r="F156">
        <v>0</v>
      </c>
      <c r="G156">
        <v>0.43294065553317601</v>
      </c>
      <c r="H156">
        <v>7</v>
      </c>
      <c r="I156">
        <v>14</v>
      </c>
      <c r="J156">
        <v>0.225180096369448</v>
      </c>
      <c r="K156">
        <v>4.8939641109298502E-3</v>
      </c>
      <c r="L156">
        <v>5.5456134937776399E-3</v>
      </c>
      <c r="M156">
        <v>1.0389610389610299E-2</v>
      </c>
      <c r="N156">
        <v>2.7852951281522698E-2</v>
      </c>
      <c r="O156">
        <v>705</v>
      </c>
      <c r="P156">
        <v>0.17269921436588101</v>
      </c>
      <c r="Q156">
        <v>0.17283214698972599</v>
      </c>
      <c r="R156">
        <v>0</v>
      </c>
      <c r="S156">
        <v>0</v>
      </c>
      <c r="T156" t="s">
        <v>28</v>
      </c>
      <c r="U156">
        <v>2.7536970933197298E-3</v>
      </c>
      <c r="V156">
        <v>0</v>
      </c>
      <c r="W156">
        <v>0</v>
      </c>
      <c r="X156">
        <v>0.113399830345495</v>
      </c>
      <c r="Y156">
        <v>5.6164711405235199E-2</v>
      </c>
      <c r="Z156">
        <v>0.114760709132137</v>
      </c>
      <c r="AA156">
        <v>0</v>
      </c>
      <c r="AB156">
        <f t="shared" si="14"/>
        <v>6.6003090605743414E-2</v>
      </c>
      <c r="AC156">
        <f t="shared" si="19"/>
        <v>0.25</v>
      </c>
      <c r="AD156">
        <f t="shared" si="15"/>
        <v>0</v>
      </c>
      <c r="AE156">
        <f t="shared" si="20"/>
        <v>8.2503863257179261E-2</v>
      </c>
      <c r="AF156" t="str">
        <f t="shared" si="16"/>
        <v>Very Low</v>
      </c>
      <c r="AG156" t="str">
        <f t="shared" si="17"/>
        <v>NO ACTION</v>
      </c>
      <c r="AH156" t="str">
        <f t="shared" si="18"/>
        <v/>
      </c>
    </row>
    <row r="157" spans="1:34" x14ac:dyDescent="0.3">
      <c r="A157" t="s">
        <v>184</v>
      </c>
      <c r="B157">
        <v>0.25784499054820398</v>
      </c>
      <c r="C157">
        <v>0.83467827245595605</v>
      </c>
      <c r="D157">
        <v>0.40923092388451099</v>
      </c>
      <c r="E157">
        <v>0</v>
      </c>
      <c r="F157">
        <v>0</v>
      </c>
      <c r="G157">
        <v>0.42502807644128399</v>
      </c>
      <c r="H157">
        <v>8</v>
      </c>
      <c r="I157">
        <v>18</v>
      </c>
      <c r="J157">
        <v>0.35413386765898502</v>
      </c>
      <c r="K157">
        <v>0.114192495921696</v>
      </c>
      <c r="L157">
        <v>8.23107010889855E-2</v>
      </c>
      <c r="M157">
        <v>4.3578643578643501E-2</v>
      </c>
      <c r="N157">
        <v>7.4314846285767094E-2</v>
      </c>
      <c r="O157">
        <v>896</v>
      </c>
      <c r="P157">
        <v>0.33063271604938199</v>
      </c>
      <c r="Q157">
        <v>0.33072688383183102</v>
      </c>
      <c r="R157">
        <v>0.48967551622418798</v>
      </c>
      <c r="S157">
        <v>1</v>
      </c>
      <c r="T157" t="s">
        <v>28</v>
      </c>
      <c r="U157">
        <v>1.56405163853028E-2</v>
      </c>
      <c r="V157">
        <v>0</v>
      </c>
      <c r="W157">
        <v>0</v>
      </c>
      <c r="X157">
        <v>0.12276927716535301</v>
      </c>
      <c r="Y157">
        <v>0.13427657796202</v>
      </c>
      <c r="Z157">
        <v>0.22810556814393601</v>
      </c>
      <c r="AA157">
        <v>0.48967551622418798</v>
      </c>
      <c r="AB157">
        <f t="shared" si="14"/>
        <v>0.25821922979889683</v>
      </c>
      <c r="AC157">
        <f t="shared" si="19"/>
        <v>0.25</v>
      </c>
      <c r="AD157">
        <f t="shared" si="15"/>
        <v>0</v>
      </c>
      <c r="AE157">
        <f t="shared" si="20"/>
        <v>0.32277403724862103</v>
      </c>
      <c r="AF157" t="str">
        <f t="shared" si="16"/>
        <v>Low</v>
      </c>
      <c r="AG157" t="str">
        <f t="shared" si="17"/>
        <v>NO ACTION</v>
      </c>
      <c r="AH157" t="str">
        <f t="shared" si="18"/>
        <v/>
      </c>
    </row>
    <row r="158" spans="1:34" x14ac:dyDescent="0.3">
      <c r="A158" t="s">
        <v>185</v>
      </c>
      <c r="B158">
        <v>0.12892249527410199</v>
      </c>
      <c r="C158">
        <v>0.36953165208440503</v>
      </c>
      <c r="D158">
        <v>0</v>
      </c>
      <c r="E158">
        <v>0</v>
      </c>
      <c r="F158">
        <v>0</v>
      </c>
      <c r="G158">
        <v>0.99368528499909403</v>
      </c>
      <c r="H158">
        <v>8</v>
      </c>
      <c r="I158">
        <v>8</v>
      </c>
      <c r="J158">
        <v>0.34511712227469998</v>
      </c>
      <c r="K158">
        <v>1.30505709624796E-2</v>
      </c>
      <c r="L158">
        <v>9.6525390277107694E-3</v>
      </c>
      <c r="M158">
        <v>9.8124098124098107E-3</v>
      </c>
      <c r="N158">
        <v>1.7170022806160298E-2</v>
      </c>
      <c r="O158">
        <v>872</v>
      </c>
      <c r="P158">
        <v>0.264099326599326</v>
      </c>
      <c r="Q158">
        <v>0.26420982502892798</v>
      </c>
      <c r="R158">
        <v>0</v>
      </c>
      <c r="S158">
        <v>0</v>
      </c>
      <c r="T158" t="s">
        <v>28</v>
      </c>
      <c r="U158">
        <v>7.7628032345013398E-3</v>
      </c>
      <c r="V158">
        <v>0</v>
      </c>
      <c r="W158">
        <v>0</v>
      </c>
      <c r="X158">
        <v>0</v>
      </c>
      <c r="Y158">
        <v>7.9000700810643601E-2</v>
      </c>
      <c r="Z158">
        <v>0.16532760508205999</v>
      </c>
      <c r="AA158">
        <v>0</v>
      </c>
      <c r="AB158">
        <f t="shared" si="14"/>
        <v>6.8411925649957017E-2</v>
      </c>
      <c r="AC158">
        <f t="shared" si="19"/>
        <v>0.25</v>
      </c>
      <c r="AD158">
        <f t="shared" si="15"/>
        <v>0</v>
      </c>
      <c r="AE158">
        <f t="shared" si="20"/>
        <v>8.5514907062446271E-2</v>
      </c>
      <c r="AF158" t="str">
        <f t="shared" si="16"/>
        <v>Very Low</v>
      </c>
      <c r="AG158" t="str">
        <f t="shared" si="17"/>
        <v>NO ACTION</v>
      </c>
      <c r="AH158" t="str">
        <f t="shared" si="18"/>
        <v/>
      </c>
    </row>
    <row r="159" spans="1:34" x14ac:dyDescent="0.3">
      <c r="A159" t="s">
        <v>186</v>
      </c>
      <c r="B159">
        <v>0.12892249527410199</v>
      </c>
      <c r="C159">
        <v>0.36953165208440503</v>
      </c>
      <c r="D159">
        <v>0</v>
      </c>
      <c r="E159">
        <v>0</v>
      </c>
      <c r="F159">
        <v>0</v>
      </c>
      <c r="G159">
        <v>0.99367214451396801</v>
      </c>
      <c r="H159">
        <v>8</v>
      </c>
      <c r="I159">
        <v>8</v>
      </c>
      <c r="J159">
        <v>0.30943180191784703</v>
      </c>
      <c r="K159">
        <v>1.2234910277324601E-2</v>
      </c>
      <c r="L159">
        <v>1.0092059681905401E-2</v>
      </c>
      <c r="M159">
        <v>2.1067821067820999E-2</v>
      </c>
      <c r="N159">
        <v>4.1113247491309401E-2</v>
      </c>
      <c r="O159">
        <v>827</v>
      </c>
      <c r="P159">
        <v>0.24298540965207599</v>
      </c>
      <c r="Q159">
        <v>0.24310109050106901</v>
      </c>
      <c r="R159">
        <v>0</v>
      </c>
      <c r="S159">
        <v>0</v>
      </c>
      <c r="T159" t="s">
        <v>28</v>
      </c>
      <c r="U159">
        <v>3.4421213666496601E-3</v>
      </c>
      <c r="V159">
        <v>0</v>
      </c>
      <c r="W159">
        <v>0</v>
      </c>
      <c r="X159">
        <v>0</v>
      </c>
      <c r="Y159">
        <v>7.9266364471914999E-2</v>
      </c>
      <c r="Z159">
        <v>0.162236544787769</v>
      </c>
      <c r="AA159">
        <v>0</v>
      </c>
      <c r="AB159">
        <f t="shared" si="14"/>
        <v>6.762081459271152E-2</v>
      </c>
      <c r="AC159">
        <f t="shared" si="19"/>
        <v>0.25</v>
      </c>
      <c r="AD159">
        <f t="shared" si="15"/>
        <v>0</v>
      </c>
      <c r="AE159">
        <f t="shared" si="20"/>
        <v>8.45260182408894E-2</v>
      </c>
      <c r="AF159" t="str">
        <f t="shared" si="16"/>
        <v>Very Low</v>
      </c>
      <c r="AG159" t="str">
        <f t="shared" si="17"/>
        <v>NO ACTION</v>
      </c>
      <c r="AH159" t="str">
        <f t="shared" si="18"/>
        <v/>
      </c>
    </row>
    <row r="160" spans="1:34" x14ac:dyDescent="0.3">
      <c r="A160" t="s">
        <v>187</v>
      </c>
      <c r="B160">
        <v>0.12892249527410199</v>
      </c>
      <c r="C160">
        <v>0.294018662310635</v>
      </c>
      <c r="D160">
        <v>7.3869497346761001E-2</v>
      </c>
      <c r="E160">
        <v>0</v>
      </c>
      <c r="F160">
        <v>0</v>
      </c>
      <c r="G160">
        <v>0.99368994170868996</v>
      </c>
      <c r="H160">
        <v>7</v>
      </c>
      <c r="I160">
        <v>8</v>
      </c>
      <c r="J160">
        <v>0.30800057249176999</v>
      </c>
      <c r="K160">
        <v>1.0603588907014599E-2</v>
      </c>
      <c r="L160">
        <v>8.7870636345068198E-3</v>
      </c>
      <c r="M160">
        <v>3.7518037518037501E-3</v>
      </c>
      <c r="N160">
        <v>7.35553290885282E-3</v>
      </c>
      <c r="O160">
        <v>757</v>
      </c>
      <c r="P160">
        <v>0.23281425364758701</v>
      </c>
      <c r="Q160">
        <v>0.23293243101090499</v>
      </c>
      <c r="R160">
        <v>0</v>
      </c>
      <c r="S160">
        <v>0</v>
      </c>
      <c r="T160" t="s">
        <v>28</v>
      </c>
      <c r="U160">
        <v>1.5768194070080802E-2</v>
      </c>
      <c r="V160">
        <v>0</v>
      </c>
      <c r="W160">
        <v>0</v>
      </c>
      <c r="X160">
        <v>2.2160849204028301E-2</v>
      </c>
      <c r="Y160">
        <v>6.8200306188263296E-2</v>
      </c>
      <c r="Z160">
        <v>0.14263076535209299</v>
      </c>
      <c r="AA160">
        <v>0</v>
      </c>
      <c r="AB160">
        <f t="shared" si="14"/>
        <v>6.2578435903944296E-2</v>
      </c>
      <c r="AC160">
        <f t="shared" si="19"/>
        <v>0.25</v>
      </c>
      <c r="AD160">
        <f t="shared" si="15"/>
        <v>0</v>
      </c>
      <c r="AE160">
        <f t="shared" si="20"/>
        <v>7.822304487993037E-2</v>
      </c>
      <c r="AF160" t="str">
        <f t="shared" si="16"/>
        <v>Very Low</v>
      </c>
      <c r="AG160" t="str">
        <f t="shared" si="17"/>
        <v>NO ACTION</v>
      </c>
      <c r="AH160" t="str">
        <f t="shared" si="18"/>
        <v/>
      </c>
    </row>
    <row r="161" spans="1:34" x14ac:dyDescent="0.3">
      <c r="A161" t="s">
        <v>188</v>
      </c>
      <c r="B161">
        <v>0.12892249527410199</v>
      </c>
      <c r="C161">
        <v>0.36953165208440503</v>
      </c>
      <c r="D161">
        <v>0</v>
      </c>
      <c r="E161">
        <v>0</v>
      </c>
      <c r="F161">
        <v>0</v>
      </c>
      <c r="G161">
        <v>0.99367468697035699</v>
      </c>
      <c r="H161">
        <v>8</v>
      </c>
      <c r="I161">
        <v>8</v>
      </c>
      <c r="J161">
        <v>0.33862888220981802</v>
      </c>
      <c r="K161">
        <v>8.9722675367047301E-3</v>
      </c>
      <c r="L161">
        <v>6.7631813163239202E-3</v>
      </c>
      <c r="M161">
        <v>1.1544011544011501E-3</v>
      </c>
      <c r="N161">
        <v>2.0586793499647199E-3</v>
      </c>
      <c r="O161">
        <v>784</v>
      </c>
      <c r="P161">
        <v>0.25336700336700302</v>
      </c>
      <c r="Q161">
        <v>0.25348013604965097</v>
      </c>
      <c r="R161">
        <v>0</v>
      </c>
      <c r="S161">
        <v>0</v>
      </c>
      <c r="T161" t="s">
        <v>28</v>
      </c>
      <c r="U161">
        <v>3.7358490566037697E-2</v>
      </c>
      <c r="V161">
        <v>0</v>
      </c>
      <c r="W161">
        <v>0</v>
      </c>
      <c r="X161">
        <v>0</v>
      </c>
      <c r="Y161">
        <v>7.1724970905114996E-2</v>
      </c>
      <c r="Z161">
        <v>0.15284367376018701</v>
      </c>
      <c r="AA161">
        <v>0</v>
      </c>
      <c r="AB161">
        <f t="shared" si="14"/>
        <v>6.2879220506284569E-2</v>
      </c>
      <c r="AC161">
        <f t="shared" si="19"/>
        <v>0.25</v>
      </c>
      <c r="AD161">
        <f t="shared" si="15"/>
        <v>0</v>
      </c>
      <c r="AE161">
        <f t="shared" si="20"/>
        <v>7.8599025632855715E-2</v>
      </c>
      <c r="AF161" t="str">
        <f t="shared" si="16"/>
        <v>Very Low</v>
      </c>
      <c r="AG161" t="str">
        <f t="shared" si="17"/>
        <v>NO ACTION</v>
      </c>
      <c r="AH161" t="str">
        <f t="shared" si="18"/>
        <v/>
      </c>
    </row>
    <row r="162" spans="1:34" x14ac:dyDescent="0.3">
      <c r="A162" t="s">
        <v>189</v>
      </c>
      <c r="B162">
        <v>7.9395085066162496E-2</v>
      </c>
      <c r="C162">
        <v>0.68466962640872298</v>
      </c>
      <c r="D162">
        <v>0.35946416692762001</v>
      </c>
      <c r="E162">
        <v>0</v>
      </c>
      <c r="F162">
        <v>0</v>
      </c>
      <c r="G162">
        <v>0.46458949209870898</v>
      </c>
      <c r="H162">
        <v>7</v>
      </c>
      <c r="I162">
        <v>14</v>
      </c>
      <c r="J162">
        <v>5.3194027002528503E-2</v>
      </c>
      <c r="K162">
        <v>1.6313213703099501E-3</v>
      </c>
      <c r="L162">
        <v>7.7985189756247996E-3</v>
      </c>
      <c r="M162">
        <v>4.0404040404040404E-3</v>
      </c>
      <c r="N162">
        <v>4.5696248196248103E-2</v>
      </c>
      <c r="O162">
        <v>170</v>
      </c>
      <c r="P162">
        <v>4.1771885521885502E-2</v>
      </c>
      <c r="Q162">
        <v>4.1936954311160901E-2</v>
      </c>
      <c r="R162">
        <v>0</v>
      </c>
      <c r="S162">
        <v>0</v>
      </c>
      <c r="T162" t="s">
        <v>53</v>
      </c>
      <c r="U162">
        <v>2.26415094339622E-3</v>
      </c>
      <c r="V162">
        <v>0</v>
      </c>
      <c r="W162">
        <v>0</v>
      </c>
      <c r="X162">
        <v>0.107839250078286</v>
      </c>
      <c r="Y162">
        <v>2.8246939347192499E-2</v>
      </c>
      <c r="Z162">
        <v>4.3341630591630501E-2</v>
      </c>
      <c r="AA162">
        <v>0</v>
      </c>
      <c r="AB162">
        <f t="shared" si="14"/>
        <v>3.7299079595396203E-2</v>
      </c>
      <c r="AC162">
        <f t="shared" si="19"/>
        <v>0.1</v>
      </c>
      <c r="AD162">
        <f t="shared" si="15"/>
        <v>0</v>
      </c>
      <c r="AE162">
        <f t="shared" si="20"/>
        <v>4.1028987554935829E-2</v>
      </c>
      <c r="AF162" t="str">
        <f t="shared" si="16"/>
        <v>Very Low</v>
      </c>
      <c r="AG162" t="str">
        <f t="shared" si="17"/>
        <v>NO ACTION</v>
      </c>
      <c r="AH162" t="str">
        <f t="shared" si="18"/>
        <v/>
      </c>
    </row>
    <row r="163" spans="1:34" x14ac:dyDescent="0.3">
      <c r="A163" t="s">
        <v>190</v>
      </c>
      <c r="B163">
        <v>0.12892249527410199</v>
      </c>
      <c r="C163">
        <v>0.36953165208440503</v>
      </c>
      <c r="D163">
        <v>0</v>
      </c>
      <c r="E163">
        <v>0</v>
      </c>
      <c r="F163">
        <v>0</v>
      </c>
      <c r="G163">
        <v>0.99367246566635403</v>
      </c>
      <c r="H163">
        <v>8</v>
      </c>
      <c r="I163">
        <v>8</v>
      </c>
      <c r="J163">
        <v>0.27617957158532502</v>
      </c>
      <c r="K163">
        <v>1</v>
      </c>
      <c r="L163">
        <v>0.92408546563772298</v>
      </c>
      <c r="M163">
        <v>5.65656565656565E-2</v>
      </c>
      <c r="N163">
        <v>0.123665373095818</v>
      </c>
      <c r="O163">
        <v>908</v>
      </c>
      <c r="P163">
        <v>0.66052890011223298</v>
      </c>
      <c r="Q163">
        <v>0.66054209474385495</v>
      </c>
      <c r="R163">
        <v>0</v>
      </c>
      <c r="S163">
        <v>0</v>
      </c>
      <c r="T163" t="s">
        <v>28</v>
      </c>
      <c r="U163">
        <v>0.10567953261181801</v>
      </c>
      <c r="V163">
        <v>0</v>
      </c>
      <c r="W163">
        <v>0</v>
      </c>
      <c r="X163">
        <v>0</v>
      </c>
      <c r="Y163">
        <v>0.55437825906467197</v>
      </c>
      <c r="Z163">
        <v>0.44578348930566702</v>
      </c>
      <c r="AA163">
        <v>0</v>
      </c>
      <c r="AB163">
        <f t="shared" si="14"/>
        <v>0.28004528954369495</v>
      </c>
      <c r="AC163">
        <f t="shared" si="19"/>
        <v>0.25</v>
      </c>
      <c r="AD163">
        <f t="shared" si="15"/>
        <v>0</v>
      </c>
      <c r="AE163">
        <f t="shared" si="20"/>
        <v>0.35005661192961868</v>
      </c>
      <c r="AF163" t="str">
        <f t="shared" si="16"/>
        <v>Low</v>
      </c>
      <c r="AG163" t="str">
        <f t="shared" si="17"/>
        <v>NO ACTION</v>
      </c>
      <c r="AH163" t="str">
        <f t="shared" si="18"/>
        <v/>
      </c>
    </row>
    <row r="164" spans="1:34" x14ac:dyDescent="0.3">
      <c r="A164" t="s">
        <v>191</v>
      </c>
      <c r="B164">
        <v>0.25671077504725898</v>
      </c>
      <c r="C164">
        <v>0.58432530637065505</v>
      </c>
      <c r="D164">
        <v>0.56110233564965395</v>
      </c>
      <c r="E164">
        <v>0.66699202863185303</v>
      </c>
      <c r="F164">
        <v>9.22401171303074E-2</v>
      </c>
      <c r="G164">
        <v>0.42779799358641302</v>
      </c>
      <c r="H164">
        <v>0</v>
      </c>
      <c r="I164">
        <v>23</v>
      </c>
      <c r="J164">
        <v>0.34306569343065602</v>
      </c>
      <c r="K164">
        <v>7.5040783034257694E-2</v>
      </c>
      <c r="L164">
        <v>5.5833754533656202E-2</v>
      </c>
      <c r="M164">
        <v>4.6176046176046098E-3</v>
      </c>
      <c r="N164">
        <v>8.1282931755416402E-3</v>
      </c>
      <c r="O164">
        <v>979</v>
      </c>
      <c r="P164">
        <v>0.28672138047138002</v>
      </c>
      <c r="Q164">
        <v>0.28682632630877603</v>
      </c>
      <c r="R164">
        <v>4.71976401179941E-2</v>
      </c>
      <c r="S164">
        <v>1</v>
      </c>
      <c r="T164" t="s">
        <v>28</v>
      </c>
      <c r="U164">
        <v>9.1897891231964401E-2</v>
      </c>
      <c r="V164">
        <v>0</v>
      </c>
      <c r="W164">
        <v>0.16806644175806701</v>
      </c>
      <c r="X164">
        <v>0.40532435613657503</v>
      </c>
      <c r="Y164">
        <v>9.8968503905621896E-2</v>
      </c>
      <c r="Z164">
        <v>0.175284145553044</v>
      </c>
      <c r="AA164">
        <v>4.71976401179941E-2</v>
      </c>
      <c r="AB164">
        <f t="shared" si="14"/>
        <v>0.15485797806331683</v>
      </c>
      <c r="AC164">
        <f t="shared" si="19"/>
        <v>0.25</v>
      </c>
      <c r="AD164">
        <f t="shared" si="15"/>
        <v>0.05</v>
      </c>
      <c r="AE164">
        <f t="shared" si="20"/>
        <v>0.20131537148231188</v>
      </c>
      <c r="AF164" t="str">
        <f t="shared" si="16"/>
        <v>Low</v>
      </c>
      <c r="AG164" t="str">
        <f t="shared" si="17"/>
        <v>NO ACTION</v>
      </c>
      <c r="AH164" t="str">
        <f t="shared" si="18"/>
        <v/>
      </c>
    </row>
    <row r="165" spans="1:34" x14ac:dyDescent="0.3">
      <c r="A165" t="s">
        <v>192</v>
      </c>
      <c r="B165">
        <v>0.12892249527410199</v>
      </c>
      <c r="C165">
        <v>0.36953165208440503</v>
      </c>
      <c r="D165">
        <v>0</v>
      </c>
      <c r="E165">
        <v>0</v>
      </c>
      <c r="F165">
        <v>0</v>
      </c>
      <c r="G165">
        <v>0.99367495459734501</v>
      </c>
      <c r="H165">
        <v>8</v>
      </c>
      <c r="I165">
        <v>8</v>
      </c>
      <c r="J165">
        <v>0.30117837889413601</v>
      </c>
      <c r="K165">
        <v>3.3442088091353898E-2</v>
      </c>
      <c r="L165">
        <v>2.83402968788137E-2</v>
      </c>
      <c r="M165">
        <v>2.59740259740259E-3</v>
      </c>
      <c r="N165">
        <v>5.2075496519940903E-3</v>
      </c>
      <c r="O165">
        <v>896</v>
      </c>
      <c r="P165">
        <v>0.23705808080808</v>
      </c>
      <c r="Q165">
        <v>0.23717521652231799</v>
      </c>
      <c r="R165">
        <v>0</v>
      </c>
      <c r="S165">
        <v>0</v>
      </c>
      <c r="T165" t="s">
        <v>28</v>
      </c>
      <c r="U165">
        <v>6.9622641509433897E-2</v>
      </c>
      <c r="V165">
        <v>0</v>
      </c>
      <c r="W165">
        <v>0</v>
      </c>
      <c r="X165">
        <v>0</v>
      </c>
      <c r="Y165">
        <v>7.5968089113832404E-2</v>
      </c>
      <c r="Z165">
        <v>0.144317868345646</v>
      </c>
      <c r="AA165">
        <v>0</v>
      </c>
      <c r="AB165">
        <f t="shared" si="14"/>
        <v>6.1680068088653964E-2</v>
      </c>
      <c r="AC165">
        <f t="shared" si="19"/>
        <v>0.25</v>
      </c>
      <c r="AD165">
        <f t="shared" si="15"/>
        <v>0</v>
      </c>
      <c r="AE165">
        <f t="shared" si="20"/>
        <v>7.7100085110817451E-2</v>
      </c>
      <c r="AF165" t="str">
        <f t="shared" si="16"/>
        <v>Very Low</v>
      </c>
      <c r="AG165" t="str">
        <f t="shared" si="17"/>
        <v>NO ACTION</v>
      </c>
      <c r="AH165" t="str">
        <f t="shared" si="18"/>
        <v/>
      </c>
    </row>
    <row r="166" spans="1:34" x14ac:dyDescent="0.3">
      <c r="A166" t="s">
        <v>193</v>
      </c>
      <c r="B166">
        <v>0.25293005671077501</v>
      </c>
      <c r="C166">
        <v>0.88868793298456195</v>
      </c>
      <c r="D166">
        <v>0.388787765979975</v>
      </c>
      <c r="E166">
        <v>0</v>
      </c>
      <c r="F166">
        <v>0</v>
      </c>
      <c r="G166">
        <v>0.43638697054982101</v>
      </c>
      <c r="H166">
        <v>8</v>
      </c>
      <c r="I166">
        <v>18</v>
      </c>
      <c r="J166">
        <v>0.28562568579743303</v>
      </c>
      <c r="K166">
        <v>1.8760195758564399E-2</v>
      </c>
      <c r="L166">
        <v>1.6763171629847699E-2</v>
      </c>
      <c r="M166">
        <v>4.3290043290043203E-3</v>
      </c>
      <c r="N166">
        <v>9.1514515746825408E-3</v>
      </c>
      <c r="O166">
        <v>901</v>
      </c>
      <c r="P166">
        <v>0.22015291806958401</v>
      </c>
      <c r="Q166">
        <v>0.220274203162803</v>
      </c>
      <c r="R166">
        <v>0</v>
      </c>
      <c r="S166">
        <v>0</v>
      </c>
      <c r="T166" t="s">
        <v>28</v>
      </c>
      <c r="U166">
        <v>2.4410377358490502E-2</v>
      </c>
      <c r="V166">
        <v>0</v>
      </c>
      <c r="W166">
        <v>0</v>
      </c>
      <c r="X166">
        <v>0.11663632979399199</v>
      </c>
      <c r="Y166">
        <v>6.8252158446815203E-2</v>
      </c>
      <c r="Z166">
        <v>0.13575233147162299</v>
      </c>
      <c r="AA166">
        <v>0</v>
      </c>
      <c r="AB166">
        <f t="shared" si="14"/>
        <v>7.578306994420142E-2</v>
      </c>
      <c r="AC166">
        <f t="shared" si="19"/>
        <v>0.25</v>
      </c>
      <c r="AD166">
        <f t="shared" si="15"/>
        <v>0</v>
      </c>
      <c r="AE166">
        <f t="shared" si="20"/>
        <v>9.4728837430251775E-2</v>
      </c>
      <c r="AF166" t="str">
        <f t="shared" si="16"/>
        <v>Very Low</v>
      </c>
      <c r="AG166" t="str">
        <f t="shared" si="17"/>
        <v>NO ACTION</v>
      </c>
      <c r="AH166" t="str">
        <f t="shared" si="18"/>
        <v/>
      </c>
    </row>
    <row r="167" spans="1:34" x14ac:dyDescent="0.3">
      <c r="A167" t="s">
        <v>194</v>
      </c>
      <c r="B167">
        <v>0.12892249527410199</v>
      </c>
      <c r="C167">
        <v>0.36953165208440503</v>
      </c>
      <c r="D167">
        <v>0</v>
      </c>
      <c r="E167">
        <v>0</v>
      </c>
      <c r="F167">
        <v>0</v>
      </c>
      <c r="G167">
        <v>0.99368290311889795</v>
      </c>
      <c r="H167">
        <v>8</v>
      </c>
      <c r="I167">
        <v>8</v>
      </c>
      <c r="J167">
        <v>0.241400696531654</v>
      </c>
      <c r="K167">
        <v>6.0358890701468097E-2</v>
      </c>
      <c r="L167">
        <v>6.3804664629791105E-2</v>
      </c>
      <c r="M167">
        <v>6.9264069264069203E-3</v>
      </c>
      <c r="N167">
        <v>1.7322171083276699E-2</v>
      </c>
      <c r="O167">
        <v>788</v>
      </c>
      <c r="P167">
        <v>0.20679012345678999</v>
      </c>
      <c r="Q167">
        <v>0.20691468845331101</v>
      </c>
      <c r="R167">
        <v>0</v>
      </c>
      <c r="S167">
        <v>0</v>
      </c>
      <c r="T167" t="s">
        <v>28</v>
      </c>
      <c r="U167">
        <v>5.0264150943396202E-2</v>
      </c>
      <c r="V167">
        <v>0</v>
      </c>
      <c r="W167">
        <v>0</v>
      </c>
      <c r="X167">
        <v>0</v>
      </c>
      <c r="Y167">
        <v>8.5379122946209293E-2</v>
      </c>
      <c r="Z167">
        <v>0.13100294250738401</v>
      </c>
      <c r="AA167">
        <v>0</v>
      </c>
      <c r="AB167">
        <f t="shared" si="14"/>
        <v>6.058697832700613E-2</v>
      </c>
      <c r="AC167">
        <f t="shared" si="19"/>
        <v>0.25</v>
      </c>
      <c r="AD167">
        <f t="shared" si="15"/>
        <v>0</v>
      </c>
      <c r="AE167">
        <f t="shared" si="20"/>
        <v>7.5733722908757656E-2</v>
      </c>
      <c r="AF167" t="str">
        <f t="shared" si="16"/>
        <v>Very Low</v>
      </c>
      <c r="AG167" t="str">
        <f t="shared" si="17"/>
        <v>NO ACTION</v>
      </c>
      <c r="AH167" t="str">
        <f t="shared" si="18"/>
        <v/>
      </c>
    </row>
    <row r="168" spans="1:34" x14ac:dyDescent="0.3">
      <c r="A168" t="s">
        <v>195</v>
      </c>
      <c r="B168">
        <v>0.23364839319470701</v>
      </c>
      <c r="C168">
        <v>0.66420641001666403</v>
      </c>
      <c r="D168">
        <v>0.36545810449475202</v>
      </c>
      <c r="E168">
        <v>0</v>
      </c>
      <c r="F168">
        <v>0</v>
      </c>
      <c r="G168">
        <v>0.48439464351468597</v>
      </c>
      <c r="H168">
        <v>7</v>
      </c>
      <c r="I168">
        <v>14</v>
      </c>
      <c r="J168">
        <v>0.268641763274652</v>
      </c>
      <c r="K168">
        <v>3.3442088091353898E-2</v>
      </c>
      <c r="L168">
        <v>3.1769694052580802E-2</v>
      </c>
      <c r="M168">
        <v>3.7518037518037501E-3</v>
      </c>
      <c r="N168">
        <v>8.4322388438783005E-3</v>
      </c>
      <c r="O168">
        <v>836</v>
      </c>
      <c r="P168">
        <v>0.213699494949494</v>
      </c>
      <c r="Q168">
        <v>0.213822364038009</v>
      </c>
      <c r="R168">
        <v>0.19321533923303799</v>
      </c>
      <c r="S168">
        <v>1</v>
      </c>
      <c r="T168" t="s">
        <v>28</v>
      </c>
      <c r="U168">
        <v>4.9730458221024197E-2</v>
      </c>
      <c r="V168">
        <v>0</v>
      </c>
      <c r="W168">
        <v>0</v>
      </c>
      <c r="X168">
        <v>0.109637431348425</v>
      </c>
      <c r="Y168">
        <v>7.2142871334384406E-2</v>
      </c>
      <c r="Z168">
        <v>0.131592592507248</v>
      </c>
      <c r="AA168">
        <v>0.19321533923303799</v>
      </c>
      <c r="AB168">
        <f t="shared" si="14"/>
        <v>0.12868821387665574</v>
      </c>
      <c r="AC168">
        <f t="shared" si="19"/>
        <v>0.25</v>
      </c>
      <c r="AD168">
        <f t="shared" si="15"/>
        <v>0</v>
      </c>
      <c r="AE168">
        <f t="shared" si="20"/>
        <v>0.16086026734581968</v>
      </c>
      <c r="AF168" t="str">
        <f t="shared" si="16"/>
        <v>Very Low</v>
      </c>
      <c r="AG168" t="str">
        <f t="shared" si="17"/>
        <v>NO ACTION</v>
      </c>
      <c r="AH168" t="str">
        <f t="shared" si="18"/>
        <v/>
      </c>
    </row>
    <row r="169" spans="1:34" x14ac:dyDescent="0.3">
      <c r="A169" t="s">
        <v>196</v>
      </c>
      <c r="B169">
        <v>0.12892249527410199</v>
      </c>
      <c r="C169">
        <v>0.36953165208440503</v>
      </c>
      <c r="D169">
        <v>0</v>
      </c>
      <c r="E169">
        <v>0</v>
      </c>
      <c r="F169">
        <v>0</v>
      </c>
      <c r="G169">
        <v>0.99364661289928502</v>
      </c>
      <c r="H169">
        <v>8</v>
      </c>
      <c r="I169">
        <v>8</v>
      </c>
      <c r="J169">
        <v>0.29764801297648003</v>
      </c>
      <c r="K169">
        <v>2.5285481239804199E-2</v>
      </c>
      <c r="L169">
        <v>2.16819810084635E-2</v>
      </c>
      <c r="M169">
        <v>6.0606060606060597E-3</v>
      </c>
      <c r="N169">
        <v>1.22949546716362E-2</v>
      </c>
      <c r="O169">
        <v>881</v>
      </c>
      <c r="P169">
        <v>0.23263888888888801</v>
      </c>
      <c r="Q169">
        <v>0.23275710929555701</v>
      </c>
      <c r="R169">
        <v>0</v>
      </c>
      <c r="S169">
        <v>0</v>
      </c>
      <c r="T169" t="s">
        <v>28</v>
      </c>
      <c r="U169">
        <v>2.3927958833619201E-2</v>
      </c>
      <c r="V169">
        <v>0</v>
      </c>
      <c r="W169">
        <v>0</v>
      </c>
      <c r="X169">
        <v>0</v>
      </c>
      <c r="Y169">
        <v>7.4059079501018699E-2</v>
      </c>
      <c r="Z169">
        <v>0.144501315201987</v>
      </c>
      <c r="AA169">
        <v>0</v>
      </c>
      <c r="AB169">
        <f t="shared" si="14"/>
        <v>6.1196910516841604E-2</v>
      </c>
      <c r="AC169">
        <f t="shared" si="19"/>
        <v>0.25</v>
      </c>
      <c r="AD169">
        <f t="shared" si="15"/>
        <v>0</v>
      </c>
      <c r="AE169">
        <f t="shared" si="20"/>
        <v>7.6496138146052009E-2</v>
      </c>
      <c r="AF169" t="str">
        <f t="shared" si="16"/>
        <v>Very Low</v>
      </c>
      <c r="AG169" t="str">
        <f t="shared" si="17"/>
        <v>NO ACTION</v>
      </c>
      <c r="AH169" t="str">
        <f t="shared" si="18"/>
        <v/>
      </c>
    </row>
    <row r="170" spans="1:34" x14ac:dyDescent="0.3">
      <c r="A170" t="s">
        <v>197</v>
      </c>
      <c r="B170">
        <v>0.12892249527410199</v>
      </c>
      <c r="C170">
        <v>0.27741651562278502</v>
      </c>
      <c r="D170">
        <v>7.5132489407342906E-2</v>
      </c>
      <c r="E170">
        <v>0</v>
      </c>
      <c r="F170">
        <v>0</v>
      </c>
      <c r="G170">
        <v>0.99368822889596498</v>
      </c>
      <c r="H170">
        <v>7</v>
      </c>
      <c r="I170">
        <v>8</v>
      </c>
      <c r="J170">
        <v>0.26950050093029898</v>
      </c>
      <c r="K170">
        <v>1.6313213703099499E-2</v>
      </c>
      <c r="L170">
        <v>1.54480743769009E-2</v>
      </c>
      <c r="M170">
        <v>5.4834054834054799E-3</v>
      </c>
      <c r="N170">
        <v>1.22848067312163E-2</v>
      </c>
      <c r="O170">
        <v>870</v>
      </c>
      <c r="P170">
        <v>0.207807239057239</v>
      </c>
      <c r="Q170">
        <v>0.20793155440232799</v>
      </c>
      <c r="R170">
        <v>0</v>
      </c>
      <c r="S170">
        <v>0</v>
      </c>
      <c r="T170" t="s">
        <v>28</v>
      </c>
      <c r="U170">
        <v>1.6981132075471601E-2</v>
      </c>
      <c r="V170">
        <v>0</v>
      </c>
      <c r="W170">
        <v>0</v>
      </c>
      <c r="X170">
        <v>2.2539746822202798E-2</v>
      </c>
      <c r="Y170">
        <v>6.5309579393875203E-2</v>
      </c>
      <c r="Z170">
        <v>0.12959826612682901</v>
      </c>
      <c r="AA170">
        <v>0</v>
      </c>
      <c r="AB170">
        <f t="shared" si="14"/>
        <v>5.8180556237349634E-2</v>
      </c>
      <c r="AC170">
        <f t="shared" si="19"/>
        <v>0.25</v>
      </c>
      <c r="AD170">
        <f t="shared" si="15"/>
        <v>0</v>
      </c>
      <c r="AE170">
        <f t="shared" si="20"/>
        <v>7.2725695296687043E-2</v>
      </c>
      <c r="AF170" t="str">
        <f t="shared" si="16"/>
        <v>Very Low</v>
      </c>
      <c r="AG170" t="str">
        <f t="shared" si="17"/>
        <v>NO ACTION</v>
      </c>
      <c r="AH170" t="str">
        <f t="shared" si="18"/>
        <v/>
      </c>
    </row>
    <row r="171" spans="1:34" x14ac:dyDescent="0.3">
      <c r="A171" t="s">
        <v>198</v>
      </c>
      <c r="B171">
        <v>0.23969754253308101</v>
      </c>
      <c r="C171">
        <v>0.675061348752938</v>
      </c>
      <c r="D171">
        <v>0.36505303197949601</v>
      </c>
      <c r="E171">
        <v>0</v>
      </c>
      <c r="F171">
        <v>0</v>
      </c>
      <c r="G171">
        <v>0.46825933227952499</v>
      </c>
      <c r="H171">
        <v>7</v>
      </c>
      <c r="I171">
        <v>17</v>
      </c>
      <c r="J171">
        <v>0.352320977052621</v>
      </c>
      <c r="K171">
        <v>2.8548123980424101E-2</v>
      </c>
      <c r="L171">
        <v>2.06834874049047E-2</v>
      </c>
      <c r="M171">
        <v>0.12698412698412601</v>
      </c>
      <c r="N171">
        <v>0.21766007259917899</v>
      </c>
      <c r="O171">
        <v>905</v>
      </c>
      <c r="P171">
        <v>0.33301767676767602</v>
      </c>
      <c r="Q171">
        <v>0.333111259160559</v>
      </c>
      <c r="R171">
        <v>0.76548672566371601</v>
      </c>
      <c r="S171">
        <v>1</v>
      </c>
      <c r="T171" t="s">
        <v>28</v>
      </c>
      <c r="U171">
        <v>1.3477088948787E-3</v>
      </c>
      <c r="V171">
        <v>0</v>
      </c>
      <c r="W171">
        <v>0</v>
      </c>
      <c r="X171">
        <v>0.10951590959384901</v>
      </c>
      <c r="Y171">
        <v>0.14610396089273001</v>
      </c>
      <c r="Z171">
        <v>0.286874635100277</v>
      </c>
      <c r="AA171">
        <v>0.76548672566371601</v>
      </c>
      <c r="AB171">
        <f t="shared" si="14"/>
        <v>0.35309283559889831</v>
      </c>
      <c r="AC171">
        <f t="shared" si="19"/>
        <v>0.25</v>
      </c>
      <c r="AD171">
        <f t="shared" si="15"/>
        <v>0</v>
      </c>
      <c r="AE171">
        <f t="shared" si="20"/>
        <v>0.44136604449862288</v>
      </c>
      <c r="AF171" t="str">
        <f t="shared" si="16"/>
        <v>Medium</v>
      </c>
      <c r="AG171" t="str">
        <f t="shared" si="17"/>
        <v>REVIEW</v>
      </c>
      <c r="AH171" t="str">
        <f t="shared" si="18"/>
        <v>USB anomaly</v>
      </c>
    </row>
    <row r="172" spans="1:34" x14ac:dyDescent="0.3">
      <c r="A172" t="s">
        <v>199</v>
      </c>
      <c r="B172">
        <v>0.12892249527410199</v>
      </c>
      <c r="C172">
        <v>0.46700231973565398</v>
      </c>
      <c r="D172">
        <v>7.5018780494472401E-2</v>
      </c>
      <c r="E172">
        <v>0</v>
      </c>
      <c r="F172">
        <v>0</v>
      </c>
      <c r="G172">
        <v>0.99365667567404403</v>
      </c>
      <c r="H172">
        <v>8</v>
      </c>
      <c r="I172">
        <v>9</v>
      </c>
      <c r="J172">
        <v>0.28786794523162001</v>
      </c>
      <c r="K172">
        <v>1.38662316476345E-2</v>
      </c>
      <c r="L172">
        <v>1.22937407928379E-2</v>
      </c>
      <c r="M172">
        <v>1.7316017316017301E-3</v>
      </c>
      <c r="N172">
        <v>3.6320912624936402E-3</v>
      </c>
      <c r="O172">
        <v>781</v>
      </c>
      <c r="P172">
        <v>0.21843434343434301</v>
      </c>
      <c r="Q172">
        <v>0.218556050352396</v>
      </c>
      <c r="R172">
        <v>0</v>
      </c>
      <c r="S172">
        <v>0</v>
      </c>
      <c r="T172" t="s">
        <v>28</v>
      </c>
      <c r="U172">
        <v>4.1239892183288399E-2</v>
      </c>
      <c r="V172">
        <v>0</v>
      </c>
      <c r="W172">
        <v>0</v>
      </c>
      <c r="X172">
        <v>2.25056341483417E-2</v>
      </c>
      <c r="Y172">
        <v>6.48100868214911E-2</v>
      </c>
      <c r="Z172">
        <v>0.13251344256560299</v>
      </c>
      <c r="AA172">
        <v>0</v>
      </c>
      <c r="AB172">
        <f t="shared" si="14"/>
        <v>5.8851489692121027E-2</v>
      </c>
      <c r="AC172">
        <f t="shared" si="19"/>
        <v>0.25</v>
      </c>
      <c r="AD172">
        <f t="shared" si="15"/>
        <v>0</v>
      </c>
      <c r="AE172">
        <f t="shared" si="20"/>
        <v>7.3564362115151286E-2</v>
      </c>
      <c r="AF172" t="str">
        <f t="shared" si="16"/>
        <v>Very Low</v>
      </c>
      <c r="AG172" t="str">
        <f t="shared" si="17"/>
        <v>NO ACTION</v>
      </c>
      <c r="AH172" t="str">
        <f t="shared" si="18"/>
        <v/>
      </c>
    </row>
    <row r="173" spans="1:34" x14ac:dyDescent="0.3">
      <c r="A173" t="s">
        <v>200</v>
      </c>
      <c r="B173">
        <v>0.12892249527410199</v>
      </c>
      <c r="C173">
        <v>0.18476582604220201</v>
      </c>
      <c r="D173">
        <v>0</v>
      </c>
      <c r="E173">
        <v>0</v>
      </c>
      <c r="F173">
        <v>0</v>
      </c>
      <c r="G173">
        <v>0.99367005702345901</v>
      </c>
      <c r="H173">
        <v>7</v>
      </c>
      <c r="I173">
        <v>7</v>
      </c>
      <c r="J173">
        <v>0.25747817375125198</v>
      </c>
      <c r="K173">
        <v>1.0603588907014599E-2</v>
      </c>
      <c r="L173">
        <v>1.05096664462326E-2</v>
      </c>
      <c r="M173">
        <v>2.0202020202020202E-3</v>
      </c>
      <c r="N173">
        <v>4.7371156960198E-3</v>
      </c>
      <c r="O173">
        <v>746</v>
      </c>
      <c r="P173">
        <v>0.19483024691358</v>
      </c>
      <c r="Q173">
        <v>0.19495774746660099</v>
      </c>
      <c r="R173">
        <v>0</v>
      </c>
      <c r="S173">
        <v>0</v>
      </c>
      <c r="T173" t="s">
        <v>28</v>
      </c>
      <c r="U173">
        <v>2.75943396226415E-2</v>
      </c>
      <c r="V173">
        <v>0</v>
      </c>
      <c r="W173">
        <v>0</v>
      </c>
      <c r="X173">
        <v>0</v>
      </c>
      <c r="Y173">
        <v>5.8171602682172703E-2</v>
      </c>
      <c r="Z173">
        <v>0.118792994426556</v>
      </c>
      <c r="AA173">
        <v>0</v>
      </c>
      <c r="AB173">
        <f t="shared" si="14"/>
        <v>4.9550087190444042E-2</v>
      </c>
      <c r="AC173">
        <f t="shared" si="19"/>
        <v>0.25</v>
      </c>
      <c r="AD173">
        <f t="shared" si="15"/>
        <v>0</v>
      </c>
      <c r="AE173">
        <f t="shared" si="20"/>
        <v>6.1937608988055053E-2</v>
      </c>
      <c r="AF173" t="str">
        <f t="shared" si="16"/>
        <v>Very Low</v>
      </c>
      <c r="AG173" t="str">
        <f t="shared" si="17"/>
        <v>NO ACTION</v>
      </c>
      <c r="AH173" t="str">
        <f t="shared" si="18"/>
        <v/>
      </c>
    </row>
    <row r="174" spans="1:34" x14ac:dyDescent="0.3">
      <c r="A174" t="s">
        <v>201</v>
      </c>
      <c r="B174">
        <v>0.12892249527410199</v>
      </c>
      <c r="C174">
        <v>0.36953165208440503</v>
      </c>
      <c r="D174">
        <v>0</v>
      </c>
      <c r="E174">
        <v>0</v>
      </c>
      <c r="F174">
        <v>0</v>
      </c>
      <c r="G174">
        <v>0.99367813935850602</v>
      </c>
      <c r="H174">
        <v>8</v>
      </c>
      <c r="I174">
        <v>8</v>
      </c>
      <c r="J174">
        <v>0.224941558131768</v>
      </c>
      <c r="K174">
        <v>1.8760195758564399E-2</v>
      </c>
      <c r="L174">
        <v>2.1280704323315101E-2</v>
      </c>
      <c r="M174">
        <v>8.3694083694083696E-2</v>
      </c>
      <c r="N174">
        <v>0.22460867757477901</v>
      </c>
      <c r="O174">
        <v>678</v>
      </c>
      <c r="P174">
        <v>0.21412037037036999</v>
      </c>
      <c r="Q174">
        <v>0.214243136154844</v>
      </c>
      <c r="R174">
        <v>0</v>
      </c>
      <c r="S174">
        <v>0</v>
      </c>
      <c r="T174" t="s">
        <v>28</v>
      </c>
      <c r="U174">
        <v>1.3421513324255901E-3</v>
      </c>
      <c r="V174">
        <v>0</v>
      </c>
      <c r="W174">
        <v>0</v>
      </c>
      <c r="X174">
        <v>0</v>
      </c>
      <c r="Y174">
        <v>0.123011267060445</v>
      </c>
      <c r="Z174">
        <v>0.21831569325213299</v>
      </c>
      <c r="AA174">
        <v>0</v>
      </c>
      <c r="AB174">
        <f t="shared" si="14"/>
        <v>9.557154888752184E-2</v>
      </c>
      <c r="AC174">
        <f t="shared" si="19"/>
        <v>0.25</v>
      </c>
      <c r="AD174">
        <f t="shared" si="15"/>
        <v>0</v>
      </c>
      <c r="AE174">
        <f t="shared" si="20"/>
        <v>0.1194644361094023</v>
      </c>
      <c r="AF174" t="str">
        <f t="shared" si="16"/>
        <v>Very Low</v>
      </c>
      <c r="AG174" t="str">
        <f t="shared" si="17"/>
        <v>NO ACTION</v>
      </c>
      <c r="AH174" t="str">
        <f t="shared" si="18"/>
        <v/>
      </c>
    </row>
    <row r="175" spans="1:34" x14ac:dyDescent="0.3">
      <c r="A175" t="s">
        <v>202</v>
      </c>
      <c r="B175">
        <v>0.12892249527410199</v>
      </c>
      <c r="C175">
        <v>0.27580985626589599</v>
      </c>
      <c r="D175">
        <v>7.5124914167671697E-2</v>
      </c>
      <c r="E175">
        <v>0</v>
      </c>
      <c r="F175">
        <v>0</v>
      </c>
      <c r="G175">
        <v>0.99364527476434295</v>
      </c>
      <c r="H175">
        <v>7</v>
      </c>
      <c r="I175">
        <v>8</v>
      </c>
      <c r="J175">
        <v>0.21673584275559299</v>
      </c>
      <c r="K175">
        <v>1.30505709624796E-2</v>
      </c>
      <c r="L175">
        <v>1.53638368561121E-2</v>
      </c>
      <c r="M175">
        <v>3.1746031746031698E-3</v>
      </c>
      <c r="N175">
        <v>8.8418422191509204E-3</v>
      </c>
      <c r="O175">
        <v>630</v>
      </c>
      <c r="P175">
        <v>0.16649130190796799</v>
      </c>
      <c r="Q175">
        <v>0.16662575826641801</v>
      </c>
      <c r="R175">
        <v>0</v>
      </c>
      <c r="S175">
        <v>0</v>
      </c>
      <c r="T175" t="s">
        <v>28</v>
      </c>
      <c r="U175">
        <v>2.26415094339622E-2</v>
      </c>
      <c r="V175">
        <v>0</v>
      </c>
      <c r="W175">
        <v>0</v>
      </c>
      <c r="X175">
        <v>2.25374742503015E-2</v>
      </c>
      <c r="Y175">
        <v>5.36816396449201E-2</v>
      </c>
      <c r="Z175">
        <v>0.10343151803244099</v>
      </c>
      <c r="AA175">
        <v>0</v>
      </c>
      <c r="AB175">
        <f t="shared" si="14"/>
        <v>4.7597680029709349E-2</v>
      </c>
      <c r="AC175">
        <f t="shared" si="19"/>
        <v>0.25</v>
      </c>
      <c r="AD175">
        <f t="shared" si="15"/>
        <v>0</v>
      </c>
      <c r="AE175">
        <f t="shared" si="20"/>
        <v>5.9497100037136687E-2</v>
      </c>
      <c r="AF175" t="str">
        <f t="shared" si="16"/>
        <v>Very Low</v>
      </c>
      <c r="AG175" t="str">
        <f t="shared" si="17"/>
        <v>NO ACTION</v>
      </c>
      <c r="AH175" t="str">
        <f t="shared" si="18"/>
        <v/>
      </c>
    </row>
    <row r="176" spans="1:34" x14ac:dyDescent="0.3">
      <c r="A176" t="s">
        <v>203</v>
      </c>
      <c r="B176">
        <v>0.23478260869565201</v>
      </c>
      <c r="C176">
        <v>0.473000514668038</v>
      </c>
      <c r="D176">
        <v>0.36080308494752</v>
      </c>
      <c r="E176">
        <v>0</v>
      </c>
      <c r="F176">
        <v>0.29120000000000001</v>
      </c>
      <c r="G176">
        <v>0.48141140546451799</v>
      </c>
      <c r="H176">
        <v>6</v>
      </c>
      <c r="I176">
        <v>13</v>
      </c>
      <c r="J176">
        <v>0.249033920137398</v>
      </c>
      <c r="K176">
        <v>4.3230016313213701E-2</v>
      </c>
      <c r="L176">
        <v>4.42985728605826E-2</v>
      </c>
      <c r="M176">
        <v>6.9264069264069203E-3</v>
      </c>
      <c r="N176">
        <v>1.6791731394602199E-2</v>
      </c>
      <c r="O176">
        <v>716</v>
      </c>
      <c r="P176">
        <v>0.205036475869809</v>
      </c>
      <c r="Q176">
        <v>0.205161471299835</v>
      </c>
      <c r="R176">
        <v>0</v>
      </c>
      <c r="S176">
        <v>0</v>
      </c>
      <c r="T176" t="s">
        <v>28</v>
      </c>
      <c r="U176">
        <v>3.5999999999999997E-2</v>
      </c>
      <c r="V176">
        <v>0</v>
      </c>
      <c r="W176">
        <v>0</v>
      </c>
      <c r="X176">
        <v>0.22472092548425601</v>
      </c>
      <c r="Y176">
        <v>7.69935898761515E-2</v>
      </c>
      <c r="Z176">
        <v>0.129738578079726</v>
      </c>
      <c r="AA176">
        <v>0</v>
      </c>
      <c r="AB176">
        <f t="shared" si="14"/>
        <v>9.3840355105126672E-2</v>
      </c>
      <c r="AC176">
        <f t="shared" si="19"/>
        <v>0.25</v>
      </c>
      <c r="AD176">
        <f t="shared" si="15"/>
        <v>0</v>
      </c>
      <c r="AE176">
        <f t="shared" si="20"/>
        <v>0.11730044388140834</v>
      </c>
      <c r="AF176" t="str">
        <f t="shared" si="16"/>
        <v>Very Low</v>
      </c>
      <c r="AG176" t="str">
        <f t="shared" si="17"/>
        <v>NO ACTION</v>
      </c>
      <c r="AH176" t="str">
        <f t="shared" si="18"/>
        <v/>
      </c>
    </row>
    <row r="177" spans="1:34" x14ac:dyDescent="0.3">
      <c r="A177" t="s">
        <v>204</v>
      </c>
      <c r="B177">
        <v>0.12892249527410199</v>
      </c>
      <c r="C177">
        <v>0.18476582604220201</v>
      </c>
      <c r="D177">
        <v>0</v>
      </c>
      <c r="E177">
        <v>0</v>
      </c>
      <c r="F177">
        <v>0</v>
      </c>
      <c r="G177">
        <v>0.99364385634130503</v>
      </c>
      <c r="H177">
        <v>7</v>
      </c>
      <c r="I177">
        <v>7</v>
      </c>
      <c r="J177">
        <v>0.27274462096273999</v>
      </c>
      <c r="K177">
        <v>9.7879282218597003E-3</v>
      </c>
      <c r="L177">
        <v>9.1586940783290292E-3</v>
      </c>
      <c r="M177">
        <v>4.6176046176046098E-3</v>
      </c>
      <c r="N177">
        <v>1.0222159680391E-2</v>
      </c>
      <c r="O177">
        <v>733</v>
      </c>
      <c r="P177">
        <v>0.20696548821548799</v>
      </c>
      <c r="Q177">
        <v>0.20709001016865899</v>
      </c>
      <c r="R177">
        <v>0</v>
      </c>
      <c r="S177">
        <v>0</v>
      </c>
      <c r="T177" t="s">
        <v>28</v>
      </c>
      <c r="U177">
        <v>1.19866814650388E-2</v>
      </c>
      <c r="V177">
        <v>0</v>
      </c>
      <c r="W177">
        <v>0</v>
      </c>
      <c r="X177">
        <v>0</v>
      </c>
      <c r="Y177">
        <v>6.2194919135829897E-2</v>
      </c>
      <c r="Z177">
        <v>0.12826815680144901</v>
      </c>
      <c r="AA177">
        <v>0</v>
      </c>
      <c r="AB177">
        <f t="shared" si="14"/>
        <v>5.3329661262438099E-2</v>
      </c>
      <c r="AC177">
        <f t="shared" si="19"/>
        <v>0.25</v>
      </c>
      <c r="AD177">
        <f t="shared" si="15"/>
        <v>0</v>
      </c>
      <c r="AE177">
        <f t="shared" si="20"/>
        <v>6.6662076578047624E-2</v>
      </c>
      <c r="AF177" t="str">
        <f t="shared" si="16"/>
        <v>Very Low</v>
      </c>
      <c r="AG177" t="str">
        <f t="shared" si="17"/>
        <v>NO ACTION</v>
      </c>
      <c r="AH177" t="str">
        <f t="shared" si="18"/>
        <v/>
      </c>
    </row>
    <row r="178" spans="1:34" x14ac:dyDescent="0.3">
      <c r="A178" t="s">
        <v>205</v>
      </c>
      <c r="B178">
        <v>0.229111531190926</v>
      </c>
      <c r="C178">
        <v>0.66394539456476698</v>
      </c>
      <c r="D178">
        <v>0.362739811006621</v>
      </c>
      <c r="E178">
        <v>0</v>
      </c>
      <c r="F178">
        <v>0</v>
      </c>
      <c r="G178">
        <v>0.496823960195797</v>
      </c>
      <c r="H178">
        <v>7</v>
      </c>
      <c r="I178">
        <v>14</v>
      </c>
      <c r="J178">
        <v>0.247173321883497</v>
      </c>
      <c r="K178">
        <v>1.38662316476345E-2</v>
      </c>
      <c r="L178">
        <v>1.43158312086286E-2</v>
      </c>
      <c r="M178">
        <v>4.3290043290043203E-3</v>
      </c>
      <c r="N178">
        <v>1.05737558494982E-2</v>
      </c>
      <c r="O178">
        <v>717</v>
      </c>
      <c r="P178">
        <v>0.189779741863075</v>
      </c>
      <c r="Q178">
        <v>0.18990848206458799</v>
      </c>
      <c r="R178">
        <v>0.30825958702064898</v>
      </c>
      <c r="S178">
        <v>1</v>
      </c>
      <c r="T178" t="s">
        <v>28</v>
      </c>
      <c r="U178">
        <v>1.8042452830188599E-2</v>
      </c>
      <c r="V178">
        <v>0</v>
      </c>
      <c r="W178">
        <v>0</v>
      </c>
      <c r="X178">
        <v>0.108821943301986</v>
      </c>
      <c r="Y178">
        <v>5.9764706735863302E-2</v>
      </c>
      <c r="Z178">
        <v>0.118097347457644</v>
      </c>
      <c r="AA178">
        <v>0.30825958702064898</v>
      </c>
      <c r="AB178">
        <f t="shared" si="14"/>
        <v>0.15352557046828152</v>
      </c>
      <c r="AC178">
        <f t="shared" si="19"/>
        <v>0.25</v>
      </c>
      <c r="AD178">
        <f t="shared" si="15"/>
        <v>0</v>
      </c>
      <c r="AE178">
        <f t="shared" si="20"/>
        <v>0.19190696308535191</v>
      </c>
      <c r="AF178" t="str">
        <f t="shared" si="16"/>
        <v>Very Low</v>
      </c>
      <c r="AG178" t="str">
        <f t="shared" si="17"/>
        <v>NO ACTION</v>
      </c>
      <c r="AH178" t="str">
        <f t="shared" si="18"/>
        <v/>
      </c>
    </row>
    <row r="179" spans="1:34" x14ac:dyDescent="0.3">
      <c r="A179" t="s">
        <v>206</v>
      </c>
      <c r="B179">
        <v>0.235538752362948</v>
      </c>
      <c r="C179">
        <v>0.58406039428332601</v>
      </c>
      <c r="D179">
        <v>0.36698844291411198</v>
      </c>
      <c r="E179">
        <v>0</v>
      </c>
      <c r="F179">
        <v>0</v>
      </c>
      <c r="G179">
        <v>0.47932913108077102</v>
      </c>
      <c r="H179">
        <v>7</v>
      </c>
      <c r="I179">
        <v>13</v>
      </c>
      <c r="J179">
        <v>0.33319021039072499</v>
      </c>
      <c r="K179">
        <v>1.6313213703099499E-2</v>
      </c>
      <c r="L179">
        <v>1.24972689264555E-2</v>
      </c>
      <c r="M179">
        <v>1.8470418470418401E-2</v>
      </c>
      <c r="N179">
        <v>3.3476146911545303E-2</v>
      </c>
      <c r="O179">
        <v>885</v>
      </c>
      <c r="P179">
        <v>0.26094276094275998</v>
      </c>
      <c r="Q179">
        <v>0.26105403415266998</v>
      </c>
      <c r="R179">
        <v>0</v>
      </c>
      <c r="S179">
        <v>0</v>
      </c>
      <c r="T179" t="s">
        <v>28</v>
      </c>
      <c r="U179">
        <v>5.22496371552975E-3</v>
      </c>
      <c r="V179">
        <v>0</v>
      </c>
      <c r="W179">
        <v>0</v>
      </c>
      <c r="X179">
        <v>0.110096532874233</v>
      </c>
      <c r="Y179">
        <v>8.2929520614836494E-2</v>
      </c>
      <c r="Z179">
        <v>0.16995611533027399</v>
      </c>
      <c r="AA179">
        <v>0</v>
      </c>
      <c r="AB179">
        <f t="shared" si="14"/>
        <v>8.8423423324508227E-2</v>
      </c>
      <c r="AC179">
        <f t="shared" si="19"/>
        <v>0.25</v>
      </c>
      <c r="AD179">
        <f t="shared" si="15"/>
        <v>0</v>
      </c>
      <c r="AE179">
        <f t="shared" si="20"/>
        <v>0.11052927915563529</v>
      </c>
      <c r="AF179" t="str">
        <f t="shared" si="16"/>
        <v>Very Low</v>
      </c>
      <c r="AG179" t="str">
        <f t="shared" si="17"/>
        <v>NO ACTION</v>
      </c>
      <c r="AH179" t="str">
        <f t="shared" si="18"/>
        <v/>
      </c>
    </row>
    <row r="180" spans="1:34" x14ac:dyDescent="0.3">
      <c r="A180" t="s">
        <v>207</v>
      </c>
      <c r="B180">
        <v>0.12892249527410199</v>
      </c>
      <c r="C180">
        <v>0.46486010725980198</v>
      </c>
      <c r="D180">
        <v>7.50946055673926E-2</v>
      </c>
      <c r="E180">
        <v>0</v>
      </c>
      <c r="F180">
        <v>0</v>
      </c>
      <c r="G180">
        <v>0.99369082487775096</v>
      </c>
      <c r="H180">
        <v>8</v>
      </c>
      <c r="I180">
        <v>9</v>
      </c>
      <c r="J180">
        <v>0.27393731215113698</v>
      </c>
      <c r="K180">
        <v>6.5252854812398002E-3</v>
      </c>
      <c r="L180">
        <v>6.0792352550546602E-3</v>
      </c>
      <c r="M180">
        <v>1.1544011544011501E-3</v>
      </c>
      <c r="N180">
        <v>2.54442307687479E-3</v>
      </c>
      <c r="O180">
        <v>789</v>
      </c>
      <c r="P180">
        <v>0.204755892255892</v>
      </c>
      <c r="Q180">
        <v>0.20488095655527799</v>
      </c>
      <c r="R180">
        <v>0</v>
      </c>
      <c r="S180">
        <v>0</v>
      </c>
      <c r="T180" t="s">
        <v>28</v>
      </c>
      <c r="U180">
        <v>2.7169811320754699E-2</v>
      </c>
      <c r="V180">
        <v>0</v>
      </c>
      <c r="W180">
        <v>0</v>
      </c>
      <c r="X180">
        <v>2.2528381670217701E-2</v>
      </c>
      <c r="Y180">
        <v>5.85904069808173E-2</v>
      </c>
      <c r="Z180">
        <v>0.123871304584285</v>
      </c>
      <c r="AA180">
        <v>0</v>
      </c>
      <c r="AB180">
        <f t="shared" si="14"/>
        <v>5.4693820305463478E-2</v>
      </c>
      <c r="AC180">
        <f t="shared" si="19"/>
        <v>0.25</v>
      </c>
      <c r="AD180">
        <f t="shared" si="15"/>
        <v>0</v>
      </c>
      <c r="AE180">
        <f t="shared" si="20"/>
        <v>6.8367275381829351E-2</v>
      </c>
      <c r="AF180" t="str">
        <f t="shared" si="16"/>
        <v>Very Low</v>
      </c>
      <c r="AG180" t="str">
        <f t="shared" si="17"/>
        <v>NO ACTION</v>
      </c>
      <c r="AH180" t="str">
        <f t="shared" si="18"/>
        <v/>
      </c>
    </row>
    <row r="181" spans="1:34" x14ac:dyDescent="0.3">
      <c r="A181" t="s">
        <v>208</v>
      </c>
      <c r="B181">
        <v>0.12892249527410199</v>
      </c>
      <c r="C181">
        <v>0.27741651562278502</v>
      </c>
      <c r="D181">
        <v>7.5132489407342906E-2</v>
      </c>
      <c r="E181">
        <v>0</v>
      </c>
      <c r="F181">
        <v>0</v>
      </c>
      <c r="G181">
        <v>0.99368638226974604</v>
      </c>
      <c r="H181">
        <v>7</v>
      </c>
      <c r="I181">
        <v>8</v>
      </c>
      <c r="J181">
        <v>0.21144029387910801</v>
      </c>
      <c r="K181">
        <v>6.5252854812398002E-3</v>
      </c>
      <c r="L181">
        <v>7.8740962386295004E-3</v>
      </c>
      <c r="M181">
        <v>2.88600288600288E-4</v>
      </c>
      <c r="N181">
        <v>8.2391252100515102E-4</v>
      </c>
      <c r="O181">
        <v>652</v>
      </c>
      <c r="P181">
        <v>0.15838945005611599</v>
      </c>
      <c r="Q181">
        <v>0.15852589501735601</v>
      </c>
      <c r="R181">
        <v>0</v>
      </c>
      <c r="S181">
        <v>0</v>
      </c>
      <c r="T181" t="s">
        <v>28</v>
      </c>
      <c r="U181">
        <v>6.7924528301886694E-2</v>
      </c>
      <c r="V181">
        <v>0</v>
      </c>
      <c r="W181">
        <v>0</v>
      </c>
      <c r="X181">
        <v>2.2539746822202798E-2</v>
      </c>
      <c r="Y181">
        <v>4.6472280651437999E-2</v>
      </c>
      <c r="Z181">
        <v>9.53632350420721E-2</v>
      </c>
      <c r="AA181">
        <v>0</v>
      </c>
      <c r="AB181">
        <f t="shared" si="14"/>
        <v>4.3320303885735281E-2</v>
      </c>
      <c r="AC181">
        <f t="shared" si="19"/>
        <v>0.25</v>
      </c>
      <c r="AD181">
        <f t="shared" si="15"/>
        <v>0</v>
      </c>
      <c r="AE181">
        <f t="shared" si="20"/>
        <v>5.4150379857169098E-2</v>
      </c>
      <c r="AF181" t="str">
        <f t="shared" si="16"/>
        <v>Very Low</v>
      </c>
      <c r="AG181" t="str">
        <f t="shared" si="17"/>
        <v>NO ACTION</v>
      </c>
      <c r="AH181" t="str">
        <f t="shared" si="18"/>
        <v/>
      </c>
    </row>
    <row r="182" spans="1:34" x14ac:dyDescent="0.3">
      <c r="A182" t="s">
        <v>209</v>
      </c>
      <c r="B182">
        <v>0.12892249527410199</v>
      </c>
      <c r="C182">
        <v>0</v>
      </c>
      <c r="D182">
        <v>0</v>
      </c>
      <c r="E182">
        <v>0</v>
      </c>
      <c r="F182">
        <v>1</v>
      </c>
      <c r="G182">
        <v>0.99368418772844203</v>
      </c>
      <c r="H182">
        <v>6</v>
      </c>
      <c r="I182">
        <v>6</v>
      </c>
      <c r="J182">
        <v>0.32574781737512498</v>
      </c>
      <c r="K182">
        <v>1.6313213703099499E-2</v>
      </c>
      <c r="L182">
        <v>1.2782586349626399E-2</v>
      </c>
      <c r="M182">
        <v>5.1948051948051896E-3</v>
      </c>
      <c r="N182">
        <v>9.6301181622416698E-3</v>
      </c>
      <c r="O182">
        <v>891</v>
      </c>
      <c r="P182">
        <v>0.24901795735129001</v>
      </c>
      <c r="Q182">
        <v>0.24913215750902901</v>
      </c>
      <c r="R182">
        <v>0</v>
      </c>
      <c r="S182">
        <v>0</v>
      </c>
      <c r="T182" t="s">
        <v>28</v>
      </c>
      <c r="U182">
        <v>1.7874875868917499E-2</v>
      </c>
      <c r="V182">
        <v>0</v>
      </c>
      <c r="W182">
        <v>0</v>
      </c>
      <c r="X182">
        <v>0.4</v>
      </c>
      <c r="Y182">
        <v>7.4429892098510794E-2</v>
      </c>
      <c r="Z182">
        <v>0.15326282167567101</v>
      </c>
      <c r="AA182">
        <v>0</v>
      </c>
      <c r="AB182">
        <f t="shared" si="14"/>
        <v>0.1277539598567709</v>
      </c>
      <c r="AC182">
        <f t="shared" si="19"/>
        <v>0.25</v>
      </c>
      <c r="AD182">
        <f t="shared" si="15"/>
        <v>0.08</v>
      </c>
      <c r="AE182">
        <f t="shared" si="20"/>
        <v>0.1699127666095053</v>
      </c>
      <c r="AF182" t="str">
        <f t="shared" si="16"/>
        <v>Very Low</v>
      </c>
      <c r="AG182" t="str">
        <f t="shared" si="17"/>
        <v>NO ACTION</v>
      </c>
      <c r="AH182" t="str">
        <f t="shared" si="18"/>
        <v/>
      </c>
    </row>
    <row r="183" spans="1:34" x14ac:dyDescent="0.3">
      <c r="A183" t="s">
        <v>210</v>
      </c>
      <c r="B183">
        <v>0.241209829867674</v>
      </c>
      <c r="C183">
        <v>0.756618935615188</v>
      </c>
      <c r="D183">
        <v>0.36104195698918901</v>
      </c>
      <c r="E183">
        <v>0</v>
      </c>
      <c r="F183">
        <v>0</v>
      </c>
      <c r="G183">
        <v>0.464731497463795</v>
      </c>
      <c r="H183">
        <v>8</v>
      </c>
      <c r="I183">
        <v>18</v>
      </c>
      <c r="J183">
        <v>0.26706741090596797</v>
      </c>
      <c r="K183">
        <v>1.0603588907014599E-2</v>
      </c>
      <c r="L183">
        <v>1.0132646464848899E-2</v>
      </c>
      <c r="M183">
        <v>2.88600288600288E-4</v>
      </c>
      <c r="N183">
        <v>6.5245401672315803E-4</v>
      </c>
      <c r="O183">
        <v>675</v>
      </c>
      <c r="P183">
        <v>0.201038159371492</v>
      </c>
      <c r="Q183">
        <v>0.201164136189908</v>
      </c>
      <c r="R183">
        <v>0</v>
      </c>
      <c r="S183">
        <v>0</v>
      </c>
      <c r="T183" t="s">
        <v>28</v>
      </c>
      <c r="U183">
        <v>0.110377358490566</v>
      </c>
      <c r="V183">
        <v>0</v>
      </c>
      <c r="W183">
        <v>0</v>
      </c>
      <c r="X183">
        <v>0.10831258709675599</v>
      </c>
      <c r="Y183">
        <v>5.8675541618635002E-2</v>
      </c>
      <c r="Z183">
        <v>0.12088387722958401</v>
      </c>
      <c r="AA183">
        <v>0</v>
      </c>
      <c r="AB183">
        <f t="shared" si="14"/>
        <v>6.7606651212982288E-2</v>
      </c>
      <c r="AC183">
        <f t="shared" si="19"/>
        <v>0.25</v>
      </c>
      <c r="AD183">
        <f t="shared" si="15"/>
        <v>0</v>
      </c>
      <c r="AE183">
        <f t="shared" si="20"/>
        <v>8.4508314016227853E-2</v>
      </c>
      <c r="AF183" t="str">
        <f t="shared" si="16"/>
        <v>Very Low</v>
      </c>
      <c r="AG183" t="str">
        <f t="shared" si="17"/>
        <v>NO ACTION</v>
      </c>
      <c r="AH183" t="str">
        <f t="shared" si="18"/>
        <v/>
      </c>
    </row>
    <row r="184" spans="1:34" x14ac:dyDescent="0.3">
      <c r="A184" t="s">
        <v>211</v>
      </c>
      <c r="B184">
        <v>0.12892249527410199</v>
      </c>
      <c r="C184">
        <v>0.36953165208440503</v>
      </c>
      <c r="D184">
        <v>0</v>
      </c>
      <c r="E184">
        <v>0</v>
      </c>
      <c r="F184">
        <v>0</v>
      </c>
      <c r="G184">
        <v>0.99368598082926296</v>
      </c>
      <c r="H184">
        <v>8</v>
      </c>
      <c r="I184">
        <v>8</v>
      </c>
      <c r="J184">
        <v>0.207957635608988</v>
      </c>
      <c r="K184">
        <v>8.9722675367047301E-3</v>
      </c>
      <c r="L184">
        <v>1.10079919545941E-2</v>
      </c>
      <c r="M184">
        <v>5.7720057720057698E-4</v>
      </c>
      <c r="N184">
        <v>1.6753894847386999E-3</v>
      </c>
      <c r="O184">
        <v>543</v>
      </c>
      <c r="P184">
        <v>0.157021604938271</v>
      </c>
      <c r="Q184">
        <v>0.157158385637645</v>
      </c>
      <c r="R184">
        <v>0</v>
      </c>
      <c r="S184">
        <v>0</v>
      </c>
      <c r="T184" t="s">
        <v>28</v>
      </c>
      <c r="U184">
        <v>6.2264150943396199E-2</v>
      </c>
      <c r="V184">
        <v>0</v>
      </c>
      <c r="W184">
        <v>0</v>
      </c>
      <c r="X184">
        <v>0</v>
      </c>
      <c r="Y184">
        <v>4.7598139944516303E-2</v>
      </c>
      <c r="Z184">
        <v>9.4883118756858398E-2</v>
      </c>
      <c r="AA184">
        <v>0</v>
      </c>
      <c r="AB184">
        <f t="shared" si="14"/>
        <v>3.989475243638492E-2</v>
      </c>
      <c r="AC184">
        <f t="shared" si="19"/>
        <v>0.25</v>
      </c>
      <c r="AD184">
        <f t="shared" si="15"/>
        <v>0</v>
      </c>
      <c r="AE184">
        <f t="shared" si="20"/>
        <v>4.9868440545481146E-2</v>
      </c>
      <c r="AF184" t="str">
        <f t="shared" si="16"/>
        <v>Very Low</v>
      </c>
      <c r="AG184" t="str">
        <f t="shared" si="17"/>
        <v>NO ACTION</v>
      </c>
      <c r="AH184" t="str">
        <f t="shared" si="18"/>
        <v/>
      </c>
    </row>
    <row r="185" spans="1:34" x14ac:dyDescent="0.3">
      <c r="A185" t="s">
        <v>212</v>
      </c>
      <c r="B185">
        <v>0.235538752362948</v>
      </c>
      <c r="C185">
        <v>0.60144665223626104</v>
      </c>
      <c r="D185">
        <v>0.382085679804894</v>
      </c>
      <c r="E185">
        <v>0</v>
      </c>
      <c r="F185">
        <v>0</v>
      </c>
      <c r="G185">
        <v>0.47939013430139898</v>
      </c>
      <c r="H185">
        <v>7</v>
      </c>
      <c r="I185">
        <v>13</v>
      </c>
      <c r="J185">
        <v>0.28424216401889202</v>
      </c>
      <c r="K185">
        <v>8.1566068515497494E-3</v>
      </c>
      <c r="L185">
        <v>7.3237810269158E-3</v>
      </c>
      <c r="M185">
        <v>3.1746031746031698E-3</v>
      </c>
      <c r="N185">
        <v>6.7437025679521001E-3</v>
      </c>
      <c r="O185">
        <v>695</v>
      </c>
      <c r="P185">
        <v>0.21401515151515099</v>
      </c>
      <c r="Q185">
        <v>0.214137943125635</v>
      </c>
      <c r="R185">
        <v>0</v>
      </c>
      <c r="S185">
        <v>0</v>
      </c>
      <c r="T185" t="s">
        <v>28</v>
      </c>
      <c r="U185">
        <v>1.41509433962264E-2</v>
      </c>
      <c r="V185">
        <v>0</v>
      </c>
      <c r="W185">
        <v>0</v>
      </c>
      <c r="X185">
        <v>0.114625703941468</v>
      </c>
      <c r="Y185">
        <v>6.2533434087621895E-2</v>
      </c>
      <c r="Z185">
        <v>0.13110657193627101</v>
      </c>
      <c r="AA185">
        <v>0</v>
      </c>
      <c r="AB185">
        <f t="shared" si="14"/>
        <v>7.2559314317324902E-2</v>
      </c>
      <c r="AC185">
        <f t="shared" si="19"/>
        <v>0.25</v>
      </c>
      <c r="AD185">
        <f t="shared" si="15"/>
        <v>0</v>
      </c>
      <c r="AE185">
        <f t="shared" si="20"/>
        <v>9.0699142896656121E-2</v>
      </c>
      <c r="AF185" t="str">
        <f t="shared" si="16"/>
        <v>Very Low</v>
      </c>
      <c r="AG185" t="str">
        <f t="shared" si="17"/>
        <v>NO ACTION</v>
      </c>
      <c r="AH185" t="str">
        <f t="shared" si="18"/>
        <v/>
      </c>
    </row>
    <row r="186" spans="1:34" x14ac:dyDescent="0.3">
      <c r="A186" t="s">
        <v>213</v>
      </c>
      <c r="B186">
        <v>0.12892249527410199</v>
      </c>
      <c r="C186">
        <v>0.55429747812660801</v>
      </c>
      <c r="D186">
        <v>0</v>
      </c>
      <c r="E186">
        <v>0</v>
      </c>
      <c r="F186">
        <v>0</v>
      </c>
      <c r="G186">
        <v>0.99369475899448001</v>
      </c>
      <c r="H186">
        <v>9</v>
      </c>
      <c r="I186">
        <v>9</v>
      </c>
      <c r="J186">
        <v>0.195171986069366</v>
      </c>
      <c r="K186">
        <v>2.4469820554649199E-3</v>
      </c>
      <c r="L186">
        <v>3.1986112985961102E-3</v>
      </c>
      <c r="M186">
        <v>8.6580086580086504E-4</v>
      </c>
      <c r="N186">
        <v>2.6775145427489098E-3</v>
      </c>
      <c r="O186">
        <v>538</v>
      </c>
      <c r="P186">
        <v>0.14495650953984199</v>
      </c>
      <c r="Q186">
        <v>0.14509625162172499</v>
      </c>
      <c r="R186">
        <v>0</v>
      </c>
      <c r="S186">
        <v>0</v>
      </c>
      <c r="T186" t="s">
        <v>28</v>
      </c>
      <c r="U186">
        <v>1.27358490566037E-2</v>
      </c>
      <c r="V186">
        <v>0</v>
      </c>
      <c r="W186">
        <v>0</v>
      </c>
      <c r="X186">
        <v>0</v>
      </c>
      <c r="Y186">
        <v>4.14369572259961E-2</v>
      </c>
      <c r="Z186">
        <v>8.8044911541005202E-2</v>
      </c>
      <c r="AA186">
        <v>0</v>
      </c>
      <c r="AB186">
        <f t="shared" si="14"/>
        <v>3.6254923254760367E-2</v>
      </c>
      <c r="AC186">
        <f t="shared" si="19"/>
        <v>0.25</v>
      </c>
      <c r="AD186">
        <f t="shared" si="15"/>
        <v>0</v>
      </c>
      <c r="AE186">
        <f t="shared" si="20"/>
        <v>4.531865406845046E-2</v>
      </c>
      <c r="AF186" t="str">
        <f t="shared" si="16"/>
        <v>Very Low</v>
      </c>
      <c r="AG186" t="str">
        <f t="shared" si="17"/>
        <v>NO ACTION</v>
      </c>
      <c r="AH186" t="str">
        <f t="shared" si="18"/>
        <v/>
      </c>
    </row>
    <row r="187" spans="1:34" x14ac:dyDescent="0.3">
      <c r="A187" t="s">
        <v>214</v>
      </c>
      <c r="B187">
        <v>0.12892249527410199</v>
      </c>
      <c r="C187">
        <v>0.18476582604220201</v>
      </c>
      <c r="D187">
        <v>0</v>
      </c>
      <c r="E187">
        <v>0</v>
      </c>
      <c r="F187">
        <v>0</v>
      </c>
      <c r="G187">
        <v>0.99366387484003005</v>
      </c>
      <c r="H187">
        <v>7</v>
      </c>
      <c r="I187">
        <v>7</v>
      </c>
      <c r="J187">
        <v>0.22351032870569101</v>
      </c>
      <c r="K187">
        <v>6.2805872756933098E-2</v>
      </c>
      <c r="L187">
        <v>7.1699816253505605E-2</v>
      </c>
      <c r="M187">
        <v>0.192784992784992</v>
      </c>
      <c r="N187">
        <v>0.520683902688167</v>
      </c>
      <c r="O187">
        <v>980</v>
      </c>
      <c r="P187">
        <v>0.28503787878787801</v>
      </c>
      <c r="Q187">
        <v>0.28514323784143902</v>
      </c>
      <c r="R187">
        <v>0</v>
      </c>
      <c r="S187">
        <v>0</v>
      </c>
      <c r="T187" t="s">
        <v>28</v>
      </c>
      <c r="U187">
        <v>1.9544800744563801E-3</v>
      </c>
      <c r="V187">
        <v>0</v>
      </c>
      <c r="W187">
        <v>0</v>
      </c>
      <c r="X187">
        <v>0</v>
      </c>
      <c r="Y187">
        <v>0.236757144674341</v>
      </c>
      <c r="Z187">
        <v>0.379296288347994</v>
      </c>
      <c r="AA187">
        <v>0</v>
      </c>
      <c r="AB187">
        <f t="shared" si="14"/>
        <v>0.17249496124625383</v>
      </c>
      <c r="AC187">
        <f t="shared" si="19"/>
        <v>0.25</v>
      </c>
      <c r="AD187">
        <f t="shared" si="15"/>
        <v>0</v>
      </c>
      <c r="AE187">
        <f t="shared" si="20"/>
        <v>0.21561870155781729</v>
      </c>
      <c r="AF187" t="str">
        <f t="shared" si="16"/>
        <v>Low</v>
      </c>
      <c r="AG187" t="str">
        <f t="shared" si="17"/>
        <v>NO ACTION</v>
      </c>
      <c r="AH187" t="str">
        <f t="shared" si="18"/>
        <v/>
      </c>
    </row>
    <row r="188" spans="1:34" x14ac:dyDescent="0.3">
      <c r="A188" t="s">
        <v>215</v>
      </c>
      <c r="B188">
        <v>0.236672967863894</v>
      </c>
      <c r="C188">
        <v>0.55840338537198997</v>
      </c>
      <c r="D188">
        <v>0.34387731035698599</v>
      </c>
      <c r="E188">
        <v>0</v>
      </c>
      <c r="F188">
        <v>0</v>
      </c>
      <c r="G188">
        <v>0.47630294742113899</v>
      </c>
      <c r="H188">
        <v>7</v>
      </c>
      <c r="I188">
        <v>13</v>
      </c>
      <c r="J188">
        <v>0.16406659987596001</v>
      </c>
      <c r="K188">
        <v>1.30505709624796E-2</v>
      </c>
      <c r="L188">
        <v>2.0288829855284001E-2</v>
      </c>
      <c r="M188">
        <v>1.7316017316017301E-3</v>
      </c>
      <c r="N188">
        <v>6.3688150796164704E-3</v>
      </c>
      <c r="O188">
        <v>500</v>
      </c>
      <c r="P188">
        <v>0.12706930415263701</v>
      </c>
      <c r="Q188">
        <v>0.127213436656264</v>
      </c>
      <c r="R188">
        <v>0.58702064896755102</v>
      </c>
      <c r="S188">
        <v>1</v>
      </c>
      <c r="T188" t="s">
        <v>28</v>
      </c>
      <c r="U188">
        <v>3.8814016172506703E-2</v>
      </c>
      <c r="V188">
        <v>0</v>
      </c>
      <c r="W188">
        <v>0</v>
      </c>
      <c r="X188">
        <v>0.103163193107096</v>
      </c>
      <c r="Y188">
        <v>4.4868379426718903E-2</v>
      </c>
      <c r="Z188">
        <v>7.8789108523429005E-2</v>
      </c>
      <c r="AA188">
        <v>0.58702064896755102</v>
      </c>
      <c r="AB188">
        <f t="shared" si="14"/>
        <v>0.21549598923409108</v>
      </c>
      <c r="AC188">
        <f t="shared" si="19"/>
        <v>0.25</v>
      </c>
      <c r="AD188">
        <f t="shared" si="15"/>
        <v>0</v>
      </c>
      <c r="AE188">
        <f t="shared" si="20"/>
        <v>0.26936998654261385</v>
      </c>
      <c r="AF188" t="str">
        <f t="shared" si="16"/>
        <v>Low</v>
      </c>
      <c r="AG188" t="str">
        <f t="shared" si="17"/>
        <v>NO ACTION</v>
      </c>
      <c r="AH188" t="str">
        <f t="shared" si="18"/>
        <v/>
      </c>
    </row>
    <row r="189" spans="1:34" x14ac:dyDescent="0.3">
      <c r="A189" t="s">
        <v>216</v>
      </c>
      <c r="B189">
        <v>0.2351606805293</v>
      </c>
      <c r="C189">
        <v>0.65760105498726396</v>
      </c>
      <c r="D189">
        <v>0.36182655201313202</v>
      </c>
      <c r="E189">
        <v>0</v>
      </c>
      <c r="F189">
        <v>0</v>
      </c>
      <c r="G189">
        <v>0.48010146310262197</v>
      </c>
      <c r="H189">
        <v>7</v>
      </c>
      <c r="I189">
        <v>14</v>
      </c>
      <c r="J189">
        <v>0.18801583893898099</v>
      </c>
      <c r="K189">
        <v>2.2838499184339299E-2</v>
      </c>
      <c r="L189">
        <v>3.0988539669994101E-2</v>
      </c>
      <c r="M189">
        <v>6.14718614718614E-2</v>
      </c>
      <c r="N189">
        <v>0.197329971937169</v>
      </c>
      <c r="O189">
        <v>545</v>
      </c>
      <c r="P189">
        <v>0.17792508417508399</v>
      </c>
      <c r="Q189">
        <v>0.178056734107086</v>
      </c>
      <c r="R189">
        <v>0.48082595870206402</v>
      </c>
      <c r="S189">
        <v>1</v>
      </c>
      <c r="T189" t="s">
        <v>28</v>
      </c>
      <c r="U189">
        <v>2.2218303650149802E-3</v>
      </c>
      <c r="V189">
        <v>0</v>
      </c>
      <c r="W189">
        <v>0</v>
      </c>
      <c r="X189">
        <v>0.10854796560393901</v>
      </c>
      <c r="Y189">
        <v>0.112296429203944</v>
      </c>
      <c r="Z189">
        <v>0.185687039279918</v>
      </c>
      <c r="AA189">
        <v>0.48082595870206402</v>
      </c>
      <c r="AB189">
        <f t="shared" si="14"/>
        <v>0.23543431410868954</v>
      </c>
      <c r="AC189">
        <f t="shared" si="19"/>
        <v>0.25</v>
      </c>
      <c r="AD189">
        <f t="shared" si="15"/>
        <v>0</v>
      </c>
      <c r="AE189">
        <f t="shared" si="20"/>
        <v>0.29429289263586189</v>
      </c>
      <c r="AF189" t="str">
        <f t="shared" si="16"/>
        <v>Low</v>
      </c>
      <c r="AG189" t="str">
        <f t="shared" si="17"/>
        <v>NO ACTION</v>
      </c>
      <c r="AH189" t="str">
        <f t="shared" si="18"/>
        <v/>
      </c>
    </row>
    <row r="190" spans="1:34" x14ac:dyDescent="0.3">
      <c r="A190" t="s">
        <v>217</v>
      </c>
      <c r="B190">
        <v>0.12892249527410199</v>
      </c>
      <c r="C190">
        <v>0.290805343596858</v>
      </c>
      <c r="D190">
        <v>7.4307348771143894E-2</v>
      </c>
      <c r="E190">
        <v>0</v>
      </c>
      <c r="F190">
        <v>0</v>
      </c>
      <c r="G190">
        <v>0.99367466020765804</v>
      </c>
      <c r="H190">
        <v>7</v>
      </c>
      <c r="I190">
        <v>8</v>
      </c>
      <c r="J190">
        <v>0.192500357807356</v>
      </c>
      <c r="K190">
        <v>4.5676998368678598E-2</v>
      </c>
      <c r="L190">
        <v>6.0535038385048E-2</v>
      </c>
      <c r="M190">
        <v>6.8398268398268403E-2</v>
      </c>
      <c r="N190">
        <v>0.21445565985169901</v>
      </c>
      <c r="O190">
        <v>612</v>
      </c>
      <c r="P190">
        <v>0.19440937149270399</v>
      </c>
      <c r="Q190">
        <v>0.19453697534976599</v>
      </c>
      <c r="R190">
        <v>0</v>
      </c>
      <c r="S190">
        <v>0</v>
      </c>
      <c r="T190" t="s">
        <v>28</v>
      </c>
      <c r="U190">
        <v>3.9955604883462796E-3</v>
      </c>
      <c r="V190">
        <v>0</v>
      </c>
      <c r="W190">
        <v>0</v>
      </c>
      <c r="X190">
        <v>2.2292204631343099E-2</v>
      </c>
      <c r="Y190">
        <v>0.133104288709505</v>
      </c>
      <c r="Z190">
        <v>0.202427886836302</v>
      </c>
      <c r="AA190">
        <v>0</v>
      </c>
      <c r="AB190">
        <f t="shared" si="14"/>
        <v>9.7515761893840869E-2</v>
      </c>
      <c r="AC190">
        <f t="shared" si="19"/>
        <v>0.25</v>
      </c>
      <c r="AD190">
        <f t="shared" si="15"/>
        <v>0</v>
      </c>
      <c r="AE190">
        <f t="shared" si="20"/>
        <v>0.12189470236730109</v>
      </c>
      <c r="AF190" t="str">
        <f t="shared" si="16"/>
        <v>Very Low</v>
      </c>
      <c r="AG190" t="str">
        <f t="shared" si="17"/>
        <v>NO ACTION</v>
      </c>
      <c r="AH190" t="str">
        <f t="shared" si="18"/>
        <v/>
      </c>
    </row>
    <row r="191" spans="1:34" x14ac:dyDescent="0.3">
      <c r="A191" t="s">
        <v>218</v>
      </c>
      <c r="B191">
        <v>0.20075614366729599</v>
      </c>
      <c r="C191">
        <v>0.68656908817177298</v>
      </c>
      <c r="D191">
        <v>0.385502150606852</v>
      </c>
      <c r="E191">
        <v>0</v>
      </c>
      <c r="F191">
        <v>0</v>
      </c>
      <c r="G191">
        <v>0.47127516319090001</v>
      </c>
      <c r="H191">
        <v>7</v>
      </c>
      <c r="I191">
        <v>18</v>
      </c>
      <c r="J191">
        <v>0.105290778111731</v>
      </c>
      <c r="K191">
        <v>4.8939641109298502E-3</v>
      </c>
      <c r="L191">
        <v>1.1845851608543999E-2</v>
      </c>
      <c r="M191">
        <v>1.7316017316017301E-3</v>
      </c>
      <c r="N191">
        <v>9.9160032252256398E-3</v>
      </c>
      <c r="O191">
        <v>513</v>
      </c>
      <c r="P191">
        <v>8.0352132435465698E-2</v>
      </c>
      <c r="Q191">
        <v>8.05077316876468E-2</v>
      </c>
      <c r="R191">
        <v>0</v>
      </c>
      <c r="S191">
        <v>0</v>
      </c>
      <c r="T191" t="s">
        <v>28</v>
      </c>
      <c r="U191">
        <v>1.4555256064690001E-2</v>
      </c>
      <c r="V191">
        <v>0</v>
      </c>
      <c r="W191">
        <v>0</v>
      </c>
      <c r="X191">
        <v>0.11565064518205501</v>
      </c>
      <c r="Y191">
        <v>2.9955882394185899E-2</v>
      </c>
      <c r="Z191">
        <v>5.21776807513697E-2</v>
      </c>
      <c r="AA191">
        <v>0</v>
      </c>
      <c r="AB191">
        <f t="shared" si="14"/>
        <v>4.1501500909884373E-2</v>
      </c>
      <c r="AC191">
        <f t="shared" si="19"/>
        <v>0.25</v>
      </c>
      <c r="AD191">
        <f t="shared" si="15"/>
        <v>0</v>
      </c>
      <c r="AE191">
        <f t="shared" si="20"/>
        <v>5.1876876137355463E-2</v>
      </c>
      <c r="AF191" t="str">
        <f t="shared" si="16"/>
        <v>Very Low</v>
      </c>
      <c r="AG191" t="str">
        <f t="shared" si="17"/>
        <v>NO ACTION</v>
      </c>
      <c r="AH191" t="str">
        <f t="shared" si="18"/>
        <v/>
      </c>
    </row>
    <row r="192" spans="1:34" x14ac:dyDescent="0.3">
      <c r="A192" t="s">
        <v>219</v>
      </c>
      <c r="B192">
        <v>0.24423440453686199</v>
      </c>
      <c r="C192">
        <v>0.80188368502315899</v>
      </c>
      <c r="D192">
        <v>0.39157159562556199</v>
      </c>
      <c r="E192">
        <v>0</v>
      </c>
      <c r="F192">
        <v>0</v>
      </c>
      <c r="G192">
        <v>0.45709802084906898</v>
      </c>
      <c r="H192">
        <v>8</v>
      </c>
      <c r="I192">
        <v>17</v>
      </c>
      <c r="J192">
        <v>0.18291112065264001</v>
      </c>
      <c r="K192">
        <v>1.38662316476345E-2</v>
      </c>
      <c r="L192">
        <v>1.9338864456355302E-2</v>
      </c>
      <c r="M192">
        <v>6.63780663780663E-3</v>
      </c>
      <c r="N192">
        <v>2.19018225269853E-2</v>
      </c>
      <c r="O192">
        <v>769</v>
      </c>
      <c r="P192">
        <v>0.143658810325477</v>
      </c>
      <c r="Q192">
        <v>0.14379887092815299</v>
      </c>
      <c r="R192">
        <v>0</v>
      </c>
      <c r="S192">
        <v>0</v>
      </c>
      <c r="T192" t="s">
        <v>28</v>
      </c>
      <c r="U192">
        <v>1.20283018867924E-2</v>
      </c>
      <c r="V192">
        <v>0</v>
      </c>
      <c r="W192">
        <v>0</v>
      </c>
      <c r="X192">
        <v>0.117471478687668</v>
      </c>
      <c r="Y192">
        <v>5.28222031168014E-2</v>
      </c>
      <c r="Z192">
        <v>9.4956015206080296E-2</v>
      </c>
      <c r="AA192">
        <v>0</v>
      </c>
      <c r="AB192">
        <f t="shared" si="14"/>
        <v>6.0173337720433762E-2</v>
      </c>
      <c r="AC192">
        <f t="shared" si="19"/>
        <v>0.25</v>
      </c>
      <c r="AD192">
        <f t="shared" si="15"/>
        <v>0</v>
      </c>
      <c r="AE192">
        <f t="shared" si="20"/>
        <v>7.5216672150542202E-2</v>
      </c>
      <c r="AF192" t="str">
        <f t="shared" si="16"/>
        <v>Very Low</v>
      </c>
      <c r="AG192" t="str">
        <f t="shared" si="17"/>
        <v>NO ACTION</v>
      </c>
      <c r="AH192" t="str">
        <f t="shared" si="18"/>
        <v/>
      </c>
    </row>
    <row r="193" spans="1:34" x14ac:dyDescent="0.3">
      <c r="A193" t="s">
        <v>220</v>
      </c>
      <c r="B193">
        <v>0.23629489603024501</v>
      </c>
      <c r="C193">
        <v>0.78253761617873996</v>
      </c>
      <c r="D193">
        <v>0.37769918758938598</v>
      </c>
      <c r="E193">
        <v>0</v>
      </c>
      <c r="F193">
        <v>0</v>
      </c>
      <c r="G193">
        <v>0.47732712963887097</v>
      </c>
      <c r="H193">
        <v>8</v>
      </c>
      <c r="I193">
        <v>14</v>
      </c>
      <c r="J193">
        <v>0.210533848575926</v>
      </c>
      <c r="K193">
        <v>6.5252854812398002E-3</v>
      </c>
      <c r="L193">
        <v>7.9079594863737199E-3</v>
      </c>
      <c r="M193">
        <v>5.7720057720057703E-3</v>
      </c>
      <c r="N193">
        <v>1.6549116594385901E-2</v>
      </c>
      <c r="O193">
        <v>609</v>
      </c>
      <c r="P193">
        <v>0.16038860830527499</v>
      </c>
      <c r="Q193">
        <v>0.16052456257232001</v>
      </c>
      <c r="R193">
        <v>0</v>
      </c>
      <c r="S193">
        <v>0</v>
      </c>
      <c r="T193" t="s">
        <v>28</v>
      </c>
      <c r="U193">
        <v>6.4690026954177804E-3</v>
      </c>
      <c r="V193">
        <v>0</v>
      </c>
      <c r="W193">
        <v>0</v>
      </c>
      <c r="X193">
        <v>0.113309756276816</v>
      </c>
      <c r="Y193">
        <v>5.1025484436687897E-2</v>
      </c>
      <c r="Z193">
        <v>0.102852811620919</v>
      </c>
      <c r="AA193">
        <v>0</v>
      </c>
      <c r="AB193">
        <f t="shared" si="14"/>
        <v>6.1215483900420496E-2</v>
      </c>
      <c r="AC193">
        <f t="shared" si="19"/>
        <v>0.25</v>
      </c>
      <c r="AD193">
        <f t="shared" si="15"/>
        <v>0</v>
      </c>
      <c r="AE193">
        <f t="shared" si="20"/>
        <v>7.6519354875525622E-2</v>
      </c>
      <c r="AF193" t="str">
        <f t="shared" si="16"/>
        <v>Very Low</v>
      </c>
      <c r="AG193" t="str">
        <f t="shared" si="17"/>
        <v>NO ACTION</v>
      </c>
      <c r="AH193" t="str">
        <f t="shared" si="18"/>
        <v/>
      </c>
    </row>
    <row r="194" spans="1:34" x14ac:dyDescent="0.3">
      <c r="A194" t="s">
        <v>221</v>
      </c>
      <c r="B194">
        <v>0.12892249527410199</v>
      </c>
      <c r="C194">
        <v>0.18476582604220201</v>
      </c>
      <c r="D194">
        <v>0</v>
      </c>
      <c r="E194">
        <v>0</v>
      </c>
      <c r="F194">
        <v>0</v>
      </c>
      <c r="G194">
        <v>0.99368445535543004</v>
      </c>
      <c r="H194">
        <v>7</v>
      </c>
      <c r="I194">
        <v>7</v>
      </c>
      <c r="J194">
        <v>0.16621344401507501</v>
      </c>
      <c r="K194">
        <v>2.8548123980424101E-2</v>
      </c>
      <c r="L194">
        <v>4.3809392926983701E-2</v>
      </c>
      <c r="M194">
        <v>2.0202020202020202E-3</v>
      </c>
      <c r="N194">
        <v>7.3344508426193703E-3</v>
      </c>
      <c r="O194">
        <v>704</v>
      </c>
      <c r="P194">
        <v>0.13545173961840601</v>
      </c>
      <c r="Q194">
        <v>0.13559381464988199</v>
      </c>
      <c r="R194">
        <v>0</v>
      </c>
      <c r="S194">
        <v>0</v>
      </c>
      <c r="T194" t="s">
        <v>28</v>
      </c>
      <c r="U194">
        <v>7.4292452830188593E-2</v>
      </c>
      <c r="V194">
        <v>0</v>
      </c>
      <c r="W194">
        <v>0</v>
      </c>
      <c r="X194">
        <v>0</v>
      </c>
      <c r="Y194">
        <v>5.7347720519292697E-2</v>
      </c>
      <c r="Z194">
        <v>8.4204824108091506E-2</v>
      </c>
      <c r="AA194">
        <v>0</v>
      </c>
      <c r="AB194">
        <f t="shared" si="14"/>
        <v>3.9634712495667579E-2</v>
      </c>
      <c r="AC194">
        <f t="shared" si="19"/>
        <v>0.25</v>
      </c>
      <c r="AD194">
        <f t="shared" si="15"/>
        <v>0</v>
      </c>
      <c r="AE194">
        <f t="shared" si="20"/>
        <v>4.9543390619584474E-2</v>
      </c>
      <c r="AF194" t="str">
        <f t="shared" si="16"/>
        <v>Very Low</v>
      </c>
      <c r="AG194" t="str">
        <f t="shared" si="17"/>
        <v>NO ACTION</v>
      </c>
      <c r="AH194" t="str">
        <f t="shared" si="18"/>
        <v/>
      </c>
    </row>
    <row r="195" spans="1:34" x14ac:dyDescent="0.3">
      <c r="A195" t="s">
        <v>222</v>
      </c>
      <c r="B195">
        <v>0.134593572778827</v>
      </c>
      <c r="C195">
        <v>0.21915279922227901</v>
      </c>
      <c r="D195">
        <v>0.16355247572120299</v>
      </c>
      <c r="E195">
        <v>0</v>
      </c>
      <c r="F195">
        <v>0</v>
      </c>
      <c r="G195">
        <v>0.945945065141646</v>
      </c>
      <c r="H195">
        <v>7</v>
      </c>
      <c r="I195">
        <v>16</v>
      </c>
      <c r="J195">
        <v>0.18109823004627601</v>
      </c>
      <c r="K195">
        <v>2.0391517128874301E-2</v>
      </c>
      <c r="L195">
        <v>2.8723826797881401E-2</v>
      </c>
      <c r="M195">
        <v>6.9264069264069195E-2</v>
      </c>
      <c r="N195">
        <v>0.23082556310654101</v>
      </c>
      <c r="O195">
        <v>551</v>
      </c>
      <c r="P195">
        <v>0.17557519640852901</v>
      </c>
      <c r="Q195">
        <v>0.17570742312142701</v>
      </c>
      <c r="R195">
        <v>0</v>
      </c>
      <c r="S195">
        <v>0</v>
      </c>
      <c r="T195" t="s">
        <v>28</v>
      </c>
      <c r="U195">
        <v>1.76152822359664E-3</v>
      </c>
      <c r="V195">
        <v>0</v>
      </c>
      <c r="W195">
        <v>0</v>
      </c>
      <c r="X195">
        <v>4.9065742716360897E-2</v>
      </c>
      <c r="Y195">
        <v>0.11982922834015799</v>
      </c>
      <c r="Z195">
        <v>0.19767534308773399</v>
      </c>
      <c r="AA195">
        <v>0</v>
      </c>
      <c r="AB195">
        <f t="shared" ref="AB195:AB258" si="21">0.16*X195 + 0.28*Y195 + 0.28*Z195 + 0.28*AA195</f>
        <v>9.6751798834427499E-2</v>
      </c>
      <c r="AC195">
        <f t="shared" si="19"/>
        <v>0.25</v>
      </c>
      <c r="AD195">
        <f t="shared" ref="AD195:AD258" si="22">IF(V195&gt;0.7, 0.1,
 IF(F195&gt;0.5, 0.08,
 IF(E195&gt;0.5, 0.05,
 0)))</f>
        <v>0</v>
      </c>
      <c r="AE195">
        <f t="shared" si="20"/>
        <v>0.12093974854303438</v>
      </c>
      <c r="AF195" t="str">
        <f t="shared" ref="AF195:AF258" si="23">IF(MAX(X195, Y195, Z195, AA195)&gt;0.9,
 "Critical",
 IF(AE195&lt;=0.2,"Very Low",
 IF(AE195&lt;=0.4,"Low",
 IF(AE195&lt;=0.6,"Medium",
 IF(AE195&lt;=0.8,"High","Critical")))))</f>
        <v>Very Low</v>
      </c>
      <c r="AG195" t="str">
        <f t="shared" ref="AG195:AG258" si="24">IF(MAX(X195:AA195)&gt;0.9,"CRITICAL ALERT",
 IF(AE195&gt;0.8,"CRITICAL ALERT",
 IF(AE195&gt;0.6,"ALERT",
 IF(AE195&gt;=0.4,"REVIEW","NO ACTION"))))</f>
        <v>NO ACTION</v>
      </c>
      <c r="AH195" t="str">
        <f t="shared" ref="AH195:AH258" si="25">IF(AG195="NO ACTION","",
 IF(_xlfn.TEXTJOIN(", ", TRUE,
  IF(X195&gt;0.7,"Login anomaly",""),
  IF(Y195&gt;0.7,"File anomaly",""),
  IF(Z195&gt;0.7,"Network anomaly",""),
  IF(AA195&gt;0.7,"USB anomaly","")
 )="",
 "General anomaly detected",
 _xlfn.TEXTJOIN(", ", TRUE,
  IF(X195&gt;0.7,"Login anomaly",""),
  IF(Y195&gt;0.7,"File anomaly",""),
  IF(Z195&gt;0.7,"Network anomaly",""),
  IF(AA195&gt;0.7,"USB anomaly","")
 )))</f>
        <v/>
      </c>
    </row>
    <row r="196" spans="1:34" x14ac:dyDescent="0.3">
      <c r="A196" t="s">
        <v>223</v>
      </c>
      <c r="B196">
        <v>0.12892249527410199</v>
      </c>
      <c r="C196">
        <v>0</v>
      </c>
      <c r="D196">
        <v>0</v>
      </c>
      <c r="E196">
        <v>0</v>
      </c>
      <c r="F196">
        <v>1</v>
      </c>
      <c r="G196">
        <v>0.99368472298241795</v>
      </c>
      <c r="H196">
        <v>6</v>
      </c>
      <c r="I196">
        <v>6</v>
      </c>
      <c r="J196">
        <v>0.15633796097514399</v>
      </c>
      <c r="K196">
        <v>1.8760195758564399E-2</v>
      </c>
      <c r="L196">
        <v>3.06047911048286E-2</v>
      </c>
      <c r="M196">
        <v>5.4834054834054799E-3</v>
      </c>
      <c r="N196">
        <v>2.1163405624100299E-2</v>
      </c>
      <c r="O196">
        <v>670</v>
      </c>
      <c r="P196">
        <v>0.125666386083052</v>
      </c>
      <c r="Q196">
        <v>0.12581086293348201</v>
      </c>
      <c r="R196">
        <v>0</v>
      </c>
      <c r="S196">
        <v>0</v>
      </c>
      <c r="T196" t="s">
        <v>28</v>
      </c>
      <c r="U196">
        <v>1.9528301886792401E-2</v>
      </c>
      <c r="V196">
        <v>0</v>
      </c>
      <c r="W196">
        <v>0</v>
      </c>
      <c r="X196">
        <v>0.4</v>
      </c>
      <c r="Y196">
        <v>5.2919009434673203E-2</v>
      </c>
      <c r="Z196">
        <v>8.3865193899471793E-2</v>
      </c>
      <c r="AA196">
        <v>0</v>
      </c>
      <c r="AB196">
        <f t="shared" si="21"/>
        <v>0.10229957693356061</v>
      </c>
      <c r="AC196">
        <f t="shared" ref="AC196:AC259" si="26">IF(T196="IT_Admin", 0.25, IF(AND(T196="HR", AA196&gt;0.6), 0.25, IF(AND(T196="General", Z196&gt;0.7), 0.2, 0.1)))</f>
        <v>0.25</v>
      </c>
      <c r="AD196">
        <f t="shared" si="22"/>
        <v>0.08</v>
      </c>
      <c r="AE196">
        <f t="shared" ref="AE196:AE259" si="27">MIN(1,AB196*(1+AC196+AD196))</f>
        <v>0.13605843732163561</v>
      </c>
      <c r="AF196" t="str">
        <f t="shared" si="23"/>
        <v>Very Low</v>
      </c>
      <c r="AG196" t="str">
        <f t="shared" si="24"/>
        <v>NO ACTION</v>
      </c>
      <c r="AH196" t="str">
        <f t="shared" si="25"/>
        <v/>
      </c>
    </row>
    <row r="197" spans="1:34" x14ac:dyDescent="0.3">
      <c r="A197" t="s">
        <v>224</v>
      </c>
      <c r="B197">
        <v>0.236672967863894</v>
      </c>
      <c r="C197">
        <v>0.66545025284088499</v>
      </c>
      <c r="D197">
        <v>0.362884777136743</v>
      </c>
      <c r="E197">
        <v>0</v>
      </c>
      <c r="F197">
        <v>0</v>
      </c>
      <c r="G197">
        <v>0.47629807346139902</v>
      </c>
      <c r="H197">
        <v>7</v>
      </c>
      <c r="I197">
        <v>14</v>
      </c>
      <c r="J197">
        <v>0.18210009064453</v>
      </c>
      <c r="K197">
        <v>8.9722675367047301E-3</v>
      </c>
      <c r="L197">
        <v>1.25690415724355E-2</v>
      </c>
      <c r="M197">
        <v>2.88600288600288E-4</v>
      </c>
      <c r="N197">
        <v>9.5648871159075195E-4</v>
      </c>
      <c r="O197">
        <v>547</v>
      </c>
      <c r="P197">
        <v>0.137871773288439</v>
      </c>
      <c r="Q197">
        <v>0.13801325432167999</v>
      </c>
      <c r="R197">
        <v>0</v>
      </c>
      <c r="S197">
        <v>0</v>
      </c>
      <c r="T197" t="s">
        <v>28</v>
      </c>
      <c r="U197">
        <v>9.3396226415094305E-2</v>
      </c>
      <c r="V197">
        <v>0</v>
      </c>
      <c r="W197">
        <v>0</v>
      </c>
      <c r="X197">
        <v>0.108865433141022</v>
      </c>
      <c r="Y197">
        <v>4.2991485528600999E-2</v>
      </c>
      <c r="Z197">
        <v>8.3105659457700196E-2</v>
      </c>
      <c r="AA197">
        <v>0</v>
      </c>
      <c r="AB197">
        <f t="shared" si="21"/>
        <v>5.2725669898727859E-2</v>
      </c>
      <c r="AC197">
        <f t="shared" si="26"/>
        <v>0.25</v>
      </c>
      <c r="AD197">
        <f t="shared" si="22"/>
        <v>0</v>
      </c>
      <c r="AE197">
        <f t="shared" si="27"/>
        <v>6.590708737340982E-2</v>
      </c>
      <c r="AF197" t="str">
        <f t="shared" si="23"/>
        <v>Very Low</v>
      </c>
      <c r="AG197" t="str">
        <f t="shared" si="24"/>
        <v>NO ACTION</v>
      </c>
      <c r="AH197" t="str">
        <f t="shared" si="25"/>
        <v/>
      </c>
    </row>
    <row r="198" spans="1:34" x14ac:dyDescent="0.3">
      <c r="A198" t="s">
        <v>225</v>
      </c>
      <c r="B198">
        <v>0.12892249527410199</v>
      </c>
      <c r="C198">
        <v>0.28170094057448802</v>
      </c>
      <c r="D198">
        <v>7.5041536061111899E-2</v>
      </c>
      <c r="E198">
        <v>0</v>
      </c>
      <c r="F198">
        <v>0</v>
      </c>
      <c r="G198">
        <v>0.99367254595445098</v>
      </c>
      <c r="H198">
        <v>7</v>
      </c>
      <c r="I198">
        <v>8</v>
      </c>
      <c r="J198">
        <v>0.17217689995706301</v>
      </c>
      <c r="K198">
        <v>2.8548123980424101E-2</v>
      </c>
      <c r="L198">
        <v>4.22941261544676E-2</v>
      </c>
      <c r="M198">
        <v>5.1948051948051896E-3</v>
      </c>
      <c r="N198">
        <v>1.82076915889865E-2</v>
      </c>
      <c r="O198">
        <v>755</v>
      </c>
      <c r="P198">
        <v>0.141379068462401</v>
      </c>
      <c r="Q198">
        <v>0.14151968862863301</v>
      </c>
      <c r="R198">
        <v>0</v>
      </c>
      <c r="S198">
        <v>0</v>
      </c>
      <c r="T198" t="s">
        <v>28</v>
      </c>
      <c r="U198">
        <v>3.1281032770605698E-2</v>
      </c>
      <c r="V198">
        <v>0</v>
      </c>
      <c r="W198">
        <v>0</v>
      </c>
      <c r="X198">
        <v>2.25124608183335E-2</v>
      </c>
      <c r="Y198">
        <v>6.1044750545342398E-2</v>
      </c>
      <c r="Z198">
        <v>9.2110517713035703E-2</v>
      </c>
      <c r="AA198">
        <v>0</v>
      </c>
      <c r="AB198">
        <f t="shared" si="21"/>
        <v>4.6485468843279226E-2</v>
      </c>
      <c r="AC198">
        <f t="shared" si="26"/>
        <v>0.25</v>
      </c>
      <c r="AD198">
        <f t="shared" si="22"/>
        <v>0</v>
      </c>
      <c r="AE198">
        <f t="shared" si="27"/>
        <v>5.8106836054099033E-2</v>
      </c>
      <c r="AF198" t="str">
        <f t="shared" si="23"/>
        <v>Very Low</v>
      </c>
      <c r="AG198" t="str">
        <f t="shared" si="24"/>
        <v>NO ACTION</v>
      </c>
      <c r="AH198" t="str">
        <f t="shared" si="25"/>
        <v/>
      </c>
    </row>
    <row r="199" spans="1:34" x14ac:dyDescent="0.3">
      <c r="A199" t="s">
        <v>226</v>
      </c>
      <c r="B199">
        <v>0.30586011342155001</v>
      </c>
      <c r="C199">
        <v>0.67702016701072798</v>
      </c>
      <c r="D199">
        <v>0.55744536298853897</v>
      </c>
      <c r="E199">
        <v>0.50430504305043</v>
      </c>
      <c r="F199">
        <v>7.5030750307503002E-2</v>
      </c>
      <c r="G199">
        <v>0.33551469347771201</v>
      </c>
      <c r="H199">
        <v>0</v>
      </c>
      <c r="I199">
        <v>23</v>
      </c>
      <c r="J199">
        <v>0.15872334335193899</v>
      </c>
      <c r="K199">
        <v>4.8939641109298502E-3</v>
      </c>
      <c r="L199">
        <v>7.8640527485292107E-3</v>
      </c>
      <c r="M199">
        <v>1.1544011544011501E-3</v>
      </c>
      <c r="N199">
        <v>4.3885952649458E-3</v>
      </c>
      <c r="O199">
        <v>510</v>
      </c>
      <c r="P199">
        <v>0.11935325476992099</v>
      </c>
      <c r="Q199">
        <v>0.119499281180967</v>
      </c>
      <c r="R199">
        <v>0.234513274336283</v>
      </c>
      <c r="S199">
        <v>1</v>
      </c>
      <c r="T199" t="s">
        <v>28</v>
      </c>
      <c r="U199">
        <v>2.0377358490565999E-2</v>
      </c>
      <c r="V199">
        <v>0</v>
      </c>
      <c r="W199">
        <v>1.92552886803403E-2</v>
      </c>
      <c r="X199">
        <v>0.348537421934692</v>
      </c>
      <c r="Y199">
        <v>3.6993273624136201E-2</v>
      </c>
      <c r="Z199">
        <v>7.3367390967931101E-2</v>
      </c>
      <c r="AA199">
        <v>0.234513274336283</v>
      </c>
      <c r="AB199">
        <f t="shared" si="21"/>
        <v>0.15233069040948882</v>
      </c>
      <c r="AC199">
        <f t="shared" si="26"/>
        <v>0.25</v>
      </c>
      <c r="AD199">
        <f t="shared" si="22"/>
        <v>0.05</v>
      </c>
      <c r="AE199">
        <f t="shared" si="27"/>
        <v>0.19802989753233546</v>
      </c>
      <c r="AF199" t="str">
        <f t="shared" si="23"/>
        <v>Very Low</v>
      </c>
      <c r="AG199" t="str">
        <f t="shared" si="24"/>
        <v>NO ACTION</v>
      </c>
      <c r="AH199" t="str">
        <f t="shared" si="25"/>
        <v/>
      </c>
    </row>
    <row r="200" spans="1:34" x14ac:dyDescent="0.3">
      <c r="A200" t="s">
        <v>227</v>
      </c>
      <c r="B200">
        <v>0.12892249527410199</v>
      </c>
      <c r="C200">
        <v>0.18476582604220201</v>
      </c>
      <c r="D200">
        <v>0</v>
      </c>
      <c r="E200">
        <v>0</v>
      </c>
      <c r="F200">
        <v>0</v>
      </c>
      <c r="G200">
        <v>0.99368705133721602</v>
      </c>
      <c r="H200">
        <v>7</v>
      </c>
      <c r="I200">
        <v>7</v>
      </c>
      <c r="J200">
        <v>0.13749344019846299</v>
      </c>
      <c r="K200">
        <v>2.1207177814029299E-2</v>
      </c>
      <c r="L200">
        <v>3.9330251570868398E-2</v>
      </c>
      <c r="M200">
        <v>5.4834054834054799E-3</v>
      </c>
      <c r="N200">
        <v>2.4058987619777299E-2</v>
      </c>
      <c r="O200">
        <v>489</v>
      </c>
      <c r="P200">
        <v>0.112864758698092</v>
      </c>
      <c r="Q200">
        <v>0.113012377713103</v>
      </c>
      <c r="R200">
        <v>0</v>
      </c>
      <c r="S200">
        <v>0</v>
      </c>
      <c r="T200" t="s">
        <v>28</v>
      </c>
      <c r="U200">
        <v>2.2075471698113198E-2</v>
      </c>
      <c r="V200">
        <v>0</v>
      </c>
      <c r="W200">
        <v>0</v>
      </c>
      <c r="X200">
        <v>0</v>
      </c>
      <c r="Y200">
        <v>5.4381510111060197E-2</v>
      </c>
      <c r="Z200">
        <v>7.7342450266766102E-2</v>
      </c>
      <c r="AA200">
        <v>0</v>
      </c>
      <c r="AB200">
        <f t="shared" si="21"/>
        <v>3.6882708905791366E-2</v>
      </c>
      <c r="AC200">
        <f t="shared" si="26"/>
        <v>0.25</v>
      </c>
      <c r="AD200">
        <f t="shared" si="22"/>
        <v>0</v>
      </c>
      <c r="AE200">
        <f t="shared" si="27"/>
        <v>4.6103386132239209E-2</v>
      </c>
      <c r="AF200" t="str">
        <f t="shared" si="23"/>
        <v>Very Low</v>
      </c>
      <c r="AG200" t="str">
        <f t="shared" si="24"/>
        <v>NO ACTION</v>
      </c>
      <c r="AH200" t="str">
        <f t="shared" si="25"/>
        <v/>
      </c>
    </row>
    <row r="201" spans="1:34" x14ac:dyDescent="0.3">
      <c r="A201" t="s">
        <v>228</v>
      </c>
      <c r="B201">
        <v>0.12892249527410199</v>
      </c>
      <c r="C201">
        <v>0.36953165208440503</v>
      </c>
      <c r="D201">
        <v>0</v>
      </c>
      <c r="E201">
        <v>0</v>
      </c>
      <c r="F201">
        <v>0</v>
      </c>
      <c r="G201">
        <v>0.99370252017714</v>
      </c>
      <c r="H201">
        <v>8</v>
      </c>
      <c r="I201">
        <v>8</v>
      </c>
      <c r="J201">
        <v>0.22269929869758101</v>
      </c>
      <c r="K201">
        <v>1.6313213703099499E-2</v>
      </c>
      <c r="L201">
        <v>1.8691079077037799E-2</v>
      </c>
      <c r="M201">
        <v>7.5901875901875901E-2</v>
      </c>
      <c r="N201">
        <v>0.20574557287589501</v>
      </c>
      <c r="O201">
        <v>680</v>
      </c>
      <c r="P201">
        <v>0.20763187429854099</v>
      </c>
      <c r="Q201">
        <v>0.20775623268698001</v>
      </c>
      <c r="R201">
        <v>0</v>
      </c>
      <c r="S201">
        <v>0</v>
      </c>
      <c r="T201" t="s">
        <v>28</v>
      </c>
      <c r="U201">
        <v>1.28644939965694E-3</v>
      </c>
      <c r="V201">
        <v>0</v>
      </c>
      <c r="W201">
        <v>0</v>
      </c>
      <c r="X201">
        <v>0</v>
      </c>
      <c r="Y201">
        <v>0.115609071140803</v>
      </c>
      <c r="Z201">
        <v>0.20687735372948299</v>
      </c>
      <c r="AA201">
        <v>0</v>
      </c>
      <c r="AB201">
        <f t="shared" si="21"/>
        <v>9.0296198963680088E-2</v>
      </c>
      <c r="AC201">
        <f t="shared" si="26"/>
        <v>0.25</v>
      </c>
      <c r="AD201">
        <f t="shared" si="22"/>
        <v>0</v>
      </c>
      <c r="AE201">
        <f t="shared" si="27"/>
        <v>0.11287024870460011</v>
      </c>
      <c r="AF201" t="str">
        <f t="shared" si="23"/>
        <v>Very Low</v>
      </c>
      <c r="AG201" t="str">
        <f t="shared" si="24"/>
        <v>NO ACTION</v>
      </c>
      <c r="AH201" t="str">
        <f t="shared" si="25"/>
        <v/>
      </c>
    </row>
    <row r="202" spans="1:34" x14ac:dyDescent="0.3">
      <c r="A202" t="s">
        <v>229</v>
      </c>
      <c r="B202">
        <v>0.12892249527410199</v>
      </c>
      <c r="C202">
        <v>0.18476582604220201</v>
      </c>
      <c r="D202">
        <v>0</v>
      </c>
      <c r="E202">
        <v>0</v>
      </c>
      <c r="F202">
        <v>0</v>
      </c>
      <c r="G202">
        <v>0.99366071684156798</v>
      </c>
      <c r="H202">
        <v>7</v>
      </c>
      <c r="I202">
        <v>7</v>
      </c>
      <c r="J202">
        <v>0.13329516721530399</v>
      </c>
      <c r="K202">
        <v>4.8939641109298502E-3</v>
      </c>
      <c r="L202">
        <v>9.3615661872452106E-3</v>
      </c>
      <c r="M202">
        <v>2.59740259740259E-3</v>
      </c>
      <c r="N202">
        <v>1.17546619154336E-2</v>
      </c>
      <c r="O202">
        <v>420</v>
      </c>
      <c r="P202">
        <v>0.101360830527497</v>
      </c>
      <c r="Q202">
        <v>0.10151127318629601</v>
      </c>
      <c r="R202">
        <v>0</v>
      </c>
      <c r="S202">
        <v>0</v>
      </c>
      <c r="T202" t="s">
        <v>28</v>
      </c>
      <c r="U202">
        <v>1.0188679245283E-2</v>
      </c>
      <c r="V202">
        <v>0</v>
      </c>
      <c r="W202">
        <v>0</v>
      </c>
      <c r="X202">
        <v>0</v>
      </c>
      <c r="Y202">
        <v>3.4866215111313603E-2</v>
      </c>
      <c r="Z202">
        <v>6.5518363082671699E-2</v>
      </c>
      <c r="AA202">
        <v>0</v>
      </c>
      <c r="AB202">
        <f t="shared" si="21"/>
        <v>2.8107681894315888E-2</v>
      </c>
      <c r="AC202">
        <f t="shared" si="26"/>
        <v>0.25</v>
      </c>
      <c r="AD202">
        <f t="shared" si="22"/>
        <v>0</v>
      </c>
      <c r="AE202">
        <f t="shared" si="27"/>
        <v>3.5134602367894861E-2</v>
      </c>
      <c r="AF202" t="str">
        <f t="shared" si="23"/>
        <v>Very Low</v>
      </c>
      <c r="AG202" t="str">
        <f t="shared" si="24"/>
        <v>NO ACTION</v>
      </c>
      <c r="AH202" t="str">
        <f t="shared" si="25"/>
        <v/>
      </c>
    </row>
    <row r="203" spans="1:34" x14ac:dyDescent="0.3">
      <c r="A203" t="s">
        <v>230</v>
      </c>
      <c r="B203">
        <v>0.257088846880907</v>
      </c>
      <c r="C203">
        <v>0.58266065317694604</v>
      </c>
      <c r="D203">
        <v>0.35387248726917198</v>
      </c>
      <c r="E203">
        <v>0</v>
      </c>
      <c r="F203">
        <v>0</v>
      </c>
      <c r="G203">
        <v>0.426933584638788</v>
      </c>
      <c r="H203">
        <v>7</v>
      </c>
      <c r="I203">
        <v>16</v>
      </c>
      <c r="J203">
        <v>0.165545536949573</v>
      </c>
      <c r="K203">
        <v>5.7096247960848204E-3</v>
      </c>
      <c r="L203">
        <v>8.7971782401292699E-3</v>
      </c>
      <c r="M203">
        <v>8.6580086580086504E-4</v>
      </c>
      <c r="N203">
        <v>3.1559998754243299E-3</v>
      </c>
      <c r="O203">
        <v>534</v>
      </c>
      <c r="P203">
        <v>0.124579124579124</v>
      </c>
      <c r="Q203">
        <v>0.124723868298327</v>
      </c>
      <c r="R203">
        <v>0</v>
      </c>
      <c r="S203">
        <v>0</v>
      </c>
      <c r="T203" t="s">
        <v>28</v>
      </c>
      <c r="U203">
        <v>2.9716981132075399E-2</v>
      </c>
      <c r="V203">
        <v>0</v>
      </c>
      <c r="W203">
        <v>0</v>
      </c>
      <c r="X203">
        <v>0.106161746180751</v>
      </c>
      <c r="Y203">
        <v>3.84544964726065E-2</v>
      </c>
      <c r="Z203">
        <v>7.6009874697644406E-2</v>
      </c>
      <c r="AA203">
        <v>0</v>
      </c>
      <c r="AB203">
        <f t="shared" si="21"/>
        <v>4.9035903316590412E-2</v>
      </c>
      <c r="AC203">
        <f t="shared" si="26"/>
        <v>0.25</v>
      </c>
      <c r="AD203">
        <f t="shared" si="22"/>
        <v>0</v>
      </c>
      <c r="AE203">
        <f t="shared" si="27"/>
        <v>6.1294879145738015E-2</v>
      </c>
      <c r="AF203" t="str">
        <f t="shared" si="23"/>
        <v>Very Low</v>
      </c>
      <c r="AG203" t="str">
        <f t="shared" si="24"/>
        <v>NO ACTION</v>
      </c>
      <c r="AH203" t="str">
        <f t="shared" si="25"/>
        <v/>
      </c>
    </row>
    <row r="204" spans="1:34" x14ac:dyDescent="0.3">
      <c r="A204" t="s">
        <v>231</v>
      </c>
      <c r="B204">
        <v>0.28733459357277802</v>
      </c>
      <c r="C204">
        <v>0.67594304160727203</v>
      </c>
      <c r="D204">
        <v>0.41914612128686601</v>
      </c>
      <c r="E204">
        <v>0</v>
      </c>
      <c r="F204">
        <v>0</v>
      </c>
      <c r="G204">
        <v>0.36658592646373001</v>
      </c>
      <c r="H204">
        <v>7</v>
      </c>
      <c r="I204">
        <v>17</v>
      </c>
      <c r="J204">
        <v>0.16597490577739599</v>
      </c>
      <c r="K204">
        <v>7.34094616639478E-3</v>
      </c>
      <c r="L204">
        <v>1.12814396203068E-2</v>
      </c>
      <c r="M204">
        <v>3.7518037518037501E-3</v>
      </c>
      <c r="N204">
        <v>1.36406711033576E-2</v>
      </c>
      <c r="O204">
        <v>541</v>
      </c>
      <c r="P204">
        <v>0.126999158249158</v>
      </c>
      <c r="Q204">
        <v>0.12714330797012499</v>
      </c>
      <c r="R204">
        <v>0.37315634218289001</v>
      </c>
      <c r="S204">
        <v>1</v>
      </c>
      <c r="T204" t="s">
        <v>28</v>
      </c>
      <c r="U204">
        <v>1.0916442048517499E-2</v>
      </c>
      <c r="V204">
        <v>0</v>
      </c>
      <c r="W204">
        <v>0</v>
      </c>
      <c r="X204">
        <v>0.12574383638605899</v>
      </c>
      <c r="Y204">
        <v>4.2927902296639897E-2</v>
      </c>
      <c r="Z204">
        <v>8.1655763390837993E-2</v>
      </c>
      <c r="AA204">
        <v>0.37315634218289001</v>
      </c>
      <c r="AB204">
        <f t="shared" si="21"/>
        <v>0.15948621602547247</v>
      </c>
      <c r="AC204">
        <f t="shared" si="26"/>
        <v>0.25</v>
      </c>
      <c r="AD204">
        <f t="shared" si="22"/>
        <v>0</v>
      </c>
      <c r="AE204">
        <f t="shared" si="27"/>
        <v>0.19935777003184058</v>
      </c>
      <c r="AF204" t="str">
        <f t="shared" si="23"/>
        <v>Very Low</v>
      </c>
      <c r="AG204" t="str">
        <f t="shared" si="24"/>
        <v>NO ACTION</v>
      </c>
      <c r="AH204" t="str">
        <f t="shared" si="25"/>
        <v/>
      </c>
    </row>
    <row r="205" spans="1:34" x14ac:dyDescent="0.3">
      <c r="A205" t="s">
        <v>232</v>
      </c>
      <c r="B205">
        <v>0.96446124763705099</v>
      </c>
      <c r="C205">
        <v>0.88767143431234297</v>
      </c>
      <c r="D205">
        <v>0.97686170535566197</v>
      </c>
      <c r="E205">
        <v>0</v>
      </c>
      <c r="F205">
        <v>0.386301369863013</v>
      </c>
      <c r="G205">
        <v>5.3859431604208396E-3</v>
      </c>
      <c r="H205">
        <v>0</v>
      </c>
      <c r="I205">
        <v>23</v>
      </c>
      <c r="J205">
        <v>9.5415295071799994E-2</v>
      </c>
      <c r="K205">
        <v>1.1419249592169599E-2</v>
      </c>
      <c r="L205">
        <v>3.0493959485734901E-2</v>
      </c>
      <c r="M205">
        <v>8.6580086580086504E-4</v>
      </c>
      <c r="N205">
        <v>5.4698750958102503E-3</v>
      </c>
      <c r="O205">
        <v>434</v>
      </c>
      <c r="P205">
        <v>7.54769921436588E-2</v>
      </c>
      <c r="Q205">
        <v>7.5633788000981805E-2</v>
      </c>
      <c r="R205">
        <v>0</v>
      </c>
      <c r="S205">
        <v>0</v>
      </c>
      <c r="T205" t="s">
        <v>28</v>
      </c>
      <c r="U205">
        <v>5.9433962264150902E-2</v>
      </c>
      <c r="V205">
        <v>0</v>
      </c>
      <c r="W205">
        <v>0</v>
      </c>
      <c r="X205">
        <v>0.44757905955190402</v>
      </c>
      <c r="Y205">
        <v>3.59710012859705E-2</v>
      </c>
      <c r="Z205">
        <v>4.74741453245194E-2</v>
      </c>
      <c r="AA205">
        <v>0</v>
      </c>
      <c r="AB205">
        <f t="shared" si="21"/>
        <v>9.4977290579241827E-2</v>
      </c>
      <c r="AC205">
        <f t="shared" si="26"/>
        <v>0.25</v>
      </c>
      <c r="AD205">
        <f t="shared" si="22"/>
        <v>0</v>
      </c>
      <c r="AE205">
        <f t="shared" si="27"/>
        <v>0.11872161322405228</v>
      </c>
      <c r="AF205" t="str">
        <f t="shared" si="23"/>
        <v>Very Low</v>
      </c>
      <c r="AG205" t="str">
        <f t="shared" si="24"/>
        <v>NO ACTION</v>
      </c>
      <c r="AH205" t="str">
        <f t="shared" si="25"/>
        <v/>
      </c>
    </row>
    <row r="206" spans="1:34" x14ac:dyDescent="0.3">
      <c r="A206" t="s">
        <v>233</v>
      </c>
      <c r="B206">
        <v>0.12892249527410199</v>
      </c>
      <c r="C206">
        <v>0.454684597999507</v>
      </c>
      <c r="D206">
        <v>7.4902366299490403E-2</v>
      </c>
      <c r="E206">
        <v>0</v>
      </c>
      <c r="F206">
        <v>0</v>
      </c>
      <c r="G206">
        <v>0.99369154747062005</v>
      </c>
      <c r="H206">
        <v>8</v>
      </c>
      <c r="I206">
        <v>9</v>
      </c>
      <c r="J206">
        <v>0.127904203043747</v>
      </c>
      <c r="K206">
        <v>1.0603588907014599E-2</v>
      </c>
      <c r="L206">
        <v>2.1136715615245098E-2</v>
      </c>
      <c r="M206">
        <v>2.88600288600288E-4</v>
      </c>
      <c r="N206">
        <v>1.3610200505211601E-3</v>
      </c>
      <c r="O206">
        <v>535</v>
      </c>
      <c r="P206">
        <v>9.8730359147025798E-2</v>
      </c>
      <c r="Q206">
        <v>9.8881447456081906E-2</v>
      </c>
      <c r="R206">
        <v>0</v>
      </c>
      <c r="S206">
        <v>0</v>
      </c>
      <c r="T206" t="s">
        <v>28</v>
      </c>
      <c r="U206">
        <v>0.110377358490566</v>
      </c>
      <c r="V206">
        <v>0</v>
      </c>
      <c r="W206">
        <v>0</v>
      </c>
      <c r="X206">
        <v>2.2470709889847101E-2</v>
      </c>
      <c r="Y206">
        <v>3.6557504431528498E-2</v>
      </c>
      <c r="Z206">
        <v>5.97826235084239E-2</v>
      </c>
      <c r="AA206">
        <v>0</v>
      </c>
      <c r="AB206">
        <f t="shared" si="21"/>
        <v>3.0570549405562211E-2</v>
      </c>
      <c r="AC206">
        <f t="shared" si="26"/>
        <v>0.25</v>
      </c>
      <c r="AD206">
        <f t="shared" si="22"/>
        <v>0</v>
      </c>
      <c r="AE206">
        <f t="shared" si="27"/>
        <v>3.8213186756952761E-2</v>
      </c>
      <c r="AF206" t="str">
        <f t="shared" si="23"/>
        <v>Very Low</v>
      </c>
      <c r="AG206" t="str">
        <f t="shared" si="24"/>
        <v>NO ACTION</v>
      </c>
      <c r="AH206" t="str">
        <f t="shared" si="25"/>
        <v/>
      </c>
    </row>
    <row r="207" spans="1:34" x14ac:dyDescent="0.3">
      <c r="A207" t="s">
        <v>234</v>
      </c>
      <c r="B207">
        <v>0.12892249527410199</v>
      </c>
      <c r="C207">
        <v>0.18476582604220201</v>
      </c>
      <c r="D207">
        <v>0</v>
      </c>
      <c r="E207">
        <v>0</v>
      </c>
      <c r="F207">
        <v>0</v>
      </c>
      <c r="G207">
        <v>0.99365825467327495</v>
      </c>
      <c r="H207">
        <v>7</v>
      </c>
      <c r="I207">
        <v>7</v>
      </c>
      <c r="J207">
        <v>0.18687085539812001</v>
      </c>
      <c r="K207">
        <v>4.0783034257748704E-3</v>
      </c>
      <c r="L207">
        <v>5.5675301202828802E-3</v>
      </c>
      <c r="M207">
        <v>8.6580086580086504E-4</v>
      </c>
      <c r="N207">
        <v>2.7963027963027898E-3</v>
      </c>
      <c r="O207">
        <v>697</v>
      </c>
      <c r="P207">
        <v>0.13955527497194101</v>
      </c>
      <c r="Q207">
        <v>0.13969634278901699</v>
      </c>
      <c r="R207">
        <v>0</v>
      </c>
      <c r="S207">
        <v>0</v>
      </c>
      <c r="T207" t="s">
        <v>28</v>
      </c>
      <c r="U207">
        <v>2.1226415094339601E-2</v>
      </c>
      <c r="V207">
        <v>0</v>
      </c>
      <c r="W207">
        <v>0</v>
      </c>
      <c r="X207">
        <v>0</v>
      </c>
      <c r="Y207">
        <v>4.0996826978656302E-2</v>
      </c>
      <c r="Z207">
        <v>8.48516861016861E-2</v>
      </c>
      <c r="AA207">
        <v>0</v>
      </c>
      <c r="AB207">
        <f t="shared" si="21"/>
        <v>3.5237583662495874E-2</v>
      </c>
      <c r="AC207">
        <f t="shared" si="26"/>
        <v>0.25</v>
      </c>
      <c r="AD207">
        <f t="shared" si="22"/>
        <v>0</v>
      </c>
      <c r="AE207">
        <f t="shared" si="27"/>
        <v>4.4046979578119844E-2</v>
      </c>
      <c r="AF207" t="str">
        <f t="shared" si="23"/>
        <v>Very Low</v>
      </c>
      <c r="AG207" t="str">
        <f t="shared" si="24"/>
        <v>NO ACTION</v>
      </c>
      <c r="AH207" t="str">
        <f t="shared" si="25"/>
        <v/>
      </c>
    </row>
    <row r="208" spans="1:34" x14ac:dyDescent="0.3">
      <c r="A208" t="s">
        <v>235</v>
      </c>
      <c r="B208">
        <v>0.29300567107750403</v>
      </c>
      <c r="C208">
        <v>0.81828254152195001</v>
      </c>
      <c r="D208">
        <v>0.491943495557434</v>
      </c>
      <c r="E208">
        <v>0.23391812865497</v>
      </c>
      <c r="F208">
        <v>5.1347881899871599E-2</v>
      </c>
      <c r="G208">
        <v>0.35671325106564</v>
      </c>
      <c r="H208">
        <v>0</v>
      </c>
      <c r="I208">
        <v>23</v>
      </c>
      <c r="J208">
        <v>0.142836696722484</v>
      </c>
      <c r="K208">
        <v>8.9722675367047301E-3</v>
      </c>
      <c r="L208">
        <v>1.6018298396081598E-2</v>
      </c>
      <c r="M208">
        <v>6.9264069264069203E-3</v>
      </c>
      <c r="N208">
        <v>2.9255350629141801E-2</v>
      </c>
      <c r="O208">
        <v>548</v>
      </c>
      <c r="P208">
        <v>0.112233445566778</v>
      </c>
      <c r="Q208">
        <v>0.112381219537851</v>
      </c>
      <c r="R208">
        <v>0.96460176991150404</v>
      </c>
      <c r="S208">
        <v>1</v>
      </c>
      <c r="T208" t="s">
        <v>28</v>
      </c>
      <c r="U208">
        <v>7.4716981132075403E-3</v>
      </c>
      <c r="V208">
        <v>0</v>
      </c>
      <c r="W208">
        <v>2.68412810840153E-2</v>
      </c>
      <c r="X208">
        <v>0.23829764002366999</v>
      </c>
      <c r="Y208">
        <v>4.5353093731280297E-2</v>
      </c>
      <c r="Z208">
        <v>7.9042207591724103E-2</v>
      </c>
      <c r="AA208">
        <v>0.96460176991150404</v>
      </c>
      <c r="AB208">
        <f t="shared" si="21"/>
        <v>0.34304680234944956</v>
      </c>
      <c r="AC208">
        <f t="shared" si="26"/>
        <v>0.25</v>
      </c>
      <c r="AD208">
        <f t="shared" si="22"/>
        <v>0</v>
      </c>
      <c r="AE208">
        <f t="shared" si="27"/>
        <v>0.42880850293681194</v>
      </c>
      <c r="AF208" t="str">
        <f t="shared" si="23"/>
        <v>Critical</v>
      </c>
      <c r="AG208" t="str">
        <f t="shared" si="24"/>
        <v>CRITICAL ALERT</v>
      </c>
      <c r="AH208" t="str">
        <f t="shared" si="25"/>
        <v>USB anomaly</v>
      </c>
    </row>
    <row r="209" spans="1:34" x14ac:dyDescent="0.3">
      <c r="A209" t="s">
        <v>236</v>
      </c>
      <c r="B209">
        <v>0.15463137996219201</v>
      </c>
      <c r="C209">
        <v>0.39145302127585302</v>
      </c>
      <c r="D209">
        <v>0.267882201557054</v>
      </c>
      <c r="E209">
        <v>0</v>
      </c>
      <c r="F209">
        <v>0</v>
      </c>
      <c r="G209">
        <v>0.80515195055641398</v>
      </c>
      <c r="H209">
        <v>7</v>
      </c>
      <c r="I209">
        <v>15</v>
      </c>
      <c r="J209">
        <v>0.134726396641381</v>
      </c>
      <c r="K209">
        <v>6.5252854812398002E-3</v>
      </c>
      <c r="L209">
        <v>1.2349722520607599E-2</v>
      </c>
      <c r="M209">
        <v>1.1544011544011501E-3</v>
      </c>
      <c r="N209">
        <v>5.1688933979496003E-3</v>
      </c>
      <c r="O209">
        <v>502</v>
      </c>
      <c r="P209">
        <v>0.102413019079685</v>
      </c>
      <c r="Q209">
        <v>0.10256320347838201</v>
      </c>
      <c r="R209">
        <v>0.38348082595870198</v>
      </c>
      <c r="S209">
        <v>1</v>
      </c>
      <c r="T209" t="s">
        <v>28</v>
      </c>
      <c r="U209">
        <v>2.7169811320754699E-2</v>
      </c>
      <c r="V209">
        <v>0</v>
      </c>
      <c r="W209">
        <v>0</v>
      </c>
      <c r="X209">
        <v>8.0364660467116406E-2</v>
      </c>
      <c r="Y209">
        <v>3.4670808607965002E-2</v>
      </c>
      <c r="Z209">
        <v>6.3515368806991296E-2</v>
      </c>
      <c r="AA209">
        <v>0.38348082595870198</v>
      </c>
      <c r="AB209">
        <f t="shared" si="21"/>
        <v>0.14772510661936294</v>
      </c>
      <c r="AC209">
        <f t="shared" si="26"/>
        <v>0.25</v>
      </c>
      <c r="AD209">
        <f t="shared" si="22"/>
        <v>0</v>
      </c>
      <c r="AE209">
        <f t="shared" si="27"/>
        <v>0.18465638327420369</v>
      </c>
      <c r="AF209" t="str">
        <f t="shared" si="23"/>
        <v>Very Low</v>
      </c>
      <c r="AG209" t="str">
        <f t="shared" si="24"/>
        <v>NO ACTION</v>
      </c>
      <c r="AH209" t="str">
        <f t="shared" si="25"/>
        <v/>
      </c>
    </row>
    <row r="210" spans="1:34" x14ac:dyDescent="0.3">
      <c r="A210" t="s">
        <v>237</v>
      </c>
      <c r="B210">
        <v>0.25784499054820398</v>
      </c>
      <c r="C210">
        <v>0.61866924550865798</v>
      </c>
      <c r="D210">
        <v>0.49668443381003102</v>
      </c>
      <c r="E210">
        <v>0.39844509232264302</v>
      </c>
      <c r="F210">
        <v>5.10204081632653E-2</v>
      </c>
      <c r="G210">
        <v>0.42528605635572098</v>
      </c>
      <c r="H210">
        <v>0</v>
      </c>
      <c r="I210">
        <v>23</v>
      </c>
      <c r="J210">
        <v>0.15190114975430499</v>
      </c>
      <c r="K210">
        <v>8.1566068515497494E-3</v>
      </c>
      <c r="L210">
        <v>1.36944829926305E-2</v>
      </c>
      <c r="M210">
        <v>1.44300144300144E-3</v>
      </c>
      <c r="N210">
        <v>5.7317338596736501E-3</v>
      </c>
      <c r="O210">
        <v>556</v>
      </c>
      <c r="P210">
        <v>0.11588103254769901</v>
      </c>
      <c r="Q210">
        <v>0.116027911217083</v>
      </c>
      <c r="R210">
        <v>6.6371681415929196E-2</v>
      </c>
      <c r="S210">
        <v>1</v>
      </c>
      <c r="T210" t="s">
        <v>28</v>
      </c>
      <c r="U210">
        <v>2.83018867924528E-2</v>
      </c>
      <c r="V210">
        <v>0</v>
      </c>
      <c r="W210">
        <v>2.2801000095185799E-2</v>
      </c>
      <c r="X210">
        <v>0.288947021105108</v>
      </c>
      <c r="Y210">
        <v>3.8946991605078501E-2</v>
      </c>
      <c r="Z210">
        <v>7.1821313072488999E-2</v>
      </c>
      <c r="AA210">
        <v>6.6371681415929196E-2</v>
      </c>
      <c r="AB210">
        <f t="shared" si="21"/>
        <v>9.5830719482996374E-2</v>
      </c>
      <c r="AC210">
        <f t="shared" si="26"/>
        <v>0.25</v>
      </c>
      <c r="AD210">
        <f t="shared" si="22"/>
        <v>0</v>
      </c>
      <c r="AE210">
        <f t="shared" si="27"/>
        <v>0.11978839935374547</v>
      </c>
      <c r="AF210" t="str">
        <f t="shared" si="23"/>
        <v>Very Low</v>
      </c>
      <c r="AG210" t="str">
        <f t="shared" si="24"/>
        <v>NO ACTION</v>
      </c>
      <c r="AH210" t="str">
        <f t="shared" si="25"/>
        <v/>
      </c>
    </row>
    <row r="211" spans="1:34" x14ac:dyDescent="0.3">
      <c r="A211" t="s">
        <v>238</v>
      </c>
      <c r="B211">
        <v>0</v>
      </c>
      <c r="C211">
        <v>0.46191456510550599</v>
      </c>
      <c r="D211">
        <v>8.6630065995389305E-2</v>
      </c>
      <c r="E211">
        <v>0</v>
      </c>
      <c r="F211">
        <v>0</v>
      </c>
      <c r="G211">
        <v>0.64672011544317898</v>
      </c>
      <c r="H211">
        <v>8</v>
      </c>
      <c r="I211">
        <v>9</v>
      </c>
      <c r="J211" s="1">
        <v>4.7707647535899998E-5</v>
      </c>
      <c r="K211">
        <v>0</v>
      </c>
      <c r="L211">
        <v>0</v>
      </c>
      <c r="M211">
        <v>0</v>
      </c>
      <c r="N211">
        <v>0</v>
      </c>
      <c r="O211">
        <v>5</v>
      </c>
      <c r="P211" s="1">
        <v>3.5072951739618402E-5</v>
      </c>
      <c r="Q211">
        <v>2.1038605841719501E-4</v>
      </c>
      <c r="R211">
        <v>0</v>
      </c>
      <c r="S211">
        <v>0</v>
      </c>
      <c r="T211" t="s">
        <v>53</v>
      </c>
      <c r="U211">
        <v>0</v>
      </c>
      <c r="V211">
        <v>0</v>
      </c>
      <c r="W211">
        <v>0</v>
      </c>
      <c r="X211">
        <v>2.59890197986168E-2</v>
      </c>
      <c r="Y211" s="1">
        <v>9.5415295071799992E-6</v>
      </c>
      <c r="Z211" s="1">
        <v>2.1043771043771001E-5</v>
      </c>
      <c r="AA211">
        <v>0</v>
      </c>
      <c r="AB211">
        <f t="shared" si="21"/>
        <v>4.1668070519329543E-3</v>
      </c>
      <c r="AC211">
        <f t="shared" si="26"/>
        <v>0.1</v>
      </c>
      <c r="AD211">
        <f t="shared" si="22"/>
        <v>0</v>
      </c>
      <c r="AE211">
        <f t="shared" si="27"/>
        <v>4.5834877571262504E-3</v>
      </c>
      <c r="AF211" t="str">
        <f t="shared" si="23"/>
        <v>Very Low</v>
      </c>
      <c r="AG211" t="str">
        <f t="shared" si="24"/>
        <v>NO ACTION</v>
      </c>
      <c r="AH211" t="str">
        <f t="shared" si="25"/>
        <v/>
      </c>
    </row>
    <row r="212" spans="1:34" x14ac:dyDescent="0.3">
      <c r="A212" t="s">
        <v>239</v>
      </c>
      <c r="B212">
        <v>0.27826086956521701</v>
      </c>
      <c r="C212">
        <v>0.96277976380909902</v>
      </c>
      <c r="D212">
        <v>0.35122630063293397</v>
      </c>
      <c r="E212">
        <v>0</v>
      </c>
      <c r="F212">
        <v>0</v>
      </c>
      <c r="G212">
        <v>0.38331562538813102</v>
      </c>
      <c r="H212">
        <v>9</v>
      </c>
      <c r="I212">
        <v>16</v>
      </c>
      <c r="J212">
        <v>0.108153236963885</v>
      </c>
      <c r="K212">
        <v>4.0783034257748704E-3</v>
      </c>
      <c r="L212">
        <v>9.6108508502418394E-3</v>
      </c>
      <c r="M212">
        <v>1.7316017316017301E-3</v>
      </c>
      <c r="N212">
        <v>9.6541369428693301E-3</v>
      </c>
      <c r="O212">
        <v>463</v>
      </c>
      <c r="P212">
        <v>8.21057800224467E-2</v>
      </c>
      <c r="Q212">
        <v>8.2260948841123394E-2</v>
      </c>
      <c r="R212">
        <v>0</v>
      </c>
      <c r="S212">
        <v>0</v>
      </c>
      <c r="T212" t="s">
        <v>28</v>
      </c>
      <c r="U212">
        <v>1.21293800539083E-2</v>
      </c>
      <c r="V212">
        <v>0</v>
      </c>
      <c r="W212">
        <v>0</v>
      </c>
      <c r="X212">
        <v>0.10536789018988001</v>
      </c>
      <c r="Y212">
        <v>2.9332313900758699E-2</v>
      </c>
      <c r="Z212">
        <v>5.3125122790615702E-2</v>
      </c>
      <c r="AA212">
        <v>0</v>
      </c>
      <c r="AB212">
        <f t="shared" si="21"/>
        <v>3.9946944703965634E-2</v>
      </c>
      <c r="AC212">
        <f t="shared" si="26"/>
        <v>0.25</v>
      </c>
      <c r="AD212">
        <f t="shared" si="22"/>
        <v>0</v>
      </c>
      <c r="AE212">
        <f t="shared" si="27"/>
        <v>4.9933680879957046E-2</v>
      </c>
      <c r="AF212" t="str">
        <f t="shared" si="23"/>
        <v>Very Low</v>
      </c>
      <c r="AG212" t="str">
        <f t="shared" si="24"/>
        <v>NO ACTION</v>
      </c>
      <c r="AH212" t="str">
        <f t="shared" si="25"/>
        <v/>
      </c>
    </row>
    <row r="213" spans="1:34" x14ac:dyDescent="0.3">
      <c r="A213" t="s">
        <v>240</v>
      </c>
      <c r="B213">
        <v>0.27410207939508502</v>
      </c>
      <c r="C213">
        <v>0.632106954937247</v>
      </c>
      <c r="D213">
        <v>0.39728921583414001</v>
      </c>
      <c r="E213">
        <v>0</v>
      </c>
      <c r="F213">
        <v>0</v>
      </c>
      <c r="G213">
        <v>0.39133535492842603</v>
      </c>
      <c r="H213">
        <v>7</v>
      </c>
      <c r="I213">
        <v>17</v>
      </c>
      <c r="J213">
        <v>0.14641477028767699</v>
      </c>
      <c r="K213">
        <v>8.1566068515497503E-4</v>
      </c>
      <c r="L213">
        <v>1.42068009965839E-3</v>
      </c>
      <c r="M213">
        <v>8.6580086580086504E-4</v>
      </c>
      <c r="N213">
        <v>3.5676966711449399E-3</v>
      </c>
      <c r="O213">
        <v>470</v>
      </c>
      <c r="P213">
        <v>0.10841049382716</v>
      </c>
      <c r="Q213">
        <v>0.108559206143272</v>
      </c>
      <c r="R213">
        <v>0.76106194690265405</v>
      </c>
      <c r="S213">
        <v>1</v>
      </c>
      <c r="T213" t="s">
        <v>28</v>
      </c>
      <c r="U213">
        <v>4.2452830188679201E-3</v>
      </c>
      <c r="V213">
        <v>0</v>
      </c>
      <c r="W213">
        <v>0</v>
      </c>
      <c r="X213">
        <v>0.11918676475024199</v>
      </c>
      <c r="Y213">
        <v>3.10636031087081E-2</v>
      </c>
      <c r="Z213">
        <v>6.6473374964754195E-2</v>
      </c>
      <c r="AA213">
        <v>0.76106194690265405</v>
      </c>
      <c r="AB213">
        <f t="shared" si="21"/>
        <v>0.25947758135335131</v>
      </c>
      <c r="AC213">
        <f t="shared" si="26"/>
        <v>0.25</v>
      </c>
      <c r="AD213">
        <f t="shared" si="22"/>
        <v>0</v>
      </c>
      <c r="AE213">
        <f t="shared" si="27"/>
        <v>0.3243469766916891</v>
      </c>
      <c r="AF213" t="str">
        <f t="shared" si="23"/>
        <v>Low</v>
      </c>
      <c r="AG213" t="str">
        <f t="shared" si="24"/>
        <v>NO ACTION</v>
      </c>
      <c r="AH213" t="str">
        <f t="shared" si="25"/>
        <v/>
      </c>
    </row>
    <row r="214" spans="1:34" x14ac:dyDescent="0.3">
      <c r="A214" t="s">
        <v>241</v>
      </c>
      <c r="B214">
        <v>0.12892249527410199</v>
      </c>
      <c r="C214">
        <v>0.26938321883834099</v>
      </c>
      <c r="D214">
        <v>7.4866899962459793E-2</v>
      </c>
      <c r="E214">
        <v>0</v>
      </c>
      <c r="F214">
        <v>0</v>
      </c>
      <c r="G214">
        <v>0.99364944974535996</v>
      </c>
      <c r="H214">
        <v>7</v>
      </c>
      <c r="I214">
        <v>8</v>
      </c>
      <c r="J214">
        <v>0.11435523114355201</v>
      </c>
      <c r="K214">
        <v>3.0995106035889002E-2</v>
      </c>
      <c r="L214">
        <v>6.9089293839007401E-2</v>
      </c>
      <c r="M214">
        <v>3.4632034632034602E-3</v>
      </c>
      <c r="N214">
        <v>1.8263279878600401E-2</v>
      </c>
      <c r="O214">
        <v>464</v>
      </c>
      <c r="P214">
        <v>9.9081088664422001E-2</v>
      </c>
      <c r="Q214">
        <v>9.9232090886777202E-2</v>
      </c>
      <c r="R214">
        <v>0</v>
      </c>
      <c r="S214">
        <v>0</v>
      </c>
      <c r="T214" t="s">
        <v>28</v>
      </c>
      <c r="U214">
        <v>4.9637155297532598E-2</v>
      </c>
      <c r="V214">
        <v>0</v>
      </c>
      <c r="W214">
        <v>0</v>
      </c>
      <c r="X214">
        <v>2.24600699887379E-2</v>
      </c>
      <c r="Y214">
        <v>6.2894677111794306E-2</v>
      </c>
      <c r="Z214">
        <v>6.6753965150093297E-2</v>
      </c>
      <c r="AA214">
        <v>0</v>
      </c>
      <c r="AB214">
        <f t="shared" si="21"/>
        <v>3.9895231031526597E-2</v>
      </c>
      <c r="AC214">
        <f t="shared" si="26"/>
        <v>0.25</v>
      </c>
      <c r="AD214">
        <f t="shared" si="22"/>
        <v>0</v>
      </c>
      <c r="AE214">
        <f t="shared" si="27"/>
        <v>4.9869038789408245E-2</v>
      </c>
      <c r="AF214" t="str">
        <f t="shared" si="23"/>
        <v>Very Low</v>
      </c>
      <c r="AG214" t="str">
        <f t="shared" si="24"/>
        <v>NO ACTION</v>
      </c>
      <c r="AH214" t="str">
        <f t="shared" si="25"/>
        <v/>
      </c>
    </row>
    <row r="215" spans="1:34" x14ac:dyDescent="0.3">
      <c r="A215" t="s">
        <v>242</v>
      </c>
      <c r="B215">
        <v>0.22835538752362899</v>
      </c>
      <c r="C215">
        <v>0.72690765771866594</v>
      </c>
      <c r="D215">
        <v>0.34264709939836102</v>
      </c>
      <c r="E215">
        <v>0</v>
      </c>
      <c r="F215">
        <v>0</v>
      </c>
      <c r="G215">
        <v>0.49875844145981002</v>
      </c>
      <c r="H215">
        <v>8</v>
      </c>
      <c r="I215">
        <v>14</v>
      </c>
      <c r="J215">
        <v>0.170268594055627</v>
      </c>
      <c r="K215">
        <v>1.4681892332789499E-2</v>
      </c>
      <c r="L215">
        <v>2.19947037700889E-2</v>
      </c>
      <c r="M215">
        <v>2.0202020202020202E-3</v>
      </c>
      <c r="N215">
        <v>7.1600165052879E-3</v>
      </c>
      <c r="O215">
        <v>594</v>
      </c>
      <c r="P215">
        <v>0.13247053872053799</v>
      </c>
      <c r="Q215">
        <v>0.132613345488972</v>
      </c>
      <c r="R215">
        <v>0</v>
      </c>
      <c r="S215">
        <v>0</v>
      </c>
      <c r="T215" t="s">
        <v>28</v>
      </c>
      <c r="U215">
        <v>3.8207547169811298E-2</v>
      </c>
      <c r="V215">
        <v>0</v>
      </c>
      <c r="W215">
        <v>0</v>
      </c>
      <c r="X215">
        <v>0.102794129819508</v>
      </c>
      <c r="Y215">
        <v>4.7199075647756203E-2</v>
      </c>
      <c r="Z215">
        <v>8.2346329834438403E-2</v>
      </c>
      <c r="AA215">
        <v>0</v>
      </c>
      <c r="AB215">
        <f t="shared" si="21"/>
        <v>5.2719774306135773E-2</v>
      </c>
      <c r="AC215">
        <f t="shared" si="26"/>
        <v>0.25</v>
      </c>
      <c r="AD215">
        <f t="shared" si="22"/>
        <v>0</v>
      </c>
      <c r="AE215">
        <f t="shared" si="27"/>
        <v>6.5899717882669712E-2</v>
      </c>
      <c r="AF215" t="str">
        <f t="shared" si="23"/>
        <v>Very Low</v>
      </c>
      <c r="AG215" t="str">
        <f t="shared" si="24"/>
        <v>NO ACTION</v>
      </c>
      <c r="AH215" t="str">
        <f t="shared" si="25"/>
        <v/>
      </c>
    </row>
    <row r="216" spans="1:34" x14ac:dyDescent="0.3">
      <c r="A216" t="s">
        <v>243</v>
      </c>
      <c r="B216">
        <v>0.12892249527410199</v>
      </c>
      <c r="C216">
        <v>0.18476582604220201</v>
      </c>
      <c r="D216">
        <v>0</v>
      </c>
      <c r="E216">
        <v>0</v>
      </c>
      <c r="F216">
        <v>0</v>
      </c>
      <c r="G216">
        <v>0.99366465095829604</v>
      </c>
      <c r="H216">
        <v>7</v>
      </c>
      <c r="I216">
        <v>7</v>
      </c>
      <c r="J216">
        <v>0.12485091360144999</v>
      </c>
      <c r="K216">
        <v>8.1566068515497494E-3</v>
      </c>
      <c r="L216">
        <v>1.6655875767924801E-2</v>
      </c>
      <c r="M216">
        <v>2.8860028860028799E-3</v>
      </c>
      <c r="N216">
        <v>1.39424098234166E-2</v>
      </c>
      <c r="O216">
        <v>413</v>
      </c>
      <c r="P216">
        <v>9.6696127946127905E-2</v>
      </c>
      <c r="Q216">
        <v>9.6847715558048997E-2</v>
      </c>
      <c r="R216">
        <v>0</v>
      </c>
      <c r="S216">
        <v>0</v>
      </c>
      <c r="T216" t="s">
        <v>28</v>
      </c>
      <c r="U216">
        <v>1.54373927958833E-2</v>
      </c>
      <c r="V216">
        <v>0</v>
      </c>
      <c r="W216">
        <v>0</v>
      </c>
      <c r="X216">
        <v>0</v>
      </c>
      <c r="Y216">
        <v>3.7480843551277399E-2</v>
      </c>
      <c r="Z216">
        <v>6.3594640697043403E-2</v>
      </c>
      <c r="AA216">
        <v>0</v>
      </c>
      <c r="AB216">
        <f t="shared" si="21"/>
        <v>2.8301135589529826E-2</v>
      </c>
      <c r="AC216">
        <f t="shared" si="26"/>
        <v>0.25</v>
      </c>
      <c r="AD216">
        <f t="shared" si="22"/>
        <v>0</v>
      </c>
      <c r="AE216">
        <f t="shared" si="27"/>
        <v>3.5376419486912281E-2</v>
      </c>
      <c r="AF216" t="str">
        <f t="shared" si="23"/>
        <v>Very Low</v>
      </c>
      <c r="AG216" t="str">
        <f t="shared" si="24"/>
        <v>NO ACTION</v>
      </c>
      <c r="AH216" t="str">
        <f t="shared" si="25"/>
        <v/>
      </c>
    </row>
    <row r="217" spans="1:34" x14ac:dyDescent="0.3">
      <c r="A217" t="s">
        <v>244</v>
      </c>
      <c r="B217">
        <v>0.91266540642722105</v>
      </c>
      <c r="C217">
        <v>0.90678910572490401</v>
      </c>
      <c r="D217">
        <v>0.98741293084594395</v>
      </c>
      <c r="E217">
        <v>0</v>
      </c>
      <c r="F217">
        <v>0.389578163771712</v>
      </c>
      <c r="G217">
        <v>1.42425417837537E-2</v>
      </c>
      <c r="H217">
        <v>0</v>
      </c>
      <c r="I217">
        <v>23</v>
      </c>
      <c r="J217">
        <v>7.3183531320070605E-2</v>
      </c>
      <c r="K217">
        <v>1.6313213703099501E-3</v>
      </c>
      <c r="L217">
        <v>5.6753354468484602E-3</v>
      </c>
      <c r="M217">
        <v>2.0202020202020202E-3</v>
      </c>
      <c r="N217">
        <v>1.66276146782969E-2</v>
      </c>
      <c r="O217">
        <v>280</v>
      </c>
      <c r="P217">
        <v>5.5485409652076302E-2</v>
      </c>
      <c r="Q217">
        <v>5.56471124513482E-2</v>
      </c>
      <c r="R217">
        <v>0</v>
      </c>
      <c r="S217">
        <v>0</v>
      </c>
      <c r="T217" t="s">
        <v>53</v>
      </c>
      <c r="U217">
        <v>4.2452830188679201E-3</v>
      </c>
      <c r="V217">
        <v>0</v>
      </c>
      <c r="W217">
        <v>0</v>
      </c>
      <c r="X217">
        <v>0.452055144762468</v>
      </c>
      <c r="Y217">
        <v>2.2462658390927401E-2</v>
      </c>
      <c r="Z217">
        <v>3.9942291662564501E-2</v>
      </c>
      <c r="AA217">
        <v>0</v>
      </c>
      <c r="AB217">
        <f t="shared" si="21"/>
        <v>8.9802209176972611E-2</v>
      </c>
      <c r="AC217">
        <f t="shared" si="26"/>
        <v>0.1</v>
      </c>
      <c r="AD217">
        <f t="shared" si="22"/>
        <v>0</v>
      </c>
      <c r="AE217">
        <f t="shared" si="27"/>
        <v>9.8782430094669874E-2</v>
      </c>
      <c r="AF217" t="str">
        <f t="shared" si="23"/>
        <v>Very Low</v>
      </c>
      <c r="AG217" t="str">
        <f t="shared" si="24"/>
        <v>NO ACTION</v>
      </c>
      <c r="AH217" t="str">
        <f t="shared" si="25"/>
        <v/>
      </c>
    </row>
    <row r="218" spans="1:34" x14ac:dyDescent="0.3">
      <c r="A218" t="s">
        <v>245</v>
      </c>
      <c r="B218">
        <v>0.257088846880907</v>
      </c>
      <c r="C218">
        <v>0.60454081678720695</v>
      </c>
      <c r="D218">
        <v>0.50529085307629096</v>
      </c>
      <c r="E218">
        <v>0.26640675763482702</v>
      </c>
      <c r="F218">
        <v>5.5555555555555497E-2</v>
      </c>
      <c r="G218">
        <v>0.42671372362131899</v>
      </c>
      <c r="H218">
        <v>0</v>
      </c>
      <c r="I218">
        <v>23</v>
      </c>
      <c r="J218">
        <v>0.129717093650112</v>
      </c>
      <c r="K218">
        <v>4.8939641109298502E-3</v>
      </c>
      <c r="L218">
        <v>9.6193185602420506E-3</v>
      </c>
      <c r="M218">
        <v>2.59740259740259E-3</v>
      </c>
      <c r="N218">
        <v>1.2078303487995099E-2</v>
      </c>
      <c r="O218">
        <v>410</v>
      </c>
      <c r="P218">
        <v>9.8730359147025798E-2</v>
      </c>
      <c r="Q218">
        <v>9.8881447456081906E-2</v>
      </c>
      <c r="R218">
        <v>2.9498525073746298E-2</v>
      </c>
      <c r="S218">
        <v>1</v>
      </c>
      <c r="T218" t="s">
        <v>28</v>
      </c>
      <c r="U218">
        <v>1.0188679245283E-2</v>
      </c>
      <c r="V218">
        <v>0</v>
      </c>
      <c r="W218">
        <v>1.7439584316562999E-2</v>
      </c>
      <c r="X218">
        <v>0.253731505435557</v>
      </c>
      <c r="Y218">
        <v>3.4376569056541899E-2</v>
      </c>
      <c r="Z218">
        <v>6.4069536883413505E-2</v>
      </c>
      <c r="AA218">
        <v>2.9498525073746298E-2</v>
      </c>
      <c r="AB218">
        <f t="shared" si="21"/>
        <v>7.6421537553525598E-2</v>
      </c>
      <c r="AC218">
        <f t="shared" si="26"/>
        <v>0.25</v>
      </c>
      <c r="AD218">
        <f t="shared" si="22"/>
        <v>0</v>
      </c>
      <c r="AE218">
        <f t="shared" si="27"/>
        <v>9.5526921941906998E-2</v>
      </c>
      <c r="AF218" t="str">
        <f t="shared" si="23"/>
        <v>Very Low</v>
      </c>
      <c r="AG218" t="str">
        <f t="shared" si="24"/>
        <v>NO ACTION</v>
      </c>
      <c r="AH218" t="str">
        <f t="shared" si="25"/>
        <v/>
      </c>
    </row>
    <row r="219" spans="1:34" x14ac:dyDescent="0.3">
      <c r="A219" t="s">
        <v>246</v>
      </c>
      <c r="B219">
        <v>0.92627599243856296</v>
      </c>
      <c r="C219">
        <v>0.951235308156963</v>
      </c>
      <c r="D219">
        <v>0.96259207463479801</v>
      </c>
      <c r="E219">
        <v>0</v>
      </c>
      <c r="F219">
        <v>0.38427057864710601</v>
      </c>
      <c r="G219">
        <v>1.17038519322333E-2</v>
      </c>
      <c r="H219">
        <v>0</v>
      </c>
      <c r="I219">
        <v>23</v>
      </c>
      <c r="J219">
        <v>6.2830971804780297E-2</v>
      </c>
      <c r="K219">
        <v>1.38662316476345E-2</v>
      </c>
      <c r="L219">
        <v>5.6158775074090797E-2</v>
      </c>
      <c r="M219">
        <v>2.88600288600288E-4</v>
      </c>
      <c r="N219">
        <v>2.76527976981834E-3</v>
      </c>
      <c r="O219">
        <v>276</v>
      </c>
      <c r="P219">
        <v>5.2293771043770997E-2</v>
      </c>
      <c r="Q219">
        <v>5.24562572320207E-2</v>
      </c>
      <c r="R219">
        <v>0</v>
      </c>
      <c r="S219">
        <v>0</v>
      </c>
      <c r="T219" t="s">
        <v>53</v>
      </c>
      <c r="U219">
        <v>0.14433962264150901</v>
      </c>
      <c r="V219">
        <v>0</v>
      </c>
      <c r="W219">
        <v>0</v>
      </c>
      <c r="X219">
        <v>0.44248585384928202</v>
      </c>
      <c r="Y219">
        <v>4.1475165828947003E-2</v>
      </c>
      <c r="Z219">
        <v>3.2482374534189902E-2</v>
      </c>
      <c r="AA219">
        <v>0</v>
      </c>
      <c r="AB219">
        <f t="shared" si="21"/>
        <v>9.1505847917563457E-2</v>
      </c>
      <c r="AC219">
        <f t="shared" si="26"/>
        <v>0.1</v>
      </c>
      <c r="AD219">
        <f t="shared" si="22"/>
        <v>0</v>
      </c>
      <c r="AE219">
        <f t="shared" si="27"/>
        <v>0.10065643270931982</v>
      </c>
      <c r="AF219" t="str">
        <f t="shared" si="23"/>
        <v>Very Low</v>
      </c>
      <c r="AG219" t="str">
        <f t="shared" si="24"/>
        <v>NO ACTION</v>
      </c>
      <c r="AH219" t="str">
        <f t="shared" si="25"/>
        <v/>
      </c>
    </row>
    <row r="220" spans="1:34" x14ac:dyDescent="0.3">
      <c r="A220" t="s">
        <v>247</v>
      </c>
      <c r="B220">
        <v>0.23629489603024501</v>
      </c>
      <c r="C220">
        <v>0.78723754180143501</v>
      </c>
      <c r="D220">
        <v>0.38176186991698902</v>
      </c>
      <c r="E220">
        <v>0</v>
      </c>
      <c r="F220">
        <v>0</v>
      </c>
      <c r="G220">
        <v>0.47734601148998002</v>
      </c>
      <c r="H220">
        <v>8</v>
      </c>
      <c r="I220">
        <v>14</v>
      </c>
      <c r="J220">
        <v>0.108010114021277</v>
      </c>
      <c r="K220">
        <v>2.4469820554649199E-3</v>
      </c>
      <c r="L220">
        <v>5.7741348078667503E-3</v>
      </c>
      <c r="M220">
        <v>0</v>
      </c>
      <c r="N220">
        <v>0</v>
      </c>
      <c r="O220">
        <v>401</v>
      </c>
      <c r="P220">
        <v>8.0457351290684598E-2</v>
      </c>
      <c r="Q220">
        <v>8.0612924716855397E-2</v>
      </c>
      <c r="R220">
        <v>0</v>
      </c>
      <c r="S220">
        <v>0</v>
      </c>
      <c r="T220" t="s">
        <v>28</v>
      </c>
      <c r="U220">
        <v>5.0943396226415097E-2</v>
      </c>
      <c r="V220">
        <v>0</v>
      </c>
      <c r="W220">
        <v>0</v>
      </c>
      <c r="X220">
        <v>0.11452856097509601</v>
      </c>
      <c r="Y220">
        <v>2.4489090208188902E-2</v>
      </c>
      <c r="Z220">
        <v>4.8274410774410699E-2</v>
      </c>
      <c r="AA220">
        <v>0</v>
      </c>
      <c r="AB220">
        <f t="shared" si="21"/>
        <v>3.8698350031143247E-2</v>
      </c>
      <c r="AC220">
        <f t="shared" si="26"/>
        <v>0.25</v>
      </c>
      <c r="AD220">
        <f t="shared" si="22"/>
        <v>0</v>
      </c>
      <c r="AE220">
        <f t="shared" si="27"/>
        <v>4.8372937538929059E-2</v>
      </c>
      <c r="AF220" t="str">
        <f t="shared" si="23"/>
        <v>Very Low</v>
      </c>
      <c r="AG220" t="str">
        <f t="shared" si="24"/>
        <v>NO ACTION</v>
      </c>
      <c r="AH220" t="str">
        <f t="shared" si="25"/>
        <v/>
      </c>
    </row>
    <row r="221" spans="1:34" x14ac:dyDescent="0.3">
      <c r="A221" t="s">
        <v>248</v>
      </c>
      <c r="B221">
        <v>0.12892249527410199</v>
      </c>
      <c r="C221">
        <v>0.45629125735639597</v>
      </c>
      <c r="D221">
        <v>7.4993488433305694E-2</v>
      </c>
      <c r="E221">
        <v>0</v>
      </c>
      <c r="F221">
        <v>0</v>
      </c>
      <c r="G221">
        <v>0.99365231335413495</v>
      </c>
      <c r="H221">
        <v>8</v>
      </c>
      <c r="I221">
        <v>9</v>
      </c>
      <c r="J221">
        <v>0.12260865416726301</v>
      </c>
      <c r="K221">
        <v>7.34094616639478E-3</v>
      </c>
      <c r="L221">
        <v>1.5263897334815099E-2</v>
      </c>
      <c r="M221">
        <v>2.3088023088023001E-3</v>
      </c>
      <c r="N221">
        <v>1.1357514114795599E-2</v>
      </c>
      <c r="O221">
        <v>421</v>
      </c>
      <c r="P221">
        <v>9.4416386083052695E-2</v>
      </c>
      <c r="Q221">
        <v>9.4568533258529403E-2</v>
      </c>
      <c r="R221">
        <v>9.5870206489675494E-2</v>
      </c>
      <c r="S221">
        <v>1</v>
      </c>
      <c r="T221" t="s">
        <v>28</v>
      </c>
      <c r="U221">
        <v>1.6981132075471601E-2</v>
      </c>
      <c r="V221">
        <v>0</v>
      </c>
      <c r="W221">
        <v>0</v>
      </c>
      <c r="X221">
        <v>2.2498046529991701E-2</v>
      </c>
      <c r="Y221">
        <v>3.5560933735298797E-2</v>
      </c>
      <c r="Z221">
        <v>6.1192837295749897E-2</v>
      </c>
      <c r="AA221">
        <v>9.5870206489675494E-2</v>
      </c>
      <c r="AB221">
        <f t="shared" si="21"/>
        <v>5.7534401150601447E-2</v>
      </c>
      <c r="AC221">
        <f t="shared" si="26"/>
        <v>0.25</v>
      </c>
      <c r="AD221">
        <f t="shared" si="22"/>
        <v>0</v>
      </c>
      <c r="AE221">
        <f t="shared" si="27"/>
        <v>7.1918001438251805E-2</v>
      </c>
      <c r="AF221" t="str">
        <f t="shared" si="23"/>
        <v>Very Low</v>
      </c>
      <c r="AG221" t="str">
        <f t="shared" si="24"/>
        <v>NO ACTION</v>
      </c>
      <c r="AH221" t="str">
        <f t="shared" si="25"/>
        <v/>
      </c>
    </row>
    <row r="222" spans="1:34" x14ac:dyDescent="0.3">
      <c r="A222" t="s">
        <v>249</v>
      </c>
      <c r="B222">
        <v>0.12892249527410199</v>
      </c>
      <c r="C222">
        <v>0.18476582604220201</v>
      </c>
      <c r="D222">
        <v>0</v>
      </c>
      <c r="E222">
        <v>0</v>
      </c>
      <c r="F222">
        <v>0</v>
      </c>
      <c r="G222">
        <v>0.993678808425977</v>
      </c>
      <c r="H222">
        <v>7</v>
      </c>
      <c r="I222">
        <v>7</v>
      </c>
      <c r="J222">
        <v>0.14131005200133501</v>
      </c>
      <c r="K222">
        <v>2.6101141924959201E-2</v>
      </c>
      <c r="L222">
        <v>4.7101267287898999E-2</v>
      </c>
      <c r="M222">
        <v>6.0606060606060597E-3</v>
      </c>
      <c r="N222">
        <v>2.5874518695549999E-2</v>
      </c>
      <c r="O222">
        <v>1368</v>
      </c>
      <c r="P222">
        <v>0.118055555555555</v>
      </c>
      <c r="Q222">
        <v>0.118201900487394</v>
      </c>
      <c r="R222">
        <v>0</v>
      </c>
      <c r="S222">
        <v>0</v>
      </c>
      <c r="T222" t="s">
        <v>28</v>
      </c>
      <c r="U222">
        <v>2.4699828473413302E-2</v>
      </c>
      <c r="V222">
        <v>0</v>
      </c>
      <c r="W222">
        <v>0</v>
      </c>
      <c r="X222">
        <v>0</v>
      </c>
      <c r="Y222">
        <v>5.9574999652881697E-2</v>
      </c>
      <c r="Z222">
        <v>8.1183140811553298E-2</v>
      </c>
      <c r="AA222">
        <v>0</v>
      </c>
      <c r="AB222">
        <f t="shared" si="21"/>
        <v>3.9412279330041801E-2</v>
      </c>
      <c r="AC222">
        <f t="shared" si="26"/>
        <v>0.25</v>
      </c>
      <c r="AD222">
        <f t="shared" si="22"/>
        <v>0</v>
      </c>
      <c r="AE222">
        <f t="shared" si="27"/>
        <v>4.9265349162552249E-2</v>
      </c>
      <c r="AF222" t="str">
        <f t="shared" si="23"/>
        <v>Very Low</v>
      </c>
      <c r="AG222" t="str">
        <f t="shared" si="24"/>
        <v>NO ACTION</v>
      </c>
      <c r="AH222" t="str">
        <f t="shared" si="25"/>
        <v/>
      </c>
    </row>
    <row r="223" spans="1:34" x14ac:dyDescent="0.3">
      <c r="A223" t="s">
        <v>250</v>
      </c>
      <c r="B223">
        <v>0.26238185255198399</v>
      </c>
      <c r="C223">
        <v>0.56409165515176696</v>
      </c>
      <c r="D223">
        <v>0.52819625283119898</v>
      </c>
      <c r="E223">
        <v>0.32632919452403603</v>
      </c>
      <c r="F223">
        <v>0.27936962750716299</v>
      </c>
      <c r="G223">
        <v>0.41537599173852002</v>
      </c>
      <c r="H223">
        <v>0</v>
      </c>
      <c r="I223">
        <v>23</v>
      </c>
      <c r="J223">
        <v>0.14526978674681501</v>
      </c>
      <c r="K223">
        <v>1.71288743882544E-2</v>
      </c>
      <c r="L223">
        <v>3.0069043656835302E-2</v>
      </c>
      <c r="M223">
        <v>2.59740259740259E-3</v>
      </c>
      <c r="N223">
        <v>1.07873110496061E-2</v>
      </c>
      <c r="O223">
        <v>1508</v>
      </c>
      <c r="P223">
        <v>0.115425084175084</v>
      </c>
      <c r="Q223">
        <v>0.115572074757179</v>
      </c>
      <c r="R223">
        <v>3.68731563421828E-2</v>
      </c>
      <c r="S223">
        <v>1</v>
      </c>
      <c r="T223" t="s">
        <v>28</v>
      </c>
      <c r="U223">
        <v>3.5660377358490501E-2</v>
      </c>
      <c r="V223">
        <v>0</v>
      </c>
      <c r="W223">
        <v>0.27413414393730701</v>
      </c>
      <c r="X223">
        <v>0.36810548520943598</v>
      </c>
      <c r="Y223">
        <v>4.7324672492662603E-2</v>
      </c>
      <c r="Z223">
        <v>7.3569974924892895E-2</v>
      </c>
      <c r="AA223">
        <v>3.68731563421828E-2</v>
      </c>
      <c r="AB223">
        <f t="shared" si="21"/>
        <v>0.1030718626862365</v>
      </c>
      <c r="AC223">
        <f t="shared" si="26"/>
        <v>0.25</v>
      </c>
      <c r="AD223">
        <f t="shared" si="22"/>
        <v>0</v>
      </c>
      <c r="AE223">
        <f t="shared" si="27"/>
        <v>0.12883982835779562</v>
      </c>
      <c r="AF223" t="str">
        <f t="shared" si="23"/>
        <v>Very Low</v>
      </c>
      <c r="AG223" t="str">
        <f t="shared" si="24"/>
        <v>NO ACTION</v>
      </c>
      <c r="AH223" t="str">
        <f t="shared" si="25"/>
        <v/>
      </c>
    </row>
    <row r="224" spans="1:34" x14ac:dyDescent="0.3">
      <c r="A224" t="s">
        <v>251</v>
      </c>
      <c r="B224">
        <v>0.12892249527410199</v>
      </c>
      <c r="C224">
        <v>0.36953165208440503</v>
      </c>
      <c r="D224">
        <v>0</v>
      </c>
      <c r="E224">
        <v>0</v>
      </c>
      <c r="F224">
        <v>0</v>
      </c>
      <c r="G224">
        <v>0.99367321502192096</v>
      </c>
      <c r="H224">
        <v>8</v>
      </c>
      <c r="I224">
        <v>8</v>
      </c>
      <c r="J224">
        <v>0.11187443347168501</v>
      </c>
      <c r="K224">
        <v>1.1419249592169599E-2</v>
      </c>
      <c r="L224">
        <v>2.6017186710169501E-2</v>
      </c>
      <c r="M224">
        <v>3.4632034632034602E-3</v>
      </c>
      <c r="N224">
        <v>1.8667403518467299E-2</v>
      </c>
      <c r="O224">
        <v>901</v>
      </c>
      <c r="P224">
        <v>8.8839786756453404E-2</v>
      </c>
      <c r="Q224">
        <v>8.8993302710473704E-2</v>
      </c>
      <c r="R224">
        <v>0</v>
      </c>
      <c r="S224">
        <v>0</v>
      </c>
      <c r="T224" t="s">
        <v>28</v>
      </c>
      <c r="U224">
        <v>1.82873730043541E-2</v>
      </c>
      <c r="V224">
        <v>0</v>
      </c>
      <c r="W224">
        <v>0</v>
      </c>
      <c r="X224">
        <v>0</v>
      </c>
      <c r="Y224">
        <v>4.0983701104962002E-2</v>
      </c>
      <c r="Z224">
        <v>6.0770833461258902E-2</v>
      </c>
      <c r="AA224">
        <v>0</v>
      </c>
      <c r="AB224">
        <f t="shared" si="21"/>
        <v>2.8491269678541854E-2</v>
      </c>
      <c r="AC224">
        <f t="shared" si="26"/>
        <v>0.25</v>
      </c>
      <c r="AD224">
        <f t="shared" si="22"/>
        <v>0</v>
      </c>
      <c r="AE224">
        <f t="shared" si="27"/>
        <v>3.5614087098177316E-2</v>
      </c>
      <c r="AF224" t="str">
        <f t="shared" si="23"/>
        <v>Very Low</v>
      </c>
      <c r="AG224" t="str">
        <f t="shared" si="24"/>
        <v>NO ACTION</v>
      </c>
      <c r="AH224" t="str">
        <f t="shared" si="25"/>
        <v/>
      </c>
    </row>
    <row r="225" spans="1:34" x14ac:dyDescent="0.3">
      <c r="A225" t="s">
        <v>252</v>
      </c>
      <c r="B225">
        <v>0.12892249527410199</v>
      </c>
      <c r="C225">
        <v>0.27098987819523002</v>
      </c>
      <c r="D225">
        <v>7.4965657310309297E-2</v>
      </c>
      <c r="E225">
        <v>0</v>
      </c>
      <c r="F225">
        <v>0</v>
      </c>
      <c r="G225">
        <v>0.99367693503705901</v>
      </c>
      <c r="H225">
        <v>7</v>
      </c>
      <c r="I225">
        <v>8</v>
      </c>
      <c r="J225">
        <v>0.10128333571871501</v>
      </c>
      <c r="K225">
        <v>4.8939641109298502E-3</v>
      </c>
      <c r="L225">
        <v>1.23134510141444E-2</v>
      </c>
      <c r="M225">
        <v>2.0202020202020202E-3</v>
      </c>
      <c r="N225">
        <v>1.20253284726968E-2</v>
      </c>
      <c r="O225">
        <v>309</v>
      </c>
      <c r="P225">
        <v>7.7546296296296294E-2</v>
      </c>
      <c r="Q225">
        <v>7.7702584242084205E-2</v>
      </c>
      <c r="R225">
        <v>0</v>
      </c>
      <c r="S225">
        <v>0</v>
      </c>
      <c r="T225" t="s">
        <v>28</v>
      </c>
      <c r="U225">
        <v>1.27358490566037E-2</v>
      </c>
      <c r="V225">
        <v>0</v>
      </c>
      <c r="W225">
        <v>0</v>
      </c>
      <c r="X225">
        <v>2.2489697193092802E-2</v>
      </c>
      <c r="Y225">
        <v>3.0020991192624399E-2</v>
      </c>
      <c r="Z225">
        <v>5.1337909166856502E-2</v>
      </c>
      <c r="AA225">
        <v>0</v>
      </c>
      <c r="AB225">
        <f t="shared" si="21"/>
        <v>2.6378843651549501E-2</v>
      </c>
      <c r="AC225">
        <f t="shared" si="26"/>
        <v>0.25</v>
      </c>
      <c r="AD225">
        <f t="shared" si="22"/>
        <v>0</v>
      </c>
      <c r="AE225">
        <f t="shared" si="27"/>
        <v>3.2973554564436874E-2</v>
      </c>
      <c r="AF225" t="str">
        <f t="shared" si="23"/>
        <v>Very Low</v>
      </c>
      <c r="AG225" t="str">
        <f t="shared" si="24"/>
        <v>NO ACTION</v>
      </c>
      <c r="AH225" t="str">
        <f t="shared" si="25"/>
        <v/>
      </c>
    </row>
    <row r="226" spans="1:34" x14ac:dyDescent="0.3">
      <c r="A226" t="s">
        <v>253</v>
      </c>
      <c r="B226">
        <v>0.12892249527410199</v>
      </c>
      <c r="C226">
        <v>0.27313209067108202</v>
      </c>
      <c r="D226">
        <v>7.5061757440099602E-2</v>
      </c>
      <c r="E226">
        <v>0</v>
      </c>
      <c r="F226">
        <v>0</v>
      </c>
      <c r="G226">
        <v>0.99367784496881895</v>
      </c>
      <c r="H226">
        <v>7</v>
      </c>
      <c r="I226">
        <v>8</v>
      </c>
      <c r="J226">
        <v>9.4031773293258902E-2</v>
      </c>
      <c r="K226">
        <v>1.1419249592169599E-2</v>
      </c>
      <c r="L226">
        <v>3.0941492291952599E-2</v>
      </c>
      <c r="M226">
        <v>4.6176046176046098E-3</v>
      </c>
      <c r="N226">
        <v>2.9600808548176899E-2</v>
      </c>
      <c r="O226">
        <v>1041</v>
      </c>
      <c r="P226">
        <v>7.6283670033669995E-2</v>
      </c>
      <c r="Q226">
        <v>7.6440267891580996E-2</v>
      </c>
      <c r="R226">
        <v>0</v>
      </c>
      <c r="S226">
        <v>0</v>
      </c>
      <c r="T226" t="s">
        <v>53</v>
      </c>
      <c r="U226">
        <v>1.3984461709211899E-2</v>
      </c>
      <c r="V226">
        <v>0</v>
      </c>
      <c r="W226">
        <v>0</v>
      </c>
      <c r="X226">
        <v>2.2518527232029802E-2</v>
      </c>
      <c r="Y226">
        <v>4.3157343369081197E-2</v>
      </c>
      <c r="Z226">
        <v>5.7610525439472801E-2</v>
      </c>
      <c r="AA226">
        <v>0</v>
      </c>
      <c r="AB226">
        <f t="shared" si="21"/>
        <v>3.1817967623519891E-2</v>
      </c>
      <c r="AC226">
        <f t="shared" si="26"/>
        <v>0.1</v>
      </c>
      <c r="AD226">
        <f t="shared" si="22"/>
        <v>0</v>
      </c>
      <c r="AE226">
        <f t="shared" si="27"/>
        <v>3.4999764385871886E-2</v>
      </c>
      <c r="AF226" t="str">
        <f t="shared" si="23"/>
        <v>Very Low</v>
      </c>
      <c r="AG226" t="str">
        <f t="shared" si="24"/>
        <v>NO ACTION</v>
      </c>
      <c r="AH226" t="str">
        <f t="shared" si="25"/>
        <v/>
      </c>
    </row>
    <row r="227" spans="1:34" x14ac:dyDescent="0.3">
      <c r="A227" t="s">
        <v>254</v>
      </c>
      <c r="B227">
        <v>0.12892249527410199</v>
      </c>
      <c r="C227">
        <v>0.46111123542706201</v>
      </c>
      <c r="D227">
        <v>7.5129964412319103E-2</v>
      </c>
      <c r="E227">
        <v>0</v>
      </c>
      <c r="F227">
        <v>0</v>
      </c>
      <c r="G227">
        <v>0.99366047597727902</v>
      </c>
      <c r="H227">
        <v>8</v>
      </c>
      <c r="I227">
        <v>9</v>
      </c>
      <c r="J227">
        <v>0.14479271027145599</v>
      </c>
      <c r="K227">
        <v>2.2838499184339299E-2</v>
      </c>
      <c r="L227">
        <v>4.0223939979538402E-2</v>
      </c>
      <c r="M227">
        <v>4.9062049062049001E-3</v>
      </c>
      <c r="N227">
        <v>2.04430584035847E-2</v>
      </c>
      <c r="O227">
        <v>1465</v>
      </c>
      <c r="P227">
        <v>0.118651795735129</v>
      </c>
      <c r="Q227">
        <v>0.11879799431957599</v>
      </c>
      <c r="R227">
        <v>0</v>
      </c>
      <c r="S227">
        <v>0</v>
      </c>
      <c r="T227" t="s">
        <v>28</v>
      </c>
      <c r="U227">
        <v>2.6415094339622601E-2</v>
      </c>
      <c r="V227">
        <v>0</v>
      </c>
      <c r="W227">
        <v>0</v>
      </c>
      <c r="X227">
        <v>2.2538989323695701E-2</v>
      </c>
      <c r="Y227">
        <v>5.5203429565135902E-2</v>
      </c>
      <c r="Z227">
        <v>7.9368300802511296E-2</v>
      </c>
      <c r="AA227">
        <v>0</v>
      </c>
      <c r="AB227">
        <f t="shared" si="21"/>
        <v>4.128632279473253E-2</v>
      </c>
      <c r="AC227">
        <f t="shared" si="26"/>
        <v>0.25</v>
      </c>
      <c r="AD227">
        <f t="shared" si="22"/>
        <v>0</v>
      </c>
      <c r="AE227">
        <f t="shared" si="27"/>
        <v>5.1607903493415666E-2</v>
      </c>
      <c r="AF227" t="str">
        <f t="shared" si="23"/>
        <v>Very Low</v>
      </c>
      <c r="AG227" t="str">
        <f t="shared" si="24"/>
        <v>NO ACTION</v>
      </c>
      <c r="AH227" t="str">
        <f t="shared" si="25"/>
        <v/>
      </c>
    </row>
    <row r="228" spans="1:34" x14ac:dyDescent="0.3">
      <c r="A228" t="s">
        <v>255</v>
      </c>
      <c r="B228">
        <v>0.12892249527410199</v>
      </c>
      <c r="C228">
        <v>0</v>
      </c>
      <c r="D228">
        <v>0</v>
      </c>
      <c r="E228">
        <v>0</v>
      </c>
      <c r="F228">
        <v>1</v>
      </c>
      <c r="G228">
        <v>0.99366772866866104</v>
      </c>
      <c r="H228">
        <v>6</v>
      </c>
      <c r="I228">
        <v>6</v>
      </c>
      <c r="J228">
        <v>0.108916559324459</v>
      </c>
      <c r="K228">
        <v>3.2626427406199001E-3</v>
      </c>
      <c r="L228">
        <v>7.6349136824298801E-3</v>
      </c>
      <c r="M228">
        <v>2.1067821067820999E-2</v>
      </c>
      <c r="N228">
        <v>0.116637276864549</v>
      </c>
      <c r="O228">
        <v>293</v>
      </c>
      <c r="P228">
        <v>9.1715768799102093E-2</v>
      </c>
      <c r="Q228">
        <v>9.1868578842175294E-2</v>
      </c>
      <c r="R228">
        <v>0</v>
      </c>
      <c r="S228">
        <v>0</v>
      </c>
      <c r="T228" t="s">
        <v>28</v>
      </c>
      <c r="U228">
        <v>9.1789903110657805E-4</v>
      </c>
      <c r="V228">
        <v>0</v>
      </c>
      <c r="W228">
        <v>0</v>
      </c>
      <c r="X228">
        <v>0.4</v>
      </c>
      <c r="Y228">
        <v>6.0591951765471698E-2</v>
      </c>
      <c r="Z228">
        <v>0.10168437202528099</v>
      </c>
      <c r="AA228">
        <v>0</v>
      </c>
      <c r="AB228">
        <f t="shared" si="21"/>
        <v>0.10943737066141077</v>
      </c>
      <c r="AC228">
        <f t="shared" si="26"/>
        <v>0.25</v>
      </c>
      <c r="AD228">
        <f t="shared" si="22"/>
        <v>0.08</v>
      </c>
      <c r="AE228">
        <f t="shared" si="27"/>
        <v>0.14555170297967632</v>
      </c>
      <c r="AF228" t="str">
        <f t="shared" si="23"/>
        <v>Very Low</v>
      </c>
      <c r="AG228" t="str">
        <f t="shared" si="24"/>
        <v>NO ACTION</v>
      </c>
      <c r="AH228" t="str">
        <f t="shared" si="25"/>
        <v/>
      </c>
    </row>
    <row r="229" spans="1:34" x14ac:dyDescent="0.3">
      <c r="A229" t="s">
        <v>256</v>
      </c>
      <c r="B229">
        <v>0.29262759924385601</v>
      </c>
      <c r="C229">
        <v>0.67304158226684097</v>
      </c>
      <c r="D229">
        <v>0.54643142180615201</v>
      </c>
      <c r="E229">
        <v>0.234218794630105</v>
      </c>
      <c r="F229">
        <v>5.7840616966580903E-2</v>
      </c>
      <c r="G229">
        <v>0.35732102920394099</v>
      </c>
      <c r="H229">
        <v>0</v>
      </c>
      <c r="I229">
        <v>23</v>
      </c>
      <c r="J229">
        <v>0.102571442202185</v>
      </c>
      <c r="K229">
        <v>8.9722675367047301E-3</v>
      </c>
      <c r="L229">
        <v>2.2291822222667599E-2</v>
      </c>
      <c r="M229">
        <v>1.7316017316017301E-3</v>
      </c>
      <c r="N229">
        <v>1.0178282660881201E-2</v>
      </c>
      <c r="O229">
        <v>1103</v>
      </c>
      <c r="P229">
        <v>8.0106621773288395E-2</v>
      </c>
      <c r="Q229">
        <v>8.02622812861601E-2</v>
      </c>
      <c r="R229">
        <v>0.32743362831858402</v>
      </c>
      <c r="S229">
        <v>1</v>
      </c>
      <c r="T229" t="s">
        <v>28</v>
      </c>
      <c r="U229">
        <v>2.6684636118598299E-2</v>
      </c>
      <c r="V229">
        <v>0</v>
      </c>
      <c r="W229">
        <v>4.2076810730292902E-2</v>
      </c>
      <c r="X229">
        <v>0.257331311717509</v>
      </c>
      <c r="Y229">
        <v>3.4713684350035197E-2</v>
      </c>
      <c r="Z229">
        <v>5.2135286128325499E-2</v>
      </c>
      <c r="AA229">
        <v>0.32743362831858402</v>
      </c>
      <c r="AB229">
        <f t="shared" si="21"/>
        <v>0.15717213753794598</v>
      </c>
      <c r="AC229">
        <f t="shared" si="26"/>
        <v>0.25</v>
      </c>
      <c r="AD229">
        <f t="shared" si="22"/>
        <v>0</v>
      </c>
      <c r="AE229">
        <f t="shared" si="27"/>
        <v>0.19646517192243249</v>
      </c>
      <c r="AF229" t="str">
        <f t="shared" si="23"/>
        <v>Very Low</v>
      </c>
      <c r="AG229" t="str">
        <f t="shared" si="24"/>
        <v>NO ACTION</v>
      </c>
      <c r="AH229" t="str">
        <f t="shared" si="25"/>
        <v/>
      </c>
    </row>
    <row r="230" spans="1:34" x14ac:dyDescent="0.3">
      <c r="A230" t="s">
        <v>257</v>
      </c>
      <c r="B230">
        <v>0.12892249527410199</v>
      </c>
      <c r="C230">
        <v>0.18476582604220201</v>
      </c>
      <c r="D230">
        <v>0</v>
      </c>
      <c r="E230">
        <v>0</v>
      </c>
      <c r="F230">
        <v>0</v>
      </c>
      <c r="G230">
        <v>0.99365555164069397</v>
      </c>
      <c r="H230">
        <v>7</v>
      </c>
      <c r="I230">
        <v>7</v>
      </c>
      <c r="J230">
        <v>0.12809503363389099</v>
      </c>
      <c r="K230">
        <v>3.4257748776508903E-2</v>
      </c>
      <c r="L230">
        <v>6.8186307177210206E-2</v>
      </c>
      <c r="M230">
        <v>6.0606060606060597E-3</v>
      </c>
      <c r="N230">
        <v>2.8538920806578699E-2</v>
      </c>
      <c r="O230">
        <v>1343</v>
      </c>
      <c r="P230">
        <v>0.111847643097643</v>
      </c>
      <c r="Q230">
        <v>0.11199551176408699</v>
      </c>
      <c r="R230">
        <v>0</v>
      </c>
      <c r="S230">
        <v>0</v>
      </c>
      <c r="T230" t="s">
        <v>28</v>
      </c>
      <c r="U230">
        <v>3.2418524871354999E-2</v>
      </c>
      <c r="V230">
        <v>0</v>
      </c>
      <c r="W230">
        <v>0</v>
      </c>
      <c r="X230">
        <v>0</v>
      </c>
      <c r="Y230">
        <v>6.8273836557356998E-2</v>
      </c>
      <c r="Z230">
        <v>7.8524154181217304E-2</v>
      </c>
      <c r="AA230">
        <v>0</v>
      </c>
      <c r="AB230">
        <f t="shared" si="21"/>
        <v>4.1103437406800808E-2</v>
      </c>
      <c r="AC230">
        <f t="shared" si="26"/>
        <v>0.25</v>
      </c>
      <c r="AD230">
        <f t="shared" si="22"/>
        <v>0</v>
      </c>
      <c r="AE230">
        <f t="shared" si="27"/>
        <v>5.137929675850101E-2</v>
      </c>
      <c r="AF230" t="str">
        <f t="shared" si="23"/>
        <v>Very Low</v>
      </c>
      <c r="AG230" t="str">
        <f t="shared" si="24"/>
        <v>NO ACTION</v>
      </c>
      <c r="AH230" t="str">
        <f t="shared" si="25"/>
        <v/>
      </c>
    </row>
    <row r="231" spans="1:34" x14ac:dyDescent="0.3">
      <c r="A231" t="s">
        <v>258</v>
      </c>
      <c r="B231">
        <v>0.13119092627599199</v>
      </c>
      <c r="C231">
        <v>0.38690279812256101</v>
      </c>
      <c r="D231">
        <v>0.116198043887675</v>
      </c>
      <c r="E231">
        <v>0</v>
      </c>
      <c r="F231">
        <v>0</v>
      </c>
      <c r="G231">
        <v>0.97409252575804695</v>
      </c>
      <c r="H231">
        <v>8</v>
      </c>
      <c r="I231">
        <v>16</v>
      </c>
      <c r="J231">
        <v>0.123038022995086</v>
      </c>
      <c r="K231">
        <v>2.1207177814029299E-2</v>
      </c>
      <c r="L231">
        <v>4.39421193053781E-2</v>
      </c>
      <c r="M231">
        <v>2.3088023088023001E-3</v>
      </c>
      <c r="N231">
        <v>1.1317956209597E-2</v>
      </c>
      <c r="O231">
        <v>1286</v>
      </c>
      <c r="P231">
        <v>0.100694444444444</v>
      </c>
      <c r="Q231">
        <v>0.100845050667975</v>
      </c>
      <c r="R231">
        <v>0.48525073746312603</v>
      </c>
      <c r="S231">
        <v>1</v>
      </c>
      <c r="T231" t="s">
        <v>28</v>
      </c>
      <c r="U231">
        <v>4.9056603773584902E-2</v>
      </c>
      <c r="V231">
        <v>0</v>
      </c>
      <c r="W231">
        <v>0</v>
      </c>
      <c r="X231">
        <v>3.48594131663027E-2</v>
      </c>
      <c r="Y231">
        <v>4.9974051114585402E-2</v>
      </c>
      <c r="Z231">
        <v>6.4943849150505495E-2</v>
      </c>
      <c r="AA231">
        <v>0.48525073746312603</v>
      </c>
      <c r="AB231">
        <f t="shared" si="21"/>
        <v>0.17362472467050918</v>
      </c>
      <c r="AC231">
        <f t="shared" si="26"/>
        <v>0.25</v>
      </c>
      <c r="AD231">
        <f t="shared" si="22"/>
        <v>0</v>
      </c>
      <c r="AE231">
        <f t="shared" si="27"/>
        <v>0.21703090583813647</v>
      </c>
      <c r="AF231" t="str">
        <f t="shared" si="23"/>
        <v>Low</v>
      </c>
      <c r="AG231" t="str">
        <f t="shared" si="24"/>
        <v>NO ACTION</v>
      </c>
      <c r="AH231" t="str">
        <f t="shared" si="25"/>
        <v/>
      </c>
    </row>
    <row r="232" spans="1:34" x14ac:dyDescent="0.3">
      <c r="A232" t="s">
        <v>259</v>
      </c>
      <c r="B232">
        <v>0.23629489603024501</v>
      </c>
      <c r="C232">
        <v>0.58514074002554495</v>
      </c>
      <c r="D232">
        <v>0.367612035692372</v>
      </c>
      <c r="E232">
        <v>0</v>
      </c>
      <c r="F232">
        <v>0</v>
      </c>
      <c r="G232">
        <v>0.47740127902000901</v>
      </c>
      <c r="H232">
        <v>7</v>
      </c>
      <c r="I232">
        <v>13</v>
      </c>
      <c r="J232">
        <v>0.112065264061829</v>
      </c>
      <c r="K232">
        <v>1.1419249592169599E-2</v>
      </c>
      <c r="L232">
        <v>2.59729773869577E-2</v>
      </c>
      <c r="M232">
        <v>8.6580086580086493E-3</v>
      </c>
      <c r="N232">
        <v>4.65892080165657E-2</v>
      </c>
      <c r="O232">
        <v>1038</v>
      </c>
      <c r="P232">
        <v>9.1505331088664404E-2</v>
      </c>
      <c r="Q232">
        <v>9.1658192783758197E-2</v>
      </c>
      <c r="R232">
        <v>0</v>
      </c>
      <c r="S232">
        <v>0</v>
      </c>
      <c r="T232" t="s">
        <v>28</v>
      </c>
      <c r="U232">
        <v>7.6688983566646296E-3</v>
      </c>
      <c r="V232">
        <v>0</v>
      </c>
      <c r="W232">
        <v>0</v>
      </c>
      <c r="X232">
        <v>0.11028361070771101</v>
      </c>
      <c r="Y232">
        <v>4.9376303910814302E-2</v>
      </c>
      <c r="Z232">
        <v>7.3538881859824906E-2</v>
      </c>
      <c r="AA232">
        <v>0</v>
      </c>
      <c r="AB232">
        <f t="shared" si="21"/>
        <v>5.2061629729012737E-2</v>
      </c>
      <c r="AC232">
        <f t="shared" si="26"/>
        <v>0.25</v>
      </c>
      <c r="AD232">
        <f t="shared" si="22"/>
        <v>0</v>
      </c>
      <c r="AE232">
        <f t="shared" si="27"/>
        <v>6.5077037161265922E-2</v>
      </c>
      <c r="AF232" t="str">
        <f t="shared" si="23"/>
        <v>Very Low</v>
      </c>
      <c r="AG232" t="str">
        <f t="shared" si="24"/>
        <v>NO ACTION</v>
      </c>
      <c r="AH232" t="str">
        <f t="shared" si="25"/>
        <v/>
      </c>
    </row>
    <row r="233" spans="1:34" x14ac:dyDescent="0.3">
      <c r="A233" t="s">
        <v>260</v>
      </c>
      <c r="B233">
        <v>0.91153119092627599</v>
      </c>
      <c r="C233">
        <v>0.94571030050006899</v>
      </c>
      <c r="D233">
        <v>0.98102419736000801</v>
      </c>
      <c r="E233">
        <v>0</v>
      </c>
      <c r="F233">
        <v>0.39006211180124201</v>
      </c>
      <c r="G233">
        <v>1.4401860692430201E-2</v>
      </c>
      <c r="H233">
        <v>0</v>
      </c>
      <c r="I233">
        <v>23</v>
      </c>
      <c r="J233">
        <v>6.5454892419254798E-2</v>
      </c>
      <c r="K233">
        <v>8.9722675367047301E-3</v>
      </c>
      <c r="L233">
        <v>3.4886620835039003E-2</v>
      </c>
      <c r="M233">
        <v>8.6580086580086504E-4</v>
      </c>
      <c r="N233">
        <v>7.9644877030497895E-3</v>
      </c>
      <c r="O233">
        <v>769</v>
      </c>
      <c r="P233">
        <v>5.2398989898989903E-2</v>
      </c>
      <c r="Q233">
        <v>5.2561450261229298E-2</v>
      </c>
      <c r="R233">
        <v>0</v>
      </c>
      <c r="S233">
        <v>0</v>
      </c>
      <c r="T233" t="s">
        <v>53</v>
      </c>
      <c r="U233">
        <v>4.6698113207547097E-2</v>
      </c>
      <c r="V233">
        <v>0</v>
      </c>
      <c r="W233">
        <v>0</v>
      </c>
      <c r="X233">
        <v>0.45033210392849898</v>
      </c>
      <c r="Y233">
        <v>3.2923635212285397E-2</v>
      </c>
      <c r="Z233">
        <v>3.4625189020613803E-2</v>
      </c>
      <c r="AA233">
        <v>0</v>
      </c>
      <c r="AB233">
        <f t="shared" si="21"/>
        <v>9.0966807413771611E-2</v>
      </c>
      <c r="AC233">
        <f t="shared" si="26"/>
        <v>0.1</v>
      </c>
      <c r="AD233">
        <f t="shared" si="22"/>
        <v>0</v>
      </c>
      <c r="AE233">
        <f t="shared" si="27"/>
        <v>0.10006348815514877</v>
      </c>
      <c r="AF233" t="str">
        <f t="shared" si="23"/>
        <v>Very Low</v>
      </c>
      <c r="AG233" t="str">
        <f t="shared" si="24"/>
        <v>NO ACTION</v>
      </c>
      <c r="AH233" t="str">
        <f t="shared" si="25"/>
        <v/>
      </c>
    </row>
    <row r="234" spans="1:34" x14ac:dyDescent="0.3">
      <c r="A234" t="s">
        <v>261</v>
      </c>
      <c r="B234">
        <v>0.23289224952741</v>
      </c>
      <c r="C234">
        <v>0.92412713960785597</v>
      </c>
      <c r="D234">
        <v>0.34566191243590599</v>
      </c>
      <c r="E234">
        <v>0</v>
      </c>
      <c r="F234">
        <v>0</v>
      </c>
      <c r="G234">
        <v>0.48619854534850698</v>
      </c>
      <c r="H234">
        <v>9</v>
      </c>
      <c r="I234">
        <v>15</v>
      </c>
      <c r="J234">
        <v>0.12666380420781401</v>
      </c>
      <c r="K234">
        <v>2.77324632952691E-2</v>
      </c>
      <c r="L234">
        <v>5.5820977930788003E-2</v>
      </c>
      <c r="M234">
        <v>2.0202020202020202E-3</v>
      </c>
      <c r="N234">
        <v>9.6202627781575099E-3</v>
      </c>
      <c r="O234">
        <v>1353</v>
      </c>
      <c r="P234">
        <v>0.106025533108866</v>
      </c>
      <c r="Q234">
        <v>0.106174830814544</v>
      </c>
      <c r="R234">
        <v>0</v>
      </c>
      <c r="S234">
        <v>0</v>
      </c>
      <c r="T234" t="s">
        <v>28</v>
      </c>
      <c r="U234">
        <v>7.2169811320754701E-2</v>
      </c>
      <c r="V234">
        <v>0</v>
      </c>
      <c r="W234">
        <v>0</v>
      </c>
      <c r="X234">
        <v>0.103698573730771</v>
      </c>
      <c r="Y234">
        <v>5.6129328640404201E-2</v>
      </c>
      <c r="Z234">
        <v>6.7463424976582795E-2</v>
      </c>
      <c r="AA234">
        <v>0</v>
      </c>
      <c r="AB234">
        <f t="shared" si="21"/>
        <v>5.1197742809679717E-2</v>
      </c>
      <c r="AC234">
        <f t="shared" si="26"/>
        <v>0.25</v>
      </c>
      <c r="AD234">
        <f t="shared" si="22"/>
        <v>0</v>
      </c>
      <c r="AE234">
        <f t="shared" si="27"/>
        <v>6.3997178512099642E-2</v>
      </c>
      <c r="AF234" t="str">
        <f t="shared" si="23"/>
        <v>Very Low</v>
      </c>
      <c r="AG234" t="str">
        <f t="shared" si="24"/>
        <v>NO ACTION</v>
      </c>
      <c r="AH234" t="str">
        <f t="shared" si="25"/>
        <v/>
      </c>
    </row>
    <row r="235" spans="1:34" x14ac:dyDescent="0.3">
      <c r="A235" t="s">
        <v>262</v>
      </c>
      <c r="B235">
        <v>0.12892249527410199</v>
      </c>
      <c r="C235">
        <v>0.36953165208440503</v>
      </c>
      <c r="D235">
        <v>0</v>
      </c>
      <c r="E235">
        <v>0</v>
      </c>
      <c r="F235">
        <v>0</v>
      </c>
      <c r="G235">
        <v>0.99366523973766996</v>
      </c>
      <c r="H235">
        <v>8</v>
      </c>
      <c r="I235">
        <v>8</v>
      </c>
      <c r="J235">
        <v>0.11053861934068</v>
      </c>
      <c r="K235">
        <v>1.71288743882544E-2</v>
      </c>
      <c r="L235">
        <v>3.9496375173707E-2</v>
      </c>
      <c r="M235">
        <v>2.8860028860028799E-3</v>
      </c>
      <c r="N235">
        <v>1.5743754761842602E-2</v>
      </c>
      <c r="O235">
        <v>1188</v>
      </c>
      <c r="P235">
        <v>9.0032267115600403E-2</v>
      </c>
      <c r="Q235">
        <v>9.0185490374837807E-2</v>
      </c>
      <c r="R235">
        <v>0</v>
      </c>
      <c r="S235">
        <v>0</v>
      </c>
      <c r="T235" t="s">
        <v>28</v>
      </c>
      <c r="U235">
        <v>3.2418524871354999E-2</v>
      </c>
      <c r="V235">
        <v>0</v>
      </c>
      <c r="W235">
        <v>0</v>
      </c>
      <c r="X235">
        <v>0</v>
      </c>
      <c r="Y235">
        <v>4.6579037883542299E-2</v>
      </c>
      <c r="Z235">
        <v>6.0316862174097298E-2</v>
      </c>
      <c r="AA235">
        <v>0</v>
      </c>
      <c r="AB235">
        <f t="shared" si="21"/>
        <v>2.9930852016139091E-2</v>
      </c>
      <c r="AC235">
        <f t="shared" si="26"/>
        <v>0.25</v>
      </c>
      <c r="AD235">
        <f t="shared" si="22"/>
        <v>0</v>
      </c>
      <c r="AE235">
        <f t="shared" si="27"/>
        <v>3.7413565020173865E-2</v>
      </c>
      <c r="AF235" t="str">
        <f t="shared" si="23"/>
        <v>Very Low</v>
      </c>
      <c r="AG235" t="str">
        <f t="shared" si="24"/>
        <v>NO ACTION</v>
      </c>
      <c r="AH235" t="str">
        <f t="shared" si="25"/>
        <v/>
      </c>
    </row>
    <row r="236" spans="1:34" x14ac:dyDescent="0.3">
      <c r="A236" t="s">
        <v>263</v>
      </c>
      <c r="B236">
        <v>6.3137996219281595E-2</v>
      </c>
      <c r="C236">
        <v>0.46353531796552599</v>
      </c>
      <c r="D236">
        <v>7.5232592202921E-2</v>
      </c>
      <c r="E236">
        <v>0</v>
      </c>
      <c r="F236">
        <v>0</v>
      </c>
      <c r="G236">
        <v>0.97901179785057701</v>
      </c>
      <c r="H236">
        <v>8</v>
      </c>
      <c r="I236">
        <v>9</v>
      </c>
      <c r="J236">
        <v>3.3633891512809502E-2</v>
      </c>
      <c r="K236">
        <v>2.0391517128874301E-2</v>
      </c>
      <c r="L236">
        <v>0.15377361360386901</v>
      </c>
      <c r="M236">
        <v>9.8124098124098107E-3</v>
      </c>
      <c r="N236">
        <v>0.17506168323069701</v>
      </c>
      <c r="O236">
        <v>230</v>
      </c>
      <c r="P236">
        <v>3.8264590347923601E-2</v>
      </c>
      <c r="Q236">
        <v>3.8430520004207699E-2</v>
      </c>
      <c r="R236">
        <v>0</v>
      </c>
      <c r="S236">
        <v>0</v>
      </c>
      <c r="T236" t="s">
        <v>53</v>
      </c>
      <c r="U236">
        <v>1.21293800539083E-2</v>
      </c>
      <c r="V236">
        <v>0</v>
      </c>
      <c r="W236">
        <v>0</v>
      </c>
      <c r="X236">
        <v>2.2569777660876301E-2</v>
      </c>
      <c r="Y236">
        <v>0.136132090073705</v>
      </c>
      <c r="Z236">
        <v>9.2983427501033097E-2</v>
      </c>
      <c r="AA236">
        <v>0</v>
      </c>
      <c r="AB236">
        <f t="shared" si="21"/>
        <v>6.7763509346666875E-2</v>
      </c>
      <c r="AC236">
        <f t="shared" si="26"/>
        <v>0.1</v>
      </c>
      <c r="AD236">
        <f t="shared" si="22"/>
        <v>0</v>
      </c>
      <c r="AE236">
        <f t="shared" si="27"/>
        <v>7.4539860281333567E-2</v>
      </c>
      <c r="AF236" t="str">
        <f t="shared" si="23"/>
        <v>Very Low</v>
      </c>
      <c r="AG236" t="str">
        <f t="shared" si="24"/>
        <v>NO ACTION</v>
      </c>
      <c r="AH236" t="str">
        <f t="shared" si="25"/>
        <v/>
      </c>
    </row>
    <row r="237" spans="1:34" x14ac:dyDescent="0.3">
      <c r="A237" t="s">
        <v>264</v>
      </c>
      <c r="B237">
        <v>0.12892249527410199</v>
      </c>
      <c r="C237">
        <v>0.36953165208440503</v>
      </c>
      <c r="D237">
        <v>0</v>
      </c>
      <c r="E237">
        <v>0</v>
      </c>
      <c r="F237">
        <v>0</v>
      </c>
      <c r="G237">
        <v>0.99366705960118995</v>
      </c>
      <c r="H237">
        <v>8</v>
      </c>
      <c r="I237">
        <v>8</v>
      </c>
      <c r="J237">
        <v>0.123705930060588</v>
      </c>
      <c r="K237">
        <v>1.30505709624796E-2</v>
      </c>
      <c r="L237">
        <v>2.6895585073748299E-2</v>
      </c>
      <c r="M237">
        <v>3.4632034632034602E-3</v>
      </c>
      <c r="N237">
        <v>1.6885449679906898E-2</v>
      </c>
      <c r="O237">
        <v>552</v>
      </c>
      <c r="P237">
        <v>9.8239337822671094E-2</v>
      </c>
      <c r="Q237">
        <v>9.8390546653108396E-2</v>
      </c>
      <c r="R237">
        <v>0</v>
      </c>
      <c r="S237">
        <v>0</v>
      </c>
      <c r="T237" t="s">
        <v>28</v>
      </c>
      <c r="U237">
        <v>2.0899854862119E-2</v>
      </c>
      <c r="V237">
        <v>0</v>
      </c>
      <c r="W237">
        <v>0</v>
      </c>
      <c r="X237">
        <v>0</v>
      </c>
      <c r="Y237">
        <v>4.3254613452963997E-2</v>
      </c>
      <c r="Z237">
        <v>6.5697782565565396E-2</v>
      </c>
      <c r="AA237">
        <v>0</v>
      </c>
      <c r="AB237">
        <f t="shared" si="21"/>
        <v>3.0506670885188235E-2</v>
      </c>
      <c r="AC237">
        <f t="shared" si="26"/>
        <v>0.25</v>
      </c>
      <c r="AD237">
        <f t="shared" si="22"/>
        <v>0</v>
      </c>
      <c r="AE237">
        <f t="shared" si="27"/>
        <v>3.8133338606485295E-2</v>
      </c>
      <c r="AF237" t="str">
        <f t="shared" si="23"/>
        <v>Very Low</v>
      </c>
      <c r="AG237" t="str">
        <f t="shared" si="24"/>
        <v>NO ACTION</v>
      </c>
      <c r="AH237" t="str">
        <f t="shared" si="25"/>
        <v/>
      </c>
    </row>
    <row r="238" spans="1:34" x14ac:dyDescent="0.3">
      <c r="A238" t="s">
        <v>265</v>
      </c>
      <c r="B238">
        <v>0.12892249527410199</v>
      </c>
      <c r="C238">
        <v>0.18476582604220201</v>
      </c>
      <c r="D238">
        <v>0</v>
      </c>
      <c r="E238">
        <v>0</v>
      </c>
      <c r="F238">
        <v>0</v>
      </c>
      <c r="G238">
        <v>0.99365750531770802</v>
      </c>
      <c r="H238">
        <v>7</v>
      </c>
      <c r="I238">
        <v>7</v>
      </c>
      <c r="J238">
        <v>0.13811363961643</v>
      </c>
      <c r="K238">
        <v>1.7944535073409401E-2</v>
      </c>
      <c r="L238">
        <v>3.3130259924033602E-2</v>
      </c>
      <c r="M238">
        <v>5.4834054834054799E-3</v>
      </c>
      <c r="N238">
        <v>2.3951136985619698E-2</v>
      </c>
      <c r="O238">
        <v>1431</v>
      </c>
      <c r="P238">
        <v>0.111917789001122</v>
      </c>
      <c r="Q238">
        <v>0.112065640450226</v>
      </c>
      <c r="R238">
        <v>0</v>
      </c>
      <c r="S238">
        <v>0</v>
      </c>
      <c r="T238" t="s">
        <v>28</v>
      </c>
      <c r="U238">
        <v>1.86792452830188E-2</v>
      </c>
      <c r="V238">
        <v>0</v>
      </c>
      <c r="W238">
        <v>0</v>
      </c>
      <c r="X238">
        <v>0</v>
      </c>
      <c r="Y238">
        <v>5.1373198980988799E-2</v>
      </c>
      <c r="Z238">
        <v>7.6731128194921297E-2</v>
      </c>
      <c r="AA238">
        <v>0</v>
      </c>
      <c r="AB238">
        <f t="shared" si="21"/>
        <v>3.5869211609254832E-2</v>
      </c>
      <c r="AC238">
        <f t="shared" si="26"/>
        <v>0.25</v>
      </c>
      <c r="AD238">
        <f t="shared" si="22"/>
        <v>0</v>
      </c>
      <c r="AE238">
        <f t="shared" si="27"/>
        <v>4.4836514511568538E-2</v>
      </c>
      <c r="AF238" t="str">
        <f t="shared" si="23"/>
        <v>Very Low</v>
      </c>
      <c r="AG238" t="str">
        <f t="shared" si="24"/>
        <v>NO ACTION</v>
      </c>
      <c r="AH238" t="str">
        <f t="shared" si="25"/>
        <v/>
      </c>
    </row>
    <row r="239" spans="1:34" x14ac:dyDescent="0.3">
      <c r="A239" t="s">
        <v>266</v>
      </c>
      <c r="B239">
        <v>0.24688090737240001</v>
      </c>
      <c r="C239">
        <v>0.45080611742108201</v>
      </c>
      <c r="D239">
        <v>0.47245826653925399</v>
      </c>
      <c r="E239">
        <v>0.13867749027566301</v>
      </c>
      <c r="F239">
        <v>0.55251141552511396</v>
      </c>
      <c r="G239">
        <v>0.45068443627849503</v>
      </c>
      <c r="H239">
        <v>0</v>
      </c>
      <c r="I239">
        <v>23</v>
      </c>
      <c r="J239">
        <v>0.107342206955775</v>
      </c>
      <c r="K239">
        <v>6.5252854812398002E-3</v>
      </c>
      <c r="L239">
        <v>1.5493288253126E-2</v>
      </c>
      <c r="M239">
        <v>2.8860028860028799E-3</v>
      </c>
      <c r="N239">
        <v>1.6211529293569199E-2</v>
      </c>
      <c r="O239">
        <v>507</v>
      </c>
      <c r="P239">
        <v>8.3122895622895598E-2</v>
      </c>
      <c r="Q239">
        <v>8.3277814790139904E-2</v>
      </c>
      <c r="R239">
        <v>0.68289085545722705</v>
      </c>
      <c r="S239">
        <v>1</v>
      </c>
      <c r="T239" t="s">
        <v>28</v>
      </c>
      <c r="U239">
        <v>1.2349914236706601E-2</v>
      </c>
      <c r="V239">
        <v>0</v>
      </c>
      <c r="W239">
        <v>0.27935032647457098</v>
      </c>
      <c r="X239">
        <v>0.40434529325452101</v>
      </c>
      <c r="Y239">
        <v>3.4078544305788702E-2</v>
      </c>
      <c r="Z239">
        <v>5.6358349091165001E-2</v>
      </c>
      <c r="AA239">
        <v>0.68289085545722705</v>
      </c>
      <c r="AB239">
        <f t="shared" si="21"/>
        <v>0.28122701659989402</v>
      </c>
      <c r="AC239">
        <f t="shared" si="26"/>
        <v>0.25</v>
      </c>
      <c r="AD239">
        <f t="shared" si="22"/>
        <v>0.08</v>
      </c>
      <c r="AE239">
        <f t="shared" si="27"/>
        <v>0.37403193207785906</v>
      </c>
      <c r="AF239" t="str">
        <f t="shared" si="23"/>
        <v>Low</v>
      </c>
      <c r="AG239" t="str">
        <f t="shared" si="24"/>
        <v>NO ACTION</v>
      </c>
      <c r="AH239" t="str">
        <f t="shared" si="25"/>
        <v/>
      </c>
    </row>
    <row r="240" spans="1:34" x14ac:dyDescent="0.3">
      <c r="A240" t="s">
        <v>267</v>
      </c>
      <c r="B240">
        <v>0.12892249527410199</v>
      </c>
      <c r="C240">
        <v>0.18476582604220201</v>
      </c>
      <c r="D240">
        <v>0</v>
      </c>
      <c r="E240">
        <v>0</v>
      </c>
      <c r="F240">
        <v>0</v>
      </c>
      <c r="G240">
        <v>0.99366655110991198</v>
      </c>
      <c r="H240">
        <v>7</v>
      </c>
      <c r="I240">
        <v>7</v>
      </c>
      <c r="J240">
        <v>0.12155908592147301</v>
      </c>
      <c r="K240">
        <v>2.1207177814029299E-2</v>
      </c>
      <c r="L240">
        <v>4.4475689888404599E-2</v>
      </c>
      <c r="M240">
        <v>2.59740259740259E-3</v>
      </c>
      <c r="N240">
        <v>1.28873085394824E-2</v>
      </c>
      <c r="O240">
        <v>1301</v>
      </c>
      <c r="P240">
        <v>9.9747474747474696E-2</v>
      </c>
      <c r="Q240">
        <v>9.9898313405098305E-2</v>
      </c>
      <c r="R240">
        <v>0</v>
      </c>
      <c r="S240">
        <v>0</v>
      </c>
      <c r="T240" t="s">
        <v>28</v>
      </c>
      <c r="U240">
        <v>4.4150943396226397E-2</v>
      </c>
      <c r="V240">
        <v>0</v>
      </c>
      <c r="W240">
        <v>0</v>
      </c>
      <c r="X240">
        <v>0</v>
      </c>
      <c r="Y240">
        <v>5.0415854690341697E-2</v>
      </c>
      <c r="Z240">
        <v>6.5003408264277807E-2</v>
      </c>
      <c r="AA240">
        <v>0</v>
      </c>
      <c r="AB240">
        <f t="shared" si="21"/>
        <v>3.2317393627293467E-2</v>
      </c>
      <c r="AC240">
        <f t="shared" si="26"/>
        <v>0.25</v>
      </c>
      <c r="AD240">
        <f t="shared" si="22"/>
        <v>0</v>
      </c>
      <c r="AE240">
        <f t="shared" si="27"/>
        <v>4.0396742034116834E-2</v>
      </c>
      <c r="AF240" t="str">
        <f t="shared" si="23"/>
        <v>Very Low</v>
      </c>
      <c r="AG240" t="str">
        <f t="shared" si="24"/>
        <v>NO ACTION</v>
      </c>
      <c r="AH240" t="str">
        <f t="shared" si="25"/>
        <v/>
      </c>
    </row>
    <row r="241" spans="1:34" x14ac:dyDescent="0.3">
      <c r="A241" t="s">
        <v>268</v>
      </c>
      <c r="B241">
        <v>0.14328922495274099</v>
      </c>
      <c r="C241">
        <v>0.19344933744888501</v>
      </c>
      <c r="D241">
        <v>0.48815499262918999</v>
      </c>
      <c r="E241">
        <v>0.118944009283434</v>
      </c>
      <c r="F241">
        <v>0.51697127937336795</v>
      </c>
      <c r="G241">
        <v>0.88003583241694505</v>
      </c>
      <c r="H241">
        <v>0</v>
      </c>
      <c r="I241">
        <v>23</v>
      </c>
      <c r="J241">
        <v>0.105815562234626</v>
      </c>
      <c r="K241">
        <v>1.2234910277324601E-2</v>
      </c>
      <c r="L241">
        <v>2.9468087897097699E-2</v>
      </c>
      <c r="M241">
        <v>2.3088023088023001E-3</v>
      </c>
      <c r="N241">
        <v>1.3155914910300799E-2</v>
      </c>
      <c r="O241">
        <v>1128</v>
      </c>
      <c r="P241">
        <v>8.4175084175084097E-2</v>
      </c>
      <c r="Q241">
        <v>8.4329745082225793E-2</v>
      </c>
      <c r="R241">
        <v>0</v>
      </c>
      <c r="S241">
        <v>0</v>
      </c>
      <c r="T241" t="s">
        <v>28</v>
      </c>
      <c r="U241">
        <v>2.83018867924528E-2</v>
      </c>
      <c r="V241">
        <v>0</v>
      </c>
      <c r="W241">
        <v>0</v>
      </c>
      <c r="X241">
        <v>0.388918212323134</v>
      </c>
      <c r="Y241">
        <v>3.9843930868564401E-2</v>
      </c>
      <c r="Z241">
        <v>5.57674164691708E-2</v>
      </c>
      <c r="AA241">
        <v>0</v>
      </c>
      <c r="AB241">
        <f t="shared" si="21"/>
        <v>8.8998091226267312E-2</v>
      </c>
      <c r="AC241">
        <f t="shared" si="26"/>
        <v>0.25</v>
      </c>
      <c r="AD241">
        <f t="shared" si="22"/>
        <v>0.08</v>
      </c>
      <c r="AE241">
        <f t="shared" si="27"/>
        <v>0.11836746133093554</v>
      </c>
      <c r="AF241" t="str">
        <f t="shared" si="23"/>
        <v>Very Low</v>
      </c>
      <c r="AG241" t="str">
        <f t="shared" si="24"/>
        <v>NO ACTION</v>
      </c>
      <c r="AH241" t="str">
        <f t="shared" si="25"/>
        <v/>
      </c>
    </row>
    <row r="242" spans="1:34" x14ac:dyDescent="0.3">
      <c r="A242" t="s">
        <v>269</v>
      </c>
      <c r="B242">
        <v>0.14744801512287301</v>
      </c>
      <c r="C242">
        <v>0.35546318817256201</v>
      </c>
      <c r="D242">
        <v>0.42397455722739702</v>
      </c>
      <c r="E242">
        <v>0.92498589960518895</v>
      </c>
      <c r="F242">
        <v>0.12436548223350199</v>
      </c>
      <c r="G242">
        <v>0.85126666970311204</v>
      </c>
      <c r="H242">
        <v>0</v>
      </c>
      <c r="I242">
        <v>23</v>
      </c>
      <c r="J242">
        <v>0.13033729306807801</v>
      </c>
      <c r="K242">
        <v>3.5073409461663901E-2</v>
      </c>
      <c r="L242">
        <v>6.8611010936443298E-2</v>
      </c>
      <c r="M242">
        <v>2.8860028860028799E-3</v>
      </c>
      <c r="N242">
        <v>1.33565942846176E-2</v>
      </c>
      <c r="O242">
        <v>1330</v>
      </c>
      <c r="P242">
        <v>0.11230359147025799</v>
      </c>
      <c r="Q242">
        <v>0.112451348223991</v>
      </c>
      <c r="R242">
        <v>0</v>
      </c>
      <c r="S242">
        <v>0</v>
      </c>
      <c r="T242" t="s">
        <v>28</v>
      </c>
      <c r="U242">
        <v>6.6380789022298395E-2</v>
      </c>
      <c r="V242">
        <v>0</v>
      </c>
      <c r="W242">
        <v>0</v>
      </c>
      <c r="X242">
        <v>0.45443432994317601</v>
      </c>
      <c r="Y242">
        <v>6.4379942367222706E-2</v>
      </c>
      <c r="Z242">
        <v>7.2724792596001897E-2</v>
      </c>
      <c r="AA242">
        <v>0</v>
      </c>
      <c r="AB242">
        <f t="shared" si="21"/>
        <v>0.11109881858061105</v>
      </c>
      <c r="AC242">
        <f t="shared" si="26"/>
        <v>0.25</v>
      </c>
      <c r="AD242">
        <f t="shared" si="22"/>
        <v>0.05</v>
      </c>
      <c r="AE242">
        <f t="shared" si="27"/>
        <v>0.14442846415479438</v>
      </c>
      <c r="AF242" t="str">
        <f t="shared" si="23"/>
        <v>Very Low</v>
      </c>
      <c r="AG242" t="str">
        <f t="shared" si="24"/>
        <v>NO ACTION</v>
      </c>
      <c r="AH242" t="str">
        <f t="shared" si="25"/>
        <v/>
      </c>
    </row>
    <row r="243" spans="1:34" x14ac:dyDescent="0.3">
      <c r="A243" t="s">
        <v>270</v>
      </c>
      <c r="B243">
        <v>0.15047258979205999</v>
      </c>
      <c r="C243">
        <v>0.40905866959592102</v>
      </c>
      <c r="D243">
        <v>0.498587485191685</v>
      </c>
      <c r="E243">
        <v>0.22664455500276301</v>
      </c>
      <c r="F243">
        <v>0.121890547263681</v>
      </c>
      <c r="G243">
        <v>0.831308811987576</v>
      </c>
      <c r="H243">
        <v>0</v>
      </c>
      <c r="I243">
        <v>23</v>
      </c>
      <c r="J243">
        <v>0.15175802681169701</v>
      </c>
      <c r="K243">
        <v>0.43230016313213698</v>
      </c>
      <c r="L243">
        <v>0.72649103325971198</v>
      </c>
      <c r="M243">
        <v>2.3088023088023001E-3</v>
      </c>
      <c r="N243">
        <v>9.1794095560573906E-3</v>
      </c>
      <c r="O243">
        <v>629</v>
      </c>
      <c r="P243">
        <v>0.298576038159371</v>
      </c>
      <c r="Q243">
        <v>0.29867807426627802</v>
      </c>
      <c r="R243">
        <v>0</v>
      </c>
      <c r="S243">
        <v>0</v>
      </c>
      <c r="T243" t="s">
        <v>28</v>
      </c>
      <c r="U243">
        <v>0.999999999999999</v>
      </c>
      <c r="V243">
        <v>0</v>
      </c>
      <c r="W243">
        <v>0</v>
      </c>
      <c r="X243">
        <v>0.26632583096380702</v>
      </c>
      <c r="Y243">
        <v>0.39635094485901201</v>
      </c>
      <c r="Z243">
        <v>0.18281738671804501</v>
      </c>
      <c r="AA243">
        <v>0</v>
      </c>
      <c r="AB243">
        <f t="shared" si="21"/>
        <v>0.20477926579578509</v>
      </c>
      <c r="AC243">
        <f t="shared" si="26"/>
        <v>0.25</v>
      </c>
      <c r="AD243">
        <f t="shared" si="22"/>
        <v>0</v>
      </c>
      <c r="AE243">
        <f t="shared" si="27"/>
        <v>0.25597408224473139</v>
      </c>
      <c r="AF243" t="str">
        <f t="shared" si="23"/>
        <v>Low</v>
      </c>
      <c r="AG243" t="str">
        <f t="shared" si="24"/>
        <v>NO ACTION</v>
      </c>
      <c r="AH243" t="str">
        <f t="shared" si="25"/>
        <v/>
      </c>
    </row>
    <row r="244" spans="1:34" x14ac:dyDescent="0.3">
      <c r="A244" t="s">
        <v>271</v>
      </c>
      <c r="B244">
        <v>0.15047258979205999</v>
      </c>
      <c r="C244">
        <v>0.35712200705171998</v>
      </c>
      <c r="D244">
        <v>0.54039124265665806</v>
      </c>
      <c r="E244">
        <v>0.79325594250967302</v>
      </c>
      <c r="F244">
        <v>0.116915422885572</v>
      </c>
      <c r="G244">
        <v>0.83132316106550297</v>
      </c>
      <c r="H244">
        <v>0</v>
      </c>
      <c r="I244">
        <v>23</v>
      </c>
      <c r="J244">
        <v>0.10204665807929</v>
      </c>
      <c r="K244">
        <v>2.4469820554649201E-2</v>
      </c>
      <c r="L244">
        <v>6.1107797943328698E-2</v>
      </c>
      <c r="M244">
        <v>1.1544011544011501E-3</v>
      </c>
      <c r="N244">
        <v>6.8203355516788296E-3</v>
      </c>
      <c r="O244">
        <v>1164</v>
      </c>
      <c r="P244">
        <v>8.6104096520763201E-2</v>
      </c>
      <c r="Q244">
        <v>8.6258283951050105E-2</v>
      </c>
      <c r="R244">
        <v>0.38790560471976399</v>
      </c>
      <c r="S244">
        <v>1</v>
      </c>
      <c r="T244" t="s">
        <v>28</v>
      </c>
      <c r="U244">
        <v>0.10188679245283</v>
      </c>
      <c r="V244">
        <v>0</v>
      </c>
      <c r="W244">
        <v>0.23314857508084999</v>
      </c>
      <c r="X244">
        <v>0.44686032470412801</v>
      </c>
      <c r="Y244">
        <v>5.3009331253026003E-2</v>
      </c>
      <c r="Z244">
        <v>5.4390592133129398E-2</v>
      </c>
      <c r="AA244">
        <v>0.38790560471976399</v>
      </c>
      <c r="AB244">
        <f t="shared" si="21"/>
        <v>0.21018319982231792</v>
      </c>
      <c r="AC244">
        <f t="shared" si="26"/>
        <v>0.25</v>
      </c>
      <c r="AD244">
        <f t="shared" si="22"/>
        <v>0.05</v>
      </c>
      <c r="AE244">
        <f t="shared" si="27"/>
        <v>0.27323815976901333</v>
      </c>
      <c r="AF244" t="str">
        <f t="shared" si="23"/>
        <v>Low</v>
      </c>
      <c r="AG244" t="str">
        <f t="shared" si="24"/>
        <v>NO ACTION</v>
      </c>
      <c r="AH244" t="str">
        <f t="shared" si="25"/>
        <v/>
      </c>
    </row>
    <row r="245" spans="1:34" x14ac:dyDescent="0.3">
      <c r="A245" t="s">
        <v>272</v>
      </c>
      <c r="B245">
        <v>0.17882797731569</v>
      </c>
      <c r="C245">
        <v>0.62014693394877596</v>
      </c>
      <c r="D245">
        <v>0.413184560866101</v>
      </c>
      <c r="E245">
        <v>0</v>
      </c>
      <c r="F245">
        <v>6.2893081761006197E-3</v>
      </c>
      <c r="G245">
        <v>0.47672910682695002</v>
      </c>
      <c r="H245">
        <v>7</v>
      </c>
      <c r="I245">
        <v>23</v>
      </c>
      <c r="J245">
        <v>3.7736749200896903E-2</v>
      </c>
      <c r="K245">
        <v>1.6313213703099501E-3</v>
      </c>
      <c r="L245">
        <v>1.0972790518467E-2</v>
      </c>
      <c r="M245">
        <v>1.1544011544011501E-3</v>
      </c>
      <c r="N245">
        <v>1.83703510336676E-2</v>
      </c>
      <c r="O245">
        <v>496</v>
      </c>
      <c r="P245">
        <v>2.9005331088664401E-2</v>
      </c>
      <c r="Q245">
        <v>2.9173533433851099E-2</v>
      </c>
      <c r="R245">
        <v>1.1799410029498501E-2</v>
      </c>
      <c r="S245">
        <v>1</v>
      </c>
      <c r="T245" t="s">
        <v>53</v>
      </c>
      <c r="U245">
        <v>6.7924528301886696E-3</v>
      </c>
      <c r="V245">
        <v>0</v>
      </c>
      <c r="W245">
        <v>2.2520824726613101E-3</v>
      </c>
      <c r="X245">
        <v>0.12647109153027</v>
      </c>
      <c r="Y245">
        <v>1.8544850409513099E-2</v>
      </c>
      <c r="Z245">
        <v>2.4751339066665601E-2</v>
      </c>
      <c r="AA245">
        <v>1.1799410029498501E-2</v>
      </c>
      <c r="AB245">
        <f t="shared" si="21"/>
        <v>3.566214250643282E-2</v>
      </c>
      <c r="AC245">
        <f t="shared" si="26"/>
        <v>0.1</v>
      </c>
      <c r="AD245">
        <f t="shared" si="22"/>
        <v>0</v>
      </c>
      <c r="AE245">
        <f t="shared" si="27"/>
        <v>3.9228356757076102E-2</v>
      </c>
      <c r="AF245" t="str">
        <f t="shared" si="23"/>
        <v>Very Low</v>
      </c>
      <c r="AG245" t="str">
        <f t="shared" si="24"/>
        <v>NO ACTION</v>
      </c>
      <c r="AH245" t="str">
        <f t="shared" si="25"/>
        <v/>
      </c>
    </row>
    <row r="246" spans="1:34" x14ac:dyDescent="0.3">
      <c r="A246" t="s">
        <v>273</v>
      </c>
      <c r="B246">
        <v>0.25179584120982901</v>
      </c>
      <c r="C246">
        <v>0.63785575468002198</v>
      </c>
      <c r="D246">
        <v>0.39838392508067699</v>
      </c>
      <c r="E246">
        <v>0</v>
      </c>
      <c r="F246">
        <v>0</v>
      </c>
      <c r="G246">
        <v>0.439039678252441</v>
      </c>
      <c r="H246">
        <v>7</v>
      </c>
      <c r="I246">
        <v>17</v>
      </c>
      <c r="J246">
        <v>0.13033729306807801</v>
      </c>
      <c r="K246">
        <v>1.38662316476345E-2</v>
      </c>
      <c r="L246">
        <v>2.7125283393477501E-2</v>
      </c>
      <c r="M246">
        <v>2.8860028860028799E-3</v>
      </c>
      <c r="N246">
        <v>1.33565942846176E-2</v>
      </c>
      <c r="O246">
        <v>1321</v>
      </c>
      <c r="P246">
        <v>0.103184624017957</v>
      </c>
      <c r="Q246">
        <v>0.103334619025912</v>
      </c>
      <c r="R246">
        <v>0.30235988200589903</v>
      </c>
      <c r="S246">
        <v>1</v>
      </c>
      <c r="T246" t="s">
        <v>28</v>
      </c>
      <c r="U246">
        <v>2.6243567753001702E-2</v>
      </c>
      <c r="V246">
        <v>0</v>
      </c>
      <c r="W246">
        <v>0</v>
      </c>
      <c r="X246">
        <v>0.119515177524203</v>
      </c>
      <c r="Y246">
        <v>4.3637078595739801E-2</v>
      </c>
      <c r="Z246">
        <v>6.7253412124621395E-2</v>
      </c>
      <c r="AA246">
        <v>0.30235988200589903</v>
      </c>
      <c r="AB246">
        <f t="shared" si="21"/>
        <v>0.13483253276722534</v>
      </c>
      <c r="AC246">
        <f t="shared" si="26"/>
        <v>0.25</v>
      </c>
      <c r="AD246">
        <f t="shared" si="22"/>
        <v>0</v>
      </c>
      <c r="AE246">
        <f t="shared" si="27"/>
        <v>0.16854066595903167</v>
      </c>
      <c r="AF246" t="str">
        <f t="shared" si="23"/>
        <v>Very Low</v>
      </c>
      <c r="AG246" t="str">
        <f t="shared" si="24"/>
        <v>NO ACTION</v>
      </c>
      <c r="AH246" t="str">
        <f t="shared" si="25"/>
        <v/>
      </c>
    </row>
    <row r="247" spans="1:34" x14ac:dyDescent="0.3">
      <c r="A247" t="s">
        <v>274</v>
      </c>
      <c r="B247">
        <v>0.25179584120982901</v>
      </c>
      <c r="C247">
        <v>0.90397369815871698</v>
      </c>
      <c r="D247">
        <v>0.50360986381422701</v>
      </c>
      <c r="E247">
        <v>0.54394693200663302</v>
      </c>
      <c r="F247">
        <v>7.6119402985074594E-2</v>
      </c>
      <c r="G247">
        <v>0.43897001810770597</v>
      </c>
      <c r="H247">
        <v>0</v>
      </c>
      <c r="I247">
        <v>23</v>
      </c>
      <c r="J247">
        <v>0.144411049091169</v>
      </c>
      <c r="K247">
        <v>1.7944535073409401E-2</v>
      </c>
      <c r="L247">
        <v>3.16879135157314E-2</v>
      </c>
      <c r="M247">
        <v>4.0404040404040404E-3</v>
      </c>
      <c r="N247">
        <v>1.6879880600197201E-2</v>
      </c>
      <c r="O247">
        <v>1538</v>
      </c>
      <c r="P247">
        <v>0.115845959595959</v>
      </c>
      <c r="Q247">
        <v>0.115992846874013</v>
      </c>
      <c r="R247">
        <v>0.16666666666666599</v>
      </c>
      <c r="S247">
        <v>1</v>
      </c>
      <c r="T247" t="s">
        <v>28</v>
      </c>
      <c r="U247">
        <v>2.4905660377358401E-2</v>
      </c>
      <c r="V247">
        <v>0</v>
      </c>
      <c r="W247">
        <v>7.8714246822557996E-2</v>
      </c>
      <c r="X247">
        <v>0.34471479994028797</v>
      </c>
      <c r="Y247">
        <v>4.97901307561587E-2</v>
      </c>
      <c r="Z247">
        <v>7.6259527997654605E-2</v>
      </c>
      <c r="AA247">
        <v>0.16666666666666599</v>
      </c>
      <c r="AB247">
        <f t="shared" si="21"/>
        <v>0.13711493910818029</v>
      </c>
      <c r="AC247">
        <f t="shared" si="26"/>
        <v>0.25</v>
      </c>
      <c r="AD247">
        <f t="shared" si="22"/>
        <v>0.05</v>
      </c>
      <c r="AE247">
        <f t="shared" si="27"/>
        <v>0.17824942084063439</v>
      </c>
      <c r="AF247" t="str">
        <f t="shared" si="23"/>
        <v>Very Low</v>
      </c>
      <c r="AG247" t="str">
        <f t="shared" si="24"/>
        <v>NO ACTION</v>
      </c>
      <c r="AH247" t="str">
        <f t="shared" si="25"/>
        <v/>
      </c>
    </row>
    <row r="248" spans="1:34" x14ac:dyDescent="0.3">
      <c r="A248" t="s">
        <v>275</v>
      </c>
      <c r="B248">
        <v>0.25444234404536797</v>
      </c>
      <c r="C248">
        <v>0.70358389887267103</v>
      </c>
      <c r="D248">
        <v>0.38268019017993199</v>
      </c>
      <c r="E248">
        <v>0</v>
      </c>
      <c r="F248">
        <v>0</v>
      </c>
      <c r="G248">
        <v>0.432954192708009</v>
      </c>
      <c r="H248">
        <v>7</v>
      </c>
      <c r="I248">
        <v>17</v>
      </c>
      <c r="J248">
        <v>0.121654501216545</v>
      </c>
      <c r="K248">
        <v>1.6313213703099499E-2</v>
      </c>
      <c r="L248">
        <v>3.4185288660273101E-2</v>
      </c>
      <c r="M248">
        <v>2.59740259740259E-3</v>
      </c>
      <c r="N248">
        <v>1.2877220626731301E-2</v>
      </c>
      <c r="O248">
        <v>1289</v>
      </c>
      <c r="P248">
        <v>9.7713243546576803E-2</v>
      </c>
      <c r="Q248">
        <v>9.7864581507065396E-2</v>
      </c>
      <c r="R248">
        <v>0.29646017699115002</v>
      </c>
      <c r="S248">
        <v>1</v>
      </c>
      <c r="T248" t="s">
        <v>28</v>
      </c>
      <c r="U248">
        <v>3.3962264150943298E-2</v>
      </c>
      <c r="V248">
        <v>0</v>
      </c>
      <c r="W248">
        <v>0</v>
      </c>
      <c r="X248">
        <v>0.114804057053979</v>
      </c>
      <c r="Y248">
        <v>4.5286710761464899E-2</v>
      </c>
      <c r="Z248">
        <v>6.3778834378638599E-2</v>
      </c>
      <c r="AA248">
        <v>0.29646017699115002</v>
      </c>
      <c r="AB248">
        <f t="shared" si="21"/>
        <v>0.13191585132538763</v>
      </c>
      <c r="AC248">
        <f t="shared" si="26"/>
        <v>0.25</v>
      </c>
      <c r="AD248">
        <f t="shared" si="22"/>
        <v>0</v>
      </c>
      <c r="AE248">
        <f t="shared" si="27"/>
        <v>0.16489481415673454</v>
      </c>
      <c r="AF248" t="str">
        <f t="shared" si="23"/>
        <v>Very Low</v>
      </c>
      <c r="AG248" t="str">
        <f t="shared" si="24"/>
        <v>NO ACTION</v>
      </c>
      <c r="AH248" t="str">
        <f t="shared" si="25"/>
        <v/>
      </c>
    </row>
    <row r="249" spans="1:34" x14ac:dyDescent="0.3">
      <c r="A249" t="s">
        <v>276</v>
      </c>
      <c r="B249">
        <v>0.12892249527410199</v>
      </c>
      <c r="C249">
        <v>8.6759605271990697E-2</v>
      </c>
      <c r="D249">
        <v>7.4993488433305694E-2</v>
      </c>
      <c r="E249">
        <v>0</v>
      </c>
      <c r="F249">
        <v>0.53043478260869503</v>
      </c>
      <c r="G249">
        <v>0.99369767612865201</v>
      </c>
      <c r="H249">
        <v>6</v>
      </c>
      <c r="I249">
        <v>7</v>
      </c>
      <c r="J249">
        <v>8.6493964982586699E-2</v>
      </c>
      <c r="K249">
        <v>6.5252854812398002E-3</v>
      </c>
      <c r="L249">
        <v>1.9217472503189802E-2</v>
      </c>
      <c r="M249">
        <v>4.0404040404040404E-3</v>
      </c>
      <c r="N249">
        <v>2.8151704059294801E-2</v>
      </c>
      <c r="O249">
        <v>963</v>
      </c>
      <c r="P249">
        <v>6.8357182940516195E-2</v>
      </c>
      <c r="Q249">
        <v>6.8515726357866596E-2</v>
      </c>
      <c r="R249">
        <v>0</v>
      </c>
      <c r="S249">
        <v>0</v>
      </c>
      <c r="T249" t="s">
        <v>53</v>
      </c>
      <c r="U249">
        <v>9.0566037735848991E-3</v>
      </c>
      <c r="V249">
        <v>0</v>
      </c>
      <c r="W249">
        <v>0</v>
      </c>
      <c r="X249">
        <v>0.23467195957347001</v>
      </c>
      <c r="Y249">
        <v>3.5353040465900702E-2</v>
      </c>
      <c r="Z249">
        <v>5.2274991388027603E-2</v>
      </c>
      <c r="AA249">
        <v>0</v>
      </c>
      <c r="AB249">
        <f t="shared" si="21"/>
        <v>6.208336245085512E-2</v>
      </c>
      <c r="AC249">
        <f t="shared" si="26"/>
        <v>0.1</v>
      </c>
      <c r="AD249">
        <f t="shared" si="22"/>
        <v>0.08</v>
      </c>
      <c r="AE249">
        <f t="shared" si="27"/>
        <v>7.3258367692009052E-2</v>
      </c>
      <c r="AF249" t="str">
        <f t="shared" si="23"/>
        <v>Very Low</v>
      </c>
      <c r="AG249" t="str">
        <f t="shared" si="24"/>
        <v>NO ACTION</v>
      </c>
      <c r="AH249" t="str">
        <f t="shared" si="25"/>
        <v/>
      </c>
    </row>
    <row r="250" spans="1:34" x14ac:dyDescent="0.3">
      <c r="A250" t="s">
        <v>277</v>
      </c>
      <c r="B250">
        <v>0.23591682419659701</v>
      </c>
      <c r="C250">
        <v>0.67463063553307401</v>
      </c>
      <c r="D250">
        <v>0.36981100936372502</v>
      </c>
      <c r="E250">
        <v>0</v>
      </c>
      <c r="F250">
        <v>0</v>
      </c>
      <c r="G250">
        <v>0.47833641566318702</v>
      </c>
      <c r="H250">
        <v>7</v>
      </c>
      <c r="I250">
        <v>14</v>
      </c>
      <c r="J250">
        <v>0.108200944611421</v>
      </c>
      <c r="K250">
        <v>2.6916802610114102E-2</v>
      </c>
      <c r="L250">
        <v>6.3403709049514395E-2</v>
      </c>
      <c r="M250">
        <v>2.0202020202020202E-3</v>
      </c>
      <c r="N250">
        <v>1.1258204571006999E-2</v>
      </c>
      <c r="O250">
        <v>517</v>
      </c>
      <c r="P250">
        <v>9.2101571268237897E-2</v>
      </c>
      <c r="Q250">
        <v>9.2254286615940206E-2</v>
      </c>
      <c r="R250">
        <v>0</v>
      </c>
      <c r="S250">
        <v>0</v>
      </c>
      <c r="T250" t="s">
        <v>28</v>
      </c>
      <c r="U250">
        <v>7.0047169811320698E-2</v>
      </c>
      <c r="V250">
        <v>0</v>
      </c>
      <c r="W250">
        <v>0</v>
      </c>
      <c r="X250">
        <v>0.110943302809117</v>
      </c>
      <c r="Y250">
        <v>5.6719504818343501E-2</v>
      </c>
      <c r="Z250">
        <v>5.9764224589345501E-2</v>
      </c>
      <c r="AA250">
        <v>0</v>
      </c>
      <c r="AB250">
        <f t="shared" si="21"/>
        <v>5.0366372683611639E-2</v>
      </c>
      <c r="AC250">
        <f t="shared" si="26"/>
        <v>0.25</v>
      </c>
      <c r="AD250">
        <f t="shared" si="22"/>
        <v>0</v>
      </c>
      <c r="AE250">
        <f t="shared" si="27"/>
        <v>6.2957965854514547E-2</v>
      </c>
      <c r="AF250" t="str">
        <f t="shared" si="23"/>
        <v>Very Low</v>
      </c>
      <c r="AG250" t="str">
        <f t="shared" si="24"/>
        <v>NO ACTION</v>
      </c>
      <c r="AH250" t="str">
        <f t="shared" si="25"/>
        <v/>
      </c>
    </row>
    <row r="251" spans="1:34" x14ac:dyDescent="0.3">
      <c r="A251" t="s">
        <v>278</v>
      </c>
      <c r="B251">
        <v>0.15311909262759901</v>
      </c>
      <c r="C251">
        <v>0.16805106916307899</v>
      </c>
      <c r="D251">
        <v>0.31896186431968998</v>
      </c>
      <c r="E251">
        <v>0</v>
      </c>
      <c r="F251">
        <v>0.79951100244498696</v>
      </c>
      <c r="G251">
        <v>0.75796265047713296</v>
      </c>
      <c r="H251">
        <v>6</v>
      </c>
      <c r="I251">
        <v>15</v>
      </c>
      <c r="J251">
        <v>7.2229378369352601E-2</v>
      </c>
      <c r="K251">
        <v>9.7879282218597003E-3</v>
      </c>
      <c r="L251">
        <v>3.4500360445160402E-2</v>
      </c>
      <c r="M251">
        <v>1.7316017316017301E-3</v>
      </c>
      <c r="N251">
        <v>1.44398940975636E-2</v>
      </c>
      <c r="O251">
        <v>853</v>
      </c>
      <c r="P251">
        <v>5.8150953984287303E-2</v>
      </c>
      <c r="Q251">
        <v>5.83120025246327E-2</v>
      </c>
      <c r="R251">
        <v>0</v>
      </c>
      <c r="S251">
        <v>0</v>
      </c>
      <c r="T251" t="s">
        <v>53</v>
      </c>
      <c r="U251">
        <v>2.9110512129380001E-2</v>
      </c>
      <c r="V251">
        <v>0</v>
      </c>
      <c r="W251">
        <v>0</v>
      </c>
      <c r="X251">
        <v>0.41549296027390198</v>
      </c>
      <c r="Y251">
        <v>3.6028024125719801E-2</v>
      </c>
      <c r="Z251">
        <v>4.0666530029597803E-2</v>
      </c>
      <c r="AA251">
        <v>0</v>
      </c>
      <c r="AB251">
        <f t="shared" si="21"/>
        <v>8.7953348807313259E-2</v>
      </c>
      <c r="AC251">
        <f t="shared" si="26"/>
        <v>0.1</v>
      </c>
      <c r="AD251">
        <f t="shared" si="22"/>
        <v>0.08</v>
      </c>
      <c r="AE251">
        <f t="shared" si="27"/>
        <v>0.10378495159262965</v>
      </c>
      <c r="AF251" t="str">
        <f t="shared" si="23"/>
        <v>Very Low</v>
      </c>
      <c r="AG251" t="str">
        <f t="shared" si="24"/>
        <v>NO ACTION</v>
      </c>
      <c r="AH251" t="str">
        <f t="shared" si="25"/>
        <v/>
      </c>
    </row>
    <row r="252" spans="1:34" x14ac:dyDescent="0.3">
      <c r="A252" t="s">
        <v>279</v>
      </c>
      <c r="B252">
        <v>0.12892249527410199</v>
      </c>
      <c r="C252">
        <v>0.18476582604220201</v>
      </c>
      <c r="D252">
        <v>0</v>
      </c>
      <c r="E252">
        <v>0</v>
      </c>
      <c r="F252">
        <v>0</v>
      </c>
      <c r="G252">
        <v>0.99368092267918395</v>
      </c>
      <c r="H252">
        <v>7</v>
      </c>
      <c r="I252">
        <v>7</v>
      </c>
      <c r="J252">
        <v>0.110013835217785</v>
      </c>
      <c r="K252">
        <v>1.8760195758564399E-2</v>
      </c>
      <c r="L252">
        <v>4.3463835744719799E-2</v>
      </c>
      <c r="M252">
        <v>3.4632034632034602E-3</v>
      </c>
      <c r="N252">
        <v>1.89824310983982E-2</v>
      </c>
      <c r="O252">
        <v>1203</v>
      </c>
      <c r="P252">
        <v>9.0628507295173896E-2</v>
      </c>
      <c r="Q252">
        <v>9.0781584207019803E-2</v>
      </c>
      <c r="R252">
        <v>0</v>
      </c>
      <c r="S252">
        <v>0</v>
      </c>
      <c r="T252" t="s">
        <v>28</v>
      </c>
      <c r="U252">
        <v>3.0043541364296E-2</v>
      </c>
      <c r="V252">
        <v>0</v>
      </c>
      <c r="W252">
        <v>0</v>
      </c>
      <c r="X252">
        <v>0</v>
      </c>
      <c r="Y252">
        <v>4.9429414245436398E-2</v>
      </c>
      <c r="Z252">
        <v>6.1970076816463597E-2</v>
      </c>
      <c r="AA252">
        <v>0</v>
      </c>
      <c r="AB252">
        <f t="shared" si="21"/>
        <v>3.1191857497331998E-2</v>
      </c>
      <c r="AC252">
        <f t="shared" si="26"/>
        <v>0.25</v>
      </c>
      <c r="AD252">
        <f t="shared" si="22"/>
        <v>0</v>
      </c>
      <c r="AE252">
        <f t="shared" si="27"/>
        <v>3.8989821871664998E-2</v>
      </c>
      <c r="AF252" t="str">
        <f t="shared" si="23"/>
        <v>Very Low</v>
      </c>
      <c r="AG252" t="str">
        <f t="shared" si="24"/>
        <v>NO ACTION</v>
      </c>
      <c r="AH252" t="str">
        <f t="shared" si="25"/>
        <v/>
      </c>
    </row>
    <row r="253" spans="1:34" x14ac:dyDescent="0.3">
      <c r="A253" t="s">
        <v>280</v>
      </c>
      <c r="B253">
        <v>0.23629489603024501</v>
      </c>
      <c r="C253">
        <v>0.66885816517980201</v>
      </c>
      <c r="D253">
        <v>0.36075635078903301</v>
      </c>
      <c r="E253">
        <v>0</v>
      </c>
      <c r="F253">
        <v>0</v>
      </c>
      <c r="G253">
        <v>0.47738554903069302</v>
      </c>
      <c r="H253">
        <v>7</v>
      </c>
      <c r="I253">
        <v>14</v>
      </c>
      <c r="J253">
        <v>9.2600543867181903E-2</v>
      </c>
      <c r="K253">
        <v>1.71288743882544E-2</v>
      </c>
      <c r="L253">
        <v>4.7127740572121102E-2</v>
      </c>
      <c r="M253">
        <v>3.1746031746031698E-3</v>
      </c>
      <c r="N253">
        <v>2.06642848986117E-2</v>
      </c>
      <c r="O253">
        <v>823</v>
      </c>
      <c r="P253">
        <v>7.6985129068462402E-2</v>
      </c>
      <c r="Q253">
        <v>7.71415547529717E-2</v>
      </c>
      <c r="R253">
        <v>0.96165191740412903</v>
      </c>
      <c r="S253">
        <v>1</v>
      </c>
      <c r="T253" t="s">
        <v>53</v>
      </c>
      <c r="U253">
        <v>2.9716981132075399E-2</v>
      </c>
      <c r="V253">
        <v>0</v>
      </c>
      <c r="W253">
        <v>0</v>
      </c>
      <c r="X253">
        <v>0.10822690523671</v>
      </c>
      <c r="Y253">
        <v>4.8283264529080397E-2</v>
      </c>
      <c r="Z253">
        <v>5.4456791400522099E-2</v>
      </c>
      <c r="AA253">
        <v>0.96165191740412903</v>
      </c>
      <c r="AB253">
        <f t="shared" si="21"/>
        <v>0.31534605737131843</v>
      </c>
      <c r="AC253">
        <f t="shared" si="26"/>
        <v>0.1</v>
      </c>
      <c r="AD253">
        <f t="shared" si="22"/>
        <v>0</v>
      </c>
      <c r="AE253">
        <f t="shared" si="27"/>
        <v>0.34688066310845028</v>
      </c>
      <c r="AF253" t="str">
        <f t="shared" si="23"/>
        <v>Critical</v>
      </c>
      <c r="AG253" t="str">
        <f t="shared" si="24"/>
        <v>CRITICAL ALERT</v>
      </c>
      <c r="AH253" t="str">
        <f t="shared" si="25"/>
        <v>USB anomaly</v>
      </c>
    </row>
    <row r="254" spans="1:34" x14ac:dyDescent="0.3">
      <c r="A254" t="s">
        <v>281</v>
      </c>
      <c r="B254">
        <v>8.1663516068052902E-2</v>
      </c>
      <c r="C254">
        <v>0.18476582604220201</v>
      </c>
      <c r="D254">
        <v>0</v>
      </c>
      <c r="E254">
        <v>0</v>
      </c>
      <c r="F254">
        <v>0</v>
      </c>
      <c r="G254">
        <v>0.98097728826402897</v>
      </c>
      <c r="H254">
        <v>7</v>
      </c>
      <c r="I254">
        <v>7</v>
      </c>
      <c r="J254">
        <v>3.94065168646534E-2</v>
      </c>
      <c r="K254">
        <v>8.1566068515497494E-3</v>
      </c>
      <c r="L254">
        <v>5.2553196466304297E-2</v>
      </c>
      <c r="M254">
        <v>1.44300144300144E-3</v>
      </c>
      <c r="N254">
        <v>2.1995787338747599E-2</v>
      </c>
      <c r="O254">
        <v>518</v>
      </c>
      <c r="P254">
        <v>3.3179012345679E-2</v>
      </c>
      <c r="Q254">
        <v>3.3346190259125497E-2</v>
      </c>
      <c r="R254">
        <v>0</v>
      </c>
      <c r="S254">
        <v>0</v>
      </c>
      <c r="T254" t="s">
        <v>53</v>
      </c>
      <c r="U254">
        <v>2.83018867924528E-2</v>
      </c>
      <c r="V254">
        <v>0</v>
      </c>
      <c r="W254">
        <v>0</v>
      </c>
      <c r="X254">
        <v>0</v>
      </c>
      <c r="Y254">
        <v>4.0756637807707101E-2</v>
      </c>
      <c r="Z254">
        <v>2.8705722342906401E-2</v>
      </c>
      <c r="AA254">
        <v>0</v>
      </c>
      <c r="AB254">
        <f t="shared" si="21"/>
        <v>1.9449460842171782E-2</v>
      </c>
      <c r="AC254">
        <f t="shared" si="26"/>
        <v>0.1</v>
      </c>
      <c r="AD254">
        <f t="shared" si="22"/>
        <v>0</v>
      </c>
      <c r="AE254">
        <f t="shared" si="27"/>
        <v>2.1394406926388963E-2</v>
      </c>
      <c r="AF254" t="str">
        <f t="shared" si="23"/>
        <v>Very Low</v>
      </c>
      <c r="AG254" t="str">
        <f t="shared" si="24"/>
        <v>NO ACTION</v>
      </c>
      <c r="AH254" t="str">
        <f t="shared" si="25"/>
        <v/>
      </c>
    </row>
    <row r="255" spans="1:34" x14ac:dyDescent="0.3">
      <c r="A255" t="s">
        <v>282</v>
      </c>
      <c r="B255">
        <v>5.3686200378071799E-2</v>
      </c>
      <c r="C255">
        <v>0.282210816489117</v>
      </c>
      <c r="D255">
        <v>7.5168996337989305E-2</v>
      </c>
      <c r="E255">
        <v>0</v>
      </c>
      <c r="F255">
        <v>0</v>
      </c>
      <c r="G255">
        <v>0.98145668623371396</v>
      </c>
      <c r="H255">
        <v>7</v>
      </c>
      <c r="I255">
        <v>8</v>
      </c>
      <c r="J255">
        <v>2.0943657268260099E-2</v>
      </c>
      <c r="K255">
        <v>2.4469820554649199E-3</v>
      </c>
      <c r="L255">
        <v>2.9507909637499202E-2</v>
      </c>
      <c r="M255">
        <v>2.88600288600288E-4</v>
      </c>
      <c r="N255">
        <v>8.2335582335582302E-3</v>
      </c>
      <c r="O255">
        <v>285</v>
      </c>
      <c r="P255">
        <v>1.65895061728395E-2</v>
      </c>
      <c r="Q255">
        <v>1.67607559872365E-2</v>
      </c>
      <c r="R255">
        <v>0</v>
      </c>
      <c r="S255">
        <v>0</v>
      </c>
      <c r="T255" t="s">
        <v>53</v>
      </c>
      <c r="U255">
        <v>2.54716981132075E-2</v>
      </c>
      <c r="V255">
        <v>0</v>
      </c>
      <c r="W255">
        <v>0</v>
      </c>
      <c r="X255">
        <v>2.2550698901396701E-2</v>
      </c>
      <c r="Y255">
        <v>2.14127537424691E-2</v>
      </c>
      <c r="Z255">
        <v>1.32471269971269E-2</v>
      </c>
      <c r="AA255">
        <v>0</v>
      </c>
      <c r="AB255">
        <f t="shared" si="21"/>
        <v>1.3312878431310352E-2</v>
      </c>
      <c r="AC255">
        <f t="shared" si="26"/>
        <v>0.1</v>
      </c>
      <c r="AD255">
        <f t="shared" si="22"/>
        <v>0</v>
      </c>
      <c r="AE255">
        <f t="shared" si="27"/>
        <v>1.4644166274441388E-2</v>
      </c>
      <c r="AF255" t="str">
        <f t="shared" si="23"/>
        <v>Very Low</v>
      </c>
      <c r="AG255" t="str">
        <f t="shared" si="24"/>
        <v>NO ACTION</v>
      </c>
      <c r="AH255" t="str">
        <f t="shared" si="25"/>
        <v/>
      </c>
    </row>
    <row r="256" spans="1:34" x14ac:dyDescent="0.3">
      <c r="A256" t="s">
        <v>283</v>
      </c>
      <c r="B256">
        <v>0.134593572778827</v>
      </c>
      <c r="C256">
        <v>0.45011008177503198</v>
      </c>
      <c r="D256">
        <v>0.270940186757263</v>
      </c>
      <c r="E256">
        <v>0.12654320987654299</v>
      </c>
      <c r="F256">
        <v>4.1666666666666602E-2</v>
      </c>
      <c r="G256">
        <v>0.94593324303626702</v>
      </c>
      <c r="H256">
        <v>0</v>
      </c>
      <c r="I256">
        <v>23</v>
      </c>
      <c r="J256">
        <v>0.12418300653594699</v>
      </c>
      <c r="K256">
        <v>2.77324632952691E-2</v>
      </c>
      <c r="L256">
        <v>5.6933972889530698E-2</v>
      </c>
      <c r="M256">
        <v>3.1746031746031698E-3</v>
      </c>
      <c r="N256">
        <v>1.54189794527217E-2</v>
      </c>
      <c r="O256">
        <v>1287</v>
      </c>
      <c r="P256">
        <v>0.10476290684624</v>
      </c>
      <c r="Q256">
        <v>0.104912514464041</v>
      </c>
      <c r="R256">
        <v>0</v>
      </c>
      <c r="S256">
        <v>0</v>
      </c>
      <c r="T256" t="s">
        <v>28</v>
      </c>
      <c r="U256">
        <v>4.8113207547169801E-2</v>
      </c>
      <c r="V256">
        <v>0</v>
      </c>
      <c r="W256">
        <v>0</v>
      </c>
      <c r="X256">
        <v>0.135911685656808</v>
      </c>
      <c r="Y256">
        <v>5.79292815877714E-2</v>
      </c>
      <c r="Z256">
        <v>6.9025335888832806E-2</v>
      </c>
      <c r="AA256">
        <v>0</v>
      </c>
      <c r="AB256">
        <f t="shared" si="21"/>
        <v>5.7293162598538463E-2</v>
      </c>
      <c r="AC256">
        <f t="shared" si="26"/>
        <v>0.25</v>
      </c>
      <c r="AD256">
        <f t="shared" si="22"/>
        <v>0</v>
      </c>
      <c r="AE256">
        <f t="shared" si="27"/>
        <v>7.1616453248173076E-2</v>
      </c>
      <c r="AF256" t="str">
        <f t="shared" si="23"/>
        <v>Very Low</v>
      </c>
      <c r="AG256" t="str">
        <f t="shared" si="24"/>
        <v>NO ACTION</v>
      </c>
      <c r="AH256" t="str">
        <f t="shared" si="25"/>
        <v/>
      </c>
    </row>
    <row r="257" spans="1:34" x14ac:dyDescent="0.3">
      <c r="A257" t="s">
        <v>284</v>
      </c>
      <c r="B257">
        <v>0.12892249527410199</v>
      </c>
      <c r="C257">
        <v>0.18476582604220201</v>
      </c>
      <c r="D257">
        <v>0</v>
      </c>
      <c r="E257">
        <v>0</v>
      </c>
      <c r="F257">
        <v>0</v>
      </c>
      <c r="G257">
        <v>0.99366232260349796</v>
      </c>
      <c r="H257">
        <v>7</v>
      </c>
      <c r="I257">
        <v>7</v>
      </c>
      <c r="J257">
        <v>8.6493964982586699E-2</v>
      </c>
      <c r="K257">
        <v>1.5497553017944501E-2</v>
      </c>
      <c r="L257">
        <v>4.5641497195075799E-2</v>
      </c>
      <c r="M257">
        <v>2.8860028860028799E-3</v>
      </c>
      <c r="N257">
        <v>2.0108360042353401E-2</v>
      </c>
      <c r="O257">
        <v>982</v>
      </c>
      <c r="P257">
        <v>7.1654040404040401E-2</v>
      </c>
      <c r="Q257">
        <v>7.1811774606402701E-2</v>
      </c>
      <c r="R257">
        <v>0</v>
      </c>
      <c r="S257">
        <v>0</v>
      </c>
      <c r="T257" t="s">
        <v>53</v>
      </c>
      <c r="U257">
        <v>2.93310463121783E-2</v>
      </c>
      <c r="V257">
        <v>0</v>
      </c>
      <c r="W257">
        <v>0</v>
      </c>
      <c r="X257">
        <v>0</v>
      </c>
      <c r="Y257">
        <v>4.6152049606761301E-2</v>
      </c>
      <c r="Z257">
        <v>5.1035768259365601E-2</v>
      </c>
      <c r="AA257">
        <v>0</v>
      </c>
      <c r="AB257">
        <f t="shared" si="21"/>
        <v>2.7212589002515535E-2</v>
      </c>
      <c r="AC257">
        <f t="shared" si="26"/>
        <v>0.1</v>
      </c>
      <c r="AD257">
        <f t="shared" si="22"/>
        <v>0</v>
      </c>
      <c r="AE257">
        <f t="shared" si="27"/>
        <v>2.993384790276709E-2</v>
      </c>
      <c r="AF257" t="str">
        <f t="shared" si="23"/>
        <v>Very Low</v>
      </c>
      <c r="AG257" t="str">
        <f t="shared" si="24"/>
        <v>NO ACTION</v>
      </c>
      <c r="AH257" t="str">
        <f t="shared" si="25"/>
        <v/>
      </c>
    </row>
    <row r="258" spans="1:34" x14ac:dyDescent="0.3">
      <c r="A258" t="s">
        <v>285</v>
      </c>
      <c r="B258">
        <v>0.24347826086956501</v>
      </c>
      <c r="C258">
        <v>0.79209793942166495</v>
      </c>
      <c r="D258">
        <v>0.38909196694481302</v>
      </c>
      <c r="E258">
        <v>0</v>
      </c>
      <c r="F258">
        <v>0</v>
      </c>
      <c r="G258">
        <v>0.45873526490588401</v>
      </c>
      <c r="H258">
        <v>8</v>
      </c>
      <c r="I258">
        <v>17</v>
      </c>
      <c r="J258">
        <v>0.115261676446734</v>
      </c>
      <c r="K258">
        <v>2.4469820554649201E-2</v>
      </c>
      <c r="L258">
        <v>5.41161168073096E-2</v>
      </c>
      <c r="M258">
        <v>2.59740259740259E-3</v>
      </c>
      <c r="N258">
        <v>1.3589962288847001E-2</v>
      </c>
      <c r="O258">
        <v>1313</v>
      </c>
      <c r="P258">
        <v>9.6520763187429803E-2</v>
      </c>
      <c r="Q258">
        <v>9.6672393842701307E-2</v>
      </c>
      <c r="R258">
        <v>0.69321533923303802</v>
      </c>
      <c r="S258">
        <v>1</v>
      </c>
      <c r="T258" t="s">
        <v>28</v>
      </c>
      <c r="U258">
        <v>5.0943396226415097E-2</v>
      </c>
      <c r="V258">
        <v>0</v>
      </c>
      <c r="W258">
        <v>0</v>
      </c>
      <c r="X258">
        <v>0.11672759008344299</v>
      </c>
      <c r="Y258">
        <v>5.4187382379655799E-2</v>
      </c>
      <c r="Z258">
        <v>6.3348442827996704E-2</v>
      </c>
      <c r="AA258">
        <v>0.69321533923303802</v>
      </c>
      <c r="AB258">
        <f t="shared" si="21"/>
        <v>0.24568674045674427</v>
      </c>
      <c r="AC258">
        <f t="shared" si="26"/>
        <v>0.25</v>
      </c>
      <c r="AD258">
        <f t="shared" si="22"/>
        <v>0</v>
      </c>
      <c r="AE258">
        <f t="shared" si="27"/>
        <v>0.30710842557093032</v>
      </c>
      <c r="AF258" t="str">
        <f t="shared" si="23"/>
        <v>Low</v>
      </c>
      <c r="AG258" t="str">
        <f t="shared" si="24"/>
        <v>NO ACTION</v>
      </c>
      <c r="AH258" t="str">
        <f t="shared" si="25"/>
        <v/>
      </c>
    </row>
    <row r="259" spans="1:34" x14ac:dyDescent="0.3">
      <c r="A259" t="s">
        <v>286</v>
      </c>
      <c r="B259">
        <v>0.27826086956521701</v>
      </c>
      <c r="C259">
        <v>0.66390855600840104</v>
      </c>
      <c r="D259">
        <v>0.39697218971285497</v>
      </c>
      <c r="E259">
        <v>0</v>
      </c>
      <c r="F259">
        <v>0</v>
      </c>
      <c r="G259">
        <v>0.38336011245382401</v>
      </c>
      <c r="H259">
        <v>7</v>
      </c>
      <c r="I259">
        <v>16</v>
      </c>
      <c r="J259">
        <v>9.3411573875292198E-2</v>
      </c>
      <c r="K259">
        <v>1.30505709624796E-2</v>
      </c>
      <c r="L259">
        <v>3.5595888956494202E-2</v>
      </c>
      <c r="M259">
        <v>2.0202020202020202E-3</v>
      </c>
      <c r="N259">
        <v>1.30361176718792E-2</v>
      </c>
      <c r="O259">
        <v>997</v>
      </c>
      <c r="P259">
        <v>7.5266554433221097E-2</v>
      </c>
      <c r="Q259">
        <v>7.5423401942564597E-2</v>
      </c>
      <c r="R259">
        <v>0.48525073746312603</v>
      </c>
      <c r="S259">
        <v>1</v>
      </c>
      <c r="T259" t="s">
        <v>53</v>
      </c>
      <c r="U259">
        <v>3.3962264150943298E-2</v>
      </c>
      <c r="V259">
        <v>0</v>
      </c>
      <c r="W259">
        <v>0</v>
      </c>
      <c r="X259">
        <v>0.11909165691385599</v>
      </c>
      <c r="Y259">
        <v>4.0391094554869299E-2</v>
      </c>
      <c r="Z259">
        <v>5.0374379728684297E-2</v>
      </c>
      <c r="AA259">
        <v>0.48525073746312603</v>
      </c>
      <c r="AB259">
        <f t="shared" ref="AB259:AB322" si="28">0.16*X259 + 0.28*Y259 + 0.28*Z259 + 0.28*AA259</f>
        <v>0.18033920439528728</v>
      </c>
      <c r="AC259">
        <f t="shared" si="26"/>
        <v>0.1</v>
      </c>
      <c r="AD259">
        <f t="shared" ref="AD259:AD322" si="29">IF(V259&gt;0.7, 0.1,
 IF(F259&gt;0.5, 0.08,
 IF(E259&gt;0.5, 0.05,
 0)))</f>
        <v>0</v>
      </c>
      <c r="AE259">
        <f t="shared" si="27"/>
        <v>0.19837312483481603</v>
      </c>
      <c r="AF259" t="str">
        <f t="shared" ref="AF259:AF322" si="30">IF(MAX(X259, Y259, Z259, AA259)&gt;0.9,
 "Critical",
 IF(AE259&lt;=0.2,"Very Low",
 IF(AE259&lt;=0.4,"Low",
 IF(AE259&lt;=0.6,"Medium",
 IF(AE259&lt;=0.8,"High","Critical")))))</f>
        <v>Very Low</v>
      </c>
      <c r="AG259" t="str">
        <f t="shared" ref="AG259:AG322" si="31">IF(MAX(X259:AA259)&gt;0.9,"CRITICAL ALERT",
 IF(AE259&gt;0.8,"CRITICAL ALERT",
 IF(AE259&gt;0.6,"ALERT",
 IF(AE259&gt;=0.4,"REVIEW","NO ACTION"))))</f>
        <v>NO ACTION</v>
      </c>
      <c r="AH259" t="str">
        <f t="shared" ref="AH259:AH322" si="32">IF(AG259="NO ACTION","",
 IF(_xlfn.TEXTJOIN(", ", TRUE,
  IF(X259&gt;0.7,"Login anomaly",""),
  IF(Y259&gt;0.7,"File anomaly",""),
  IF(Z259&gt;0.7,"Network anomaly",""),
  IF(AA259&gt;0.7,"USB anomaly","")
 )="",
 "General anomaly detected",
 _xlfn.TEXTJOIN(", ", TRUE,
  IF(X259&gt;0.7,"Login anomaly",""),
  IF(Y259&gt;0.7,"File anomaly",""),
  IF(Z259&gt;0.7,"Network anomaly",""),
  IF(AA259&gt;0.7,"USB anomaly","")
 )))</f>
        <v/>
      </c>
    </row>
    <row r="260" spans="1:34" x14ac:dyDescent="0.3">
      <c r="A260" t="s">
        <v>287</v>
      </c>
      <c r="B260">
        <v>0.12892249527410199</v>
      </c>
      <c r="C260">
        <v>0.18476582604220201</v>
      </c>
      <c r="D260">
        <v>0</v>
      </c>
      <c r="E260">
        <v>0</v>
      </c>
      <c r="F260">
        <v>0</v>
      </c>
      <c r="G260">
        <v>0.99366914709169896</v>
      </c>
      <c r="H260">
        <v>7</v>
      </c>
      <c r="I260">
        <v>7</v>
      </c>
      <c r="J260">
        <v>0.105147655169123</v>
      </c>
      <c r="K260">
        <v>1.4681892332789499E-2</v>
      </c>
      <c r="L260">
        <v>3.5585817688681701E-2</v>
      </c>
      <c r="M260">
        <v>2.59740259740259E-3</v>
      </c>
      <c r="N260">
        <v>1.48942049349473E-2</v>
      </c>
      <c r="O260">
        <v>1235</v>
      </c>
      <c r="P260">
        <v>8.4876543209876504E-2</v>
      </c>
      <c r="Q260">
        <v>8.5031031943616497E-2</v>
      </c>
      <c r="R260">
        <v>0</v>
      </c>
      <c r="S260">
        <v>0</v>
      </c>
      <c r="T260" t="s">
        <v>28</v>
      </c>
      <c r="U260">
        <v>3.0566037735849001E-2</v>
      </c>
      <c r="V260">
        <v>0</v>
      </c>
      <c r="W260">
        <v>0</v>
      </c>
      <c r="X260">
        <v>0</v>
      </c>
      <c r="Y260">
        <v>4.3290701358649798E-2</v>
      </c>
      <c r="Z260">
        <v>5.6883607899904799E-2</v>
      </c>
      <c r="AA260">
        <v>0</v>
      </c>
      <c r="AB260">
        <f t="shared" si="28"/>
        <v>2.8048806592395288E-2</v>
      </c>
      <c r="AC260">
        <f t="shared" ref="AC260:AC323" si="33">IF(T260="IT_Admin", 0.25, IF(AND(T260="HR", AA260&gt;0.6), 0.25, IF(AND(T260="General", Z260&gt;0.7), 0.2, 0.1)))</f>
        <v>0.25</v>
      </c>
      <c r="AD260">
        <f t="shared" si="29"/>
        <v>0</v>
      </c>
      <c r="AE260">
        <f t="shared" ref="AE260:AE323" si="34">MIN(1,AB260*(1+AC260+AD260))</f>
        <v>3.5061008240494108E-2</v>
      </c>
      <c r="AF260" t="str">
        <f t="shared" si="30"/>
        <v>Very Low</v>
      </c>
      <c r="AG260" t="str">
        <f t="shared" si="31"/>
        <v>NO ACTION</v>
      </c>
      <c r="AH260" t="str">
        <f t="shared" si="32"/>
        <v/>
      </c>
    </row>
    <row r="261" spans="1:34" x14ac:dyDescent="0.3">
      <c r="A261" t="s">
        <v>288</v>
      </c>
      <c r="B261">
        <v>0.23137996219281601</v>
      </c>
      <c r="C261">
        <v>0.54919842123907903</v>
      </c>
      <c r="D261">
        <v>0.34347114364352299</v>
      </c>
      <c r="E261">
        <v>0</v>
      </c>
      <c r="F261">
        <v>0</v>
      </c>
      <c r="G261">
        <v>0.49054754831430902</v>
      </c>
      <c r="H261">
        <v>7</v>
      </c>
      <c r="I261">
        <v>13</v>
      </c>
      <c r="J261">
        <v>8.4251705548399405E-2</v>
      </c>
      <c r="K261">
        <v>1.30505709624796E-2</v>
      </c>
      <c r="L261">
        <v>3.9454957663240101E-2</v>
      </c>
      <c r="M261">
        <v>2.59740259740259E-3</v>
      </c>
      <c r="N261">
        <v>1.8577808414059101E-2</v>
      </c>
      <c r="O261">
        <v>993</v>
      </c>
      <c r="P261">
        <v>6.8813131313131298E-2</v>
      </c>
      <c r="Q261">
        <v>6.8971562817770601E-2</v>
      </c>
      <c r="R261">
        <v>0</v>
      </c>
      <c r="S261">
        <v>0</v>
      </c>
      <c r="T261" t="s">
        <v>53</v>
      </c>
      <c r="U261">
        <v>2.7169811320754699E-2</v>
      </c>
      <c r="V261">
        <v>0</v>
      </c>
      <c r="W261">
        <v>0</v>
      </c>
      <c r="X261">
        <v>0.103041343093057</v>
      </c>
      <c r="Y261">
        <v>4.2151162465517603E-2</v>
      </c>
      <c r="Z261">
        <v>4.8719002153502403E-2</v>
      </c>
      <c r="AA261">
        <v>0</v>
      </c>
      <c r="AB261">
        <f t="shared" si="28"/>
        <v>4.1930260988214729E-2</v>
      </c>
      <c r="AC261">
        <f t="shared" si="33"/>
        <v>0.1</v>
      </c>
      <c r="AD261">
        <f t="shared" si="29"/>
        <v>0</v>
      </c>
      <c r="AE261">
        <f t="shared" si="34"/>
        <v>4.6123287087036204E-2</v>
      </c>
      <c r="AF261" t="str">
        <f t="shared" si="30"/>
        <v>Very Low</v>
      </c>
      <c r="AG261" t="str">
        <f t="shared" si="31"/>
        <v>NO ACTION</v>
      </c>
      <c r="AH261" t="str">
        <f t="shared" si="32"/>
        <v/>
      </c>
    </row>
    <row r="262" spans="1:34" x14ac:dyDescent="0.3">
      <c r="A262" t="s">
        <v>289</v>
      </c>
      <c r="B262">
        <v>0.24045368620037799</v>
      </c>
      <c r="C262">
        <v>0.593271519557385</v>
      </c>
      <c r="D262">
        <v>0.37861451069125801</v>
      </c>
      <c r="E262">
        <v>0</v>
      </c>
      <c r="F262">
        <v>0</v>
      </c>
      <c r="G262">
        <v>0.46662262995339798</v>
      </c>
      <c r="H262">
        <v>7</v>
      </c>
      <c r="I262">
        <v>18</v>
      </c>
      <c r="J262">
        <v>0.15061304327083599</v>
      </c>
      <c r="K262">
        <v>1.8760195758564399E-2</v>
      </c>
      <c r="L262">
        <v>3.17662632530194E-2</v>
      </c>
      <c r="M262">
        <v>4.6176046176046098E-3</v>
      </c>
      <c r="N262">
        <v>1.8498164987728501E-2</v>
      </c>
      <c r="O262">
        <v>627</v>
      </c>
      <c r="P262">
        <v>0.121036756453423</v>
      </c>
      <c r="Q262">
        <v>0.12118236964830401</v>
      </c>
      <c r="R262">
        <v>0</v>
      </c>
      <c r="S262">
        <v>0</v>
      </c>
      <c r="T262" t="s">
        <v>28</v>
      </c>
      <c r="U262">
        <v>2.29744728079911E-2</v>
      </c>
      <c r="V262">
        <v>0</v>
      </c>
      <c r="W262">
        <v>0</v>
      </c>
      <c r="X262">
        <v>0.113584353207377</v>
      </c>
      <c r="Y262">
        <v>5.1555189776995497E-2</v>
      </c>
      <c r="Z262">
        <v>8.0021319867145294E-2</v>
      </c>
      <c r="AA262">
        <v>0</v>
      </c>
      <c r="AB262">
        <f t="shared" si="28"/>
        <v>5.5014919213539751E-2</v>
      </c>
      <c r="AC262">
        <f t="shared" si="33"/>
        <v>0.25</v>
      </c>
      <c r="AD262">
        <f t="shared" si="29"/>
        <v>0</v>
      </c>
      <c r="AE262">
        <f t="shared" si="34"/>
        <v>6.8768649016924685E-2</v>
      </c>
      <c r="AF262" t="str">
        <f t="shared" si="30"/>
        <v>Very Low</v>
      </c>
      <c r="AG262" t="str">
        <f t="shared" si="31"/>
        <v>NO ACTION</v>
      </c>
      <c r="AH262" t="str">
        <f t="shared" si="32"/>
        <v/>
      </c>
    </row>
    <row r="263" spans="1:34" x14ac:dyDescent="0.3">
      <c r="A263" t="s">
        <v>290</v>
      </c>
      <c r="B263">
        <v>0.15463137996219201</v>
      </c>
      <c r="C263">
        <v>0.314951916546515</v>
      </c>
      <c r="D263">
        <v>0.29844843487121497</v>
      </c>
      <c r="E263">
        <v>0</v>
      </c>
      <c r="F263">
        <v>0</v>
      </c>
      <c r="G263">
        <v>0.80515650904950398</v>
      </c>
      <c r="H263">
        <v>7</v>
      </c>
      <c r="I263">
        <v>17</v>
      </c>
      <c r="J263">
        <v>0.108582605791708</v>
      </c>
      <c r="K263">
        <v>1.4681892332789499E-2</v>
      </c>
      <c r="L263">
        <v>3.4462547687109997E-2</v>
      </c>
      <c r="M263">
        <v>5.4834054834054799E-3</v>
      </c>
      <c r="N263">
        <v>3.0450809845811999E-2</v>
      </c>
      <c r="O263">
        <v>942</v>
      </c>
      <c r="P263">
        <v>8.8804713804713803E-2</v>
      </c>
      <c r="Q263">
        <v>8.8958238367404102E-2</v>
      </c>
      <c r="R263">
        <v>0.212389380530973</v>
      </c>
      <c r="S263">
        <v>1</v>
      </c>
      <c r="T263" t="s">
        <v>28</v>
      </c>
      <c r="U263">
        <v>1.52830188679245E-2</v>
      </c>
      <c r="V263">
        <v>0</v>
      </c>
      <c r="W263">
        <v>0</v>
      </c>
      <c r="X263">
        <v>8.95345304613646E-2</v>
      </c>
      <c r="Y263">
        <v>4.8083037955640298E-2</v>
      </c>
      <c r="Z263">
        <v>6.5463152221152995E-2</v>
      </c>
      <c r="AA263">
        <v>0.212389380530973</v>
      </c>
      <c r="AB263">
        <f t="shared" si="28"/>
        <v>0.10558748467199291</v>
      </c>
      <c r="AC263">
        <f t="shared" si="33"/>
        <v>0.25</v>
      </c>
      <c r="AD263">
        <f t="shared" si="29"/>
        <v>0</v>
      </c>
      <c r="AE263">
        <f t="shared" si="34"/>
        <v>0.13198435583999113</v>
      </c>
      <c r="AF263" t="str">
        <f t="shared" si="30"/>
        <v>Very Low</v>
      </c>
      <c r="AG263" t="str">
        <f t="shared" si="31"/>
        <v>NO ACTION</v>
      </c>
      <c r="AH263" t="str">
        <f t="shared" si="32"/>
        <v/>
      </c>
    </row>
    <row r="264" spans="1:34" x14ac:dyDescent="0.3">
      <c r="A264" t="s">
        <v>291</v>
      </c>
      <c r="B264">
        <v>0.12892249527410199</v>
      </c>
      <c r="C264">
        <v>0.28062983433656202</v>
      </c>
      <c r="D264">
        <v>7.5079446679057096E-2</v>
      </c>
      <c r="E264">
        <v>0</v>
      </c>
      <c r="F264">
        <v>0</v>
      </c>
      <c r="G264">
        <v>0.99367902252756701</v>
      </c>
      <c r="H264">
        <v>7</v>
      </c>
      <c r="I264">
        <v>8</v>
      </c>
      <c r="J264">
        <v>0.12299031534755001</v>
      </c>
      <c r="K264">
        <v>3.2626427406198998E-2</v>
      </c>
      <c r="L264">
        <v>6.7629432850946802E-2</v>
      </c>
      <c r="M264">
        <v>4.3290043290043203E-3</v>
      </c>
      <c r="N264">
        <v>2.12293835987215E-2</v>
      </c>
      <c r="O264">
        <v>1252</v>
      </c>
      <c r="P264">
        <v>0.10655162738496</v>
      </c>
      <c r="Q264">
        <v>0.106700795960587</v>
      </c>
      <c r="R264">
        <v>0</v>
      </c>
      <c r="S264">
        <v>0</v>
      </c>
      <c r="T264" t="s">
        <v>28</v>
      </c>
      <c r="U264">
        <v>4.2452830188679201E-2</v>
      </c>
      <c r="V264">
        <v>0</v>
      </c>
      <c r="W264">
        <v>0</v>
      </c>
      <c r="X264">
        <v>2.2523834003717099E-2</v>
      </c>
      <c r="Y264">
        <v>6.4781594574599893E-2</v>
      </c>
      <c r="Z264">
        <v>7.2422729870464997E-2</v>
      </c>
      <c r="AA264">
        <v>0</v>
      </c>
      <c r="AB264">
        <f t="shared" si="28"/>
        <v>4.2021024285212913E-2</v>
      </c>
      <c r="AC264">
        <f t="shared" si="33"/>
        <v>0.25</v>
      </c>
      <c r="AD264">
        <f t="shared" si="29"/>
        <v>0</v>
      </c>
      <c r="AE264">
        <f t="shared" si="34"/>
        <v>5.2526280356516145E-2</v>
      </c>
      <c r="AF264" t="str">
        <f t="shared" si="30"/>
        <v>Very Low</v>
      </c>
      <c r="AG264" t="str">
        <f t="shared" si="31"/>
        <v>NO ACTION</v>
      </c>
      <c r="AH264" t="str">
        <f t="shared" si="32"/>
        <v/>
      </c>
    </row>
    <row r="265" spans="1:34" x14ac:dyDescent="0.3">
      <c r="A265" t="s">
        <v>292</v>
      </c>
      <c r="B265">
        <v>0.12892249527410199</v>
      </c>
      <c r="C265">
        <v>0.36953165208440503</v>
      </c>
      <c r="D265">
        <v>0</v>
      </c>
      <c r="E265">
        <v>0</v>
      </c>
      <c r="F265">
        <v>0</v>
      </c>
      <c r="G265">
        <v>0.99366416922971701</v>
      </c>
      <c r="H265">
        <v>8</v>
      </c>
      <c r="I265">
        <v>8</v>
      </c>
      <c r="J265">
        <v>0.105815562234626</v>
      </c>
      <c r="K265">
        <v>1.30505709624796E-2</v>
      </c>
      <c r="L265">
        <v>3.14326270902376E-2</v>
      </c>
      <c r="M265">
        <v>4.6176046176046098E-3</v>
      </c>
      <c r="N265">
        <v>2.63118298206017E-2</v>
      </c>
      <c r="O265">
        <v>1178</v>
      </c>
      <c r="P265">
        <v>8.5648148148148098E-2</v>
      </c>
      <c r="Q265">
        <v>8.5802447491146197E-2</v>
      </c>
      <c r="R265">
        <v>0</v>
      </c>
      <c r="S265">
        <v>0</v>
      </c>
      <c r="T265" t="s">
        <v>28</v>
      </c>
      <c r="U265">
        <v>1.5982241953385101E-2</v>
      </c>
      <c r="V265">
        <v>0</v>
      </c>
      <c r="W265">
        <v>0</v>
      </c>
      <c r="X265">
        <v>0</v>
      </c>
      <c r="Y265">
        <v>4.4772974938224498E-2</v>
      </c>
      <c r="Z265">
        <v>6.1913620817129499E-2</v>
      </c>
      <c r="AA265">
        <v>0</v>
      </c>
      <c r="AB265">
        <f t="shared" si="28"/>
        <v>2.9872246811499123E-2</v>
      </c>
      <c r="AC265">
        <f t="shared" si="33"/>
        <v>0.25</v>
      </c>
      <c r="AD265">
        <f t="shared" si="29"/>
        <v>0</v>
      </c>
      <c r="AE265">
        <f t="shared" si="34"/>
        <v>3.7340308514373907E-2</v>
      </c>
      <c r="AF265" t="str">
        <f t="shared" si="30"/>
        <v>Very Low</v>
      </c>
      <c r="AG265" t="str">
        <f t="shared" si="31"/>
        <v>NO ACTION</v>
      </c>
      <c r="AH265" t="str">
        <f t="shared" si="32"/>
        <v/>
      </c>
    </row>
    <row r="266" spans="1:34" x14ac:dyDescent="0.3">
      <c r="A266" t="s">
        <v>293</v>
      </c>
      <c r="B266">
        <v>0.24196597353497101</v>
      </c>
      <c r="C266">
        <v>0.68598616470016505</v>
      </c>
      <c r="D266">
        <v>0.385118480090478</v>
      </c>
      <c r="E266">
        <v>0</v>
      </c>
      <c r="F266">
        <v>0</v>
      </c>
      <c r="G266">
        <v>0.46275940710205699</v>
      </c>
      <c r="H266">
        <v>7</v>
      </c>
      <c r="I266">
        <v>17</v>
      </c>
      <c r="J266">
        <v>0.13148227660893999</v>
      </c>
      <c r="K266">
        <v>4.48613376835236E-2</v>
      </c>
      <c r="L266">
        <v>8.6995430803782706E-2</v>
      </c>
      <c r="M266">
        <v>4.0404040404040404E-3</v>
      </c>
      <c r="N266">
        <v>1.8536688873523301E-2</v>
      </c>
      <c r="O266">
        <v>1078</v>
      </c>
      <c r="P266">
        <v>0.117915263748597</v>
      </c>
      <c r="Q266">
        <v>0.11806164311511599</v>
      </c>
      <c r="R266">
        <v>0</v>
      </c>
      <c r="S266">
        <v>0</v>
      </c>
      <c r="T266" t="s">
        <v>28</v>
      </c>
      <c r="U266">
        <v>6.2264150943396199E-2</v>
      </c>
      <c r="V266">
        <v>0</v>
      </c>
      <c r="W266">
        <v>0</v>
      </c>
      <c r="X266">
        <v>0.115535544027143</v>
      </c>
      <c r="Y266">
        <v>7.5355177385736397E-2</v>
      </c>
      <c r="Z266">
        <v>7.8163833798567506E-2</v>
      </c>
      <c r="AA266">
        <v>0</v>
      </c>
      <c r="AB266">
        <f t="shared" si="28"/>
        <v>6.1471010175947978E-2</v>
      </c>
      <c r="AC266">
        <f t="shared" si="33"/>
        <v>0.25</v>
      </c>
      <c r="AD266">
        <f t="shared" si="29"/>
        <v>0</v>
      </c>
      <c r="AE266">
        <f t="shared" si="34"/>
        <v>7.6838762719934978E-2</v>
      </c>
      <c r="AF266" t="str">
        <f t="shared" si="30"/>
        <v>Very Low</v>
      </c>
      <c r="AG266" t="str">
        <f t="shared" si="31"/>
        <v>NO ACTION</v>
      </c>
      <c r="AH266" t="str">
        <f t="shared" si="32"/>
        <v/>
      </c>
    </row>
    <row r="267" spans="1:34" x14ac:dyDescent="0.3">
      <c r="A267" t="s">
        <v>294</v>
      </c>
      <c r="B267">
        <v>0.12892249527410199</v>
      </c>
      <c r="C267">
        <v>0.18476582604220201</v>
      </c>
      <c r="D267">
        <v>0</v>
      </c>
      <c r="E267">
        <v>0</v>
      </c>
      <c r="F267">
        <v>0</v>
      </c>
      <c r="G267">
        <v>0.99365632775895996</v>
      </c>
      <c r="H267">
        <v>7</v>
      </c>
      <c r="I267">
        <v>7</v>
      </c>
      <c r="J267">
        <v>0.121845331806688</v>
      </c>
      <c r="K267">
        <v>2.2022838499184301E-2</v>
      </c>
      <c r="L267">
        <v>4.6078001919283698E-2</v>
      </c>
      <c r="M267">
        <v>8.6580086580086504E-4</v>
      </c>
      <c r="N267">
        <v>4.2856973689330002E-3</v>
      </c>
      <c r="O267">
        <v>1245</v>
      </c>
      <c r="P267">
        <v>9.9466891133557805E-2</v>
      </c>
      <c r="Q267">
        <v>9.9617798660542101E-2</v>
      </c>
      <c r="R267">
        <v>0</v>
      </c>
      <c r="S267">
        <v>0</v>
      </c>
      <c r="T267" t="s">
        <v>28</v>
      </c>
      <c r="U267">
        <v>0.11462264150943299</v>
      </c>
      <c r="V267">
        <v>0</v>
      </c>
      <c r="W267">
        <v>0</v>
      </c>
      <c r="X267">
        <v>0</v>
      </c>
      <c r="Y267">
        <v>4.8693776531659398E-2</v>
      </c>
      <c r="Z267">
        <v>6.1394413627707797E-2</v>
      </c>
      <c r="AA267">
        <v>0</v>
      </c>
      <c r="AB267">
        <f t="shared" si="28"/>
        <v>3.0824693244622815E-2</v>
      </c>
      <c r="AC267">
        <f t="shared" si="33"/>
        <v>0.25</v>
      </c>
      <c r="AD267">
        <f t="shared" si="29"/>
        <v>0</v>
      </c>
      <c r="AE267">
        <f t="shared" si="34"/>
        <v>3.8530866555778517E-2</v>
      </c>
      <c r="AF267" t="str">
        <f t="shared" si="30"/>
        <v>Very Low</v>
      </c>
      <c r="AG267" t="str">
        <f t="shared" si="31"/>
        <v>NO ACTION</v>
      </c>
      <c r="AH267" t="str">
        <f t="shared" si="32"/>
        <v/>
      </c>
    </row>
    <row r="268" spans="1:34" x14ac:dyDescent="0.3">
      <c r="A268" t="s">
        <v>295</v>
      </c>
      <c r="B268">
        <v>0.29149338374291101</v>
      </c>
      <c r="C268">
        <v>0.83681038633307203</v>
      </c>
      <c r="D268">
        <v>0.50872484658216899</v>
      </c>
      <c r="E268">
        <v>0.235125448028673</v>
      </c>
      <c r="F268">
        <v>5.4193548387096703E-2</v>
      </c>
      <c r="G268">
        <v>0.35997932658561999</v>
      </c>
      <c r="H268">
        <v>0</v>
      </c>
      <c r="I268">
        <v>23</v>
      </c>
      <c r="J268">
        <v>0.113257955250226</v>
      </c>
      <c r="K268">
        <v>1.7944535073409401E-2</v>
      </c>
      <c r="L268">
        <v>4.0385772921268402E-2</v>
      </c>
      <c r="M268">
        <v>2.3088023088023001E-3</v>
      </c>
      <c r="N268">
        <v>1.22932319653631E-2</v>
      </c>
      <c r="O268">
        <v>558</v>
      </c>
      <c r="P268">
        <v>9.2101571268237897E-2</v>
      </c>
      <c r="Q268">
        <v>9.2254286615940206E-2</v>
      </c>
      <c r="R268">
        <v>0.606194690265486</v>
      </c>
      <c r="S268">
        <v>1</v>
      </c>
      <c r="T268" t="s">
        <v>28</v>
      </c>
      <c r="U268">
        <v>4.15094339622641E-2</v>
      </c>
      <c r="V268">
        <v>0</v>
      </c>
      <c r="W268">
        <v>7.1423366024920498E-2</v>
      </c>
      <c r="X268">
        <v>0.24483250773809101</v>
      </c>
      <c r="Y268">
        <v>4.65324471002884E-2</v>
      </c>
      <c r="Z268">
        <v>6.0178235547088003E-2</v>
      </c>
      <c r="AA268">
        <v>0.606194690265486</v>
      </c>
      <c r="AB268">
        <f t="shared" si="28"/>
        <v>0.23878670565369603</v>
      </c>
      <c r="AC268">
        <f t="shared" si="33"/>
        <v>0.25</v>
      </c>
      <c r="AD268">
        <f t="shared" si="29"/>
        <v>0</v>
      </c>
      <c r="AE268">
        <f t="shared" si="34"/>
        <v>0.29848338206712005</v>
      </c>
      <c r="AF268" t="str">
        <f t="shared" si="30"/>
        <v>Low</v>
      </c>
      <c r="AG268" t="str">
        <f t="shared" si="31"/>
        <v>NO ACTION</v>
      </c>
      <c r="AH268" t="str">
        <f t="shared" si="32"/>
        <v/>
      </c>
    </row>
    <row r="269" spans="1:34" x14ac:dyDescent="0.3">
      <c r="A269" t="s">
        <v>296</v>
      </c>
      <c r="B269">
        <v>0.23478260869565201</v>
      </c>
      <c r="C269">
        <v>0.58238188368502197</v>
      </c>
      <c r="D269">
        <v>0.36746955510641999</v>
      </c>
      <c r="E269">
        <v>0</v>
      </c>
      <c r="F269">
        <v>0</v>
      </c>
      <c r="G269">
        <v>0.48136286547729501</v>
      </c>
      <c r="H269">
        <v>7</v>
      </c>
      <c r="I269">
        <v>13</v>
      </c>
      <c r="J269">
        <v>0.11516626115166199</v>
      </c>
      <c r="K269">
        <v>1.7944535073409401E-2</v>
      </c>
      <c r="L269">
        <v>3.9717963530259401E-2</v>
      </c>
      <c r="M269">
        <v>1.0678210678210599E-2</v>
      </c>
      <c r="N269">
        <v>5.5916037478666601E-2</v>
      </c>
      <c r="O269">
        <v>542</v>
      </c>
      <c r="P269">
        <v>9.7572951739618399E-2</v>
      </c>
      <c r="Q269">
        <v>9.7724324134787294E-2</v>
      </c>
      <c r="R269">
        <v>0</v>
      </c>
      <c r="S269">
        <v>0</v>
      </c>
      <c r="T269" t="s">
        <v>28</v>
      </c>
      <c r="U269">
        <v>9.8311817279046598E-3</v>
      </c>
      <c r="V269">
        <v>0</v>
      </c>
      <c r="W269">
        <v>0</v>
      </c>
      <c r="X269">
        <v>0.110240866531926</v>
      </c>
      <c r="Y269">
        <v>5.9667045239062202E-2</v>
      </c>
      <c r="Z269">
        <v>8.0910186035237697E-2</v>
      </c>
      <c r="AA269">
        <v>0</v>
      </c>
      <c r="AB269">
        <f t="shared" si="28"/>
        <v>5.7000163401912135E-2</v>
      </c>
      <c r="AC269">
        <f t="shared" si="33"/>
        <v>0.25</v>
      </c>
      <c r="AD269">
        <f t="shared" si="29"/>
        <v>0</v>
      </c>
      <c r="AE269">
        <f t="shared" si="34"/>
        <v>7.1250204252390176E-2</v>
      </c>
      <c r="AF269" t="str">
        <f t="shared" si="30"/>
        <v>Very Low</v>
      </c>
      <c r="AG269" t="str">
        <f t="shared" si="31"/>
        <v>NO ACTION</v>
      </c>
      <c r="AH269" t="str">
        <f t="shared" si="32"/>
        <v/>
      </c>
    </row>
    <row r="270" spans="1:34" x14ac:dyDescent="0.3">
      <c r="A270" t="s">
        <v>297</v>
      </c>
      <c r="B270">
        <v>0.12892249527410199</v>
      </c>
      <c r="C270">
        <v>0.18476582604220201</v>
      </c>
      <c r="D270">
        <v>0</v>
      </c>
      <c r="E270">
        <v>0</v>
      </c>
      <c r="F270">
        <v>0</v>
      </c>
      <c r="G270">
        <v>0.99366601585593595</v>
      </c>
      <c r="H270">
        <v>7</v>
      </c>
      <c r="I270">
        <v>7</v>
      </c>
      <c r="J270">
        <v>0.10834406755402801</v>
      </c>
      <c r="K270">
        <v>1.7944535073409401E-2</v>
      </c>
      <c r="L270">
        <v>4.22134243320288E-2</v>
      </c>
      <c r="M270">
        <v>2.3088023088023001E-3</v>
      </c>
      <c r="N270">
        <v>1.28495601254827E-2</v>
      </c>
      <c r="O270">
        <v>1191</v>
      </c>
      <c r="P270">
        <v>8.8489057239057201E-2</v>
      </c>
      <c r="Q270">
        <v>8.8642659279778394E-2</v>
      </c>
      <c r="R270">
        <v>0</v>
      </c>
      <c r="S270">
        <v>0</v>
      </c>
      <c r="T270" t="s">
        <v>28</v>
      </c>
      <c r="U270">
        <v>4.15094339622641E-2</v>
      </c>
      <c r="V270">
        <v>0</v>
      </c>
      <c r="W270">
        <v>0</v>
      </c>
      <c r="X270">
        <v>0</v>
      </c>
      <c r="Y270">
        <v>4.6630393714465E-2</v>
      </c>
      <c r="Z270">
        <v>5.8233258393627398E-2</v>
      </c>
      <c r="AA270">
        <v>0</v>
      </c>
      <c r="AB270">
        <f t="shared" si="28"/>
        <v>2.9361822590265874E-2</v>
      </c>
      <c r="AC270">
        <f t="shared" si="33"/>
        <v>0.25</v>
      </c>
      <c r="AD270">
        <f t="shared" si="29"/>
        <v>0</v>
      </c>
      <c r="AE270">
        <f t="shared" si="34"/>
        <v>3.6702278237832342E-2</v>
      </c>
      <c r="AF270" t="str">
        <f t="shared" si="30"/>
        <v>Very Low</v>
      </c>
      <c r="AG270" t="str">
        <f t="shared" si="31"/>
        <v>NO ACTION</v>
      </c>
      <c r="AH270" t="str">
        <f t="shared" si="32"/>
        <v/>
      </c>
    </row>
    <row r="271" spans="1:34" x14ac:dyDescent="0.3">
      <c r="A271" t="s">
        <v>298</v>
      </c>
      <c r="B271">
        <v>0.22873345935727701</v>
      </c>
      <c r="C271">
        <v>0.77334661836054897</v>
      </c>
      <c r="D271">
        <v>0.38254960281719302</v>
      </c>
      <c r="E271">
        <v>0</v>
      </c>
      <c r="F271">
        <v>0</v>
      </c>
      <c r="G271">
        <v>0.49796752152657597</v>
      </c>
      <c r="H271">
        <v>8</v>
      </c>
      <c r="I271">
        <v>14</v>
      </c>
      <c r="J271">
        <v>0.105720146939554</v>
      </c>
      <c r="K271">
        <v>1.4681892332789499E-2</v>
      </c>
      <c r="L271">
        <v>3.53935485251229E-2</v>
      </c>
      <c r="M271">
        <v>3.4632034632034602E-3</v>
      </c>
      <c r="N271">
        <v>1.97516426242225E-2</v>
      </c>
      <c r="O271">
        <v>1178</v>
      </c>
      <c r="P271">
        <v>8.5718294051627397E-2</v>
      </c>
      <c r="Q271">
        <v>8.5872576177285304E-2</v>
      </c>
      <c r="R271">
        <v>0.67256637168141498</v>
      </c>
      <c r="S271">
        <v>1</v>
      </c>
      <c r="T271" t="s">
        <v>28</v>
      </c>
      <c r="U271">
        <v>2.35123367198838E-2</v>
      </c>
      <c r="V271">
        <v>0</v>
      </c>
      <c r="W271">
        <v>0</v>
      </c>
      <c r="X271">
        <v>0.114764880845158</v>
      </c>
      <c r="Y271">
        <v>4.4766296437739099E-2</v>
      </c>
      <c r="Z271">
        <v>5.9331633480665398E-2</v>
      </c>
      <c r="AA271">
        <v>0.67256637168141498</v>
      </c>
      <c r="AB271">
        <f t="shared" si="28"/>
        <v>0.23582838538317474</v>
      </c>
      <c r="AC271">
        <f t="shared" si="33"/>
        <v>0.25</v>
      </c>
      <c r="AD271">
        <f t="shared" si="29"/>
        <v>0</v>
      </c>
      <c r="AE271">
        <f t="shared" si="34"/>
        <v>0.29478548172896846</v>
      </c>
      <c r="AF271" t="str">
        <f t="shared" si="30"/>
        <v>Low</v>
      </c>
      <c r="AG271" t="str">
        <f t="shared" si="31"/>
        <v>NO ACTION</v>
      </c>
      <c r="AH271" t="str">
        <f t="shared" si="32"/>
        <v/>
      </c>
    </row>
    <row r="272" spans="1:34" x14ac:dyDescent="0.3">
      <c r="A272" t="s">
        <v>299</v>
      </c>
      <c r="B272">
        <v>0.25293005671077501</v>
      </c>
      <c r="C272">
        <v>0.78875515337183999</v>
      </c>
      <c r="D272">
        <v>0.53050877984906497</v>
      </c>
      <c r="E272">
        <v>0.473831929998349</v>
      </c>
      <c r="F272">
        <v>7.1322436849925702E-2</v>
      </c>
      <c r="G272">
        <v>0.43695055921520098</v>
      </c>
      <c r="H272">
        <v>0</v>
      </c>
      <c r="I272">
        <v>23</v>
      </c>
      <c r="J272">
        <v>8.0148847860311997E-2</v>
      </c>
      <c r="K272">
        <v>1.38662316476345E-2</v>
      </c>
      <c r="L272">
        <v>4.4060475161987002E-2</v>
      </c>
      <c r="M272">
        <v>1.44300144300144E-3</v>
      </c>
      <c r="N272">
        <v>1.08477740525218E-2</v>
      </c>
      <c r="O272">
        <v>920</v>
      </c>
      <c r="P272">
        <v>6.5586419753086406E-2</v>
      </c>
      <c r="Q272">
        <v>6.5745643255373604E-2</v>
      </c>
      <c r="R272">
        <v>9.2920353982300793E-2</v>
      </c>
      <c r="S272">
        <v>1</v>
      </c>
      <c r="T272" t="s">
        <v>53</v>
      </c>
      <c r="U272">
        <v>4.8113207547169801E-2</v>
      </c>
      <c r="V272">
        <v>0</v>
      </c>
      <c r="W272">
        <v>0.10255094726788801</v>
      </c>
      <c r="X272">
        <v>0.32983118769419401</v>
      </c>
      <c r="Y272">
        <v>4.1314339368812403E-2</v>
      </c>
      <c r="Z272">
        <v>4.3690961472860501E-2</v>
      </c>
      <c r="AA272">
        <v>9.2920353982300793E-2</v>
      </c>
      <c r="AB272">
        <f t="shared" si="28"/>
        <v>0.10259217338178368</v>
      </c>
      <c r="AC272">
        <f t="shared" si="33"/>
        <v>0.1</v>
      </c>
      <c r="AD272">
        <f t="shared" si="29"/>
        <v>0</v>
      </c>
      <c r="AE272">
        <f t="shared" si="34"/>
        <v>0.11285139071996206</v>
      </c>
      <c r="AF272" t="str">
        <f t="shared" si="30"/>
        <v>Very Low</v>
      </c>
      <c r="AG272" t="str">
        <f t="shared" si="31"/>
        <v>NO ACTION</v>
      </c>
      <c r="AH272" t="str">
        <f t="shared" si="32"/>
        <v/>
      </c>
    </row>
    <row r="273" spans="1:34" x14ac:dyDescent="0.3">
      <c r="A273" t="s">
        <v>300</v>
      </c>
      <c r="B273">
        <v>0.27901701323251399</v>
      </c>
      <c r="C273">
        <v>0.98309364045096503</v>
      </c>
      <c r="D273">
        <v>0.36051498334925203</v>
      </c>
      <c r="E273">
        <v>0</v>
      </c>
      <c r="F273">
        <v>0</v>
      </c>
      <c r="G273">
        <v>0.381887560302203</v>
      </c>
      <c r="H273">
        <v>9</v>
      </c>
      <c r="I273">
        <v>17</v>
      </c>
      <c r="J273">
        <v>9.8134630981346296E-2</v>
      </c>
      <c r="K273">
        <v>1.8760195758564399E-2</v>
      </c>
      <c r="L273">
        <v>4.8712378470440097E-2</v>
      </c>
      <c r="M273">
        <v>4.6176046176046098E-3</v>
      </c>
      <c r="N273">
        <v>2.83662452430638E-2</v>
      </c>
      <c r="O273">
        <v>1056</v>
      </c>
      <c r="P273">
        <v>8.2456509539842807E-2</v>
      </c>
      <c r="Q273">
        <v>8.2611592271818704E-2</v>
      </c>
      <c r="R273">
        <v>0</v>
      </c>
      <c r="S273">
        <v>0</v>
      </c>
      <c r="T273" t="s">
        <v>28</v>
      </c>
      <c r="U273">
        <v>2.29744728079911E-2</v>
      </c>
      <c r="V273">
        <v>0</v>
      </c>
      <c r="W273">
        <v>0</v>
      </c>
      <c r="X273">
        <v>0.108154495004775</v>
      </c>
      <c r="Y273">
        <v>5.2492989004408401E-2</v>
      </c>
      <c r="Z273">
        <v>6.08204038211312E-2</v>
      </c>
      <c r="AA273">
        <v>0</v>
      </c>
      <c r="AB273">
        <f t="shared" si="28"/>
        <v>4.903246919191509E-2</v>
      </c>
      <c r="AC273">
        <f t="shared" si="33"/>
        <v>0.25</v>
      </c>
      <c r="AD273">
        <f t="shared" si="29"/>
        <v>0</v>
      </c>
      <c r="AE273">
        <f t="shared" si="34"/>
        <v>6.1290586489893863E-2</v>
      </c>
      <c r="AF273" t="str">
        <f t="shared" si="30"/>
        <v>Very Low</v>
      </c>
      <c r="AG273" t="str">
        <f t="shared" si="31"/>
        <v>NO ACTION</v>
      </c>
      <c r="AH273" t="str">
        <f t="shared" si="32"/>
        <v/>
      </c>
    </row>
    <row r="274" spans="1:34" x14ac:dyDescent="0.3">
      <c r="A274" t="s">
        <v>301</v>
      </c>
      <c r="B274">
        <v>0.26427221172022602</v>
      </c>
      <c r="C274">
        <v>0.717511671543688</v>
      </c>
      <c r="D274">
        <v>0.56377664566241104</v>
      </c>
      <c r="E274">
        <v>0.38880986249407301</v>
      </c>
      <c r="F274">
        <v>7.9658605974395405E-2</v>
      </c>
      <c r="G274">
        <v>0.41212936368597403</v>
      </c>
      <c r="H274">
        <v>0</v>
      </c>
      <c r="I274">
        <v>23</v>
      </c>
      <c r="J274">
        <v>9.1837221506607503E-2</v>
      </c>
      <c r="K274">
        <v>1.71288743882544E-2</v>
      </c>
      <c r="L274">
        <v>4.7518436867019502E-2</v>
      </c>
      <c r="M274">
        <v>1.44300144300144E-3</v>
      </c>
      <c r="N274">
        <v>9.4707250147664599E-3</v>
      </c>
      <c r="O274">
        <v>1025</v>
      </c>
      <c r="P274">
        <v>7.5582210998877603E-2</v>
      </c>
      <c r="Q274">
        <v>7.5738981030190403E-2</v>
      </c>
      <c r="R274">
        <v>0.91297935103244798</v>
      </c>
      <c r="S274">
        <v>1</v>
      </c>
      <c r="T274" t="s">
        <v>53</v>
      </c>
      <c r="U274">
        <v>5.9433962264150902E-2</v>
      </c>
      <c r="V274">
        <v>0</v>
      </c>
      <c r="W274">
        <v>0.123526226497177</v>
      </c>
      <c r="X274">
        <v>0.317639394836703</v>
      </c>
      <c r="Y274">
        <v>4.4967880239261203E-2</v>
      </c>
      <c r="Z274">
        <v>4.9137616605233102E-2</v>
      </c>
      <c r="AA274">
        <v>0.91297935103244798</v>
      </c>
      <c r="AB274">
        <f t="shared" si="28"/>
        <v>0.33280606057941631</v>
      </c>
      <c r="AC274">
        <f t="shared" si="33"/>
        <v>0.1</v>
      </c>
      <c r="AD274">
        <f t="shared" si="29"/>
        <v>0</v>
      </c>
      <c r="AE274">
        <f t="shared" si="34"/>
        <v>0.36608666663735795</v>
      </c>
      <c r="AF274" t="str">
        <f t="shared" si="30"/>
        <v>Critical</v>
      </c>
      <c r="AG274" t="str">
        <f t="shared" si="31"/>
        <v>CRITICAL ALERT</v>
      </c>
      <c r="AH274" t="str">
        <f t="shared" si="32"/>
        <v>USB anomaly</v>
      </c>
    </row>
    <row r="275" spans="1:34" x14ac:dyDescent="0.3">
      <c r="A275" t="s">
        <v>302</v>
      </c>
      <c r="B275">
        <v>0.12892249527410199</v>
      </c>
      <c r="C275">
        <v>0.27527430314693302</v>
      </c>
      <c r="D275">
        <v>7.51173381640724E-2</v>
      </c>
      <c r="E275">
        <v>0</v>
      </c>
      <c r="F275">
        <v>0</v>
      </c>
      <c r="G275">
        <v>0.99367843374819298</v>
      </c>
      <c r="H275">
        <v>7</v>
      </c>
      <c r="I275">
        <v>8</v>
      </c>
      <c r="J275">
        <v>0.131816230141691</v>
      </c>
      <c r="K275">
        <v>1.9575856443719401E-2</v>
      </c>
      <c r="L275">
        <v>3.7865641268929599E-2</v>
      </c>
      <c r="M275">
        <v>4.0404040404040404E-3</v>
      </c>
      <c r="N275">
        <v>1.8489811408886499E-2</v>
      </c>
      <c r="O275">
        <v>610</v>
      </c>
      <c r="P275">
        <v>0.107288159371492</v>
      </c>
      <c r="Q275">
        <v>0.107437147165047</v>
      </c>
      <c r="R275">
        <v>0</v>
      </c>
      <c r="S275">
        <v>0</v>
      </c>
      <c r="T275" t="s">
        <v>28</v>
      </c>
      <c r="U275">
        <v>2.7169811320754699E-2</v>
      </c>
      <c r="V275">
        <v>0</v>
      </c>
      <c r="W275">
        <v>0</v>
      </c>
      <c r="X275">
        <v>2.2535201449221699E-2</v>
      </c>
      <c r="Y275">
        <v>5.0843010085469098E-2</v>
      </c>
      <c r="Z275">
        <v>7.17688201864502E-2</v>
      </c>
      <c r="AA275">
        <v>0</v>
      </c>
      <c r="AB275">
        <f t="shared" si="28"/>
        <v>3.7936944708012885E-2</v>
      </c>
      <c r="AC275">
        <f t="shared" si="33"/>
        <v>0.25</v>
      </c>
      <c r="AD275">
        <f t="shared" si="29"/>
        <v>0</v>
      </c>
      <c r="AE275">
        <f t="shared" si="34"/>
        <v>4.7421180885016109E-2</v>
      </c>
      <c r="AF275" t="str">
        <f t="shared" si="30"/>
        <v>Very Low</v>
      </c>
      <c r="AG275" t="str">
        <f t="shared" si="31"/>
        <v>NO ACTION</v>
      </c>
      <c r="AH275" t="str">
        <f t="shared" si="32"/>
        <v/>
      </c>
    </row>
    <row r="276" spans="1:34" x14ac:dyDescent="0.3">
      <c r="A276" t="s">
        <v>303</v>
      </c>
      <c r="B276">
        <v>0.25293005671077501</v>
      </c>
      <c r="C276">
        <v>0.69733313246239903</v>
      </c>
      <c r="D276">
        <v>0.51256496847853295</v>
      </c>
      <c r="E276">
        <v>0.33845137857024898</v>
      </c>
      <c r="F276">
        <v>5.0520059435364001E-2</v>
      </c>
      <c r="G276">
        <v>0.43643296129194897</v>
      </c>
      <c r="H276">
        <v>0</v>
      </c>
      <c r="I276">
        <v>23</v>
      </c>
      <c r="J276">
        <v>0.11254234053718799</v>
      </c>
      <c r="K276">
        <v>1.1419249592169599E-2</v>
      </c>
      <c r="L276">
        <v>2.58631086162853E-2</v>
      </c>
      <c r="M276">
        <v>4.3290043290043203E-3</v>
      </c>
      <c r="N276">
        <v>2.3196065074237601E-2</v>
      </c>
      <c r="O276">
        <v>522</v>
      </c>
      <c r="P276">
        <v>8.9751683501683499E-2</v>
      </c>
      <c r="Q276">
        <v>8.9904975630281506E-2</v>
      </c>
      <c r="R276">
        <v>0</v>
      </c>
      <c r="S276">
        <v>0</v>
      </c>
      <c r="T276" t="s">
        <v>28</v>
      </c>
      <c r="U276">
        <v>1.48584905660377E-2</v>
      </c>
      <c r="V276">
        <v>0</v>
      </c>
      <c r="W276">
        <v>0</v>
      </c>
      <c r="X276">
        <v>0.27551292788878001</v>
      </c>
      <c r="Y276">
        <v>4.2398841937851497E-2</v>
      </c>
      <c r="Z276">
        <v>6.3129436130705097E-2</v>
      </c>
      <c r="AA276">
        <v>0</v>
      </c>
      <c r="AB276">
        <f t="shared" si="28"/>
        <v>7.3629986321400651E-2</v>
      </c>
      <c r="AC276">
        <f t="shared" si="33"/>
        <v>0.25</v>
      </c>
      <c r="AD276">
        <f t="shared" si="29"/>
        <v>0</v>
      </c>
      <c r="AE276">
        <f t="shared" si="34"/>
        <v>9.2037482901750817E-2</v>
      </c>
      <c r="AF276" t="str">
        <f t="shared" si="30"/>
        <v>Very Low</v>
      </c>
      <c r="AG276" t="str">
        <f t="shared" si="31"/>
        <v>NO ACTION</v>
      </c>
      <c r="AH276" t="str">
        <f t="shared" si="32"/>
        <v/>
      </c>
    </row>
    <row r="277" spans="1:34" x14ac:dyDescent="0.3">
      <c r="A277" t="s">
        <v>304</v>
      </c>
      <c r="B277">
        <v>0.12892249527410199</v>
      </c>
      <c r="C277">
        <v>0.36953165208440503</v>
      </c>
      <c r="D277">
        <v>0</v>
      </c>
      <c r="E277">
        <v>0</v>
      </c>
      <c r="F277">
        <v>0</v>
      </c>
      <c r="G277">
        <v>0.99366673844880504</v>
      </c>
      <c r="H277">
        <v>8</v>
      </c>
      <c r="I277">
        <v>8</v>
      </c>
      <c r="J277">
        <v>0.10090167453842799</v>
      </c>
      <c r="K277">
        <v>1.71288743882544E-2</v>
      </c>
      <c r="L277">
        <v>4.3259709034597901E-2</v>
      </c>
      <c r="M277">
        <v>4.0404040404040404E-3</v>
      </c>
      <c r="N277">
        <v>2.4141414141414099E-2</v>
      </c>
      <c r="O277">
        <v>1151</v>
      </c>
      <c r="P277">
        <v>8.3508698092031403E-2</v>
      </c>
      <c r="Q277">
        <v>8.3663522563904705E-2</v>
      </c>
      <c r="R277">
        <v>0</v>
      </c>
      <c r="S277">
        <v>0</v>
      </c>
      <c r="T277" t="s">
        <v>28</v>
      </c>
      <c r="U277">
        <v>2.3773584905660301E-2</v>
      </c>
      <c r="V277">
        <v>0</v>
      </c>
      <c r="W277">
        <v>0</v>
      </c>
      <c r="X277">
        <v>0</v>
      </c>
      <c r="Y277">
        <v>4.9052613667408901E-2</v>
      </c>
      <c r="Z277">
        <v>5.9761784511784502E-2</v>
      </c>
      <c r="AA277">
        <v>0</v>
      </c>
      <c r="AB277">
        <f t="shared" si="28"/>
        <v>3.0468031490174158E-2</v>
      </c>
      <c r="AC277">
        <f t="shared" si="33"/>
        <v>0.25</v>
      </c>
      <c r="AD277">
        <f t="shared" si="29"/>
        <v>0</v>
      </c>
      <c r="AE277">
        <f t="shared" si="34"/>
        <v>3.8085039362717697E-2</v>
      </c>
      <c r="AF277" t="str">
        <f t="shared" si="30"/>
        <v>Very Low</v>
      </c>
      <c r="AG277" t="str">
        <f t="shared" si="31"/>
        <v>NO ACTION</v>
      </c>
      <c r="AH277" t="str">
        <f t="shared" si="32"/>
        <v/>
      </c>
    </row>
    <row r="278" spans="1:34" x14ac:dyDescent="0.3">
      <c r="A278" t="s">
        <v>305</v>
      </c>
      <c r="B278">
        <v>0.12892249527410199</v>
      </c>
      <c r="C278">
        <v>0.46111123542706201</v>
      </c>
      <c r="D278">
        <v>7.5129964412319103E-2</v>
      </c>
      <c r="E278">
        <v>0</v>
      </c>
      <c r="F278">
        <v>0</v>
      </c>
      <c r="G278">
        <v>0.99368536528718998</v>
      </c>
      <c r="H278">
        <v>8</v>
      </c>
      <c r="I278">
        <v>9</v>
      </c>
      <c r="J278">
        <v>0.100567721005677</v>
      </c>
      <c r="K278">
        <v>1.8760195758564399E-2</v>
      </c>
      <c r="L278">
        <v>4.7536641933765902E-2</v>
      </c>
      <c r="M278">
        <v>2.8860028860028799E-3</v>
      </c>
      <c r="N278">
        <v>1.7300993164693999E-2</v>
      </c>
      <c r="O278">
        <v>1096</v>
      </c>
      <c r="P278">
        <v>8.3403479236812503E-2</v>
      </c>
      <c r="Q278">
        <v>8.3558329534696094E-2</v>
      </c>
      <c r="R278">
        <v>0</v>
      </c>
      <c r="S278">
        <v>0</v>
      </c>
      <c r="T278" t="s">
        <v>28</v>
      </c>
      <c r="U278">
        <v>3.5506003430531702E-2</v>
      </c>
      <c r="V278">
        <v>0</v>
      </c>
      <c r="W278">
        <v>0</v>
      </c>
      <c r="X278">
        <v>2.2538989323695701E-2</v>
      </c>
      <c r="Y278">
        <v>4.9072163117426598E-2</v>
      </c>
      <c r="Z278">
        <v>5.6962484807965098E-2</v>
      </c>
      <c r="AA278">
        <v>0</v>
      </c>
      <c r="AB278">
        <f t="shared" si="28"/>
        <v>3.3295939710900987E-2</v>
      </c>
      <c r="AC278">
        <f t="shared" si="33"/>
        <v>0.25</v>
      </c>
      <c r="AD278">
        <f t="shared" si="29"/>
        <v>0</v>
      </c>
      <c r="AE278">
        <f t="shared" si="34"/>
        <v>4.1619924638626238E-2</v>
      </c>
      <c r="AF278" t="str">
        <f t="shared" si="30"/>
        <v>Very Low</v>
      </c>
      <c r="AG278" t="str">
        <f t="shared" si="31"/>
        <v>NO ACTION</v>
      </c>
      <c r="AH278" t="str">
        <f t="shared" si="32"/>
        <v/>
      </c>
    </row>
    <row r="279" spans="1:34" x14ac:dyDescent="0.3">
      <c r="A279" t="s">
        <v>306</v>
      </c>
      <c r="B279">
        <v>0.172778827977315</v>
      </c>
      <c r="C279">
        <v>0.38556339404034401</v>
      </c>
      <c r="D279">
        <v>0.33041086616917598</v>
      </c>
      <c r="E279">
        <v>0</v>
      </c>
      <c r="F279">
        <v>0</v>
      </c>
      <c r="G279">
        <v>0.70561021197746698</v>
      </c>
      <c r="H279">
        <v>7</v>
      </c>
      <c r="I279">
        <v>15</v>
      </c>
      <c r="J279">
        <v>9.3316158580220396E-2</v>
      </c>
      <c r="K279">
        <v>2.1207177814029299E-2</v>
      </c>
      <c r="L279">
        <v>5.7902313250941903E-2</v>
      </c>
      <c r="M279">
        <v>4.0404040404040404E-3</v>
      </c>
      <c r="N279">
        <v>2.6098826098826002E-2</v>
      </c>
      <c r="O279">
        <v>956</v>
      </c>
      <c r="P279">
        <v>7.9685746352413003E-2</v>
      </c>
      <c r="Q279">
        <v>7.9841509169325697E-2</v>
      </c>
      <c r="R279">
        <v>0</v>
      </c>
      <c r="S279">
        <v>0</v>
      </c>
      <c r="T279" t="s">
        <v>53</v>
      </c>
      <c r="U279">
        <v>2.94339622641509E-2</v>
      </c>
      <c r="V279">
        <v>0</v>
      </c>
      <c r="W279">
        <v>0</v>
      </c>
      <c r="X279">
        <v>9.9123259850753001E-2</v>
      </c>
      <c r="Y279">
        <v>5.5444036171162801E-2</v>
      </c>
      <c r="Z279">
        <v>5.8250978250978198E-2</v>
      </c>
      <c r="AA279">
        <v>0</v>
      </c>
      <c r="AB279">
        <f t="shared" si="28"/>
        <v>4.7694325614319966E-2</v>
      </c>
      <c r="AC279">
        <f t="shared" si="33"/>
        <v>0.1</v>
      </c>
      <c r="AD279">
        <f t="shared" si="29"/>
        <v>0</v>
      </c>
      <c r="AE279">
        <f t="shared" si="34"/>
        <v>5.2463758175751968E-2</v>
      </c>
      <c r="AF279" t="str">
        <f t="shared" si="30"/>
        <v>Very Low</v>
      </c>
      <c r="AG279" t="str">
        <f t="shared" si="31"/>
        <v>NO ACTION</v>
      </c>
      <c r="AH279" t="str">
        <f t="shared" si="32"/>
        <v/>
      </c>
    </row>
    <row r="280" spans="1:34" x14ac:dyDescent="0.3">
      <c r="A280" t="s">
        <v>307</v>
      </c>
      <c r="B280">
        <v>0.12892249527410199</v>
      </c>
      <c r="C280">
        <v>0.36953165208440503</v>
      </c>
      <c r="D280">
        <v>0</v>
      </c>
      <c r="E280">
        <v>0</v>
      </c>
      <c r="F280">
        <v>0</v>
      </c>
      <c r="G280">
        <v>0.99366842449883097</v>
      </c>
      <c r="H280">
        <v>8</v>
      </c>
      <c r="I280">
        <v>8</v>
      </c>
      <c r="J280">
        <v>0.117360812938314</v>
      </c>
      <c r="K280">
        <v>2.5285481239804199E-2</v>
      </c>
      <c r="L280">
        <v>5.4921821264440798E-2</v>
      </c>
      <c r="M280">
        <v>3.4632034632034602E-3</v>
      </c>
      <c r="N280">
        <v>1.7796510453711199E-2</v>
      </c>
      <c r="O280">
        <v>1308</v>
      </c>
      <c r="P280">
        <v>9.8835578002244601E-2</v>
      </c>
      <c r="Q280">
        <v>9.8986640485290503E-2</v>
      </c>
      <c r="R280">
        <v>0</v>
      </c>
      <c r="S280">
        <v>0</v>
      </c>
      <c r="T280" t="s">
        <v>28</v>
      </c>
      <c r="U280">
        <v>4.0493468795355501E-2</v>
      </c>
      <c r="V280">
        <v>0</v>
      </c>
      <c r="W280">
        <v>0</v>
      </c>
      <c r="X280">
        <v>0</v>
      </c>
      <c r="Y280">
        <v>5.6272026355996499E-2</v>
      </c>
      <c r="Z280">
        <v>6.6419950982831294E-2</v>
      </c>
      <c r="AA280">
        <v>0</v>
      </c>
      <c r="AB280">
        <f t="shared" si="28"/>
        <v>3.4353753654871783E-2</v>
      </c>
      <c r="AC280">
        <f t="shared" si="33"/>
        <v>0.25</v>
      </c>
      <c r="AD280">
        <f t="shared" si="29"/>
        <v>0</v>
      </c>
      <c r="AE280">
        <f t="shared" si="34"/>
        <v>4.2942192068589728E-2</v>
      </c>
      <c r="AF280" t="str">
        <f t="shared" si="30"/>
        <v>Very Low</v>
      </c>
      <c r="AG280" t="str">
        <f t="shared" si="31"/>
        <v>NO ACTION</v>
      </c>
      <c r="AH280" t="str">
        <f t="shared" si="32"/>
        <v/>
      </c>
    </row>
    <row r="281" spans="1:34" x14ac:dyDescent="0.3">
      <c r="A281" t="s">
        <v>308</v>
      </c>
      <c r="B281">
        <v>0.28128544423440399</v>
      </c>
      <c r="C281">
        <v>0.74647369826141197</v>
      </c>
      <c r="D281">
        <v>0.40673125608376998</v>
      </c>
      <c r="E281">
        <v>0</v>
      </c>
      <c r="F281">
        <v>0</v>
      </c>
      <c r="G281">
        <v>0.37766588466878398</v>
      </c>
      <c r="H281">
        <v>7</v>
      </c>
      <c r="I281">
        <v>18</v>
      </c>
      <c r="J281">
        <v>0.115881875864701</v>
      </c>
      <c r="K281">
        <v>2.0391517128874301E-2</v>
      </c>
      <c r="L281">
        <v>4.4855902078367801E-2</v>
      </c>
      <c r="M281">
        <v>2.0202020202020202E-3</v>
      </c>
      <c r="N281">
        <v>1.05135164297037E-2</v>
      </c>
      <c r="O281">
        <v>1217</v>
      </c>
      <c r="P281">
        <v>9.4942480359147E-2</v>
      </c>
      <c r="Q281">
        <v>9.5094498404572306E-2</v>
      </c>
      <c r="R281">
        <v>0</v>
      </c>
      <c r="S281">
        <v>0</v>
      </c>
      <c r="T281" t="s">
        <v>28</v>
      </c>
      <c r="U281">
        <v>5.3066037735849003E-2</v>
      </c>
      <c r="V281">
        <v>0</v>
      </c>
      <c r="W281">
        <v>0</v>
      </c>
      <c r="X281">
        <v>0.122019376825131</v>
      </c>
      <c r="Y281">
        <v>4.8758381141035201E-2</v>
      </c>
      <c r="Z281">
        <v>6.1170894787369701E-2</v>
      </c>
      <c r="AA281">
        <v>0</v>
      </c>
      <c r="AB281">
        <f t="shared" si="28"/>
        <v>5.0303297551974338E-2</v>
      </c>
      <c r="AC281">
        <f t="shared" si="33"/>
        <v>0.25</v>
      </c>
      <c r="AD281">
        <f t="shared" si="29"/>
        <v>0</v>
      </c>
      <c r="AE281">
        <f t="shared" si="34"/>
        <v>6.2879121939967919E-2</v>
      </c>
      <c r="AF281" t="str">
        <f t="shared" si="30"/>
        <v>Very Low</v>
      </c>
      <c r="AG281" t="str">
        <f t="shared" si="31"/>
        <v>NO ACTION</v>
      </c>
      <c r="AH281" t="str">
        <f t="shared" si="32"/>
        <v/>
      </c>
    </row>
    <row r="282" spans="1:34" x14ac:dyDescent="0.3">
      <c r="A282" t="s">
        <v>309</v>
      </c>
      <c r="B282">
        <v>0.12892249527410199</v>
      </c>
      <c r="C282">
        <v>0.36953165208440503</v>
      </c>
      <c r="D282">
        <v>0</v>
      </c>
      <c r="E282">
        <v>0</v>
      </c>
      <c r="F282">
        <v>0</v>
      </c>
      <c r="G282">
        <v>0.99366582851704399</v>
      </c>
      <c r="H282">
        <v>8</v>
      </c>
      <c r="I282">
        <v>8</v>
      </c>
      <c r="J282">
        <v>9.2648251514717797E-2</v>
      </c>
      <c r="K282">
        <v>1.9575856443719401E-2</v>
      </c>
      <c r="L282">
        <v>5.38326117269632E-2</v>
      </c>
      <c r="M282">
        <v>3.1746031746031698E-3</v>
      </c>
      <c r="N282">
        <v>2.0653671501129098E-2</v>
      </c>
      <c r="O282">
        <v>1035</v>
      </c>
      <c r="P282">
        <v>7.8072390572390502E-2</v>
      </c>
      <c r="Q282">
        <v>7.8228549388127205E-2</v>
      </c>
      <c r="R282">
        <v>0</v>
      </c>
      <c r="S282">
        <v>0</v>
      </c>
      <c r="T282" t="s">
        <v>53</v>
      </c>
      <c r="U282">
        <v>3.3962264150943298E-2</v>
      </c>
      <c r="V282">
        <v>0</v>
      </c>
      <c r="W282">
        <v>0</v>
      </c>
      <c r="X282">
        <v>0</v>
      </c>
      <c r="Y282">
        <v>5.1642057616763902E-2</v>
      </c>
      <c r="Z282">
        <v>5.5104902943885897E-2</v>
      </c>
      <c r="AA282">
        <v>0</v>
      </c>
      <c r="AB282">
        <f t="shared" si="28"/>
        <v>2.9889148956981949E-2</v>
      </c>
      <c r="AC282">
        <f t="shared" si="33"/>
        <v>0.1</v>
      </c>
      <c r="AD282">
        <f t="shared" si="29"/>
        <v>0</v>
      </c>
      <c r="AE282">
        <f t="shared" si="34"/>
        <v>3.2878063852680148E-2</v>
      </c>
      <c r="AF282" t="str">
        <f t="shared" si="30"/>
        <v>Very Low</v>
      </c>
      <c r="AG282" t="str">
        <f t="shared" si="31"/>
        <v>NO ACTION</v>
      </c>
      <c r="AH282" t="str">
        <f t="shared" si="32"/>
        <v/>
      </c>
    </row>
    <row r="283" spans="1:34" x14ac:dyDescent="0.3">
      <c r="A283" t="s">
        <v>310</v>
      </c>
      <c r="B283">
        <v>0.12892249527410199</v>
      </c>
      <c r="C283">
        <v>0.36953165208440503</v>
      </c>
      <c r="D283">
        <v>0</v>
      </c>
      <c r="E283">
        <v>0</v>
      </c>
      <c r="F283">
        <v>0</v>
      </c>
      <c r="G283">
        <v>0.99366457067019898</v>
      </c>
      <c r="H283">
        <v>8</v>
      </c>
      <c r="I283">
        <v>8</v>
      </c>
      <c r="J283">
        <v>0.113735031725585</v>
      </c>
      <c r="K283">
        <v>1.6313213703099499E-2</v>
      </c>
      <c r="L283">
        <v>3.6560658236499698E-2</v>
      </c>
      <c r="M283">
        <v>2.59740259740259E-3</v>
      </c>
      <c r="N283">
        <v>1.37719961077014E-2</v>
      </c>
      <c r="O283">
        <v>1270</v>
      </c>
      <c r="P283">
        <v>9.1891133557800195E-2</v>
      </c>
      <c r="Q283">
        <v>9.2043900557522998E-2</v>
      </c>
      <c r="R283">
        <v>0</v>
      </c>
      <c r="S283">
        <v>0</v>
      </c>
      <c r="T283" t="s">
        <v>28</v>
      </c>
      <c r="U283">
        <v>3.3962264150943298E-2</v>
      </c>
      <c r="V283">
        <v>0</v>
      </c>
      <c r="W283">
        <v>0</v>
      </c>
      <c r="X283">
        <v>0</v>
      </c>
      <c r="Y283">
        <v>4.5158934295677397E-2</v>
      </c>
      <c r="Z283">
        <v>6.0643478577760701E-2</v>
      </c>
      <c r="AA283">
        <v>0</v>
      </c>
      <c r="AB283">
        <f t="shared" si="28"/>
        <v>2.9624675604562674E-2</v>
      </c>
      <c r="AC283">
        <f t="shared" si="33"/>
        <v>0.25</v>
      </c>
      <c r="AD283">
        <f t="shared" si="29"/>
        <v>0</v>
      </c>
      <c r="AE283">
        <f t="shared" si="34"/>
        <v>3.7030844505703341E-2</v>
      </c>
      <c r="AF283" t="str">
        <f t="shared" si="30"/>
        <v>Very Low</v>
      </c>
      <c r="AG283" t="str">
        <f t="shared" si="31"/>
        <v>NO ACTION</v>
      </c>
      <c r="AH283" t="str">
        <f t="shared" si="32"/>
        <v/>
      </c>
    </row>
    <row r="284" spans="1:34" x14ac:dyDescent="0.3">
      <c r="A284" t="s">
        <v>311</v>
      </c>
      <c r="B284">
        <v>0.26994328922495198</v>
      </c>
      <c r="C284">
        <v>0.79284611425630402</v>
      </c>
      <c r="D284">
        <v>0.369166864183262</v>
      </c>
      <c r="E284">
        <v>0</v>
      </c>
      <c r="F284">
        <v>0</v>
      </c>
      <c r="G284">
        <v>0.39942758427609798</v>
      </c>
      <c r="H284">
        <v>8</v>
      </c>
      <c r="I284">
        <v>17</v>
      </c>
      <c r="J284">
        <v>0.11006154286532099</v>
      </c>
      <c r="K284">
        <v>1.5497553017944501E-2</v>
      </c>
      <c r="L284">
        <v>3.58893779847093E-2</v>
      </c>
      <c r="M284">
        <v>1.7316017316017301E-3</v>
      </c>
      <c r="N284">
        <v>9.4871103521622507E-3</v>
      </c>
      <c r="O284">
        <v>1211</v>
      </c>
      <c r="P284">
        <v>8.8418911335577999E-2</v>
      </c>
      <c r="Q284">
        <v>8.8572530593639301E-2</v>
      </c>
      <c r="R284">
        <v>0</v>
      </c>
      <c r="S284">
        <v>0</v>
      </c>
      <c r="T284" t="s">
        <v>28</v>
      </c>
      <c r="U284">
        <v>4.6091644204851699E-2</v>
      </c>
      <c r="V284">
        <v>0</v>
      </c>
      <c r="W284">
        <v>0</v>
      </c>
      <c r="X284">
        <v>0.11075005925497799</v>
      </c>
      <c r="Y284">
        <v>4.2803130671067599E-2</v>
      </c>
      <c r="Z284">
        <v>5.6846190942211702E-2</v>
      </c>
      <c r="AA284">
        <v>0</v>
      </c>
      <c r="AB284">
        <f t="shared" si="28"/>
        <v>4.5621819532514693E-2</v>
      </c>
      <c r="AC284">
        <f t="shared" si="33"/>
        <v>0.25</v>
      </c>
      <c r="AD284">
        <f t="shared" si="29"/>
        <v>0</v>
      </c>
      <c r="AE284">
        <f t="shared" si="34"/>
        <v>5.702727441564337E-2</v>
      </c>
      <c r="AF284" t="str">
        <f t="shared" si="30"/>
        <v>Very Low</v>
      </c>
      <c r="AG284" t="str">
        <f t="shared" si="31"/>
        <v>NO ACTION</v>
      </c>
      <c r="AH284" t="str">
        <f t="shared" si="32"/>
        <v/>
      </c>
    </row>
    <row r="285" spans="1:34" x14ac:dyDescent="0.3">
      <c r="A285" t="s">
        <v>312</v>
      </c>
      <c r="B285">
        <v>0.12892249527410199</v>
      </c>
      <c r="C285">
        <v>0.55429747812660801</v>
      </c>
      <c r="D285">
        <v>0</v>
      </c>
      <c r="E285">
        <v>0</v>
      </c>
      <c r="F285">
        <v>0</v>
      </c>
      <c r="G285">
        <v>0.99364875391519103</v>
      </c>
      <c r="H285">
        <v>9</v>
      </c>
      <c r="I285">
        <v>9</v>
      </c>
      <c r="J285">
        <v>9.3984065645722994E-2</v>
      </c>
      <c r="K285">
        <v>1.30505709624796E-2</v>
      </c>
      <c r="L285">
        <v>3.53796101375181E-2</v>
      </c>
      <c r="M285">
        <v>2.0202020202020202E-3</v>
      </c>
      <c r="N285">
        <v>1.29569108809615E-2</v>
      </c>
      <c r="O285">
        <v>1076</v>
      </c>
      <c r="P285">
        <v>7.5687429854096502E-2</v>
      </c>
      <c r="Q285">
        <v>7.5844174059399E-2</v>
      </c>
      <c r="R285">
        <v>0</v>
      </c>
      <c r="S285">
        <v>0</v>
      </c>
      <c r="T285" t="s">
        <v>53</v>
      </c>
      <c r="U285">
        <v>3.3962264150943298E-2</v>
      </c>
      <c r="V285">
        <v>0</v>
      </c>
      <c r="W285">
        <v>0</v>
      </c>
      <c r="X285">
        <v>0</v>
      </c>
      <c r="Y285">
        <v>4.03736914621921E-2</v>
      </c>
      <c r="Z285">
        <v>5.0595222264842497E-2</v>
      </c>
      <c r="AA285">
        <v>0</v>
      </c>
      <c r="AB285">
        <f t="shared" si="28"/>
        <v>2.5471295843569691E-2</v>
      </c>
      <c r="AC285">
        <f t="shared" si="33"/>
        <v>0.1</v>
      </c>
      <c r="AD285">
        <f t="shared" si="29"/>
        <v>0</v>
      </c>
      <c r="AE285">
        <f t="shared" si="34"/>
        <v>2.8018425427926662E-2</v>
      </c>
      <c r="AF285" t="str">
        <f t="shared" si="30"/>
        <v>Very Low</v>
      </c>
      <c r="AG285" t="str">
        <f t="shared" si="31"/>
        <v>NO ACTION</v>
      </c>
      <c r="AH285" t="str">
        <f t="shared" si="32"/>
        <v/>
      </c>
    </row>
    <row r="286" spans="1:34" x14ac:dyDescent="0.3">
      <c r="A286" t="s">
        <v>313</v>
      </c>
      <c r="B286">
        <v>0.12892249527410199</v>
      </c>
      <c r="C286">
        <v>0.36953165208440503</v>
      </c>
      <c r="D286">
        <v>0</v>
      </c>
      <c r="E286">
        <v>0</v>
      </c>
      <c r="F286">
        <v>0</v>
      </c>
      <c r="G286">
        <v>0.99367027112505002</v>
      </c>
      <c r="H286">
        <v>8</v>
      </c>
      <c r="I286">
        <v>8</v>
      </c>
      <c r="J286">
        <v>0.105147655169123</v>
      </c>
      <c r="K286">
        <v>2.2838499184339299E-2</v>
      </c>
      <c r="L286">
        <v>5.5355716404616097E-2</v>
      </c>
      <c r="M286">
        <v>4.0404040404040404E-3</v>
      </c>
      <c r="N286">
        <v>2.3168763232140299E-2</v>
      </c>
      <c r="O286">
        <v>1181</v>
      </c>
      <c r="P286">
        <v>8.9085297418630693E-2</v>
      </c>
      <c r="Q286">
        <v>8.9238753111960403E-2</v>
      </c>
      <c r="R286">
        <v>0</v>
      </c>
      <c r="S286">
        <v>0</v>
      </c>
      <c r="T286" t="s">
        <v>28</v>
      </c>
      <c r="U286">
        <v>3.1698113207547098E-2</v>
      </c>
      <c r="V286">
        <v>0</v>
      </c>
      <c r="W286">
        <v>0</v>
      </c>
      <c r="X286">
        <v>0</v>
      </c>
      <c r="Y286">
        <v>5.5658018205774797E-2</v>
      </c>
      <c r="Z286">
        <v>6.2718683744034498E-2</v>
      </c>
      <c r="AA286">
        <v>0</v>
      </c>
      <c r="AB286">
        <f t="shared" si="28"/>
        <v>3.3145476545946607E-2</v>
      </c>
      <c r="AC286">
        <f t="shared" si="33"/>
        <v>0.25</v>
      </c>
      <c r="AD286">
        <f t="shared" si="29"/>
        <v>0</v>
      </c>
      <c r="AE286">
        <f t="shared" si="34"/>
        <v>4.1431845682433258E-2</v>
      </c>
      <c r="AF286" t="str">
        <f t="shared" si="30"/>
        <v>Very Low</v>
      </c>
      <c r="AG286" t="str">
        <f t="shared" si="31"/>
        <v>NO ACTION</v>
      </c>
      <c r="AH286" t="str">
        <f t="shared" si="32"/>
        <v/>
      </c>
    </row>
    <row r="287" spans="1:34" x14ac:dyDescent="0.3">
      <c r="A287" t="s">
        <v>314</v>
      </c>
      <c r="B287">
        <v>0.12892249527410199</v>
      </c>
      <c r="C287">
        <v>0.27313209067108202</v>
      </c>
      <c r="D287">
        <v>7.5061757440099602E-2</v>
      </c>
      <c r="E287">
        <v>0</v>
      </c>
      <c r="F287">
        <v>0</v>
      </c>
      <c r="G287">
        <v>0.99365753208040697</v>
      </c>
      <c r="H287">
        <v>7</v>
      </c>
      <c r="I287">
        <v>8</v>
      </c>
      <c r="J287">
        <v>0.104909116931444</v>
      </c>
      <c r="K287">
        <v>2.1207177814029299E-2</v>
      </c>
      <c r="L287">
        <v>5.1518346771822598E-2</v>
      </c>
      <c r="M287">
        <v>5.7720057720057703E-3</v>
      </c>
      <c r="N287">
        <v>3.3173319924680998E-2</v>
      </c>
      <c r="O287">
        <v>1181</v>
      </c>
      <c r="P287">
        <v>8.9050224466891106E-2</v>
      </c>
      <c r="Q287">
        <v>8.9203688768890899E-2</v>
      </c>
      <c r="R287">
        <v>0</v>
      </c>
      <c r="S287">
        <v>0</v>
      </c>
      <c r="T287" t="s">
        <v>28</v>
      </c>
      <c r="U287">
        <v>2.10242587601078E-2</v>
      </c>
      <c r="V287">
        <v>0</v>
      </c>
      <c r="W287">
        <v>0</v>
      </c>
      <c r="X287">
        <v>2.2518527232029802E-2</v>
      </c>
      <c r="Y287">
        <v>5.6692992749604397E-2</v>
      </c>
      <c r="Z287">
        <v>6.6699462650007105E-2</v>
      </c>
      <c r="AA287">
        <v>0</v>
      </c>
      <c r="AB287">
        <f t="shared" si="28"/>
        <v>3.8152851869015986E-2</v>
      </c>
      <c r="AC287">
        <f t="shared" si="33"/>
        <v>0.25</v>
      </c>
      <c r="AD287">
        <f t="shared" si="29"/>
        <v>0</v>
      </c>
      <c r="AE287">
        <f t="shared" si="34"/>
        <v>4.7691064836269982E-2</v>
      </c>
      <c r="AF287" t="str">
        <f t="shared" si="30"/>
        <v>Very Low</v>
      </c>
      <c r="AG287" t="str">
        <f t="shared" si="31"/>
        <v>NO ACTION</v>
      </c>
      <c r="AH287" t="str">
        <f t="shared" si="32"/>
        <v/>
      </c>
    </row>
    <row r="288" spans="1:34" x14ac:dyDescent="0.3">
      <c r="A288" t="s">
        <v>315</v>
      </c>
      <c r="B288">
        <v>0.12892249527410199</v>
      </c>
      <c r="C288">
        <v>8.9972923985768199E-2</v>
      </c>
      <c r="D288">
        <v>7.5107235637207503E-2</v>
      </c>
      <c r="E288">
        <v>0</v>
      </c>
      <c r="F288">
        <v>0.51304347826086905</v>
      </c>
      <c r="G288">
        <v>0.99366566794085098</v>
      </c>
      <c r="H288">
        <v>6</v>
      </c>
      <c r="I288">
        <v>7</v>
      </c>
      <c r="J288">
        <v>0.115261676446734</v>
      </c>
      <c r="K288">
        <v>1.8760195758564399E-2</v>
      </c>
      <c r="L288">
        <v>4.1489022885604E-2</v>
      </c>
      <c r="M288">
        <v>3.7518037518037501E-3</v>
      </c>
      <c r="N288">
        <v>1.9629945528334601E-2</v>
      </c>
      <c r="O288">
        <v>1256</v>
      </c>
      <c r="P288">
        <v>9.4626823793490397E-2</v>
      </c>
      <c r="Q288">
        <v>9.4778919316946597E-2</v>
      </c>
      <c r="R288">
        <v>0</v>
      </c>
      <c r="S288">
        <v>0</v>
      </c>
      <c r="T288" t="s">
        <v>28</v>
      </c>
      <c r="U288">
        <v>2.7897574123989199E-2</v>
      </c>
      <c r="V288">
        <v>0</v>
      </c>
      <c r="W288">
        <v>0</v>
      </c>
      <c r="X288">
        <v>0.22774956199551</v>
      </c>
      <c r="Y288">
        <v>4.9685830390649298E-2</v>
      </c>
      <c r="Z288">
        <v>6.4628072487428107E-2</v>
      </c>
      <c r="AA288">
        <v>0</v>
      </c>
      <c r="AB288">
        <f t="shared" si="28"/>
        <v>6.844782272514327E-2</v>
      </c>
      <c r="AC288">
        <f t="shared" si="33"/>
        <v>0.25</v>
      </c>
      <c r="AD288">
        <f t="shared" si="29"/>
        <v>0.08</v>
      </c>
      <c r="AE288">
        <f t="shared" si="34"/>
        <v>9.1035604224440556E-2</v>
      </c>
      <c r="AF288" t="str">
        <f t="shared" si="30"/>
        <v>Very Low</v>
      </c>
      <c r="AG288" t="str">
        <f t="shared" si="31"/>
        <v>NO ACTION</v>
      </c>
      <c r="AH288" t="str">
        <f t="shared" si="32"/>
        <v/>
      </c>
    </row>
    <row r="289" spans="1:34" x14ac:dyDescent="0.3">
      <c r="A289" t="s">
        <v>316</v>
      </c>
      <c r="B289">
        <v>0.2351606805293</v>
      </c>
      <c r="C289">
        <v>0.58115640811037805</v>
      </c>
      <c r="D289">
        <v>0.36556351791145397</v>
      </c>
      <c r="E289">
        <v>0</v>
      </c>
      <c r="F289">
        <v>0</v>
      </c>
      <c r="G289">
        <v>0.48033249139373602</v>
      </c>
      <c r="H289">
        <v>7</v>
      </c>
      <c r="I289">
        <v>13</v>
      </c>
      <c r="J289">
        <v>8.5587519679404603E-2</v>
      </c>
      <c r="K289">
        <v>9.7879282218597003E-3</v>
      </c>
      <c r="L289">
        <v>2.9130654539298799E-2</v>
      </c>
      <c r="M289">
        <v>3.1746031746031698E-3</v>
      </c>
      <c r="N289">
        <v>2.2352806232739501E-2</v>
      </c>
      <c r="O289">
        <v>970</v>
      </c>
      <c r="P289">
        <v>6.8672839506172798E-2</v>
      </c>
      <c r="Q289">
        <v>6.8831305445492402E-2</v>
      </c>
      <c r="R289">
        <v>0</v>
      </c>
      <c r="S289">
        <v>0</v>
      </c>
      <c r="T289" t="s">
        <v>53</v>
      </c>
      <c r="U289">
        <v>1.6981132075471601E-2</v>
      </c>
      <c r="V289">
        <v>0</v>
      </c>
      <c r="W289">
        <v>0</v>
      </c>
      <c r="X289">
        <v>0.10966905537343601</v>
      </c>
      <c r="Y289">
        <v>3.8388673075352202E-2</v>
      </c>
      <c r="Z289">
        <v>5.0144826196799497E-2</v>
      </c>
      <c r="AA289">
        <v>0</v>
      </c>
      <c r="AB289">
        <f t="shared" si="28"/>
        <v>4.2336428655952239E-2</v>
      </c>
      <c r="AC289">
        <f t="shared" si="33"/>
        <v>0.1</v>
      </c>
      <c r="AD289">
        <f t="shared" si="29"/>
        <v>0</v>
      </c>
      <c r="AE289">
        <f t="shared" si="34"/>
        <v>4.6570071521547469E-2</v>
      </c>
      <c r="AF289" t="str">
        <f t="shared" si="30"/>
        <v>Very Low</v>
      </c>
      <c r="AG289" t="str">
        <f t="shared" si="31"/>
        <v>NO ACTION</v>
      </c>
      <c r="AH289" t="str">
        <f t="shared" si="32"/>
        <v/>
      </c>
    </row>
    <row r="290" spans="1:34" x14ac:dyDescent="0.3">
      <c r="A290" t="s">
        <v>317</v>
      </c>
      <c r="B290">
        <v>0.27674858223062299</v>
      </c>
      <c r="C290">
        <v>0.83119517666539799</v>
      </c>
      <c r="D290">
        <v>0.39346233367524802</v>
      </c>
      <c r="E290">
        <v>0</v>
      </c>
      <c r="F290">
        <v>0</v>
      </c>
      <c r="G290">
        <v>0.386194983228629</v>
      </c>
      <c r="H290">
        <v>8</v>
      </c>
      <c r="I290">
        <v>17</v>
      </c>
      <c r="J290">
        <v>0.10366871809551</v>
      </c>
      <c r="K290">
        <v>2.2838499184339299E-2</v>
      </c>
      <c r="L290">
        <v>5.6143607684938902E-2</v>
      </c>
      <c r="M290">
        <v>3.7518037518037501E-3</v>
      </c>
      <c r="N290">
        <v>2.1820063417859501E-2</v>
      </c>
      <c r="O290">
        <v>1148</v>
      </c>
      <c r="P290">
        <v>8.7857744107744107E-2</v>
      </c>
      <c r="Q290">
        <v>8.8011501104526796E-2</v>
      </c>
      <c r="R290">
        <v>0</v>
      </c>
      <c r="S290">
        <v>0</v>
      </c>
      <c r="T290" t="s">
        <v>28</v>
      </c>
      <c r="U290">
        <v>3.3962264150943298E-2</v>
      </c>
      <c r="V290">
        <v>0</v>
      </c>
      <c r="W290">
        <v>0</v>
      </c>
      <c r="X290">
        <v>0.118038700102574</v>
      </c>
      <c r="Y290">
        <v>5.5351566486929397E-2</v>
      </c>
      <c r="Z290">
        <v>6.1442671831790197E-2</v>
      </c>
      <c r="AA290">
        <v>0</v>
      </c>
      <c r="AB290">
        <f t="shared" si="28"/>
        <v>5.1588578745653327E-2</v>
      </c>
      <c r="AC290">
        <f t="shared" si="33"/>
        <v>0.25</v>
      </c>
      <c r="AD290">
        <f t="shared" si="29"/>
        <v>0</v>
      </c>
      <c r="AE290">
        <f t="shared" si="34"/>
        <v>6.4485723432066655E-2</v>
      </c>
      <c r="AF290" t="str">
        <f t="shared" si="30"/>
        <v>Very Low</v>
      </c>
      <c r="AG290" t="str">
        <f t="shared" si="31"/>
        <v>NO ACTION</v>
      </c>
      <c r="AH290" t="str">
        <f t="shared" si="32"/>
        <v/>
      </c>
    </row>
    <row r="291" spans="1:34" x14ac:dyDescent="0.3">
      <c r="A291" t="s">
        <v>318</v>
      </c>
      <c r="B291">
        <v>0.2351606805293</v>
      </c>
      <c r="C291">
        <v>0.68416483189429</v>
      </c>
      <c r="D291">
        <v>0.37753544924997801</v>
      </c>
      <c r="E291">
        <v>0</v>
      </c>
      <c r="F291">
        <v>0</v>
      </c>
      <c r="G291">
        <v>0.48029020101986503</v>
      </c>
      <c r="H291">
        <v>7</v>
      </c>
      <c r="I291">
        <v>16</v>
      </c>
      <c r="J291">
        <v>0.10247602690711299</v>
      </c>
      <c r="K291">
        <v>8.1566068515497494E-3</v>
      </c>
      <c r="L291">
        <v>2.0284118097305501E-2</v>
      </c>
      <c r="M291">
        <v>1.1544011544011501E-3</v>
      </c>
      <c r="N291">
        <v>6.7918250918715299E-3</v>
      </c>
      <c r="O291">
        <v>416</v>
      </c>
      <c r="P291">
        <v>7.9405162738496002E-2</v>
      </c>
      <c r="Q291">
        <v>7.9560994424769396E-2</v>
      </c>
      <c r="R291">
        <v>0</v>
      </c>
      <c r="S291">
        <v>0</v>
      </c>
      <c r="T291" t="s">
        <v>28</v>
      </c>
      <c r="U291">
        <v>3.3962264150943298E-2</v>
      </c>
      <c r="V291">
        <v>0</v>
      </c>
      <c r="W291">
        <v>0</v>
      </c>
      <c r="X291">
        <v>0.113260634774993</v>
      </c>
      <c r="Y291">
        <v>3.2674811957636898E-2</v>
      </c>
      <c r="Z291">
        <v>5.0359827679846203E-2</v>
      </c>
      <c r="AA291">
        <v>0</v>
      </c>
      <c r="AB291">
        <f t="shared" si="28"/>
        <v>4.1371400662494145E-2</v>
      </c>
      <c r="AC291">
        <f t="shared" si="33"/>
        <v>0.25</v>
      </c>
      <c r="AD291">
        <f t="shared" si="29"/>
        <v>0</v>
      </c>
      <c r="AE291">
        <f t="shared" si="34"/>
        <v>5.1714250828117682E-2</v>
      </c>
      <c r="AF291" t="str">
        <f t="shared" si="30"/>
        <v>Very Low</v>
      </c>
      <c r="AG291" t="str">
        <f t="shared" si="31"/>
        <v>NO ACTION</v>
      </c>
      <c r="AH291" t="str">
        <f t="shared" si="32"/>
        <v/>
      </c>
    </row>
    <row r="292" spans="1:34" x14ac:dyDescent="0.3">
      <c r="A292" t="s">
        <v>319</v>
      </c>
      <c r="B292">
        <v>0.12892249527410199</v>
      </c>
      <c r="C292">
        <v>0.36953165208440503</v>
      </c>
      <c r="D292">
        <v>0</v>
      </c>
      <c r="E292">
        <v>0</v>
      </c>
      <c r="F292">
        <v>0</v>
      </c>
      <c r="G292">
        <v>0.99366981615917005</v>
      </c>
      <c r="H292">
        <v>8</v>
      </c>
      <c r="I292">
        <v>8</v>
      </c>
      <c r="J292">
        <v>8.98812079576356E-2</v>
      </c>
      <c r="K292">
        <v>1.30505709624796E-2</v>
      </c>
      <c r="L292">
        <v>3.6990328227421002E-2</v>
      </c>
      <c r="M292">
        <v>2.0202020202020202E-3</v>
      </c>
      <c r="N292">
        <v>1.3546796712492801E-2</v>
      </c>
      <c r="O292">
        <v>976</v>
      </c>
      <c r="P292">
        <v>7.2671156004489298E-2</v>
      </c>
      <c r="Q292">
        <v>7.2828640555419197E-2</v>
      </c>
      <c r="R292">
        <v>0</v>
      </c>
      <c r="S292">
        <v>0</v>
      </c>
      <c r="T292" t="s">
        <v>53</v>
      </c>
      <c r="U292">
        <v>3.3962264150943298E-2</v>
      </c>
      <c r="V292">
        <v>0</v>
      </c>
      <c r="W292">
        <v>0</v>
      </c>
      <c r="X292">
        <v>0</v>
      </c>
      <c r="Y292">
        <v>4.0535444718985403E-2</v>
      </c>
      <c r="Z292">
        <v>4.9021412287690698E-2</v>
      </c>
      <c r="AA292">
        <v>0</v>
      </c>
      <c r="AB292">
        <f t="shared" si="28"/>
        <v>2.5075919961869308E-2</v>
      </c>
      <c r="AC292">
        <f t="shared" si="33"/>
        <v>0.1</v>
      </c>
      <c r="AD292">
        <f t="shared" si="29"/>
        <v>0</v>
      </c>
      <c r="AE292">
        <f t="shared" si="34"/>
        <v>2.758351195805624E-2</v>
      </c>
      <c r="AF292" t="str">
        <f t="shared" si="30"/>
        <v>Very Low</v>
      </c>
      <c r="AG292" t="str">
        <f t="shared" si="31"/>
        <v>NO ACTION</v>
      </c>
      <c r="AH292" t="str">
        <f t="shared" si="32"/>
        <v/>
      </c>
    </row>
    <row r="293" spans="1:34" x14ac:dyDescent="0.3">
      <c r="A293" t="s">
        <v>320</v>
      </c>
      <c r="B293">
        <v>0.26427221172022602</v>
      </c>
      <c r="C293">
        <v>0.51329681118125403</v>
      </c>
      <c r="D293">
        <v>0.38071525000442802</v>
      </c>
      <c r="E293">
        <v>0</v>
      </c>
      <c r="F293">
        <v>0.27880512091038401</v>
      </c>
      <c r="G293">
        <v>0.411419988083428</v>
      </c>
      <c r="H293">
        <v>6</v>
      </c>
      <c r="I293">
        <v>14</v>
      </c>
      <c r="J293">
        <v>9.1264729736176706E-2</v>
      </c>
      <c r="K293">
        <v>2.2022838499184301E-2</v>
      </c>
      <c r="L293">
        <v>6.1477375866239303E-2</v>
      </c>
      <c r="M293">
        <v>6.9264069264069203E-3</v>
      </c>
      <c r="N293">
        <v>4.5743898090092001E-2</v>
      </c>
      <c r="O293">
        <v>924</v>
      </c>
      <c r="P293">
        <v>7.9931257014590307E-2</v>
      </c>
      <c r="Q293">
        <v>8.0086959570812397E-2</v>
      </c>
      <c r="R293">
        <v>0</v>
      </c>
      <c r="S293">
        <v>0</v>
      </c>
      <c r="T293" t="s">
        <v>53</v>
      </c>
      <c r="U293">
        <v>1.8339622641509401E-2</v>
      </c>
      <c r="V293">
        <v>0</v>
      </c>
      <c r="W293">
        <v>0</v>
      </c>
      <c r="X293">
        <v>0.225736623365482</v>
      </c>
      <c r="Y293">
        <v>6.2714803307382605E-2</v>
      </c>
      <c r="Z293">
        <v>6.6256313444791007E-2</v>
      </c>
      <c r="AA293">
        <v>0</v>
      </c>
      <c r="AB293">
        <f t="shared" si="28"/>
        <v>7.2229772429085737E-2</v>
      </c>
      <c r="AC293">
        <f t="shared" si="33"/>
        <v>0.1</v>
      </c>
      <c r="AD293">
        <f t="shared" si="29"/>
        <v>0</v>
      </c>
      <c r="AE293">
        <f t="shared" si="34"/>
        <v>7.945274967199431E-2</v>
      </c>
      <c r="AF293" t="str">
        <f t="shared" si="30"/>
        <v>Very Low</v>
      </c>
      <c r="AG293" t="str">
        <f t="shared" si="31"/>
        <v>NO ACTION</v>
      </c>
      <c r="AH293" t="str">
        <f t="shared" si="32"/>
        <v/>
      </c>
    </row>
    <row r="294" spans="1:34" x14ac:dyDescent="0.3">
      <c r="A294" t="s">
        <v>321</v>
      </c>
      <c r="B294">
        <v>0.133081285444234</v>
      </c>
      <c r="C294">
        <v>0.30517501604723302</v>
      </c>
      <c r="D294">
        <v>0.15662582622083901</v>
      </c>
      <c r="E294">
        <v>0</v>
      </c>
      <c r="F294">
        <v>0</v>
      </c>
      <c r="G294">
        <v>0.95827594039387798</v>
      </c>
      <c r="H294">
        <v>7</v>
      </c>
      <c r="I294">
        <v>16</v>
      </c>
      <c r="J294">
        <v>0.10867802108678</v>
      </c>
      <c r="K294">
        <v>1.5497553017944501E-2</v>
      </c>
      <c r="L294">
        <v>3.63452658347121E-2</v>
      </c>
      <c r="M294">
        <v>5.7720057720057698E-4</v>
      </c>
      <c r="N294">
        <v>3.2025403904510298E-3</v>
      </c>
      <c r="O294">
        <v>1193</v>
      </c>
      <c r="P294">
        <v>8.6840628507295098E-2</v>
      </c>
      <c r="Q294">
        <v>8.69946351555103E-2</v>
      </c>
      <c r="R294">
        <v>0</v>
      </c>
      <c r="S294">
        <v>0</v>
      </c>
      <c r="T294" t="s">
        <v>28</v>
      </c>
      <c r="U294">
        <v>0.10754716981132</v>
      </c>
      <c r="V294">
        <v>0</v>
      </c>
      <c r="W294">
        <v>0</v>
      </c>
      <c r="X294">
        <v>4.69877478662519E-2</v>
      </c>
      <c r="Y294">
        <v>4.08689992518474E-2</v>
      </c>
      <c r="Z294">
        <v>5.3385393260557502E-2</v>
      </c>
      <c r="AA294">
        <v>0</v>
      </c>
      <c r="AB294">
        <f t="shared" si="28"/>
        <v>3.3909269562073678E-2</v>
      </c>
      <c r="AC294">
        <f t="shared" si="33"/>
        <v>0.25</v>
      </c>
      <c r="AD294">
        <f t="shared" si="29"/>
        <v>0</v>
      </c>
      <c r="AE294">
        <f t="shared" si="34"/>
        <v>4.2386586952592099E-2</v>
      </c>
      <c r="AF294" t="str">
        <f t="shared" si="30"/>
        <v>Very Low</v>
      </c>
      <c r="AG294" t="str">
        <f t="shared" si="31"/>
        <v>NO ACTION</v>
      </c>
      <c r="AH294" t="str">
        <f t="shared" si="32"/>
        <v/>
      </c>
    </row>
    <row r="295" spans="1:34" x14ac:dyDescent="0.3">
      <c r="A295" t="s">
        <v>322</v>
      </c>
      <c r="B295">
        <v>0.13610586011342099</v>
      </c>
      <c r="C295">
        <v>0.32080220345789001</v>
      </c>
      <c r="D295">
        <v>0.34207807114169198</v>
      </c>
      <c r="E295">
        <v>0.37545787545787501</v>
      </c>
      <c r="F295">
        <v>3.8461538461538401E-2</v>
      </c>
      <c r="G295">
        <v>0.93388226724093104</v>
      </c>
      <c r="H295">
        <v>0</v>
      </c>
      <c r="I295">
        <v>23</v>
      </c>
      <c r="J295">
        <v>0.118601211774247</v>
      </c>
      <c r="K295">
        <v>2.8548123980424101E-2</v>
      </c>
      <c r="L295">
        <v>6.1361289410777203E-2</v>
      </c>
      <c r="M295">
        <v>5.1948051948051896E-3</v>
      </c>
      <c r="N295">
        <v>2.64161370544349E-2</v>
      </c>
      <c r="O295">
        <v>1307</v>
      </c>
      <c r="P295">
        <v>0.10199214365881</v>
      </c>
      <c r="Q295">
        <v>0.10214243136154801</v>
      </c>
      <c r="R295">
        <v>2.6548672566371601E-2</v>
      </c>
      <c r="S295">
        <v>1</v>
      </c>
      <c r="T295" t="s">
        <v>28</v>
      </c>
      <c r="U295">
        <v>3.1281032770605698E-2</v>
      </c>
      <c r="V295">
        <v>0</v>
      </c>
      <c r="W295">
        <v>7.70167974897841E-2</v>
      </c>
      <c r="X295">
        <v>0.230645399364485</v>
      </c>
      <c r="Y295">
        <v>6.2325728176568597E-2</v>
      </c>
      <c r="Z295">
        <v>7.1761741017060093E-2</v>
      </c>
      <c r="AA295">
        <v>2.6548672566371601E-2</v>
      </c>
      <c r="AB295">
        <f t="shared" si="28"/>
        <v>8.1881383591117685E-2</v>
      </c>
      <c r="AC295">
        <f t="shared" si="33"/>
        <v>0.25</v>
      </c>
      <c r="AD295">
        <f t="shared" si="29"/>
        <v>0</v>
      </c>
      <c r="AE295">
        <f t="shared" si="34"/>
        <v>0.10235172948889711</v>
      </c>
      <c r="AF295" t="str">
        <f t="shared" si="30"/>
        <v>Very Low</v>
      </c>
      <c r="AG295" t="str">
        <f t="shared" si="31"/>
        <v>NO ACTION</v>
      </c>
      <c r="AH295" t="str">
        <f t="shared" si="32"/>
        <v/>
      </c>
    </row>
    <row r="296" spans="1:34" x14ac:dyDescent="0.3">
      <c r="A296" t="s">
        <v>323</v>
      </c>
      <c r="B296">
        <v>0.94102079395085003</v>
      </c>
      <c r="C296">
        <v>0.955772199213897</v>
      </c>
      <c r="D296">
        <v>0.98026932367581099</v>
      </c>
      <c r="E296">
        <v>1.8273387707804001E-2</v>
      </c>
      <c r="F296">
        <v>0.39510629763337302</v>
      </c>
      <c r="G296">
        <v>9.3389334190469298E-3</v>
      </c>
      <c r="H296">
        <v>0</v>
      </c>
      <c r="I296">
        <v>23</v>
      </c>
      <c r="J296">
        <v>6.1733695911454597E-2</v>
      </c>
      <c r="K296">
        <v>8.1566068515497494E-3</v>
      </c>
      <c r="L296">
        <v>3.3619481342185398E-2</v>
      </c>
      <c r="M296">
        <v>8.6580086580086504E-4</v>
      </c>
      <c r="N296">
        <v>8.44272483995347E-3</v>
      </c>
      <c r="O296">
        <v>718</v>
      </c>
      <c r="P296">
        <v>4.93125701459034E-2</v>
      </c>
      <c r="Q296">
        <v>4.9475788071110402E-2</v>
      </c>
      <c r="R296">
        <v>0</v>
      </c>
      <c r="S296">
        <v>0</v>
      </c>
      <c r="T296" t="s">
        <v>53</v>
      </c>
      <c r="U296">
        <v>4.2452830188679201E-2</v>
      </c>
      <c r="V296">
        <v>0</v>
      </c>
      <c r="W296">
        <v>0</v>
      </c>
      <c r="X296">
        <v>0.45760533246843399</v>
      </c>
      <c r="Y296">
        <v>3.16892973053697E-2</v>
      </c>
      <c r="Z296">
        <v>3.2964632023523399E-2</v>
      </c>
      <c r="AA296">
        <v>0</v>
      </c>
      <c r="AB296">
        <f t="shared" si="28"/>
        <v>9.1319953407039522E-2</v>
      </c>
      <c r="AC296">
        <f t="shared" si="33"/>
        <v>0.1</v>
      </c>
      <c r="AD296">
        <f t="shared" si="29"/>
        <v>0</v>
      </c>
      <c r="AE296">
        <f t="shared" si="34"/>
        <v>0.10045194874774348</v>
      </c>
      <c r="AF296" t="str">
        <f t="shared" si="30"/>
        <v>Very Low</v>
      </c>
      <c r="AG296" t="str">
        <f t="shared" si="31"/>
        <v>NO ACTION</v>
      </c>
      <c r="AH296" t="str">
        <f t="shared" si="32"/>
        <v/>
      </c>
    </row>
    <row r="297" spans="1:34" x14ac:dyDescent="0.3">
      <c r="A297" t="s">
        <v>324</v>
      </c>
      <c r="B297">
        <v>0.2351606805293</v>
      </c>
      <c r="C297">
        <v>0.55134594735915998</v>
      </c>
      <c r="D297">
        <v>0.339192201904571</v>
      </c>
      <c r="E297">
        <v>0</v>
      </c>
      <c r="F297">
        <v>0</v>
      </c>
      <c r="G297">
        <v>0.48038254457743901</v>
      </c>
      <c r="H297">
        <v>7</v>
      </c>
      <c r="I297">
        <v>13</v>
      </c>
      <c r="J297">
        <v>8.3440675540289097E-2</v>
      </c>
      <c r="K297">
        <v>1.71288743882544E-2</v>
      </c>
      <c r="L297">
        <v>5.2286535435203903E-2</v>
      </c>
      <c r="M297">
        <v>2.3088023088023001E-3</v>
      </c>
      <c r="N297">
        <v>1.6673659547091699E-2</v>
      </c>
      <c r="O297">
        <v>941</v>
      </c>
      <c r="P297">
        <v>6.9830246913580196E-2</v>
      </c>
      <c r="Q297">
        <v>6.9988428766787E-2</v>
      </c>
      <c r="R297">
        <v>0</v>
      </c>
      <c r="S297">
        <v>0</v>
      </c>
      <c r="T297" t="s">
        <v>53</v>
      </c>
      <c r="U297">
        <v>3.9622641509433898E-2</v>
      </c>
      <c r="V297">
        <v>0</v>
      </c>
      <c r="W297">
        <v>0</v>
      </c>
      <c r="X297">
        <v>0.10175766057137101</v>
      </c>
      <c r="Y297">
        <v>4.7833500689787298E-2</v>
      </c>
      <c r="Z297">
        <v>4.8567611966984801E-2</v>
      </c>
      <c r="AA297">
        <v>0</v>
      </c>
      <c r="AB297">
        <f t="shared" si="28"/>
        <v>4.3273537235315553E-2</v>
      </c>
      <c r="AC297">
        <f t="shared" si="33"/>
        <v>0.1</v>
      </c>
      <c r="AD297">
        <f t="shared" si="29"/>
        <v>0</v>
      </c>
      <c r="AE297">
        <f t="shared" si="34"/>
        <v>4.7600890958847113E-2</v>
      </c>
      <c r="AF297" t="str">
        <f t="shared" si="30"/>
        <v>Very Low</v>
      </c>
      <c r="AG297" t="str">
        <f t="shared" si="31"/>
        <v>NO ACTION</v>
      </c>
      <c r="AH297" t="str">
        <f t="shared" si="32"/>
        <v/>
      </c>
    </row>
    <row r="298" spans="1:34" x14ac:dyDescent="0.3">
      <c r="A298" t="s">
        <v>325</v>
      </c>
      <c r="B298">
        <v>0.12892249527410199</v>
      </c>
      <c r="C298">
        <v>0</v>
      </c>
      <c r="D298">
        <v>0</v>
      </c>
      <c r="E298">
        <v>0</v>
      </c>
      <c r="F298">
        <v>1</v>
      </c>
      <c r="G298">
        <v>0.99365873640185398</v>
      </c>
      <c r="H298">
        <v>6</v>
      </c>
      <c r="I298">
        <v>6</v>
      </c>
      <c r="J298">
        <v>8.2152569056819794E-2</v>
      </c>
      <c r="K298">
        <v>6.5252854812398002E-3</v>
      </c>
      <c r="L298">
        <v>2.0230089757266399E-2</v>
      </c>
      <c r="M298">
        <v>8.6580086580086504E-4</v>
      </c>
      <c r="N298">
        <v>6.3503761245509898E-3</v>
      </c>
      <c r="O298">
        <v>402</v>
      </c>
      <c r="P298">
        <v>6.3622334455667798E-2</v>
      </c>
      <c r="Q298">
        <v>6.3782040043479704E-2</v>
      </c>
      <c r="R298">
        <v>0</v>
      </c>
      <c r="S298">
        <v>0</v>
      </c>
      <c r="T298" t="s">
        <v>53</v>
      </c>
      <c r="U298">
        <v>3.3962264150943298E-2</v>
      </c>
      <c r="V298">
        <v>0</v>
      </c>
      <c r="W298">
        <v>0</v>
      </c>
      <c r="X298">
        <v>0.4</v>
      </c>
      <c r="Y298">
        <v>2.8450671527362401E-2</v>
      </c>
      <c r="Z298">
        <v>4.0713551123221003E-2</v>
      </c>
      <c r="AA298">
        <v>0</v>
      </c>
      <c r="AB298">
        <f t="shared" si="28"/>
        <v>8.3365982342163358E-2</v>
      </c>
      <c r="AC298">
        <f t="shared" si="33"/>
        <v>0.1</v>
      </c>
      <c r="AD298">
        <f t="shared" si="29"/>
        <v>0.08</v>
      </c>
      <c r="AE298">
        <f t="shared" si="34"/>
        <v>9.8371859163752781E-2</v>
      </c>
      <c r="AF298" t="str">
        <f t="shared" si="30"/>
        <v>Very Low</v>
      </c>
      <c r="AG298" t="str">
        <f t="shared" si="31"/>
        <v>NO ACTION</v>
      </c>
      <c r="AH298" t="str">
        <f t="shared" si="32"/>
        <v/>
      </c>
    </row>
    <row r="299" spans="1:34" x14ac:dyDescent="0.3">
      <c r="A299" t="s">
        <v>326</v>
      </c>
      <c r="B299">
        <v>0.12892249527410199</v>
      </c>
      <c r="C299">
        <v>0.28009428121759899</v>
      </c>
      <c r="D299">
        <v>7.50946055673926E-2</v>
      </c>
      <c r="E299">
        <v>0</v>
      </c>
      <c r="F299">
        <v>0</v>
      </c>
      <c r="G299">
        <v>0.99366328606065502</v>
      </c>
      <c r="H299">
        <v>7</v>
      </c>
      <c r="I299">
        <v>8</v>
      </c>
      <c r="J299">
        <v>0.114402938791088</v>
      </c>
      <c r="K299">
        <v>1.9575856443719401E-2</v>
      </c>
      <c r="L299">
        <v>4.3617184782520697E-2</v>
      </c>
      <c r="M299">
        <v>3.1746031746031698E-3</v>
      </c>
      <c r="N299">
        <v>1.6734373038992199E-2</v>
      </c>
      <c r="O299">
        <v>1240</v>
      </c>
      <c r="P299">
        <v>9.4065656565656505E-2</v>
      </c>
      <c r="Q299">
        <v>9.4217889827833995E-2</v>
      </c>
      <c r="R299">
        <v>0</v>
      </c>
      <c r="S299">
        <v>0</v>
      </c>
      <c r="T299" t="s">
        <v>28</v>
      </c>
      <c r="U299">
        <v>3.3962264150943298E-2</v>
      </c>
      <c r="V299">
        <v>0</v>
      </c>
      <c r="W299">
        <v>0</v>
      </c>
      <c r="X299">
        <v>2.2528381670217701E-2</v>
      </c>
      <c r="Y299">
        <v>4.9709492061175697E-2</v>
      </c>
      <c r="Z299">
        <v>6.3133143154990801E-2</v>
      </c>
      <c r="AA299">
        <v>0</v>
      </c>
      <c r="AB299">
        <f t="shared" si="28"/>
        <v>3.5200478927761458E-2</v>
      </c>
      <c r="AC299">
        <f t="shared" si="33"/>
        <v>0.25</v>
      </c>
      <c r="AD299">
        <f t="shared" si="29"/>
        <v>0</v>
      </c>
      <c r="AE299">
        <f t="shared" si="34"/>
        <v>4.4000598659701823E-2</v>
      </c>
      <c r="AF299" t="str">
        <f t="shared" si="30"/>
        <v>Very Low</v>
      </c>
      <c r="AG299" t="str">
        <f t="shared" si="31"/>
        <v>NO ACTION</v>
      </c>
      <c r="AH299" t="str">
        <f t="shared" si="32"/>
        <v/>
      </c>
    </row>
    <row r="300" spans="1:34" x14ac:dyDescent="0.3">
      <c r="A300" t="s">
        <v>327</v>
      </c>
      <c r="B300">
        <v>0.235538752362948</v>
      </c>
      <c r="C300">
        <v>0.74525163327070199</v>
      </c>
      <c r="D300">
        <v>0.347019652229832</v>
      </c>
      <c r="E300">
        <v>0</v>
      </c>
      <c r="F300">
        <v>0</v>
      </c>
      <c r="G300">
        <v>0.47931751282033402</v>
      </c>
      <c r="H300">
        <v>8</v>
      </c>
      <c r="I300">
        <v>14</v>
      </c>
      <c r="J300">
        <v>0.102905395734936</v>
      </c>
      <c r="K300">
        <v>8.1566068515497497E-2</v>
      </c>
      <c r="L300">
        <v>0.201996791228024</v>
      </c>
      <c r="M300">
        <v>6.63780663780663E-3</v>
      </c>
      <c r="N300">
        <v>3.8890423996806901E-2</v>
      </c>
      <c r="O300">
        <v>443</v>
      </c>
      <c r="P300">
        <v>0.11395202020202</v>
      </c>
      <c r="Q300">
        <v>0.114099372348259</v>
      </c>
      <c r="R300">
        <v>0</v>
      </c>
      <c r="S300">
        <v>0</v>
      </c>
      <c r="T300" t="s">
        <v>28</v>
      </c>
      <c r="U300">
        <v>7.0754716981132004E-2</v>
      </c>
      <c r="V300">
        <v>0</v>
      </c>
      <c r="W300">
        <v>0</v>
      </c>
      <c r="X300">
        <v>0.104105895668949</v>
      </c>
      <c r="Y300">
        <v>0.13324660196004101</v>
      </c>
      <c r="Z300">
        <v>8.3927381719934899E-2</v>
      </c>
      <c r="AA300">
        <v>0</v>
      </c>
      <c r="AB300">
        <f t="shared" si="28"/>
        <v>7.7465658737425114E-2</v>
      </c>
      <c r="AC300">
        <f t="shared" si="33"/>
        <v>0.25</v>
      </c>
      <c r="AD300">
        <f t="shared" si="29"/>
        <v>0</v>
      </c>
      <c r="AE300">
        <f t="shared" si="34"/>
        <v>9.6832073421781392E-2</v>
      </c>
      <c r="AF300" t="str">
        <f t="shared" si="30"/>
        <v>Very Low</v>
      </c>
      <c r="AG300" t="str">
        <f t="shared" si="31"/>
        <v>NO ACTION</v>
      </c>
      <c r="AH300" t="str">
        <f t="shared" si="32"/>
        <v/>
      </c>
    </row>
    <row r="301" spans="1:34" x14ac:dyDescent="0.3">
      <c r="A301" t="s">
        <v>328</v>
      </c>
      <c r="B301">
        <v>0.12892249527410199</v>
      </c>
      <c r="C301">
        <v>0.18476582604220201</v>
      </c>
      <c r="D301">
        <v>0</v>
      </c>
      <c r="E301">
        <v>0</v>
      </c>
      <c r="F301">
        <v>0</v>
      </c>
      <c r="G301">
        <v>0.99367872813788005</v>
      </c>
      <c r="H301">
        <v>7</v>
      </c>
      <c r="I301">
        <v>7</v>
      </c>
      <c r="J301">
        <v>8.3440675540289097E-2</v>
      </c>
      <c r="K301">
        <v>1.38662316476345E-2</v>
      </c>
      <c r="L301">
        <v>4.2327195352307903E-2</v>
      </c>
      <c r="M301">
        <v>5.7720057720057698E-4</v>
      </c>
      <c r="N301">
        <v>4.1684148867729203E-3</v>
      </c>
      <c r="O301">
        <v>959</v>
      </c>
      <c r="P301">
        <v>6.7585578002244601E-2</v>
      </c>
      <c r="Q301">
        <v>6.7744310810336897E-2</v>
      </c>
      <c r="R301">
        <v>0</v>
      </c>
      <c r="S301">
        <v>0</v>
      </c>
      <c r="T301" t="s">
        <v>53</v>
      </c>
      <c r="U301">
        <v>9.6226415094339601E-2</v>
      </c>
      <c r="V301">
        <v>0</v>
      </c>
      <c r="W301">
        <v>0</v>
      </c>
      <c r="X301">
        <v>0</v>
      </c>
      <c r="Y301">
        <v>3.9102257250243598E-2</v>
      </c>
      <c r="Z301">
        <v>4.2218712756055897E-2</v>
      </c>
      <c r="AA301">
        <v>0</v>
      </c>
      <c r="AB301">
        <f t="shared" si="28"/>
        <v>2.2769871601763858E-2</v>
      </c>
      <c r="AC301">
        <f t="shared" si="33"/>
        <v>0.1</v>
      </c>
      <c r="AD301">
        <f t="shared" si="29"/>
        <v>0</v>
      </c>
      <c r="AE301">
        <f t="shared" si="34"/>
        <v>2.5046858761940245E-2</v>
      </c>
      <c r="AF301" t="str">
        <f t="shared" si="30"/>
        <v>Very Low</v>
      </c>
      <c r="AG301" t="str">
        <f t="shared" si="31"/>
        <v>NO ACTION</v>
      </c>
      <c r="AH301" t="str">
        <f t="shared" si="32"/>
        <v/>
      </c>
    </row>
    <row r="302" spans="1:34" x14ac:dyDescent="0.3">
      <c r="A302" t="s">
        <v>329</v>
      </c>
      <c r="B302">
        <v>0.102457466918714</v>
      </c>
      <c r="C302">
        <v>0.910391615589762</v>
      </c>
      <c r="D302">
        <v>0.37861266369114799</v>
      </c>
      <c r="E302">
        <v>0</v>
      </c>
      <c r="F302">
        <v>0</v>
      </c>
      <c r="G302">
        <v>0.38898716015826101</v>
      </c>
      <c r="H302">
        <v>8</v>
      </c>
      <c r="I302">
        <v>16</v>
      </c>
      <c r="J302">
        <v>1.8367444301321499E-2</v>
      </c>
      <c r="K302">
        <v>8.1566068515497503E-4</v>
      </c>
      <c r="L302">
        <v>1.1197873400897101E-2</v>
      </c>
      <c r="M302">
        <v>1.1544011544011501E-3</v>
      </c>
      <c r="N302">
        <v>3.7494357494357401E-2</v>
      </c>
      <c r="O302">
        <v>263</v>
      </c>
      <c r="P302">
        <v>1.4414983164983099E-2</v>
      </c>
      <c r="Q302">
        <v>1.4586766716925499E-2</v>
      </c>
      <c r="R302">
        <v>0</v>
      </c>
      <c r="S302">
        <v>0</v>
      </c>
      <c r="T302" t="s">
        <v>53</v>
      </c>
      <c r="U302">
        <v>3.39622641509433E-3</v>
      </c>
      <c r="V302">
        <v>0</v>
      </c>
      <c r="W302">
        <v>0</v>
      </c>
      <c r="X302">
        <v>0.11358379910734399</v>
      </c>
      <c r="Y302">
        <v>2.0520732809020101E-2</v>
      </c>
      <c r="Z302">
        <v>2.3646732896732799E-2</v>
      </c>
      <c r="AA302">
        <v>0</v>
      </c>
      <c r="AB302">
        <f t="shared" si="28"/>
        <v>3.0540298254785853E-2</v>
      </c>
      <c r="AC302">
        <f t="shared" si="33"/>
        <v>0.1</v>
      </c>
      <c r="AD302">
        <f t="shared" si="29"/>
        <v>0</v>
      </c>
      <c r="AE302">
        <f t="shared" si="34"/>
        <v>3.3594328080264441E-2</v>
      </c>
      <c r="AF302" t="str">
        <f t="shared" si="30"/>
        <v>Very Low</v>
      </c>
      <c r="AG302" t="str">
        <f t="shared" si="31"/>
        <v>NO ACTION</v>
      </c>
      <c r="AH302" t="str">
        <f t="shared" si="32"/>
        <v/>
      </c>
    </row>
    <row r="303" spans="1:34" x14ac:dyDescent="0.3">
      <c r="A303" t="s">
        <v>330</v>
      </c>
      <c r="B303">
        <v>0.12892249527410199</v>
      </c>
      <c r="C303">
        <v>0.18476582604220201</v>
      </c>
      <c r="D303">
        <v>0</v>
      </c>
      <c r="E303">
        <v>0</v>
      </c>
      <c r="F303">
        <v>0</v>
      </c>
      <c r="G303">
        <v>0.99368244815301698</v>
      </c>
      <c r="H303">
        <v>7</v>
      </c>
      <c r="I303">
        <v>7</v>
      </c>
      <c r="J303">
        <v>0.10323934926768701</v>
      </c>
      <c r="K303">
        <v>1.71288743882544E-2</v>
      </c>
      <c r="L303">
        <v>4.2282426534507901E-2</v>
      </c>
      <c r="M303">
        <v>2.3088023088023001E-3</v>
      </c>
      <c r="N303">
        <v>1.34834480615946E-2</v>
      </c>
      <c r="O303">
        <v>1143</v>
      </c>
      <c r="P303">
        <v>8.4385521885521897E-2</v>
      </c>
      <c r="Q303">
        <v>8.4540131140643002E-2</v>
      </c>
      <c r="R303">
        <v>0</v>
      </c>
      <c r="S303">
        <v>0</v>
      </c>
      <c r="T303" t="s">
        <v>28</v>
      </c>
      <c r="U303">
        <v>3.9622641509433898E-2</v>
      </c>
      <c r="V303">
        <v>0</v>
      </c>
      <c r="W303">
        <v>0</v>
      </c>
      <c r="X303">
        <v>0</v>
      </c>
      <c r="Y303">
        <v>4.58341175392699E-2</v>
      </c>
      <c r="Z303">
        <v>5.6024692355950999E-2</v>
      </c>
      <c r="AA303">
        <v>0</v>
      </c>
      <c r="AB303">
        <f t="shared" si="28"/>
        <v>2.8520466770661855E-2</v>
      </c>
      <c r="AC303">
        <f t="shared" si="33"/>
        <v>0.25</v>
      </c>
      <c r="AD303">
        <f t="shared" si="29"/>
        <v>0</v>
      </c>
      <c r="AE303">
        <f t="shared" si="34"/>
        <v>3.5650583463327321E-2</v>
      </c>
      <c r="AF303" t="str">
        <f t="shared" si="30"/>
        <v>Very Low</v>
      </c>
      <c r="AG303" t="str">
        <f t="shared" si="31"/>
        <v>NO ACTION</v>
      </c>
      <c r="AH303" t="str">
        <f t="shared" si="32"/>
        <v/>
      </c>
    </row>
    <row r="304" spans="1:34" x14ac:dyDescent="0.3">
      <c r="A304" t="s">
        <v>331</v>
      </c>
      <c r="B304">
        <v>0.12892249527410199</v>
      </c>
      <c r="C304">
        <v>0.36953165208440503</v>
      </c>
      <c r="D304">
        <v>0</v>
      </c>
      <c r="E304">
        <v>0</v>
      </c>
      <c r="F304">
        <v>0</v>
      </c>
      <c r="G304">
        <v>0.99367712237594996</v>
      </c>
      <c r="H304">
        <v>8</v>
      </c>
      <c r="I304">
        <v>8</v>
      </c>
      <c r="J304">
        <v>0.101617289251467</v>
      </c>
      <c r="K304">
        <v>1.8760195758564399E-2</v>
      </c>
      <c r="L304">
        <v>4.7046803000490599E-2</v>
      </c>
      <c r="M304">
        <v>3.7518037518037501E-3</v>
      </c>
      <c r="N304">
        <v>2.2259530737282401E-2</v>
      </c>
      <c r="O304">
        <v>1027</v>
      </c>
      <c r="P304">
        <v>8.4595959595959599E-2</v>
      </c>
      <c r="Q304">
        <v>8.4750517199060196E-2</v>
      </c>
      <c r="R304">
        <v>0</v>
      </c>
      <c r="S304">
        <v>0</v>
      </c>
      <c r="T304" t="s">
        <v>28</v>
      </c>
      <c r="U304">
        <v>2.7897574123989199E-2</v>
      </c>
      <c r="V304">
        <v>0</v>
      </c>
      <c r="W304">
        <v>0</v>
      </c>
      <c r="X304">
        <v>0</v>
      </c>
      <c r="Y304">
        <v>5.0524718571723401E-2</v>
      </c>
      <c r="Z304">
        <v>5.9661388052488697E-2</v>
      </c>
      <c r="AA304">
        <v>0</v>
      </c>
      <c r="AB304">
        <f t="shared" si="28"/>
        <v>3.0852109854779389E-2</v>
      </c>
      <c r="AC304">
        <f t="shared" si="33"/>
        <v>0.25</v>
      </c>
      <c r="AD304">
        <f t="shared" si="29"/>
        <v>0</v>
      </c>
      <c r="AE304">
        <f t="shared" si="34"/>
        <v>3.8565137318474232E-2</v>
      </c>
      <c r="AF304" t="str">
        <f t="shared" si="30"/>
        <v>Very Low</v>
      </c>
      <c r="AG304" t="str">
        <f t="shared" si="31"/>
        <v>NO ACTION</v>
      </c>
      <c r="AH304" t="str">
        <f t="shared" si="32"/>
        <v/>
      </c>
    </row>
    <row r="305" spans="1:34" x14ac:dyDescent="0.3">
      <c r="A305" t="s">
        <v>332</v>
      </c>
      <c r="B305">
        <v>0.12892249527410199</v>
      </c>
      <c r="C305">
        <v>0.18476582604220201</v>
      </c>
      <c r="D305">
        <v>0</v>
      </c>
      <c r="E305">
        <v>0</v>
      </c>
      <c r="F305">
        <v>0</v>
      </c>
      <c r="G305">
        <v>0.99367784496881895</v>
      </c>
      <c r="H305">
        <v>7</v>
      </c>
      <c r="I305">
        <v>7</v>
      </c>
      <c r="J305">
        <v>8.4633366728686599E-2</v>
      </c>
      <c r="K305">
        <v>1.6313213703099501E-3</v>
      </c>
      <c r="L305">
        <v>4.9096915417087003E-3</v>
      </c>
      <c r="M305">
        <v>0</v>
      </c>
      <c r="N305">
        <v>0</v>
      </c>
      <c r="O305">
        <v>402</v>
      </c>
      <c r="P305">
        <v>6.2920875420875405E-2</v>
      </c>
      <c r="Q305">
        <v>6.3080753182089097E-2</v>
      </c>
      <c r="R305">
        <v>0</v>
      </c>
      <c r="S305">
        <v>0</v>
      </c>
      <c r="T305" t="s">
        <v>53</v>
      </c>
      <c r="U305">
        <v>3.3962264150943298E-2</v>
      </c>
      <c r="V305">
        <v>0</v>
      </c>
      <c r="W305">
        <v>0</v>
      </c>
      <c r="X305">
        <v>0</v>
      </c>
      <c r="Y305">
        <v>1.9381519116591601E-2</v>
      </c>
      <c r="Z305">
        <v>3.7752525252525197E-2</v>
      </c>
      <c r="AA305">
        <v>0</v>
      </c>
      <c r="AB305">
        <f t="shared" si="28"/>
        <v>1.5997532423352705E-2</v>
      </c>
      <c r="AC305">
        <f t="shared" si="33"/>
        <v>0.1</v>
      </c>
      <c r="AD305">
        <f t="shared" si="29"/>
        <v>0</v>
      </c>
      <c r="AE305">
        <f t="shared" si="34"/>
        <v>1.7597285665687978E-2</v>
      </c>
      <c r="AF305" t="str">
        <f t="shared" si="30"/>
        <v>Very Low</v>
      </c>
      <c r="AG305" t="str">
        <f t="shared" si="31"/>
        <v>NO ACTION</v>
      </c>
      <c r="AH305" t="str">
        <f t="shared" si="32"/>
        <v/>
      </c>
    </row>
    <row r="306" spans="1:34" x14ac:dyDescent="0.3">
      <c r="A306" t="s">
        <v>333</v>
      </c>
      <c r="B306">
        <v>0.13534971644612401</v>
      </c>
      <c r="C306">
        <v>4.3894643755882402E-2</v>
      </c>
      <c r="D306">
        <v>0.178967881753098</v>
      </c>
      <c r="E306">
        <v>0</v>
      </c>
      <c r="F306">
        <v>0.95303867403314901</v>
      </c>
      <c r="G306">
        <v>0.93987304680909201</v>
      </c>
      <c r="H306">
        <v>6</v>
      </c>
      <c r="I306">
        <v>15</v>
      </c>
      <c r="J306">
        <v>0.10991841992271301</v>
      </c>
      <c r="K306">
        <v>1.38662316476345E-2</v>
      </c>
      <c r="L306">
        <v>3.2153270094390701E-2</v>
      </c>
      <c r="M306">
        <v>4.3290043290043203E-3</v>
      </c>
      <c r="N306">
        <v>2.37485915268505E-2</v>
      </c>
      <c r="O306">
        <v>1231</v>
      </c>
      <c r="P306">
        <v>8.8874859708193005E-2</v>
      </c>
      <c r="Q306">
        <v>8.9028367053543195E-2</v>
      </c>
      <c r="R306">
        <v>0.69321533923303802</v>
      </c>
      <c r="S306">
        <v>1</v>
      </c>
      <c r="T306" t="s">
        <v>28</v>
      </c>
      <c r="U306">
        <v>1.8042452830188599E-2</v>
      </c>
      <c r="V306">
        <v>0</v>
      </c>
      <c r="W306">
        <v>1</v>
      </c>
      <c r="X306">
        <v>0.43490583413918898</v>
      </c>
      <c r="Y306">
        <v>4.5184896489793201E-2</v>
      </c>
      <c r="Z306">
        <v>6.2824352435655997E-2</v>
      </c>
      <c r="AA306">
        <v>0.69321533923303802</v>
      </c>
      <c r="AB306">
        <f t="shared" si="28"/>
        <v>0.2939278181466467</v>
      </c>
      <c r="AC306">
        <f t="shared" si="33"/>
        <v>0.25</v>
      </c>
      <c r="AD306">
        <f t="shared" si="29"/>
        <v>0.08</v>
      </c>
      <c r="AE306">
        <f t="shared" si="34"/>
        <v>0.39092399813504014</v>
      </c>
      <c r="AF306" t="str">
        <f t="shared" si="30"/>
        <v>Low</v>
      </c>
      <c r="AG306" t="str">
        <f t="shared" si="31"/>
        <v>NO ACTION</v>
      </c>
      <c r="AH306" t="str">
        <f t="shared" si="32"/>
        <v/>
      </c>
    </row>
    <row r="307" spans="1:34" x14ac:dyDescent="0.3">
      <c r="A307" t="s">
        <v>334</v>
      </c>
      <c r="B307">
        <v>0.235538752362948</v>
      </c>
      <c r="C307">
        <v>0.73788457481606895</v>
      </c>
      <c r="D307">
        <v>0.34178138885450299</v>
      </c>
      <c r="E307">
        <v>0</v>
      </c>
      <c r="F307">
        <v>0</v>
      </c>
      <c r="G307">
        <v>0.47940038484257003</v>
      </c>
      <c r="H307">
        <v>8</v>
      </c>
      <c r="I307">
        <v>14</v>
      </c>
      <c r="J307">
        <v>7.14660560087782E-2</v>
      </c>
      <c r="K307">
        <v>0</v>
      </c>
      <c r="L307">
        <v>0</v>
      </c>
      <c r="M307">
        <v>2.88600288600288E-4</v>
      </c>
      <c r="N307">
        <v>2.4322686997337601E-3</v>
      </c>
      <c r="O307">
        <v>242</v>
      </c>
      <c r="P307">
        <v>5.2679573512906801E-2</v>
      </c>
      <c r="Q307">
        <v>5.2841965005785599E-2</v>
      </c>
      <c r="R307">
        <v>0</v>
      </c>
      <c r="S307">
        <v>0</v>
      </c>
      <c r="T307" t="s">
        <v>53</v>
      </c>
      <c r="U307">
        <v>0</v>
      </c>
      <c r="V307">
        <v>0</v>
      </c>
      <c r="W307">
        <v>0</v>
      </c>
      <c r="X307">
        <v>0.102534416656351</v>
      </c>
      <c r="Y307">
        <v>1.5022891811675701E-2</v>
      </c>
      <c r="Z307">
        <v>3.25806515876376E-2</v>
      </c>
      <c r="AA307">
        <v>0</v>
      </c>
      <c r="AB307">
        <f t="shared" si="28"/>
        <v>2.9734498816823884E-2</v>
      </c>
      <c r="AC307">
        <f t="shared" si="33"/>
        <v>0.1</v>
      </c>
      <c r="AD307">
        <f t="shared" si="29"/>
        <v>0</v>
      </c>
      <c r="AE307">
        <f t="shared" si="34"/>
        <v>3.2707948698506274E-2</v>
      </c>
      <c r="AF307" t="str">
        <f t="shared" si="30"/>
        <v>Very Low</v>
      </c>
      <c r="AG307" t="str">
        <f t="shared" si="31"/>
        <v>NO ACTION</v>
      </c>
      <c r="AH307" t="str">
        <f t="shared" si="32"/>
        <v/>
      </c>
    </row>
    <row r="308" spans="1:34" x14ac:dyDescent="0.3">
      <c r="A308" t="s">
        <v>335</v>
      </c>
      <c r="B308">
        <v>0.14328922495274099</v>
      </c>
      <c r="C308">
        <v>0.346858038966954</v>
      </c>
      <c r="D308">
        <v>0.21622096785491601</v>
      </c>
      <c r="E308">
        <v>0</v>
      </c>
      <c r="F308">
        <v>0</v>
      </c>
      <c r="G308">
        <v>0.88047679818283098</v>
      </c>
      <c r="H308">
        <v>7</v>
      </c>
      <c r="I308">
        <v>15</v>
      </c>
      <c r="J308">
        <v>0.100424598063069</v>
      </c>
      <c r="K308">
        <v>8.9722675367047301E-3</v>
      </c>
      <c r="L308">
        <v>2.2767240232155799E-2</v>
      </c>
      <c r="M308">
        <v>2.8860028860028799E-3</v>
      </c>
      <c r="N308">
        <v>1.7325591733174599E-2</v>
      </c>
      <c r="O308">
        <v>1083</v>
      </c>
      <c r="P308">
        <v>7.9089506172839497E-2</v>
      </c>
      <c r="Q308">
        <v>7.9245415337143604E-2</v>
      </c>
      <c r="R308">
        <v>0</v>
      </c>
      <c r="S308">
        <v>0</v>
      </c>
      <c r="T308" t="s">
        <v>28</v>
      </c>
      <c r="U308">
        <v>1.6981132075471601E-2</v>
      </c>
      <c r="V308">
        <v>0</v>
      </c>
      <c r="W308">
        <v>0</v>
      </c>
      <c r="X308">
        <v>6.4866290356474995E-2</v>
      </c>
      <c r="Y308">
        <v>3.6666217248644203E-2</v>
      </c>
      <c r="Z308">
        <v>5.4383940396973501E-2</v>
      </c>
      <c r="AA308">
        <v>0</v>
      </c>
      <c r="AB308">
        <f t="shared" si="28"/>
        <v>3.5872650597808961E-2</v>
      </c>
      <c r="AC308">
        <f t="shared" si="33"/>
        <v>0.25</v>
      </c>
      <c r="AD308">
        <f t="shared" si="29"/>
        <v>0</v>
      </c>
      <c r="AE308">
        <f t="shared" si="34"/>
        <v>4.4840813247261205E-2</v>
      </c>
      <c r="AF308" t="str">
        <f t="shared" si="30"/>
        <v>Very Low</v>
      </c>
      <c r="AG308" t="str">
        <f t="shared" si="31"/>
        <v>NO ACTION</v>
      </c>
      <c r="AH308" t="str">
        <f t="shared" si="32"/>
        <v/>
      </c>
    </row>
    <row r="309" spans="1:34" x14ac:dyDescent="0.3">
      <c r="A309" t="s">
        <v>336</v>
      </c>
      <c r="B309">
        <v>0.12892249527410199</v>
      </c>
      <c r="C309">
        <v>0.36953165208440503</v>
      </c>
      <c r="D309">
        <v>0</v>
      </c>
      <c r="E309">
        <v>0</v>
      </c>
      <c r="F309">
        <v>0</v>
      </c>
      <c r="G309">
        <v>0.993692671503971</v>
      </c>
      <c r="H309">
        <v>8</v>
      </c>
      <c r="I309">
        <v>8</v>
      </c>
      <c r="J309">
        <v>8.9976623252707402E-2</v>
      </c>
      <c r="K309">
        <v>1.2234910277324601E-2</v>
      </c>
      <c r="L309">
        <v>3.4641755365017603E-2</v>
      </c>
      <c r="M309">
        <v>3.1746031746031698E-3</v>
      </c>
      <c r="N309">
        <v>2.1265308520728901E-2</v>
      </c>
      <c r="O309">
        <v>1006</v>
      </c>
      <c r="P309">
        <v>7.29517396184063E-2</v>
      </c>
      <c r="Q309">
        <v>7.3109155299975401E-2</v>
      </c>
      <c r="R309">
        <v>0</v>
      </c>
      <c r="S309">
        <v>0</v>
      </c>
      <c r="T309" t="s">
        <v>53</v>
      </c>
      <c r="U309">
        <v>2.1226415094339601E-2</v>
      </c>
      <c r="V309">
        <v>0</v>
      </c>
      <c r="W309">
        <v>0</v>
      </c>
      <c r="X309">
        <v>0</v>
      </c>
      <c r="Y309">
        <v>4.1695794889268903E-2</v>
      </c>
      <c r="Z309">
        <v>5.2277167179335303E-2</v>
      </c>
      <c r="AA309">
        <v>0</v>
      </c>
      <c r="AB309">
        <f t="shared" si="28"/>
        <v>2.631242937920918E-2</v>
      </c>
      <c r="AC309">
        <f t="shared" si="33"/>
        <v>0.1</v>
      </c>
      <c r="AD309">
        <f t="shared" si="29"/>
        <v>0</v>
      </c>
      <c r="AE309">
        <f t="shared" si="34"/>
        <v>2.89436723171301E-2</v>
      </c>
      <c r="AF309" t="str">
        <f t="shared" si="30"/>
        <v>Very Low</v>
      </c>
      <c r="AG309" t="str">
        <f t="shared" si="31"/>
        <v>NO ACTION</v>
      </c>
      <c r="AH309" t="str">
        <f t="shared" si="32"/>
        <v/>
      </c>
    </row>
    <row r="310" spans="1:34" x14ac:dyDescent="0.3">
      <c r="A310" t="s">
        <v>337</v>
      </c>
      <c r="B310">
        <v>0.124763705103969</v>
      </c>
      <c r="C310">
        <v>0.55429747812660801</v>
      </c>
      <c r="D310">
        <v>0</v>
      </c>
      <c r="E310">
        <v>0</v>
      </c>
      <c r="F310">
        <v>0</v>
      </c>
      <c r="G310">
        <v>0.99558120778812498</v>
      </c>
      <c r="H310">
        <v>9</v>
      </c>
      <c r="I310">
        <v>9</v>
      </c>
      <c r="J310">
        <v>0.101331043366251</v>
      </c>
      <c r="K310">
        <v>2.2022838499184301E-2</v>
      </c>
      <c r="L310">
        <v>5.5384503011482802E-2</v>
      </c>
      <c r="M310">
        <v>6.3492063492063397E-3</v>
      </c>
      <c r="N310">
        <v>3.7776137541285497E-2</v>
      </c>
      <c r="O310">
        <v>1099</v>
      </c>
      <c r="P310">
        <v>8.7051066217732898E-2</v>
      </c>
      <c r="Q310">
        <v>8.7205021213927494E-2</v>
      </c>
      <c r="R310">
        <v>0</v>
      </c>
      <c r="S310">
        <v>0</v>
      </c>
      <c r="T310" t="s">
        <v>28</v>
      </c>
      <c r="U310">
        <v>1.9934372436423299E-2</v>
      </c>
      <c r="V310">
        <v>0</v>
      </c>
      <c r="W310">
        <v>0</v>
      </c>
      <c r="X310">
        <v>0</v>
      </c>
      <c r="Y310">
        <v>5.9291301441377398E-2</v>
      </c>
      <c r="Z310">
        <v>6.7341094747153898E-2</v>
      </c>
      <c r="AA310">
        <v>0</v>
      </c>
      <c r="AB310">
        <f t="shared" si="28"/>
        <v>3.545707093278877E-2</v>
      </c>
      <c r="AC310">
        <f t="shared" si="33"/>
        <v>0.25</v>
      </c>
      <c r="AD310">
        <f t="shared" si="29"/>
        <v>0</v>
      </c>
      <c r="AE310">
        <f t="shared" si="34"/>
        <v>4.4321338665985963E-2</v>
      </c>
      <c r="AF310" t="str">
        <f t="shared" si="30"/>
        <v>Very Low</v>
      </c>
      <c r="AG310" t="str">
        <f t="shared" si="31"/>
        <v>NO ACTION</v>
      </c>
      <c r="AH310" t="str">
        <f t="shared" si="32"/>
        <v/>
      </c>
    </row>
    <row r="311" spans="1:34" x14ac:dyDescent="0.3">
      <c r="A311" t="s">
        <v>338</v>
      </c>
      <c r="B311">
        <v>0.12892249527410199</v>
      </c>
      <c r="C311">
        <v>0.18476582604220201</v>
      </c>
      <c r="D311">
        <v>0</v>
      </c>
      <c r="E311">
        <v>0</v>
      </c>
      <c r="F311">
        <v>0</v>
      </c>
      <c r="G311">
        <v>0.99366850478692703</v>
      </c>
      <c r="H311">
        <v>7</v>
      </c>
      <c r="I311">
        <v>7</v>
      </c>
      <c r="J311">
        <v>8.4251705548399405E-2</v>
      </c>
      <c r="K311">
        <v>1.8760195758564399E-2</v>
      </c>
      <c r="L311">
        <v>5.67165016409076E-2</v>
      </c>
      <c r="M311">
        <v>2.0202020202020202E-3</v>
      </c>
      <c r="N311">
        <v>1.44494065442682E-2</v>
      </c>
      <c r="O311">
        <v>940</v>
      </c>
      <c r="P311">
        <v>7.0987654320987595E-2</v>
      </c>
      <c r="Q311">
        <v>7.1145552088081598E-2</v>
      </c>
      <c r="R311">
        <v>0</v>
      </c>
      <c r="S311">
        <v>0</v>
      </c>
      <c r="T311" t="s">
        <v>53</v>
      </c>
      <c r="U311">
        <v>4.88207547169811E-2</v>
      </c>
      <c r="V311">
        <v>0</v>
      </c>
      <c r="W311">
        <v>0</v>
      </c>
      <c r="X311">
        <v>0</v>
      </c>
      <c r="Y311">
        <v>4.9543413893414101E-2</v>
      </c>
      <c r="Z311">
        <v>4.8372355210299797E-2</v>
      </c>
      <c r="AA311">
        <v>0</v>
      </c>
      <c r="AB311">
        <f t="shared" si="28"/>
        <v>2.7416415349039894E-2</v>
      </c>
      <c r="AC311">
        <f t="shared" si="33"/>
        <v>0.1</v>
      </c>
      <c r="AD311">
        <f t="shared" si="29"/>
        <v>0</v>
      </c>
      <c r="AE311">
        <f t="shared" si="34"/>
        <v>3.0158056883943886E-2</v>
      </c>
      <c r="AF311" t="str">
        <f t="shared" si="30"/>
        <v>Very Low</v>
      </c>
      <c r="AG311" t="str">
        <f t="shared" si="31"/>
        <v>NO ACTION</v>
      </c>
      <c r="AH311" t="str">
        <f t="shared" si="32"/>
        <v/>
      </c>
    </row>
    <row r="312" spans="1:34" x14ac:dyDescent="0.3">
      <c r="A312" t="s">
        <v>339</v>
      </c>
      <c r="B312">
        <v>0.26805293005670999</v>
      </c>
      <c r="C312">
        <v>0.70770753284888599</v>
      </c>
      <c r="D312">
        <v>0.374885853325998</v>
      </c>
      <c r="E312">
        <v>0</v>
      </c>
      <c r="F312">
        <v>0</v>
      </c>
      <c r="G312">
        <v>0.40345516167175199</v>
      </c>
      <c r="H312">
        <v>7</v>
      </c>
      <c r="I312">
        <v>15</v>
      </c>
      <c r="J312">
        <v>8.5492104384332801E-2</v>
      </c>
      <c r="K312">
        <v>1.1419249592169599E-2</v>
      </c>
      <c r="L312">
        <v>3.4023588630438702E-2</v>
      </c>
      <c r="M312">
        <v>2.3088023088023001E-3</v>
      </c>
      <c r="N312">
        <v>1.6274679379854599E-2</v>
      </c>
      <c r="O312">
        <v>848</v>
      </c>
      <c r="P312">
        <v>6.88832772166105E-2</v>
      </c>
      <c r="Q312">
        <v>6.9041691503909597E-2</v>
      </c>
      <c r="R312">
        <v>0.209439528023598</v>
      </c>
      <c r="S312">
        <v>1</v>
      </c>
      <c r="T312" t="s">
        <v>53</v>
      </c>
      <c r="U312">
        <v>2.6415094339622601E-2</v>
      </c>
      <c r="V312">
        <v>0</v>
      </c>
      <c r="W312">
        <v>0</v>
      </c>
      <c r="X312">
        <v>0.112465755997799</v>
      </c>
      <c r="Y312">
        <v>3.8992619006042298E-2</v>
      </c>
      <c r="Z312">
        <v>4.7839838081908198E-2</v>
      </c>
      <c r="AA312">
        <v>0.209439528023598</v>
      </c>
      <c r="AB312">
        <f t="shared" si="28"/>
        <v>0.10095067679088143</v>
      </c>
      <c r="AC312">
        <f t="shared" si="33"/>
        <v>0.1</v>
      </c>
      <c r="AD312">
        <f t="shared" si="29"/>
        <v>0</v>
      </c>
      <c r="AE312">
        <f t="shared" si="34"/>
        <v>0.11104574446996958</v>
      </c>
      <c r="AF312" t="str">
        <f t="shared" si="30"/>
        <v>Very Low</v>
      </c>
      <c r="AG312" t="str">
        <f t="shared" si="31"/>
        <v>NO ACTION</v>
      </c>
      <c r="AH312" t="str">
        <f t="shared" si="32"/>
        <v/>
      </c>
    </row>
    <row r="313" spans="1:34" x14ac:dyDescent="0.3">
      <c r="A313" t="s">
        <v>340</v>
      </c>
      <c r="B313">
        <v>0.12892249527410199</v>
      </c>
      <c r="C313">
        <v>0.36953165208440503</v>
      </c>
      <c r="D313">
        <v>0</v>
      </c>
      <c r="E313">
        <v>0</v>
      </c>
      <c r="F313">
        <v>0</v>
      </c>
      <c r="G313">
        <v>0.99365943223202402</v>
      </c>
      <c r="H313">
        <v>8</v>
      </c>
      <c r="I313">
        <v>8</v>
      </c>
      <c r="J313">
        <v>7.5664328991937396E-2</v>
      </c>
      <c r="K313">
        <v>1.4681892332789499E-2</v>
      </c>
      <c r="L313">
        <v>4.9408592881394098E-2</v>
      </c>
      <c r="M313">
        <v>2.3088023088023001E-3</v>
      </c>
      <c r="N313">
        <v>1.8381897451664801E-2</v>
      </c>
      <c r="O313">
        <v>883</v>
      </c>
      <c r="P313">
        <v>6.3061167227833906E-2</v>
      </c>
      <c r="Q313">
        <v>6.3221010554367199E-2</v>
      </c>
      <c r="R313">
        <v>0</v>
      </c>
      <c r="S313">
        <v>0</v>
      </c>
      <c r="T313" t="s">
        <v>53</v>
      </c>
      <c r="U313">
        <v>3.3962264150943298E-2</v>
      </c>
      <c r="V313">
        <v>0</v>
      </c>
      <c r="W313">
        <v>0</v>
      </c>
      <c r="X313">
        <v>0</v>
      </c>
      <c r="Y313">
        <v>4.5351731474584003E-2</v>
      </c>
      <c r="Z313">
        <v>4.5189459317366301E-2</v>
      </c>
      <c r="AA313">
        <v>0</v>
      </c>
      <c r="AB313">
        <f t="shared" si="28"/>
        <v>2.5351533421746088E-2</v>
      </c>
      <c r="AC313">
        <f t="shared" si="33"/>
        <v>0.1</v>
      </c>
      <c r="AD313">
        <f t="shared" si="29"/>
        <v>0</v>
      </c>
      <c r="AE313">
        <f t="shared" si="34"/>
        <v>2.7886686763920698E-2</v>
      </c>
      <c r="AF313" t="str">
        <f t="shared" si="30"/>
        <v>Very Low</v>
      </c>
      <c r="AG313" t="str">
        <f t="shared" si="31"/>
        <v>NO ACTION</v>
      </c>
      <c r="AH313" t="str">
        <f t="shared" si="32"/>
        <v/>
      </c>
    </row>
    <row r="314" spans="1:34" x14ac:dyDescent="0.3">
      <c r="A314" t="s">
        <v>341</v>
      </c>
      <c r="B314">
        <v>0.12892249527410199</v>
      </c>
      <c r="C314">
        <v>0.18476582604220201</v>
      </c>
      <c r="D314">
        <v>0</v>
      </c>
      <c r="E314">
        <v>0</v>
      </c>
      <c r="F314">
        <v>0</v>
      </c>
      <c r="G314">
        <v>0.99366818363454101</v>
      </c>
      <c r="H314">
        <v>7</v>
      </c>
      <c r="I314">
        <v>7</v>
      </c>
      <c r="J314">
        <v>8.8497686179094495E-2</v>
      </c>
      <c r="K314">
        <v>1.5497553017944501E-2</v>
      </c>
      <c r="L314">
        <v>4.4610882742283801E-2</v>
      </c>
      <c r="M314">
        <v>1.7316017316017301E-3</v>
      </c>
      <c r="N314">
        <v>1.1792580179676901E-2</v>
      </c>
      <c r="O314">
        <v>1051</v>
      </c>
      <c r="P314">
        <v>7.2565937149270496E-2</v>
      </c>
      <c r="Q314">
        <v>7.2723447526210599E-2</v>
      </c>
      <c r="R314">
        <v>0</v>
      </c>
      <c r="S314">
        <v>0</v>
      </c>
      <c r="T314" t="s">
        <v>53</v>
      </c>
      <c r="U314">
        <v>4.6091644204851699E-2</v>
      </c>
      <c r="V314">
        <v>0</v>
      </c>
      <c r="W314">
        <v>0</v>
      </c>
      <c r="X314">
        <v>0</v>
      </c>
      <c r="Y314">
        <v>4.3542752660863902E-2</v>
      </c>
      <c r="Z314">
        <v>4.8256594361433001E-2</v>
      </c>
      <c r="AA314">
        <v>0</v>
      </c>
      <c r="AB314">
        <f t="shared" si="28"/>
        <v>2.5703817166243134E-2</v>
      </c>
      <c r="AC314">
        <f t="shared" si="33"/>
        <v>0.1</v>
      </c>
      <c r="AD314">
        <f t="shared" si="29"/>
        <v>0</v>
      </c>
      <c r="AE314">
        <f t="shared" si="34"/>
        <v>2.827419888286745E-2</v>
      </c>
      <c r="AF314" t="str">
        <f t="shared" si="30"/>
        <v>Very Low</v>
      </c>
      <c r="AG314" t="str">
        <f t="shared" si="31"/>
        <v>NO ACTION</v>
      </c>
      <c r="AH314" t="str">
        <f t="shared" si="32"/>
        <v/>
      </c>
    </row>
    <row r="315" spans="1:34" x14ac:dyDescent="0.3">
      <c r="A315" t="s">
        <v>342</v>
      </c>
      <c r="B315">
        <v>0.12892249527410199</v>
      </c>
      <c r="C315">
        <v>0.36953165208440503</v>
      </c>
      <c r="D315">
        <v>0</v>
      </c>
      <c r="E315">
        <v>0</v>
      </c>
      <c r="F315">
        <v>0</v>
      </c>
      <c r="G315">
        <v>0.99366007453679595</v>
      </c>
      <c r="H315">
        <v>8</v>
      </c>
      <c r="I315">
        <v>8</v>
      </c>
      <c r="J315">
        <v>9.61309097848385E-2</v>
      </c>
      <c r="K315">
        <v>2.2838499184339299E-2</v>
      </c>
      <c r="L315">
        <v>6.0535038385048E-2</v>
      </c>
      <c r="M315">
        <v>2.59740259740259E-3</v>
      </c>
      <c r="N315">
        <v>1.6287771634306201E-2</v>
      </c>
      <c r="O315">
        <v>1095</v>
      </c>
      <c r="P315">
        <v>8.1755050505050497E-2</v>
      </c>
      <c r="Q315">
        <v>8.1910305410428097E-2</v>
      </c>
      <c r="R315">
        <v>0</v>
      </c>
      <c r="S315">
        <v>0</v>
      </c>
      <c r="T315" t="s">
        <v>28</v>
      </c>
      <c r="U315">
        <v>4.7547169811320698E-2</v>
      </c>
      <c r="V315">
        <v>0</v>
      </c>
      <c r="W315">
        <v>0</v>
      </c>
      <c r="X315">
        <v>0</v>
      </c>
      <c r="Y315">
        <v>5.4380032639783499E-2</v>
      </c>
      <c r="Z315">
        <v>5.5568138956752798E-2</v>
      </c>
      <c r="AA315">
        <v>0</v>
      </c>
      <c r="AB315">
        <f t="shared" si="28"/>
        <v>3.0785488047030164E-2</v>
      </c>
      <c r="AC315">
        <f t="shared" si="33"/>
        <v>0.25</v>
      </c>
      <c r="AD315">
        <f t="shared" si="29"/>
        <v>0</v>
      </c>
      <c r="AE315">
        <f t="shared" si="34"/>
        <v>3.8481860058787704E-2</v>
      </c>
      <c r="AF315" t="str">
        <f t="shared" si="30"/>
        <v>Very Low</v>
      </c>
      <c r="AG315" t="str">
        <f t="shared" si="31"/>
        <v>NO ACTION</v>
      </c>
      <c r="AH315" t="str">
        <f t="shared" si="32"/>
        <v/>
      </c>
    </row>
    <row r="316" spans="1:34" x14ac:dyDescent="0.3">
      <c r="A316" t="s">
        <v>343</v>
      </c>
      <c r="B316">
        <v>0.26956521739130401</v>
      </c>
      <c r="C316">
        <v>0.74318639094241601</v>
      </c>
      <c r="D316">
        <v>0.409375473194654</v>
      </c>
      <c r="E316">
        <v>0</v>
      </c>
      <c r="F316">
        <v>0</v>
      </c>
      <c r="G316">
        <v>0.40041980153934598</v>
      </c>
      <c r="H316">
        <v>7</v>
      </c>
      <c r="I316">
        <v>17</v>
      </c>
      <c r="J316">
        <v>0.124946328896522</v>
      </c>
      <c r="K316">
        <v>0.10685154975530101</v>
      </c>
      <c r="L316">
        <v>0.218025667702681</v>
      </c>
      <c r="M316">
        <v>2.4531024531024501E-2</v>
      </c>
      <c r="N316">
        <v>0.118420155386618</v>
      </c>
      <c r="O316">
        <v>510</v>
      </c>
      <c r="P316">
        <v>0.14972643097643001</v>
      </c>
      <c r="Q316">
        <v>0.14986500227918201</v>
      </c>
      <c r="R316">
        <v>0.57374631268436505</v>
      </c>
      <c r="S316">
        <v>1</v>
      </c>
      <c r="T316" t="s">
        <v>28</v>
      </c>
      <c r="U316">
        <v>2.5866608161474298E-2</v>
      </c>
      <c r="V316">
        <v>0</v>
      </c>
      <c r="W316">
        <v>0</v>
      </c>
      <c r="X316">
        <v>0.122812641958396</v>
      </c>
      <c r="Y316">
        <v>0.16952814624663001</v>
      </c>
      <c r="Z316">
        <v>0.137203920740506</v>
      </c>
      <c r="AA316">
        <v>0.57374631268436505</v>
      </c>
      <c r="AB316">
        <f t="shared" si="28"/>
        <v>0.26618396902136365</v>
      </c>
      <c r="AC316">
        <f t="shared" si="33"/>
        <v>0.25</v>
      </c>
      <c r="AD316">
        <f t="shared" si="29"/>
        <v>0</v>
      </c>
      <c r="AE316">
        <f t="shared" si="34"/>
        <v>0.33272996127670457</v>
      </c>
      <c r="AF316" t="str">
        <f t="shared" si="30"/>
        <v>Low</v>
      </c>
      <c r="AG316" t="str">
        <f t="shared" si="31"/>
        <v>NO ACTION</v>
      </c>
      <c r="AH316" t="str">
        <f t="shared" si="32"/>
        <v/>
      </c>
    </row>
    <row r="317" spans="1:34" x14ac:dyDescent="0.3">
      <c r="A317" t="s">
        <v>344</v>
      </c>
      <c r="B317">
        <v>0.12892249527410199</v>
      </c>
      <c r="C317">
        <v>0.27848762186071102</v>
      </c>
      <c r="D317">
        <v>7.5124914167671697E-2</v>
      </c>
      <c r="E317">
        <v>0</v>
      </c>
      <c r="F317">
        <v>0</v>
      </c>
      <c r="G317">
        <v>0.99367929015455603</v>
      </c>
      <c r="H317">
        <v>7</v>
      </c>
      <c r="I317">
        <v>8</v>
      </c>
      <c r="J317">
        <v>8.8259147941414998E-2</v>
      </c>
      <c r="K317">
        <v>1.1419249592169599E-2</v>
      </c>
      <c r="L317">
        <v>3.2959778312074597E-2</v>
      </c>
      <c r="M317">
        <v>2.8860028860028799E-3</v>
      </c>
      <c r="N317">
        <v>1.97072768501339E-2</v>
      </c>
      <c r="O317">
        <v>1004</v>
      </c>
      <c r="P317">
        <v>7.1198092031425297E-2</v>
      </c>
      <c r="Q317">
        <v>7.1355938146498807E-2</v>
      </c>
      <c r="R317">
        <v>0</v>
      </c>
      <c r="S317">
        <v>0</v>
      </c>
      <c r="T317" t="s">
        <v>53</v>
      </c>
      <c r="U317">
        <v>2.16123499142367E-2</v>
      </c>
      <c r="V317">
        <v>0</v>
      </c>
      <c r="W317">
        <v>0</v>
      </c>
      <c r="X317">
        <v>2.25374742503015E-2</v>
      </c>
      <c r="Y317">
        <v>4.0043901799360501E-2</v>
      </c>
      <c r="Z317">
        <v>5.06017659589088E-2</v>
      </c>
      <c r="AA317">
        <v>0</v>
      </c>
      <c r="AB317">
        <f t="shared" si="28"/>
        <v>2.8986782852363648E-2</v>
      </c>
      <c r="AC317">
        <f t="shared" si="33"/>
        <v>0.1</v>
      </c>
      <c r="AD317">
        <f t="shared" si="29"/>
        <v>0</v>
      </c>
      <c r="AE317">
        <f t="shared" si="34"/>
        <v>3.1885461137600012E-2</v>
      </c>
      <c r="AF317" t="str">
        <f t="shared" si="30"/>
        <v>Very Low</v>
      </c>
      <c r="AG317" t="str">
        <f t="shared" si="31"/>
        <v>NO ACTION</v>
      </c>
      <c r="AH317" t="str">
        <f t="shared" si="32"/>
        <v/>
      </c>
    </row>
    <row r="318" spans="1:34" x14ac:dyDescent="0.3">
      <c r="A318" t="s">
        <v>345</v>
      </c>
      <c r="B318">
        <v>0.12892249527410199</v>
      </c>
      <c r="C318">
        <v>0.18476582604220201</v>
      </c>
      <c r="D318">
        <v>0</v>
      </c>
      <c r="E318">
        <v>0</v>
      </c>
      <c r="F318">
        <v>0</v>
      </c>
      <c r="G318">
        <v>0.99364449864607696</v>
      </c>
      <c r="H318">
        <v>7</v>
      </c>
      <c r="I318">
        <v>7</v>
      </c>
      <c r="J318">
        <v>0.12799961833881901</v>
      </c>
      <c r="K318">
        <v>7.34094616639478E-3</v>
      </c>
      <c r="L318">
        <v>1.46222230792965E-2</v>
      </c>
      <c r="M318">
        <v>1.1544011544011501E-3</v>
      </c>
      <c r="N318">
        <v>5.4400295471724001E-3</v>
      </c>
      <c r="O318">
        <v>500</v>
      </c>
      <c r="P318">
        <v>9.7818462401795703E-2</v>
      </c>
      <c r="Q318">
        <v>9.7969774536274007E-2</v>
      </c>
      <c r="R318">
        <v>0</v>
      </c>
      <c r="S318">
        <v>0</v>
      </c>
      <c r="T318" t="s">
        <v>28</v>
      </c>
      <c r="U318">
        <v>3.0566037735849001E-2</v>
      </c>
      <c r="V318">
        <v>0</v>
      </c>
      <c r="W318">
        <v>0</v>
      </c>
      <c r="X318">
        <v>0</v>
      </c>
      <c r="Y318">
        <v>3.4543044071563903E-2</v>
      </c>
      <c r="Z318">
        <v>6.0867089259946397E-2</v>
      </c>
      <c r="AA318">
        <v>0</v>
      </c>
      <c r="AB318">
        <f t="shared" si="28"/>
        <v>2.6714837332822886E-2</v>
      </c>
      <c r="AC318">
        <f t="shared" si="33"/>
        <v>0.25</v>
      </c>
      <c r="AD318">
        <f t="shared" si="29"/>
        <v>0</v>
      </c>
      <c r="AE318">
        <f t="shared" si="34"/>
        <v>3.3393546666028603E-2</v>
      </c>
      <c r="AF318" t="str">
        <f t="shared" si="30"/>
        <v>Very Low</v>
      </c>
      <c r="AG318" t="str">
        <f t="shared" si="31"/>
        <v>NO ACTION</v>
      </c>
      <c r="AH318" t="str">
        <f t="shared" si="32"/>
        <v/>
      </c>
    </row>
    <row r="319" spans="1:34" x14ac:dyDescent="0.3">
      <c r="A319" t="s">
        <v>346</v>
      </c>
      <c r="B319">
        <v>0.236672967863894</v>
      </c>
      <c r="C319">
        <v>0.76399202673005995</v>
      </c>
      <c r="D319">
        <v>0.36152762673758698</v>
      </c>
      <c r="E319">
        <v>0</v>
      </c>
      <c r="F319">
        <v>0</v>
      </c>
      <c r="G319">
        <v>0.47630307914977998</v>
      </c>
      <c r="H319">
        <v>8</v>
      </c>
      <c r="I319">
        <v>14</v>
      </c>
      <c r="J319">
        <v>9.9708983350031005E-2</v>
      </c>
      <c r="K319">
        <v>1.1419249592169599E-2</v>
      </c>
      <c r="L319">
        <v>2.9183956452934801E-2</v>
      </c>
      <c r="M319">
        <v>2.59740259740259E-3</v>
      </c>
      <c r="N319">
        <v>1.5704677184390701E-2</v>
      </c>
      <c r="O319">
        <v>954</v>
      </c>
      <c r="P319">
        <v>7.9475308641975301E-2</v>
      </c>
      <c r="Q319">
        <v>7.9631123110908503E-2</v>
      </c>
      <c r="R319">
        <v>0</v>
      </c>
      <c r="S319">
        <v>0</v>
      </c>
      <c r="T319" t="s">
        <v>28</v>
      </c>
      <c r="U319">
        <v>2.3773584905660301E-2</v>
      </c>
      <c r="V319">
        <v>0</v>
      </c>
      <c r="W319">
        <v>0</v>
      </c>
      <c r="X319">
        <v>0.10845828802127599</v>
      </c>
      <c r="Y319">
        <v>3.9245178051790799E-2</v>
      </c>
      <c r="Z319">
        <v>5.3967056058941497E-2</v>
      </c>
      <c r="AA319">
        <v>0</v>
      </c>
      <c r="AB319">
        <f t="shared" si="28"/>
        <v>4.3452751634409204E-2</v>
      </c>
      <c r="AC319">
        <f t="shared" si="33"/>
        <v>0.25</v>
      </c>
      <c r="AD319">
        <f t="shared" si="29"/>
        <v>0</v>
      </c>
      <c r="AE319">
        <f t="shared" si="34"/>
        <v>5.4315939543011504E-2</v>
      </c>
      <c r="AF319" t="str">
        <f t="shared" si="30"/>
        <v>Very Low</v>
      </c>
      <c r="AG319" t="str">
        <f t="shared" si="31"/>
        <v>NO ACTION</v>
      </c>
      <c r="AH319" t="str">
        <f t="shared" si="32"/>
        <v/>
      </c>
    </row>
    <row r="320" spans="1:34" x14ac:dyDescent="0.3">
      <c r="A320" t="s">
        <v>347</v>
      </c>
      <c r="B320">
        <v>0.12892249527410199</v>
      </c>
      <c r="C320">
        <v>0.36953165208440503</v>
      </c>
      <c r="D320">
        <v>0</v>
      </c>
      <c r="E320">
        <v>0</v>
      </c>
      <c r="F320">
        <v>0</v>
      </c>
      <c r="G320">
        <v>0.99367626596958802</v>
      </c>
      <c r="H320">
        <v>8</v>
      </c>
      <c r="I320">
        <v>8</v>
      </c>
      <c r="J320">
        <v>7.18000095415295E-2</v>
      </c>
      <c r="K320">
        <v>4.8939641109298502E-3</v>
      </c>
      <c r="L320">
        <v>1.73529958662909E-2</v>
      </c>
      <c r="M320">
        <v>2.88600288600288E-4</v>
      </c>
      <c r="N320">
        <v>2.4209932819204299E-3</v>
      </c>
      <c r="O320">
        <v>341</v>
      </c>
      <c r="P320">
        <v>5.5029461279461199E-2</v>
      </c>
      <c r="Q320">
        <v>5.51912759914443E-2</v>
      </c>
      <c r="R320">
        <v>0</v>
      </c>
      <c r="S320">
        <v>0</v>
      </c>
      <c r="T320" t="s">
        <v>53</v>
      </c>
      <c r="U320">
        <v>5.0943396226415097E-2</v>
      </c>
      <c r="V320">
        <v>0</v>
      </c>
      <c r="W320">
        <v>0</v>
      </c>
      <c r="X320">
        <v>0</v>
      </c>
      <c r="Y320">
        <v>2.3762797826027499E-2</v>
      </c>
      <c r="Z320">
        <v>3.3986074080444899E-2</v>
      </c>
      <c r="AA320">
        <v>0</v>
      </c>
      <c r="AB320">
        <f t="shared" si="28"/>
        <v>1.6169684133812274E-2</v>
      </c>
      <c r="AC320">
        <f t="shared" si="33"/>
        <v>0.1</v>
      </c>
      <c r="AD320">
        <f t="shared" si="29"/>
        <v>0</v>
      </c>
      <c r="AE320">
        <f t="shared" si="34"/>
        <v>1.7786652547193502E-2</v>
      </c>
      <c r="AF320" t="str">
        <f t="shared" si="30"/>
        <v>Very Low</v>
      </c>
      <c r="AG320" t="str">
        <f t="shared" si="31"/>
        <v>NO ACTION</v>
      </c>
      <c r="AH320" t="str">
        <f t="shared" si="32"/>
        <v/>
      </c>
    </row>
    <row r="321" spans="1:34" x14ac:dyDescent="0.3">
      <c r="A321" t="s">
        <v>348</v>
      </c>
      <c r="B321">
        <v>0.12892249527410199</v>
      </c>
      <c r="C321">
        <v>9.7470667651248899E-2</v>
      </c>
      <c r="D321">
        <v>7.5018780494472401E-2</v>
      </c>
      <c r="E321">
        <v>0</v>
      </c>
      <c r="F321">
        <v>0.47246376811594198</v>
      </c>
      <c r="G321">
        <v>0.99367597157990095</v>
      </c>
      <c r="H321">
        <v>6</v>
      </c>
      <c r="I321">
        <v>7</v>
      </c>
      <c r="J321">
        <v>0.12618672773245501</v>
      </c>
      <c r="K321">
        <v>1.7944535073409401E-2</v>
      </c>
      <c r="L321">
        <v>3.6255756143282102E-2</v>
      </c>
      <c r="M321">
        <v>4.9062049062049001E-3</v>
      </c>
      <c r="N321">
        <v>2.3451659451659401E-2</v>
      </c>
      <c r="O321">
        <v>1417</v>
      </c>
      <c r="P321">
        <v>0.10286896745229999</v>
      </c>
      <c r="Q321">
        <v>0.103019039938286</v>
      </c>
      <c r="R321">
        <v>0</v>
      </c>
      <c r="S321">
        <v>0</v>
      </c>
      <c r="T321" t="s">
        <v>28</v>
      </c>
      <c r="U321">
        <v>2.0754716981132001E-2</v>
      </c>
      <c r="V321">
        <v>0</v>
      </c>
      <c r="W321">
        <v>0</v>
      </c>
      <c r="X321">
        <v>0.211491141394718</v>
      </c>
      <c r="Y321">
        <v>5.0400721453629997E-2</v>
      </c>
      <c r="Z321">
        <v>7.1102044252044194E-2</v>
      </c>
      <c r="AA321">
        <v>0</v>
      </c>
      <c r="AB321">
        <f t="shared" si="28"/>
        <v>6.7859357020743652E-2</v>
      </c>
      <c r="AC321">
        <f t="shared" si="33"/>
        <v>0.25</v>
      </c>
      <c r="AD321">
        <f t="shared" si="29"/>
        <v>0</v>
      </c>
      <c r="AE321">
        <f t="shared" si="34"/>
        <v>8.4824196275929561E-2</v>
      </c>
      <c r="AF321" t="str">
        <f t="shared" si="30"/>
        <v>Very Low</v>
      </c>
      <c r="AG321" t="str">
        <f t="shared" si="31"/>
        <v>NO ACTION</v>
      </c>
      <c r="AH321" t="str">
        <f t="shared" si="32"/>
        <v/>
      </c>
    </row>
    <row r="322" spans="1:34" x14ac:dyDescent="0.3">
      <c r="A322" t="s">
        <v>349</v>
      </c>
      <c r="B322">
        <v>0.12892249527410199</v>
      </c>
      <c r="C322">
        <v>0.27206098443315602</v>
      </c>
      <c r="D322">
        <v>7.5018780494472401E-2</v>
      </c>
      <c r="E322">
        <v>0</v>
      </c>
      <c r="F322">
        <v>0</v>
      </c>
      <c r="G322">
        <v>0.99366443685670502</v>
      </c>
      <c r="H322">
        <v>7</v>
      </c>
      <c r="I322">
        <v>8</v>
      </c>
      <c r="J322">
        <v>0.11216067935689999</v>
      </c>
      <c r="K322">
        <v>1.8760195758564399E-2</v>
      </c>
      <c r="L322">
        <v>4.2633669102736603E-2</v>
      </c>
      <c r="M322">
        <v>2.59740259740259E-3</v>
      </c>
      <c r="N322">
        <v>1.39648975811963E-2</v>
      </c>
      <c r="O322">
        <v>1264</v>
      </c>
      <c r="P322">
        <v>9.1785914702581295E-2</v>
      </c>
      <c r="Q322">
        <v>9.1938707528314401E-2</v>
      </c>
      <c r="R322">
        <v>0</v>
      </c>
      <c r="S322">
        <v>0</v>
      </c>
      <c r="T322" t="s">
        <v>28</v>
      </c>
      <c r="U322">
        <v>3.90566037735849E-2</v>
      </c>
      <c r="V322">
        <v>0</v>
      </c>
      <c r="W322">
        <v>0</v>
      </c>
      <c r="X322">
        <v>2.25056341483417E-2</v>
      </c>
      <c r="Y322">
        <v>4.7938439697107399E-2</v>
      </c>
      <c r="Z322">
        <v>6.06575078540273E-2</v>
      </c>
      <c r="AA322">
        <v>0</v>
      </c>
      <c r="AB322">
        <f t="shared" si="28"/>
        <v>3.4007766778052395E-2</v>
      </c>
      <c r="AC322">
        <f t="shared" si="33"/>
        <v>0.25</v>
      </c>
      <c r="AD322">
        <f t="shared" si="29"/>
        <v>0</v>
      </c>
      <c r="AE322">
        <f t="shared" si="34"/>
        <v>4.2509708472565494E-2</v>
      </c>
      <c r="AF322" t="str">
        <f t="shared" si="30"/>
        <v>Very Low</v>
      </c>
      <c r="AG322" t="str">
        <f t="shared" si="31"/>
        <v>NO ACTION</v>
      </c>
      <c r="AH322" t="str">
        <f t="shared" si="32"/>
        <v/>
      </c>
    </row>
    <row r="323" spans="1:34" x14ac:dyDescent="0.3">
      <c r="A323" t="s">
        <v>350</v>
      </c>
      <c r="B323">
        <v>0.24158790170132299</v>
      </c>
      <c r="C323">
        <v>0.48447151276384698</v>
      </c>
      <c r="D323">
        <v>0.36568288767504897</v>
      </c>
      <c r="E323">
        <v>0</v>
      </c>
      <c r="F323">
        <v>0.28304821150855303</v>
      </c>
      <c r="G323">
        <v>0.4634653735525</v>
      </c>
      <c r="H323">
        <v>6</v>
      </c>
      <c r="I323">
        <v>14</v>
      </c>
      <c r="J323">
        <v>0.11764705882352899</v>
      </c>
      <c r="K323">
        <v>2.4469820554649199E-3</v>
      </c>
      <c r="L323">
        <v>5.3021092185551004E-3</v>
      </c>
      <c r="M323">
        <v>8.6580086580086504E-4</v>
      </c>
      <c r="N323">
        <v>4.4383243897610503E-3</v>
      </c>
      <c r="O323">
        <v>487</v>
      </c>
      <c r="P323">
        <v>8.7962962962962896E-2</v>
      </c>
      <c r="Q323">
        <v>8.8116694133735393E-2</v>
      </c>
      <c r="R323">
        <v>0.17699115044247701</v>
      </c>
      <c r="S323">
        <v>1</v>
      </c>
      <c r="T323" t="s">
        <v>28</v>
      </c>
      <c r="U323">
        <v>1.27358490566037E-2</v>
      </c>
      <c r="V323">
        <v>0</v>
      </c>
      <c r="W323">
        <v>4.8974883477001498E-2</v>
      </c>
      <c r="X323">
        <v>0.22292415090593601</v>
      </c>
      <c r="Y323">
        <v>2.75119636909117E-2</v>
      </c>
      <c r="Z323">
        <v>5.4553107533682199E-2</v>
      </c>
      <c r="AA323">
        <v>0.17699115044247701</v>
      </c>
      <c r="AB323">
        <f t="shared" ref="AB323:AB386" si="35">0.16*X323 + 0.28*Y323 + 0.28*Z323 + 0.28*AA323</f>
        <v>0.10820360621172961</v>
      </c>
      <c r="AC323">
        <f t="shared" si="33"/>
        <v>0.25</v>
      </c>
      <c r="AD323">
        <f t="shared" ref="AD323:AD386" si="36">IF(V323&gt;0.7, 0.1,
 IF(F323&gt;0.5, 0.08,
 IF(E323&gt;0.5, 0.05,
 0)))</f>
        <v>0</v>
      </c>
      <c r="AE323">
        <f t="shared" si="34"/>
        <v>0.13525450776466202</v>
      </c>
      <c r="AF323" t="str">
        <f t="shared" ref="AF323:AF386" si="37">IF(MAX(X323, Y323, Z323, AA323)&gt;0.9,
 "Critical",
 IF(AE323&lt;=0.2,"Very Low",
 IF(AE323&lt;=0.4,"Low",
 IF(AE323&lt;=0.6,"Medium",
 IF(AE323&lt;=0.8,"High","Critical")))))</f>
        <v>Very Low</v>
      </c>
      <c r="AG323" t="str">
        <f t="shared" ref="AG323:AG386" si="38">IF(MAX(X323:AA323)&gt;0.9,"CRITICAL ALERT",
 IF(AE323&gt;0.8,"CRITICAL ALERT",
 IF(AE323&gt;0.6,"ALERT",
 IF(AE323&gt;=0.4,"REVIEW","NO ACTION"))))</f>
        <v>NO ACTION</v>
      </c>
      <c r="AH323" t="str">
        <f t="shared" ref="AH323:AH386" si="39">IF(AG323="NO ACTION","",
 IF(_xlfn.TEXTJOIN(", ", TRUE,
  IF(X323&gt;0.7,"Login anomaly",""),
  IF(Y323&gt;0.7,"File anomaly",""),
  IF(Z323&gt;0.7,"Network anomaly",""),
  IF(AA323&gt;0.7,"USB anomaly","")
 )="",
 "General anomaly detected",
 _xlfn.TEXTJOIN(", ", TRUE,
  IF(X323&gt;0.7,"Login anomaly",""),
  IF(Y323&gt;0.7,"File anomaly",""),
  IF(Z323&gt;0.7,"Network anomaly",""),
  IF(AA323&gt;0.7,"USB anomaly","")
 )))</f>
        <v/>
      </c>
    </row>
    <row r="324" spans="1:34" x14ac:dyDescent="0.3">
      <c r="A324" t="s">
        <v>351</v>
      </c>
      <c r="B324">
        <v>0.12892249527410199</v>
      </c>
      <c r="C324">
        <v>0.28277204681241402</v>
      </c>
      <c r="D324">
        <v>7.4993488433305694E-2</v>
      </c>
      <c r="E324">
        <v>0</v>
      </c>
      <c r="F324">
        <v>0</v>
      </c>
      <c r="G324">
        <v>0.99368052123870199</v>
      </c>
      <c r="H324">
        <v>7</v>
      </c>
      <c r="I324">
        <v>8</v>
      </c>
      <c r="J324">
        <v>8.4299413195935299E-2</v>
      </c>
      <c r="K324">
        <v>8.9722675367047301E-3</v>
      </c>
      <c r="L324">
        <v>2.7109975671472199E-2</v>
      </c>
      <c r="M324">
        <v>2.3088023088023001E-3</v>
      </c>
      <c r="N324">
        <v>1.65042882875839E-2</v>
      </c>
      <c r="O324">
        <v>801</v>
      </c>
      <c r="P324">
        <v>6.6954264870931507E-2</v>
      </c>
      <c r="Q324">
        <v>6.7113152635085299E-2</v>
      </c>
      <c r="R324">
        <v>0</v>
      </c>
      <c r="S324">
        <v>0</v>
      </c>
      <c r="T324" t="s">
        <v>53</v>
      </c>
      <c r="U324">
        <v>2.0754716981132001E-2</v>
      </c>
      <c r="V324">
        <v>0</v>
      </c>
      <c r="W324">
        <v>0</v>
      </c>
      <c r="X324">
        <v>2.2498046529991701E-2</v>
      </c>
      <c r="Y324">
        <v>3.5366156961198297E-2</v>
      </c>
      <c r="Z324">
        <v>4.6774274237592499E-2</v>
      </c>
      <c r="AA324">
        <v>0</v>
      </c>
      <c r="AB324">
        <f t="shared" si="35"/>
        <v>2.6599008180460099E-2</v>
      </c>
      <c r="AC324">
        <f t="shared" ref="AC324:AC387" si="40">IF(T324="IT_Admin", 0.25, IF(AND(T324="HR", AA324&gt;0.6), 0.25, IF(AND(T324="General", Z324&gt;0.7), 0.2, 0.1)))</f>
        <v>0.1</v>
      </c>
      <c r="AD324">
        <f t="shared" si="36"/>
        <v>0</v>
      </c>
      <c r="AE324">
        <f t="shared" ref="AE324:AE387" si="41">MIN(1,AB324*(1+AC324+AD324))</f>
        <v>2.9258908998506111E-2</v>
      </c>
      <c r="AF324" t="str">
        <f t="shared" si="37"/>
        <v>Very Low</v>
      </c>
      <c r="AG324" t="str">
        <f t="shared" si="38"/>
        <v>NO ACTION</v>
      </c>
      <c r="AH324" t="str">
        <f t="shared" si="39"/>
        <v/>
      </c>
    </row>
    <row r="325" spans="1:34" x14ac:dyDescent="0.3">
      <c r="A325" t="s">
        <v>352</v>
      </c>
      <c r="B325">
        <v>0.23440453686200299</v>
      </c>
      <c r="C325">
        <v>0.77992497723583598</v>
      </c>
      <c r="D325">
        <v>0.37874952811054502</v>
      </c>
      <c r="E325">
        <v>0</v>
      </c>
      <c r="F325">
        <v>0</v>
      </c>
      <c r="G325">
        <v>0.48212470086924403</v>
      </c>
      <c r="H325">
        <v>8</v>
      </c>
      <c r="I325">
        <v>14</v>
      </c>
      <c r="J325">
        <v>8.9594962072420195E-2</v>
      </c>
      <c r="K325">
        <v>1.38662316476345E-2</v>
      </c>
      <c r="L325">
        <v>3.9427456531039899E-2</v>
      </c>
      <c r="M325">
        <v>3.1746031746031698E-3</v>
      </c>
      <c r="N325">
        <v>2.1355655025330999E-2</v>
      </c>
      <c r="O325">
        <v>991</v>
      </c>
      <c r="P325">
        <v>7.3372615039281705E-2</v>
      </c>
      <c r="Q325">
        <v>7.3529927416809804E-2</v>
      </c>
      <c r="R325">
        <v>0</v>
      </c>
      <c r="S325">
        <v>0</v>
      </c>
      <c r="T325" t="s">
        <v>53</v>
      </c>
      <c r="U325">
        <v>2.40566037735849E-2</v>
      </c>
      <c r="V325">
        <v>0</v>
      </c>
      <c r="W325">
        <v>0</v>
      </c>
      <c r="X325">
        <v>0.113624858433163</v>
      </c>
      <c r="Y325">
        <v>4.4039417187603298E-2</v>
      </c>
      <c r="Z325">
        <v>5.2565831033701403E-2</v>
      </c>
      <c r="AA325">
        <v>0</v>
      </c>
      <c r="AB325">
        <f t="shared" si="35"/>
        <v>4.52294468512714E-2</v>
      </c>
      <c r="AC325">
        <f t="shared" si="40"/>
        <v>0.1</v>
      </c>
      <c r="AD325">
        <f t="shared" si="36"/>
        <v>0</v>
      </c>
      <c r="AE325">
        <f t="shared" si="41"/>
        <v>4.9752391536398544E-2</v>
      </c>
      <c r="AF325" t="str">
        <f t="shared" si="37"/>
        <v>Very Low</v>
      </c>
      <c r="AG325" t="str">
        <f t="shared" si="38"/>
        <v>NO ACTION</v>
      </c>
      <c r="AH325" t="str">
        <f t="shared" si="39"/>
        <v/>
      </c>
    </row>
    <row r="326" spans="1:34" x14ac:dyDescent="0.3">
      <c r="A326" t="s">
        <v>353</v>
      </c>
      <c r="B326">
        <v>0.12892249527410199</v>
      </c>
      <c r="C326">
        <v>0.27634540938485902</v>
      </c>
      <c r="D326">
        <v>7.5129964412319103E-2</v>
      </c>
      <c r="E326">
        <v>0</v>
      </c>
      <c r="F326">
        <v>0</v>
      </c>
      <c r="G326">
        <v>0.99369772965404901</v>
      </c>
      <c r="H326">
        <v>7</v>
      </c>
      <c r="I326">
        <v>8</v>
      </c>
      <c r="J326">
        <v>0.113687324078049</v>
      </c>
      <c r="K326">
        <v>6.5252854812398002E-3</v>
      </c>
      <c r="L326">
        <v>1.4630387357956E-2</v>
      </c>
      <c r="M326">
        <v>0</v>
      </c>
      <c r="N326">
        <v>0</v>
      </c>
      <c r="O326">
        <v>467</v>
      </c>
      <c r="P326">
        <v>8.6384680134680106E-2</v>
      </c>
      <c r="Q326">
        <v>8.6538798695606406E-2</v>
      </c>
      <c r="R326">
        <v>0</v>
      </c>
      <c r="S326">
        <v>0</v>
      </c>
      <c r="T326" t="s">
        <v>28</v>
      </c>
      <c r="U326">
        <v>0.135849056603773</v>
      </c>
      <c r="V326">
        <v>0</v>
      </c>
      <c r="W326">
        <v>0</v>
      </c>
      <c r="X326">
        <v>2.2538989323695701E-2</v>
      </c>
      <c r="Y326">
        <v>3.0052658494587901E-2</v>
      </c>
      <c r="Z326">
        <v>5.1830808080807998E-2</v>
      </c>
      <c r="AA326">
        <v>0</v>
      </c>
      <c r="AB326">
        <f t="shared" si="35"/>
        <v>2.6533608932902165E-2</v>
      </c>
      <c r="AC326">
        <f t="shared" si="40"/>
        <v>0.25</v>
      </c>
      <c r="AD326">
        <f t="shared" si="36"/>
        <v>0</v>
      </c>
      <c r="AE326">
        <f t="shared" si="41"/>
        <v>3.3167011166127705E-2</v>
      </c>
      <c r="AF326" t="str">
        <f t="shared" si="37"/>
        <v>Very Low</v>
      </c>
      <c r="AG326" t="str">
        <f t="shared" si="38"/>
        <v>NO ACTION</v>
      </c>
      <c r="AH326" t="str">
        <f t="shared" si="39"/>
        <v/>
      </c>
    </row>
    <row r="327" spans="1:34" x14ac:dyDescent="0.3">
      <c r="A327" t="s">
        <v>354</v>
      </c>
      <c r="B327">
        <v>0.23440453686200299</v>
      </c>
      <c r="C327">
        <v>0.664150236879264</v>
      </c>
      <c r="D327">
        <v>0.367855804182462</v>
      </c>
      <c r="E327">
        <v>0</v>
      </c>
      <c r="F327">
        <v>0</v>
      </c>
      <c r="G327">
        <v>0.48241965931741898</v>
      </c>
      <c r="H327">
        <v>7</v>
      </c>
      <c r="I327">
        <v>14</v>
      </c>
      <c r="J327">
        <v>0.10405037927579699</v>
      </c>
      <c r="K327">
        <v>2.2838499184339299E-2</v>
      </c>
      <c r="L327">
        <v>5.5938141600090099E-2</v>
      </c>
      <c r="M327">
        <v>5.7720057720057698E-4</v>
      </c>
      <c r="N327">
        <v>3.3446476264408498E-3</v>
      </c>
      <c r="O327">
        <v>436</v>
      </c>
      <c r="P327">
        <v>8.6595117845117794E-2</v>
      </c>
      <c r="Q327">
        <v>8.6749184754023601E-2</v>
      </c>
      <c r="R327">
        <v>0.27581120943952803</v>
      </c>
      <c r="S327">
        <v>1</v>
      </c>
      <c r="T327" t="s">
        <v>28</v>
      </c>
      <c r="U327">
        <v>0.15849056603773501</v>
      </c>
      <c r="V327">
        <v>0</v>
      </c>
      <c r="W327">
        <v>0</v>
      </c>
      <c r="X327">
        <v>0.110356741254738</v>
      </c>
      <c r="Y327">
        <v>4.9782540943136798E-2</v>
      </c>
      <c r="Z327">
        <v>5.3294929757646999E-2</v>
      </c>
      <c r="AA327">
        <v>0.27581120943952803</v>
      </c>
      <c r="AB327">
        <f t="shared" si="35"/>
        <v>0.1237459090400454</v>
      </c>
      <c r="AC327">
        <f t="shared" si="40"/>
        <v>0.25</v>
      </c>
      <c r="AD327">
        <f t="shared" si="36"/>
        <v>0</v>
      </c>
      <c r="AE327">
        <f t="shared" si="41"/>
        <v>0.15468238630005676</v>
      </c>
      <c r="AF327" t="str">
        <f t="shared" si="37"/>
        <v>Very Low</v>
      </c>
      <c r="AG327" t="str">
        <f t="shared" si="38"/>
        <v>NO ACTION</v>
      </c>
      <c r="AH327" t="str">
        <f t="shared" si="39"/>
        <v/>
      </c>
    </row>
    <row r="328" spans="1:34" x14ac:dyDescent="0.3">
      <c r="A328" t="s">
        <v>355</v>
      </c>
      <c r="B328">
        <v>0.92476370510396899</v>
      </c>
      <c r="C328">
        <v>0.95105380906865999</v>
      </c>
      <c r="D328">
        <v>0.99624448744082905</v>
      </c>
      <c r="E328">
        <v>0</v>
      </c>
      <c r="F328">
        <v>0.400816326530612</v>
      </c>
      <c r="G328">
        <v>1.20334841189317E-2</v>
      </c>
      <c r="H328">
        <v>0</v>
      </c>
      <c r="I328">
        <v>23</v>
      </c>
      <c r="J328">
        <v>7.8002003721196506E-2</v>
      </c>
      <c r="K328">
        <v>7.34094616639478E-3</v>
      </c>
      <c r="L328">
        <v>2.3966180266554199E-2</v>
      </c>
      <c r="M328">
        <v>1.44300144300144E-3</v>
      </c>
      <c r="N328">
        <v>1.11454263893288E-2</v>
      </c>
      <c r="O328">
        <v>908</v>
      </c>
      <c r="P328">
        <v>6.1202300785634101E-2</v>
      </c>
      <c r="Q328">
        <v>6.1362600371682001E-2</v>
      </c>
      <c r="R328">
        <v>0</v>
      </c>
      <c r="S328">
        <v>0</v>
      </c>
      <c r="T328" t="s">
        <v>53</v>
      </c>
      <c r="U328">
        <v>2.54716981132075E-2</v>
      </c>
      <c r="V328">
        <v>0</v>
      </c>
      <c r="W328">
        <v>0</v>
      </c>
      <c r="X328">
        <v>0.45919987684449298</v>
      </c>
      <c r="Y328">
        <v>3.0927118794314999E-2</v>
      </c>
      <c r="Z328">
        <v>4.1179551027112002E-2</v>
      </c>
      <c r="AA328">
        <v>0</v>
      </c>
      <c r="AB328">
        <f t="shared" si="35"/>
        <v>9.366184784511844E-2</v>
      </c>
      <c r="AC328">
        <f t="shared" si="40"/>
        <v>0.1</v>
      </c>
      <c r="AD328">
        <f t="shared" si="36"/>
        <v>0</v>
      </c>
      <c r="AE328">
        <f t="shared" si="41"/>
        <v>0.1030280326296303</v>
      </c>
      <c r="AF328" t="str">
        <f t="shared" si="37"/>
        <v>Very Low</v>
      </c>
      <c r="AG328" t="str">
        <f t="shared" si="38"/>
        <v>NO ACTION</v>
      </c>
      <c r="AH328" t="str">
        <f t="shared" si="39"/>
        <v/>
      </c>
    </row>
    <row r="329" spans="1:34" x14ac:dyDescent="0.3">
      <c r="A329" t="s">
        <v>356</v>
      </c>
      <c r="B329">
        <v>0.12892249527410199</v>
      </c>
      <c r="C329">
        <v>0.36953165208440503</v>
      </c>
      <c r="D329">
        <v>0</v>
      </c>
      <c r="E329">
        <v>0</v>
      </c>
      <c r="F329">
        <v>0</v>
      </c>
      <c r="G329">
        <v>0.99367396437748901</v>
      </c>
      <c r="H329">
        <v>8</v>
      </c>
      <c r="I329">
        <v>8</v>
      </c>
      <c r="J329">
        <v>0.11149277229139801</v>
      </c>
      <c r="K329">
        <v>9.7879282218597003E-3</v>
      </c>
      <c r="L329">
        <v>2.2376621484286301E-2</v>
      </c>
      <c r="M329">
        <v>3.1746031746031698E-3</v>
      </c>
      <c r="N329">
        <v>1.7170238434115401E-2</v>
      </c>
      <c r="O329">
        <v>1227</v>
      </c>
      <c r="P329">
        <v>8.7717452300785606E-2</v>
      </c>
      <c r="Q329">
        <v>8.7871243732248597E-2</v>
      </c>
      <c r="R329">
        <v>0</v>
      </c>
      <c r="S329">
        <v>0</v>
      </c>
      <c r="T329" t="s">
        <v>28</v>
      </c>
      <c r="U329">
        <v>1.6981132075471601E-2</v>
      </c>
      <c r="V329">
        <v>0</v>
      </c>
      <c r="W329">
        <v>0</v>
      </c>
      <c r="X329">
        <v>0</v>
      </c>
      <c r="Y329">
        <v>3.86379367306574E-2</v>
      </c>
      <c r="Z329">
        <v>5.94985667541175E-2</v>
      </c>
      <c r="AA329">
        <v>0</v>
      </c>
      <c r="AB329">
        <f t="shared" si="35"/>
        <v>2.7478220975736975E-2</v>
      </c>
      <c r="AC329">
        <f t="shared" si="40"/>
        <v>0.25</v>
      </c>
      <c r="AD329">
        <f t="shared" si="36"/>
        <v>0</v>
      </c>
      <c r="AE329">
        <f t="shared" si="41"/>
        <v>3.4347776219671222E-2</v>
      </c>
      <c r="AF329" t="str">
        <f t="shared" si="37"/>
        <v>Very Low</v>
      </c>
      <c r="AG329" t="str">
        <f t="shared" si="38"/>
        <v>NO ACTION</v>
      </c>
      <c r="AH329" t="str">
        <f t="shared" si="39"/>
        <v/>
      </c>
    </row>
    <row r="330" spans="1:34" x14ac:dyDescent="0.3">
      <c r="A330" t="s">
        <v>357</v>
      </c>
      <c r="B330">
        <v>0.12892249527410199</v>
      </c>
      <c r="C330">
        <v>0.28009428121759899</v>
      </c>
      <c r="D330">
        <v>7.50946055673926E-2</v>
      </c>
      <c r="E330">
        <v>0</v>
      </c>
      <c r="F330">
        <v>0</v>
      </c>
      <c r="G330">
        <v>0.99369499985876897</v>
      </c>
      <c r="H330">
        <v>7</v>
      </c>
      <c r="I330">
        <v>8</v>
      </c>
      <c r="J330">
        <v>8.4871904966366096E-2</v>
      </c>
      <c r="K330">
        <v>1.1419249592169599E-2</v>
      </c>
      <c r="L330">
        <v>3.4271518368216597E-2</v>
      </c>
      <c r="M330">
        <v>1.44300144300144E-3</v>
      </c>
      <c r="N330">
        <v>1.02457955596969E-2</v>
      </c>
      <c r="O330">
        <v>920</v>
      </c>
      <c r="P330">
        <v>6.8006453423120103E-2</v>
      </c>
      <c r="Q330">
        <v>6.81650829271713E-2</v>
      </c>
      <c r="R330">
        <v>0</v>
      </c>
      <c r="S330">
        <v>0</v>
      </c>
      <c r="T330" t="s">
        <v>53</v>
      </c>
      <c r="U330">
        <v>3.9622641509433898E-2</v>
      </c>
      <c r="V330">
        <v>0</v>
      </c>
      <c r="W330">
        <v>0</v>
      </c>
      <c r="X330">
        <v>2.2528381670217701E-2</v>
      </c>
      <c r="Y330">
        <v>3.7183878845290598E-2</v>
      </c>
      <c r="Z330">
        <v>4.4902190277750803E-2</v>
      </c>
      <c r="AA330">
        <v>0</v>
      </c>
      <c r="AB330">
        <f t="shared" si="35"/>
        <v>2.6588640421686426E-2</v>
      </c>
      <c r="AC330">
        <f t="shared" si="40"/>
        <v>0.1</v>
      </c>
      <c r="AD330">
        <f t="shared" si="36"/>
        <v>0</v>
      </c>
      <c r="AE330">
        <f t="shared" si="41"/>
        <v>2.9247504463855069E-2</v>
      </c>
      <c r="AF330" t="str">
        <f t="shared" si="37"/>
        <v>Very Low</v>
      </c>
      <c r="AG330" t="str">
        <f t="shared" si="38"/>
        <v>NO ACTION</v>
      </c>
      <c r="AH330" t="str">
        <f t="shared" si="39"/>
        <v/>
      </c>
    </row>
    <row r="331" spans="1:34" x14ac:dyDescent="0.3">
      <c r="A331" t="s">
        <v>358</v>
      </c>
      <c r="B331">
        <v>0.156143667296786</v>
      </c>
      <c r="C331">
        <v>0.41782775529447702</v>
      </c>
      <c r="D331">
        <v>0.52126246811557797</v>
      </c>
      <c r="E331">
        <v>0.54622968292033003</v>
      </c>
      <c r="F331">
        <v>0.13189448441247001</v>
      </c>
      <c r="G331">
        <v>0.79596955507127298</v>
      </c>
      <c r="H331">
        <v>0</v>
      </c>
      <c r="I331">
        <v>23</v>
      </c>
      <c r="J331">
        <v>0.104527455751156</v>
      </c>
      <c r="K331">
        <v>1.5497553017944501E-2</v>
      </c>
      <c r="L331">
        <v>3.77851739073988E-2</v>
      </c>
      <c r="M331">
        <v>3.7518037518037501E-3</v>
      </c>
      <c r="N331">
        <v>2.1641210439024599E-2</v>
      </c>
      <c r="O331">
        <v>1155</v>
      </c>
      <c r="P331">
        <v>8.5332491582491496E-2</v>
      </c>
      <c r="Q331">
        <v>8.5486868403520405E-2</v>
      </c>
      <c r="R331">
        <v>0.104719764011799</v>
      </c>
      <c r="S331">
        <v>1</v>
      </c>
      <c r="T331" t="s">
        <v>28</v>
      </c>
      <c r="U331">
        <v>2.3045822102425801E-2</v>
      </c>
      <c r="V331">
        <v>0</v>
      </c>
      <c r="W331">
        <v>0.16263439059847801</v>
      </c>
      <c r="X331">
        <v>0.37300543907576</v>
      </c>
      <c r="Y331">
        <v>4.6290441235638198E-2</v>
      </c>
      <c r="Z331">
        <v>5.9855979125104798E-2</v>
      </c>
      <c r="AA331">
        <v>0.104719764011799</v>
      </c>
      <c r="AB331">
        <f t="shared" si="35"/>
        <v>0.11872340187643338</v>
      </c>
      <c r="AC331">
        <f t="shared" si="40"/>
        <v>0.25</v>
      </c>
      <c r="AD331">
        <f t="shared" si="36"/>
        <v>0.05</v>
      </c>
      <c r="AE331">
        <f t="shared" si="41"/>
        <v>0.15434042243936338</v>
      </c>
      <c r="AF331" t="str">
        <f t="shared" si="37"/>
        <v>Very Low</v>
      </c>
      <c r="AG331" t="str">
        <f t="shared" si="38"/>
        <v>NO ACTION</v>
      </c>
      <c r="AH331" t="str">
        <f t="shared" si="39"/>
        <v/>
      </c>
    </row>
    <row r="332" spans="1:34" x14ac:dyDescent="0.3">
      <c r="A332" t="s">
        <v>359</v>
      </c>
      <c r="B332">
        <v>0.24650283553875199</v>
      </c>
      <c r="C332">
        <v>0.69343515810351097</v>
      </c>
      <c r="D332">
        <v>0.38283964963095302</v>
      </c>
      <c r="E332">
        <v>0</v>
      </c>
      <c r="F332">
        <v>0</v>
      </c>
      <c r="G332">
        <v>0.45159906457445198</v>
      </c>
      <c r="H332">
        <v>7</v>
      </c>
      <c r="I332">
        <v>16</v>
      </c>
      <c r="J332">
        <v>0.110395496398072</v>
      </c>
      <c r="K332">
        <v>1.1419249592169599E-2</v>
      </c>
      <c r="L332">
        <v>2.6364980064208E-2</v>
      </c>
      <c r="M332">
        <v>2.0202020202020202E-3</v>
      </c>
      <c r="N332">
        <v>1.1034885291030101E-2</v>
      </c>
      <c r="O332">
        <v>1247</v>
      </c>
      <c r="P332">
        <v>8.7051066217732898E-2</v>
      </c>
      <c r="Q332">
        <v>8.7205021213927494E-2</v>
      </c>
      <c r="R332">
        <v>0.47050147492625299</v>
      </c>
      <c r="S332">
        <v>1</v>
      </c>
      <c r="T332" t="s">
        <v>28</v>
      </c>
      <c r="U332">
        <v>2.9716981132075399E-2</v>
      </c>
      <c r="V332">
        <v>0</v>
      </c>
      <c r="W332">
        <v>0</v>
      </c>
      <c r="X332">
        <v>0.114851894889286</v>
      </c>
      <c r="Y332">
        <v>3.8572054899027597E-2</v>
      </c>
      <c r="Z332">
        <v>5.6644593847051797E-2</v>
      </c>
      <c r="AA332">
        <v>0.47050147492625299</v>
      </c>
      <c r="AB332">
        <f t="shared" si="35"/>
        <v>0.17677737781053884</v>
      </c>
      <c r="AC332">
        <f t="shared" si="40"/>
        <v>0.25</v>
      </c>
      <c r="AD332">
        <f t="shared" si="36"/>
        <v>0</v>
      </c>
      <c r="AE332">
        <f t="shared" si="41"/>
        <v>0.22097172226317355</v>
      </c>
      <c r="AF332" t="str">
        <f t="shared" si="37"/>
        <v>Low</v>
      </c>
      <c r="AG332" t="str">
        <f t="shared" si="38"/>
        <v>NO ACTION</v>
      </c>
      <c r="AH332" t="str">
        <f t="shared" si="39"/>
        <v/>
      </c>
    </row>
    <row r="333" spans="1:34" x14ac:dyDescent="0.3">
      <c r="A333" t="s">
        <v>360</v>
      </c>
      <c r="B333">
        <v>0.12892249527410199</v>
      </c>
      <c r="C333">
        <v>0.26563434700560101</v>
      </c>
      <c r="D333">
        <v>7.4546943629650697E-2</v>
      </c>
      <c r="E333">
        <v>0</v>
      </c>
      <c r="F333">
        <v>0</v>
      </c>
      <c r="G333">
        <v>0.99365873640185398</v>
      </c>
      <c r="H333">
        <v>7</v>
      </c>
      <c r="I333">
        <v>8</v>
      </c>
      <c r="J333">
        <v>8.4060874958255802E-2</v>
      </c>
      <c r="K333">
        <v>7.3409461663947795E-2</v>
      </c>
      <c r="L333">
        <v>0.22243653444906</v>
      </c>
      <c r="M333">
        <v>5.1948051948051896E-3</v>
      </c>
      <c r="N333">
        <v>3.7239726883190299E-2</v>
      </c>
      <c r="O333">
        <v>373</v>
      </c>
      <c r="P333">
        <v>9.5889450056116696E-2</v>
      </c>
      <c r="Q333">
        <v>9.6041235667449695E-2</v>
      </c>
      <c r="R333">
        <v>0</v>
      </c>
      <c r="S333">
        <v>0</v>
      </c>
      <c r="T333" t="s">
        <v>53</v>
      </c>
      <c r="U333">
        <v>8.0436941410129095E-2</v>
      </c>
      <c r="V333">
        <v>0</v>
      </c>
      <c r="W333">
        <v>0</v>
      </c>
      <c r="X333">
        <v>2.23640830888952E-2</v>
      </c>
      <c r="Y333">
        <v>0.139202360281138</v>
      </c>
      <c r="Z333">
        <v>7.2429560786946096E-2</v>
      </c>
      <c r="AA333">
        <v>0</v>
      </c>
      <c r="AB333">
        <f t="shared" si="35"/>
        <v>6.2835191193286788E-2</v>
      </c>
      <c r="AC333">
        <f t="shared" si="40"/>
        <v>0.1</v>
      </c>
      <c r="AD333">
        <f t="shared" si="36"/>
        <v>0</v>
      </c>
      <c r="AE333">
        <f t="shared" si="41"/>
        <v>6.9118710312615475E-2</v>
      </c>
      <c r="AF333" t="str">
        <f t="shared" si="37"/>
        <v>Very Low</v>
      </c>
      <c r="AG333" t="str">
        <f t="shared" si="38"/>
        <v>NO ACTION</v>
      </c>
      <c r="AH333" t="str">
        <f t="shared" si="39"/>
        <v/>
      </c>
    </row>
    <row r="334" spans="1:34" x14ac:dyDescent="0.3">
      <c r="A334" t="s">
        <v>361</v>
      </c>
      <c r="B334">
        <v>0.12892249527410199</v>
      </c>
      <c r="C334">
        <v>0.27902317497967399</v>
      </c>
      <c r="D334">
        <v>7.51173381640724E-2</v>
      </c>
      <c r="E334">
        <v>0</v>
      </c>
      <c r="F334">
        <v>0</v>
      </c>
      <c r="G334">
        <v>0.99368972760709895</v>
      </c>
      <c r="H334">
        <v>7</v>
      </c>
      <c r="I334">
        <v>8</v>
      </c>
      <c r="J334">
        <v>0.10352559515290299</v>
      </c>
      <c r="K334">
        <v>2.0391517128874301E-2</v>
      </c>
      <c r="L334">
        <v>5.0197363521263097E-2</v>
      </c>
      <c r="M334">
        <v>3.7518037518037501E-3</v>
      </c>
      <c r="N334">
        <v>2.1850160057056599E-2</v>
      </c>
      <c r="O334">
        <v>1141</v>
      </c>
      <c r="P334">
        <v>8.6700336700336694E-2</v>
      </c>
      <c r="Q334">
        <v>8.6854377783232198E-2</v>
      </c>
      <c r="R334">
        <v>0</v>
      </c>
      <c r="S334">
        <v>0</v>
      </c>
      <c r="T334" t="s">
        <v>28</v>
      </c>
      <c r="U334">
        <v>3.03234501347708E-2</v>
      </c>
      <c r="V334">
        <v>0</v>
      </c>
      <c r="W334">
        <v>0</v>
      </c>
      <c r="X334">
        <v>2.2535201449221699E-2</v>
      </c>
      <c r="Y334">
        <v>5.2358848808329098E-2</v>
      </c>
      <c r="Z334">
        <v>6.0760266043024598E-2</v>
      </c>
      <c r="AA334">
        <v>0</v>
      </c>
      <c r="AB334">
        <f t="shared" si="35"/>
        <v>3.5278984390254509E-2</v>
      </c>
      <c r="AC334">
        <f t="shared" si="40"/>
        <v>0.25</v>
      </c>
      <c r="AD334">
        <f t="shared" si="36"/>
        <v>0</v>
      </c>
      <c r="AE334">
        <f t="shared" si="41"/>
        <v>4.4098730487818136E-2</v>
      </c>
      <c r="AF334" t="str">
        <f t="shared" si="37"/>
        <v>Very Low</v>
      </c>
      <c r="AG334" t="str">
        <f t="shared" si="38"/>
        <v>NO ACTION</v>
      </c>
      <c r="AH334" t="str">
        <f t="shared" si="39"/>
        <v/>
      </c>
    </row>
    <row r="335" spans="1:34" x14ac:dyDescent="0.3">
      <c r="A335" t="s">
        <v>362</v>
      </c>
      <c r="B335">
        <v>0.12892249527410199</v>
      </c>
      <c r="C335">
        <v>0.36953165208440503</v>
      </c>
      <c r="D335">
        <v>0</v>
      </c>
      <c r="E335">
        <v>0</v>
      </c>
      <c r="F335">
        <v>0</v>
      </c>
      <c r="G335">
        <v>0.99368375952526</v>
      </c>
      <c r="H335">
        <v>8</v>
      </c>
      <c r="I335">
        <v>8</v>
      </c>
      <c r="J335">
        <v>0.120938886503506</v>
      </c>
      <c r="K335">
        <v>2.1207177814029299E-2</v>
      </c>
      <c r="L335">
        <v>4.4703321372085499E-2</v>
      </c>
      <c r="M335">
        <v>4.6176046176046098E-3</v>
      </c>
      <c r="N335">
        <v>2.3028030587085701E-2</v>
      </c>
      <c r="O335">
        <v>1283</v>
      </c>
      <c r="P335">
        <v>0.100273569023569</v>
      </c>
      <c r="Q335">
        <v>0.100424278551141</v>
      </c>
      <c r="R335">
        <v>0</v>
      </c>
      <c r="S335">
        <v>0</v>
      </c>
      <c r="T335" t="s">
        <v>28</v>
      </c>
      <c r="U335">
        <v>2.59711431742508E-2</v>
      </c>
      <c r="V335">
        <v>0</v>
      </c>
      <c r="W335">
        <v>0</v>
      </c>
      <c r="X335">
        <v>0</v>
      </c>
      <c r="Y335">
        <v>5.3447847162869697E-2</v>
      </c>
      <c r="Z335">
        <v>6.9375353648975693E-2</v>
      </c>
      <c r="AA335">
        <v>0</v>
      </c>
      <c r="AB335">
        <f t="shared" si="35"/>
        <v>3.4390496227316714E-2</v>
      </c>
      <c r="AC335">
        <f t="shared" si="40"/>
        <v>0.25</v>
      </c>
      <c r="AD335">
        <f t="shared" si="36"/>
        <v>0</v>
      </c>
      <c r="AE335">
        <f t="shared" si="41"/>
        <v>4.2988120284145892E-2</v>
      </c>
      <c r="AF335" t="str">
        <f t="shared" si="37"/>
        <v>Very Low</v>
      </c>
      <c r="AG335" t="str">
        <f t="shared" si="38"/>
        <v>NO ACTION</v>
      </c>
      <c r="AH335" t="str">
        <f t="shared" si="39"/>
        <v/>
      </c>
    </row>
    <row r="336" spans="1:34" x14ac:dyDescent="0.3">
      <c r="A336" t="s">
        <v>363</v>
      </c>
      <c r="B336">
        <v>0.28657844990548198</v>
      </c>
      <c r="C336">
        <v>0.69711515731146001</v>
      </c>
      <c r="D336">
        <v>0.54965028711736796</v>
      </c>
      <c r="E336">
        <v>0.17935258092738399</v>
      </c>
      <c r="F336">
        <v>5.9055118110236199E-2</v>
      </c>
      <c r="G336">
        <v>0.36798545643963998</v>
      </c>
      <c r="H336">
        <v>0</v>
      </c>
      <c r="I336">
        <v>23</v>
      </c>
      <c r="J336">
        <v>8.7352702638232901E-2</v>
      </c>
      <c r="K336">
        <v>2.77324632952691E-2</v>
      </c>
      <c r="L336">
        <v>8.0873530117590506E-2</v>
      </c>
      <c r="M336">
        <v>5.1948051948051896E-3</v>
      </c>
      <c r="N336">
        <v>3.5840194663723998E-2</v>
      </c>
      <c r="O336">
        <v>1003</v>
      </c>
      <c r="P336">
        <v>7.8668630751963994E-2</v>
      </c>
      <c r="Q336">
        <v>7.8824643220309201E-2</v>
      </c>
      <c r="R336">
        <v>8.2595870206489605E-2</v>
      </c>
      <c r="S336">
        <v>1</v>
      </c>
      <c r="T336" t="s">
        <v>53</v>
      </c>
      <c r="U336">
        <v>3.0387288977159799E-2</v>
      </c>
      <c r="V336">
        <v>0</v>
      </c>
      <c r="W336">
        <v>0.155857702356685</v>
      </c>
      <c r="X336">
        <v>0.24232290765751999</v>
      </c>
      <c r="Y336">
        <v>6.8659363985559094E-2</v>
      </c>
      <c r="Z336">
        <v>6.1537256316668003E-2</v>
      </c>
      <c r="AA336">
        <v>8.2595870206489605E-2</v>
      </c>
      <c r="AB336">
        <f t="shared" si="35"/>
        <v>9.8353562567643882E-2</v>
      </c>
      <c r="AC336">
        <f t="shared" si="40"/>
        <v>0.1</v>
      </c>
      <c r="AD336">
        <f t="shared" si="36"/>
        <v>0</v>
      </c>
      <c r="AE336">
        <f t="shared" si="41"/>
        <v>0.10818891882440827</v>
      </c>
      <c r="AF336" t="str">
        <f t="shared" si="37"/>
        <v>Very Low</v>
      </c>
      <c r="AG336" t="str">
        <f t="shared" si="38"/>
        <v>NO ACTION</v>
      </c>
      <c r="AH336" t="str">
        <f t="shared" si="39"/>
        <v/>
      </c>
    </row>
    <row r="337" spans="1:34" x14ac:dyDescent="0.3">
      <c r="A337" t="s">
        <v>364</v>
      </c>
      <c r="B337">
        <v>0.14366729678638901</v>
      </c>
      <c r="C337">
        <v>0.26223274789843798</v>
      </c>
      <c r="D337">
        <v>0.220553118821947</v>
      </c>
      <c r="E337">
        <v>0</v>
      </c>
      <c r="F337">
        <v>0</v>
      </c>
      <c r="G337">
        <v>0.87736308037736299</v>
      </c>
      <c r="H337">
        <v>7</v>
      </c>
      <c r="I337">
        <v>15</v>
      </c>
      <c r="J337">
        <v>9.1694098563999807E-2</v>
      </c>
      <c r="K337">
        <v>7.34094616639478E-3</v>
      </c>
      <c r="L337">
        <v>2.0396749163024901E-2</v>
      </c>
      <c r="M337">
        <v>2.88600288600288E-4</v>
      </c>
      <c r="N337">
        <v>1.8970938535027701E-3</v>
      </c>
      <c r="O337">
        <v>431</v>
      </c>
      <c r="P337">
        <v>7.0707070707070704E-2</v>
      </c>
      <c r="Q337">
        <v>7.0865037343525297E-2</v>
      </c>
      <c r="R337">
        <v>0.29498525073746301</v>
      </c>
      <c r="S337">
        <v>1</v>
      </c>
      <c r="T337" t="s">
        <v>53</v>
      </c>
      <c r="U337">
        <v>7.6415094339622597E-2</v>
      </c>
      <c r="V337">
        <v>0</v>
      </c>
      <c r="W337">
        <v>0</v>
      </c>
      <c r="X337">
        <v>6.6165935646584295E-2</v>
      </c>
      <c r="Y337">
        <v>2.9106322450363199E-2</v>
      </c>
      <c r="Z337">
        <v>4.3183079965643502E-2</v>
      </c>
      <c r="AA337">
        <v>0.29498525073746301</v>
      </c>
      <c r="AB337">
        <f t="shared" si="35"/>
        <v>0.11342345258642501</v>
      </c>
      <c r="AC337">
        <f t="shared" si="40"/>
        <v>0.1</v>
      </c>
      <c r="AD337">
        <f t="shared" si="36"/>
        <v>0</v>
      </c>
      <c r="AE337">
        <f t="shared" si="41"/>
        <v>0.12476579784506753</v>
      </c>
      <c r="AF337" t="str">
        <f t="shared" si="37"/>
        <v>Very Low</v>
      </c>
      <c r="AG337" t="str">
        <f t="shared" si="38"/>
        <v>NO ACTION</v>
      </c>
      <c r="AH337" t="str">
        <f t="shared" si="39"/>
        <v/>
      </c>
    </row>
    <row r="338" spans="1:34" x14ac:dyDescent="0.3">
      <c r="A338" t="s">
        <v>365</v>
      </c>
      <c r="B338">
        <v>0.23100189035916799</v>
      </c>
      <c r="C338">
        <v>0.66966345731393395</v>
      </c>
      <c r="D338">
        <v>0.36645288138146698</v>
      </c>
      <c r="E338">
        <v>0</v>
      </c>
      <c r="F338">
        <v>0</v>
      </c>
      <c r="G338">
        <v>0.49169407799815001</v>
      </c>
      <c r="H338">
        <v>7</v>
      </c>
      <c r="I338">
        <v>14</v>
      </c>
      <c r="J338">
        <v>0.109059682267067</v>
      </c>
      <c r="K338">
        <v>1.5497553017944501E-2</v>
      </c>
      <c r="L338">
        <v>3.62183508950885E-2</v>
      </c>
      <c r="M338">
        <v>1.7316017316017301E-3</v>
      </c>
      <c r="N338">
        <v>9.5740720795282098E-3</v>
      </c>
      <c r="O338">
        <v>1140</v>
      </c>
      <c r="P338">
        <v>8.7682379349046005E-2</v>
      </c>
      <c r="Q338">
        <v>8.7836179389179106E-2</v>
      </c>
      <c r="R338">
        <v>0.58997050147492602</v>
      </c>
      <c r="S338">
        <v>1</v>
      </c>
      <c r="T338" t="s">
        <v>28</v>
      </c>
      <c r="U338">
        <v>4.6091644204851699E-2</v>
      </c>
      <c r="V338">
        <v>0</v>
      </c>
      <c r="W338">
        <v>0</v>
      </c>
      <c r="X338">
        <v>0.10993586441444</v>
      </c>
      <c r="Y338">
        <v>4.27933335248162E-2</v>
      </c>
      <c r="Z338">
        <v>5.6439056441238901E-2</v>
      </c>
      <c r="AA338">
        <v>0.58997050147492602</v>
      </c>
      <c r="AB338">
        <f t="shared" si="35"/>
        <v>0.21056654790978513</v>
      </c>
      <c r="AC338">
        <f t="shared" si="40"/>
        <v>0.25</v>
      </c>
      <c r="AD338">
        <f t="shared" si="36"/>
        <v>0</v>
      </c>
      <c r="AE338">
        <f t="shared" si="41"/>
        <v>0.26320818488723141</v>
      </c>
      <c r="AF338" t="str">
        <f t="shared" si="37"/>
        <v>Low</v>
      </c>
      <c r="AG338" t="str">
        <f t="shared" si="38"/>
        <v>NO ACTION</v>
      </c>
      <c r="AH338" t="str">
        <f t="shared" si="39"/>
        <v/>
      </c>
    </row>
    <row r="339" spans="1:34" x14ac:dyDescent="0.3">
      <c r="A339" t="s">
        <v>366</v>
      </c>
      <c r="B339">
        <v>0.235538752362948</v>
      </c>
      <c r="C339">
        <v>0.59614237014892502</v>
      </c>
      <c r="D339">
        <v>0.38230540109108502</v>
      </c>
      <c r="E339">
        <v>0</v>
      </c>
      <c r="F339">
        <v>0</v>
      </c>
      <c r="G339">
        <v>0.47935476478702799</v>
      </c>
      <c r="H339">
        <v>7</v>
      </c>
      <c r="I339">
        <v>14</v>
      </c>
      <c r="J339">
        <v>8.3631506130432701E-2</v>
      </c>
      <c r="K339">
        <v>7.34094616639478E-3</v>
      </c>
      <c r="L339">
        <v>2.2357528803839E-2</v>
      </c>
      <c r="M339">
        <v>1.44300144300144E-3</v>
      </c>
      <c r="N339">
        <v>1.03973260969847E-2</v>
      </c>
      <c r="O339">
        <v>871</v>
      </c>
      <c r="P339">
        <v>6.5340909090909102E-2</v>
      </c>
      <c r="Q339">
        <v>6.5500192853886793E-2</v>
      </c>
      <c r="R339">
        <v>9.5870206489675494E-2</v>
      </c>
      <c r="S339">
        <v>1</v>
      </c>
      <c r="T339" t="s">
        <v>53</v>
      </c>
      <c r="U339">
        <v>2.54716981132075E-2</v>
      </c>
      <c r="V339">
        <v>0</v>
      </c>
      <c r="W339">
        <v>0</v>
      </c>
      <c r="X339">
        <v>0.11469162032732499</v>
      </c>
      <c r="Y339">
        <v>3.1024263457101499E-2</v>
      </c>
      <c r="Z339">
        <v>4.3363475893339297E-2</v>
      </c>
      <c r="AA339">
        <v>9.5870206489675494E-2</v>
      </c>
      <c r="AB339">
        <f t="shared" si="35"/>
        <v>6.6022884087604566E-2</v>
      </c>
      <c r="AC339">
        <f t="shared" si="40"/>
        <v>0.1</v>
      </c>
      <c r="AD339">
        <f t="shared" si="36"/>
        <v>0</v>
      </c>
      <c r="AE339">
        <f t="shared" si="41"/>
        <v>7.2625172496365034E-2</v>
      </c>
      <c r="AF339" t="str">
        <f t="shared" si="37"/>
        <v>Very Low</v>
      </c>
      <c r="AG339" t="str">
        <f t="shared" si="38"/>
        <v>NO ACTION</v>
      </c>
      <c r="AH339" t="str">
        <f t="shared" si="39"/>
        <v/>
      </c>
    </row>
    <row r="340" spans="1:34" x14ac:dyDescent="0.3">
      <c r="A340" t="s">
        <v>367</v>
      </c>
      <c r="B340">
        <v>0.12892249527410199</v>
      </c>
      <c r="C340">
        <v>0.36953165208440503</v>
      </c>
      <c r="D340">
        <v>0</v>
      </c>
      <c r="E340">
        <v>0</v>
      </c>
      <c r="F340">
        <v>0</v>
      </c>
      <c r="G340">
        <v>0.99367752381643304</v>
      </c>
      <c r="H340">
        <v>8</v>
      </c>
      <c r="I340">
        <v>8</v>
      </c>
      <c r="J340">
        <v>0.123992175945804</v>
      </c>
      <c r="K340">
        <v>2.2022838499184301E-2</v>
      </c>
      <c r="L340">
        <v>4.5281723084273001E-2</v>
      </c>
      <c r="M340">
        <v>3.1746031746031698E-3</v>
      </c>
      <c r="N340">
        <v>1.5442664521005499E-2</v>
      </c>
      <c r="O340">
        <v>1310</v>
      </c>
      <c r="P340">
        <v>0.102167508417508</v>
      </c>
      <c r="Q340">
        <v>0.102317753076896</v>
      </c>
      <c r="R340">
        <v>0</v>
      </c>
      <c r="S340">
        <v>0</v>
      </c>
      <c r="T340" t="s">
        <v>28</v>
      </c>
      <c r="U340">
        <v>3.8207547169811298E-2</v>
      </c>
      <c r="V340">
        <v>0</v>
      </c>
      <c r="W340">
        <v>0</v>
      </c>
      <c r="X340">
        <v>0</v>
      </c>
      <c r="Y340">
        <v>5.2072096087599003E-2</v>
      </c>
      <c r="Z340">
        <v>6.7477570858907196E-2</v>
      </c>
      <c r="AA340">
        <v>0</v>
      </c>
      <c r="AB340">
        <f t="shared" si="35"/>
        <v>3.3473906745021736E-2</v>
      </c>
      <c r="AC340">
        <f t="shared" si="40"/>
        <v>0.25</v>
      </c>
      <c r="AD340">
        <f t="shared" si="36"/>
        <v>0</v>
      </c>
      <c r="AE340">
        <f t="shared" si="41"/>
        <v>4.1842383431277171E-2</v>
      </c>
      <c r="AF340" t="str">
        <f t="shared" si="37"/>
        <v>Very Low</v>
      </c>
      <c r="AG340" t="str">
        <f t="shared" si="38"/>
        <v>NO ACTION</v>
      </c>
      <c r="AH340" t="str">
        <f t="shared" si="39"/>
        <v/>
      </c>
    </row>
    <row r="341" spans="1:34" x14ac:dyDescent="0.3">
      <c r="A341" t="s">
        <v>368</v>
      </c>
      <c r="B341">
        <v>0.12892249527410199</v>
      </c>
      <c r="C341">
        <v>0.18476582604220201</v>
      </c>
      <c r="D341">
        <v>0</v>
      </c>
      <c r="E341">
        <v>0</v>
      </c>
      <c r="F341">
        <v>0</v>
      </c>
      <c r="G341">
        <v>0.99367064580283404</v>
      </c>
      <c r="H341">
        <v>7</v>
      </c>
      <c r="I341">
        <v>7</v>
      </c>
      <c r="J341">
        <v>9.9184199227136102E-2</v>
      </c>
      <c r="K341">
        <v>2.2838499184339299E-2</v>
      </c>
      <c r="L341">
        <v>5.8675996899134802E-2</v>
      </c>
      <c r="M341">
        <v>8.6580086580086504E-4</v>
      </c>
      <c r="N341">
        <v>5.2625237845967199E-3</v>
      </c>
      <c r="O341">
        <v>1092</v>
      </c>
      <c r="P341">
        <v>8.3157968574635199E-2</v>
      </c>
      <c r="Q341">
        <v>8.3312879133209394E-2</v>
      </c>
      <c r="R341">
        <v>0</v>
      </c>
      <c r="S341">
        <v>0</v>
      </c>
      <c r="T341" t="s">
        <v>28</v>
      </c>
      <c r="U341">
        <v>0.118867924528301</v>
      </c>
      <c r="V341">
        <v>0</v>
      </c>
      <c r="W341">
        <v>0</v>
      </c>
      <c r="X341">
        <v>0</v>
      </c>
      <c r="Y341">
        <v>5.0753595430373603E-2</v>
      </c>
      <c r="Z341">
        <v>5.1999790658619802E-2</v>
      </c>
      <c r="AA341">
        <v>0</v>
      </c>
      <c r="AB341">
        <f t="shared" si="35"/>
        <v>2.8770948104918155E-2</v>
      </c>
      <c r="AC341">
        <f t="shared" si="40"/>
        <v>0.25</v>
      </c>
      <c r="AD341">
        <f t="shared" si="36"/>
        <v>0</v>
      </c>
      <c r="AE341">
        <f t="shared" si="41"/>
        <v>3.5963685131147692E-2</v>
      </c>
      <c r="AF341" t="str">
        <f t="shared" si="37"/>
        <v>Very Low</v>
      </c>
      <c r="AG341" t="str">
        <f t="shared" si="38"/>
        <v>NO ACTION</v>
      </c>
      <c r="AH341" t="str">
        <f t="shared" si="39"/>
        <v/>
      </c>
    </row>
    <row r="342" spans="1:34" x14ac:dyDescent="0.3">
      <c r="A342" t="s">
        <v>369</v>
      </c>
      <c r="B342">
        <v>0.12892249527410199</v>
      </c>
      <c r="C342">
        <v>0.27955872809863702</v>
      </c>
      <c r="D342">
        <v>7.5107235637207503E-2</v>
      </c>
      <c r="E342">
        <v>0</v>
      </c>
      <c r="F342">
        <v>0</v>
      </c>
      <c r="G342">
        <v>0.99367415171637996</v>
      </c>
      <c r="H342">
        <v>7</v>
      </c>
      <c r="I342">
        <v>8</v>
      </c>
      <c r="J342">
        <v>0.100090644530318</v>
      </c>
      <c r="K342">
        <v>2.6916802610114102E-2</v>
      </c>
      <c r="L342">
        <v>6.8529068316474706E-2</v>
      </c>
      <c r="M342">
        <v>2.8860028860028799E-3</v>
      </c>
      <c r="N342">
        <v>1.7383261320493799E-2</v>
      </c>
      <c r="O342">
        <v>1154</v>
      </c>
      <c r="P342">
        <v>8.6560044893378194E-2</v>
      </c>
      <c r="Q342">
        <v>8.6714120410954096E-2</v>
      </c>
      <c r="R342">
        <v>0</v>
      </c>
      <c r="S342">
        <v>0</v>
      </c>
      <c r="T342" t="s">
        <v>28</v>
      </c>
      <c r="U342">
        <v>5.0943396226415097E-2</v>
      </c>
      <c r="V342">
        <v>0</v>
      </c>
      <c r="W342">
        <v>0</v>
      </c>
      <c r="X342">
        <v>2.2532170691162201E-2</v>
      </c>
      <c r="Y342">
        <v>5.9497641460449099E-2</v>
      </c>
      <c r="Z342">
        <v>5.8889331464224398E-2</v>
      </c>
      <c r="AA342">
        <v>0</v>
      </c>
      <c r="AB342">
        <f t="shared" si="35"/>
        <v>3.6753499729494529E-2</v>
      </c>
      <c r="AC342">
        <f t="shared" si="40"/>
        <v>0.25</v>
      </c>
      <c r="AD342">
        <f t="shared" si="36"/>
        <v>0</v>
      </c>
      <c r="AE342">
        <f t="shared" si="41"/>
        <v>4.5941874661868165E-2</v>
      </c>
      <c r="AF342" t="str">
        <f t="shared" si="37"/>
        <v>Very Low</v>
      </c>
      <c r="AG342" t="str">
        <f t="shared" si="38"/>
        <v>NO ACTION</v>
      </c>
      <c r="AH342" t="str">
        <f t="shared" si="39"/>
        <v/>
      </c>
    </row>
    <row r="343" spans="1:34" x14ac:dyDescent="0.3">
      <c r="A343" t="s">
        <v>370</v>
      </c>
      <c r="B343">
        <v>0.26918714555765599</v>
      </c>
      <c r="C343">
        <v>0.684356104279219</v>
      </c>
      <c r="D343">
        <v>0.42784353046485202</v>
      </c>
      <c r="E343">
        <v>0</v>
      </c>
      <c r="F343">
        <v>0</v>
      </c>
      <c r="G343">
        <v>0.40121244727134803</v>
      </c>
      <c r="H343">
        <v>7</v>
      </c>
      <c r="I343">
        <v>17</v>
      </c>
      <c r="J343">
        <v>0.110920280520967</v>
      </c>
      <c r="K343">
        <v>2.36541598694942E-2</v>
      </c>
      <c r="L343">
        <v>5.4355342559719598E-2</v>
      </c>
      <c r="M343">
        <v>5.4834054834054799E-3</v>
      </c>
      <c r="N343">
        <v>2.9810428007852899E-2</v>
      </c>
      <c r="O343">
        <v>1094</v>
      </c>
      <c r="P343">
        <v>9.4381313131313094E-2</v>
      </c>
      <c r="Q343">
        <v>9.4533468915459801E-2</v>
      </c>
      <c r="R343">
        <v>0.67846607669616499</v>
      </c>
      <c r="S343">
        <v>1</v>
      </c>
      <c r="T343" t="s">
        <v>28</v>
      </c>
      <c r="U343">
        <v>2.4622641509433899E-2</v>
      </c>
      <c r="V343">
        <v>0</v>
      </c>
      <c r="W343">
        <v>0</v>
      </c>
      <c r="X343">
        <v>0.12835305913945499</v>
      </c>
      <c r="Y343">
        <v>5.8304855786409197E-2</v>
      </c>
      <c r="Z343">
        <v>6.8552959081929002E-2</v>
      </c>
      <c r="AA343">
        <v>0.67846607669616499</v>
      </c>
      <c r="AB343">
        <f t="shared" si="35"/>
        <v>0.24602717910037372</v>
      </c>
      <c r="AC343">
        <f t="shared" si="40"/>
        <v>0.25</v>
      </c>
      <c r="AD343">
        <f t="shared" si="36"/>
        <v>0</v>
      </c>
      <c r="AE343">
        <f t="shared" si="41"/>
        <v>0.30753397387546716</v>
      </c>
      <c r="AF343" t="str">
        <f t="shared" si="37"/>
        <v>Low</v>
      </c>
      <c r="AG343" t="str">
        <f t="shared" si="38"/>
        <v>NO ACTION</v>
      </c>
      <c r="AH343" t="str">
        <f t="shared" si="39"/>
        <v/>
      </c>
    </row>
    <row r="344" spans="1:34" x14ac:dyDescent="0.3">
      <c r="A344" t="s">
        <v>371</v>
      </c>
      <c r="B344">
        <v>0.12892249527410199</v>
      </c>
      <c r="C344">
        <v>0.18476582604220201</v>
      </c>
      <c r="D344">
        <v>0</v>
      </c>
      <c r="E344">
        <v>0</v>
      </c>
      <c r="F344">
        <v>0</v>
      </c>
      <c r="G344">
        <v>0.993688657099146</v>
      </c>
      <c r="H344">
        <v>7</v>
      </c>
      <c r="I344">
        <v>7</v>
      </c>
      <c r="J344">
        <v>8.3536090835360899E-2</v>
      </c>
      <c r="K344">
        <v>1.4681892332789499E-2</v>
      </c>
      <c r="L344">
        <v>4.4765985919304099E-2</v>
      </c>
      <c r="M344">
        <v>2.3088023088023001E-3</v>
      </c>
      <c r="N344">
        <v>1.66546690464685E-2</v>
      </c>
      <c r="O344">
        <v>998</v>
      </c>
      <c r="P344">
        <v>6.8848204264870899E-2</v>
      </c>
      <c r="Q344">
        <v>6.9006627160840106E-2</v>
      </c>
      <c r="R344">
        <v>0</v>
      </c>
      <c r="S344">
        <v>0</v>
      </c>
      <c r="T344" t="s">
        <v>53</v>
      </c>
      <c r="U344">
        <v>3.3962264150943298E-2</v>
      </c>
      <c r="V344">
        <v>0</v>
      </c>
      <c r="W344">
        <v>0</v>
      </c>
      <c r="X344">
        <v>0</v>
      </c>
      <c r="Y344">
        <v>4.4086611840664799E-2</v>
      </c>
      <c r="Z344">
        <v>4.7970790177509999E-2</v>
      </c>
      <c r="AA344">
        <v>0</v>
      </c>
      <c r="AB344">
        <f t="shared" si="35"/>
        <v>2.5776072565088945E-2</v>
      </c>
      <c r="AC344">
        <f t="shared" si="40"/>
        <v>0.1</v>
      </c>
      <c r="AD344">
        <f t="shared" si="36"/>
        <v>0</v>
      </c>
      <c r="AE344">
        <f t="shared" si="41"/>
        <v>2.8353679821597842E-2</v>
      </c>
      <c r="AF344" t="str">
        <f t="shared" si="37"/>
        <v>Very Low</v>
      </c>
      <c r="AG344" t="str">
        <f t="shared" si="38"/>
        <v>NO ACTION</v>
      </c>
      <c r="AH344" t="str">
        <f t="shared" si="39"/>
        <v/>
      </c>
    </row>
    <row r="345" spans="1:34" x14ac:dyDescent="0.3">
      <c r="A345" t="s">
        <v>372</v>
      </c>
      <c r="B345">
        <v>0.23591682419659701</v>
      </c>
      <c r="C345">
        <v>0.57253869025179305</v>
      </c>
      <c r="D345">
        <v>0.36350657477513798</v>
      </c>
      <c r="E345">
        <v>0</v>
      </c>
      <c r="F345">
        <v>0</v>
      </c>
      <c r="G345">
        <v>0.47841962537564098</v>
      </c>
      <c r="H345">
        <v>7</v>
      </c>
      <c r="I345">
        <v>14</v>
      </c>
      <c r="J345">
        <v>9.0930776203425406E-2</v>
      </c>
      <c r="K345">
        <v>1.2234910277324601E-2</v>
      </c>
      <c r="L345">
        <v>3.4279204288460603E-2</v>
      </c>
      <c r="M345">
        <v>1.44300144300144E-3</v>
      </c>
      <c r="N345">
        <v>9.5648871159075208E-3</v>
      </c>
      <c r="O345">
        <v>1058</v>
      </c>
      <c r="P345">
        <v>7.2811447811447799E-2</v>
      </c>
      <c r="Q345">
        <v>7.2968897927697299E-2</v>
      </c>
      <c r="R345">
        <v>0.36578171091445399</v>
      </c>
      <c r="S345">
        <v>1</v>
      </c>
      <c r="T345" t="s">
        <v>53</v>
      </c>
      <c r="U345">
        <v>4.2452830188679201E-2</v>
      </c>
      <c r="V345">
        <v>0</v>
      </c>
      <c r="W345">
        <v>0</v>
      </c>
      <c r="X345">
        <v>0.109051972432541</v>
      </c>
      <c r="Y345">
        <v>3.8195223519687599E-2</v>
      </c>
      <c r="Z345">
        <v>4.7512823533231698E-2</v>
      </c>
      <c r="AA345">
        <v>0.36578171091445399</v>
      </c>
      <c r="AB345">
        <f t="shared" si="35"/>
        <v>0.1438654478200711</v>
      </c>
      <c r="AC345">
        <f t="shared" si="40"/>
        <v>0.1</v>
      </c>
      <c r="AD345">
        <f t="shared" si="36"/>
        <v>0</v>
      </c>
      <c r="AE345">
        <f t="shared" si="41"/>
        <v>0.15825199260207823</v>
      </c>
      <c r="AF345" t="str">
        <f t="shared" si="37"/>
        <v>Very Low</v>
      </c>
      <c r="AG345" t="str">
        <f t="shared" si="38"/>
        <v>NO ACTION</v>
      </c>
      <c r="AH345" t="str">
        <f t="shared" si="39"/>
        <v/>
      </c>
    </row>
    <row r="346" spans="1:34" x14ac:dyDescent="0.3">
      <c r="A346" t="s">
        <v>373</v>
      </c>
      <c r="B346">
        <v>0.12892249527410199</v>
      </c>
      <c r="C346">
        <v>0.46111123542706201</v>
      </c>
      <c r="D346">
        <v>7.5129964412319103E-2</v>
      </c>
      <c r="E346">
        <v>0</v>
      </c>
      <c r="F346">
        <v>0</v>
      </c>
      <c r="G346">
        <v>0.99364757635644196</v>
      </c>
      <c r="H346">
        <v>8</v>
      </c>
      <c r="I346">
        <v>9</v>
      </c>
      <c r="J346">
        <v>9.1264729736176706E-2</v>
      </c>
      <c r="K346">
        <v>9.7879282218597003E-3</v>
      </c>
      <c r="L346">
        <v>2.7323278162772999E-2</v>
      </c>
      <c r="M346">
        <v>2.8860028860028799E-3</v>
      </c>
      <c r="N346">
        <v>1.9059957537538301E-2</v>
      </c>
      <c r="O346">
        <v>1043</v>
      </c>
      <c r="P346">
        <v>7.2706228956228899E-2</v>
      </c>
      <c r="Q346">
        <v>7.2863704898488701E-2</v>
      </c>
      <c r="R346">
        <v>0</v>
      </c>
      <c r="S346">
        <v>0</v>
      </c>
      <c r="T346" t="s">
        <v>53</v>
      </c>
      <c r="U346">
        <v>1.8524871355060001E-2</v>
      </c>
      <c r="V346">
        <v>0</v>
      </c>
      <c r="W346">
        <v>0</v>
      </c>
      <c r="X346">
        <v>2.2538989323695701E-2</v>
      </c>
      <c r="Y346">
        <v>3.7632572289883301E-2</v>
      </c>
      <c r="Z346">
        <v>5.12477203887527E-2</v>
      </c>
      <c r="AA346">
        <v>0</v>
      </c>
      <c r="AB346">
        <f t="shared" si="35"/>
        <v>2.8492720241809395E-2</v>
      </c>
      <c r="AC346">
        <f t="shared" si="40"/>
        <v>0.1</v>
      </c>
      <c r="AD346">
        <f t="shared" si="36"/>
        <v>0</v>
      </c>
      <c r="AE346">
        <f t="shared" si="41"/>
        <v>3.134199226599034E-2</v>
      </c>
      <c r="AF346" t="str">
        <f t="shared" si="37"/>
        <v>Very Low</v>
      </c>
      <c r="AG346" t="str">
        <f t="shared" si="38"/>
        <v>NO ACTION</v>
      </c>
      <c r="AH346" t="str">
        <f t="shared" si="39"/>
        <v/>
      </c>
    </row>
    <row r="347" spans="1:34" x14ac:dyDescent="0.3">
      <c r="A347" t="s">
        <v>374</v>
      </c>
      <c r="B347">
        <v>0.134593572778827</v>
      </c>
      <c r="C347">
        <v>0.582012352032938</v>
      </c>
      <c r="D347">
        <v>0.14119759915423599</v>
      </c>
      <c r="E347">
        <v>0</v>
      </c>
      <c r="F347">
        <v>0</v>
      </c>
      <c r="G347">
        <v>0.94592216462081402</v>
      </c>
      <c r="H347">
        <v>9</v>
      </c>
      <c r="I347">
        <v>17</v>
      </c>
      <c r="J347">
        <v>0.107342206955775</v>
      </c>
      <c r="K347">
        <v>2.0391517128874301E-2</v>
      </c>
      <c r="L347">
        <v>4.8416525791018697E-2</v>
      </c>
      <c r="M347">
        <v>2.8860028860028799E-3</v>
      </c>
      <c r="N347">
        <v>1.6211529293569199E-2</v>
      </c>
      <c r="O347">
        <v>1241</v>
      </c>
      <c r="P347">
        <v>8.9085297418630693E-2</v>
      </c>
      <c r="Q347">
        <v>8.9238753111960403E-2</v>
      </c>
      <c r="R347">
        <v>0.10176991150442399</v>
      </c>
      <c r="S347">
        <v>1</v>
      </c>
      <c r="T347" t="s">
        <v>28</v>
      </c>
      <c r="U347">
        <v>3.8593481989708397E-2</v>
      </c>
      <c r="V347">
        <v>0</v>
      </c>
      <c r="W347">
        <v>0</v>
      </c>
      <c r="X347">
        <v>4.2359279746270698E-2</v>
      </c>
      <c r="Y347">
        <v>5.0540163074735099E-2</v>
      </c>
      <c r="Z347">
        <v>5.9935790168606097E-2</v>
      </c>
      <c r="AA347">
        <v>0.10176991150442399</v>
      </c>
      <c r="AB347">
        <f t="shared" si="35"/>
        <v>6.6206326888777561E-2</v>
      </c>
      <c r="AC347">
        <f t="shared" si="40"/>
        <v>0.25</v>
      </c>
      <c r="AD347">
        <f t="shared" si="36"/>
        <v>0</v>
      </c>
      <c r="AE347">
        <f t="shared" si="41"/>
        <v>8.2757908610971959E-2</v>
      </c>
      <c r="AF347" t="str">
        <f t="shared" si="37"/>
        <v>Very Low</v>
      </c>
      <c r="AG347" t="str">
        <f t="shared" si="38"/>
        <v>NO ACTION</v>
      </c>
      <c r="AH347" t="str">
        <f t="shared" si="39"/>
        <v/>
      </c>
    </row>
    <row r="348" spans="1:34" x14ac:dyDescent="0.3">
      <c r="A348" t="s">
        <v>375</v>
      </c>
      <c r="B348">
        <v>0.12892249527410199</v>
      </c>
      <c r="C348">
        <v>0.18476582604220201</v>
      </c>
      <c r="D348">
        <v>0</v>
      </c>
      <c r="E348">
        <v>0</v>
      </c>
      <c r="F348">
        <v>0</v>
      </c>
      <c r="G348">
        <v>0.99369026286107598</v>
      </c>
      <c r="H348">
        <v>7</v>
      </c>
      <c r="I348">
        <v>7</v>
      </c>
      <c r="J348">
        <v>9.6751109202805205E-2</v>
      </c>
      <c r="K348">
        <v>1.0603588907014599E-2</v>
      </c>
      <c r="L348">
        <v>2.7925832829586099E-2</v>
      </c>
      <c r="M348">
        <v>2.0202020202020202E-3</v>
      </c>
      <c r="N348">
        <v>1.2587259709738801E-2</v>
      </c>
      <c r="O348">
        <v>1112</v>
      </c>
      <c r="P348">
        <v>7.6669472502805799E-2</v>
      </c>
      <c r="Q348">
        <v>7.6825975665345894E-2</v>
      </c>
      <c r="R348">
        <v>0</v>
      </c>
      <c r="S348">
        <v>0</v>
      </c>
      <c r="T348" t="s">
        <v>28</v>
      </c>
      <c r="U348">
        <v>2.75943396226415E-2</v>
      </c>
      <c r="V348">
        <v>0</v>
      </c>
      <c r="W348">
        <v>0</v>
      </c>
      <c r="X348">
        <v>0</v>
      </c>
      <c r="Y348">
        <v>3.7089316168275703E-2</v>
      </c>
      <c r="Z348">
        <v>5.1036587385579001E-2</v>
      </c>
      <c r="AA348">
        <v>0</v>
      </c>
      <c r="AB348">
        <f t="shared" si="35"/>
        <v>2.4675252995079319E-2</v>
      </c>
      <c r="AC348">
        <f t="shared" si="40"/>
        <v>0.25</v>
      </c>
      <c r="AD348">
        <f t="shared" si="36"/>
        <v>0</v>
      </c>
      <c r="AE348">
        <f t="shared" si="41"/>
        <v>3.0844066243849149E-2</v>
      </c>
      <c r="AF348" t="str">
        <f t="shared" si="37"/>
        <v>Very Low</v>
      </c>
      <c r="AG348" t="str">
        <f t="shared" si="38"/>
        <v>NO ACTION</v>
      </c>
      <c r="AH348" t="str">
        <f t="shared" si="39"/>
        <v/>
      </c>
    </row>
    <row r="349" spans="1:34" x14ac:dyDescent="0.3">
      <c r="A349" t="s">
        <v>376</v>
      </c>
      <c r="B349">
        <v>0.12892249527410199</v>
      </c>
      <c r="C349">
        <v>0.18476582604220201</v>
      </c>
      <c r="D349">
        <v>0</v>
      </c>
      <c r="E349">
        <v>0</v>
      </c>
      <c r="F349">
        <v>0</v>
      </c>
      <c r="G349">
        <v>0.99367859432438599</v>
      </c>
      <c r="H349">
        <v>7</v>
      </c>
      <c r="I349">
        <v>7</v>
      </c>
      <c r="J349">
        <v>9.8707122751777093E-2</v>
      </c>
      <c r="K349">
        <v>2.1207177814029299E-2</v>
      </c>
      <c r="L349">
        <v>5.4747558478831802E-2</v>
      </c>
      <c r="M349">
        <v>3.1746031746031698E-3</v>
      </c>
      <c r="N349">
        <v>1.93889577688999E-2</v>
      </c>
      <c r="O349">
        <v>833</v>
      </c>
      <c r="P349">
        <v>8.3228114478114401E-2</v>
      </c>
      <c r="Q349">
        <v>8.3383007819348501E-2</v>
      </c>
      <c r="R349">
        <v>0</v>
      </c>
      <c r="S349">
        <v>0</v>
      </c>
      <c r="T349" t="s">
        <v>28</v>
      </c>
      <c r="U349">
        <v>3.6792452830188602E-2</v>
      </c>
      <c r="V349">
        <v>0</v>
      </c>
      <c r="W349">
        <v>0</v>
      </c>
      <c r="X349">
        <v>0</v>
      </c>
      <c r="Y349">
        <v>5.2931891120441298E-2</v>
      </c>
      <c r="Z349">
        <v>5.7692451794428598E-2</v>
      </c>
      <c r="AA349">
        <v>0</v>
      </c>
      <c r="AB349">
        <f t="shared" si="35"/>
        <v>3.0974816016163573E-2</v>
      </c>
      <c r="AC349">
        <f t="shared" si="40"/>
        <v>0.25</v>
      </c>
      <c r="AD349">
        <f t="shared" si="36"/>
        <v>0</v>
      </c>
      <c r="AE349">
        <f t="shared" si="41"/>
        <v>3.8718520020204469E-2</v>
      </c>
      <c r="AF349" t="str">
        <f t="shared" si="37"/>
        <v>Very Low</v>
      </c>
      <c r="AG349" t="str">
        <f t="shared" si="38"/>
        <v>NO ACTION</v>
      </c>
      <c r="AH349" t="str">
        <f t="shared" si="39"/>
        <v/>
      </c>
    </row>
    <row r="350" spans="1:34" x14ac:dyDescent="0.3">
      <c r="A350" t="s">
        <v>377</v>
      </c>
      <c r="B350">
        <v>0.28052930056710701</v>
      </c>
      <c r="C350">
        <v>0.556774231826905</v>
      </c>
      <c r="D350">
        <v>0.54758029810152598</v>
      </c>
      <c r="E350">
        <v>0.54959785522788196</v>
      </c>
      <c r="F350">
        <v>0.31501340482573698</v>
      </c>
      <c r="G350">
        <v>0.37883077337787202</v>
      </c>
      <c r="H350">
        <v>0</v>
      </c>
      <c r="I350">
        <v>23</v>
      </c>
      <c r="J350">
        <v>9.9518152759887402E-2</v>
      </c>
      <c r="K350">
        <v>6.5252854812398002E-3</v>
      </c>
      <c r="L350">
        <v>1.6708448116116201E-2</v>
      </c>
      <c r="M350">
        <v>7.2150072150072098E-3</v>
      </c>
      <c r="N350">
        <v>4.37075544679561E-2</v>
      </c>
      <c r="O350">
        <v>433</v>
      </c>
      <c r="P350">
        <v>7.9475308641975301E-2</v>
      </c>
      <c r="Q350">
        <v>7.9631123110908503E-2</v>
      </c>
      <c r="R350">
        <v>0.43067846607669602</v>
      </c>
      <c r="S350">
        <v>1</v>
      </c>
      <c r="T350" t="s">
        <v>28</v>
      </c>
      <c r="U350">
        <v>5.22496371552975E-3</v>
      </c>
      <c r="V350">
        <v>0</v>
      </c>
      <c r="W350">
        <v>0.17176294428292299</v>
      </c>
      <c r="X350">
        <v>0.455158807929117</v>
      </c>
      <c r="Y350">
        <v>4.1370120950422397E-2</v>
      </c>
      <c r="Z350">
        <v>6.5168206972367596E-2</v>
      </c>
      <c r="AA350">
        <v>0.43067846607669602</v>
      </c>
      <c r="AB350">
        <f t="shared" si="35"/>
        <v>0.22324611158851482</v>
      </c>
      <c r="AC350">
        <f t="shared" si="40"/>
        <v>0.25</v>
      </c>
      <c r="AD350">
        <f t="shared" si="36"/>
        <v>0.05</v>
      </c>
      <c r="AE350">
        <f t="shared" si="41"/>
        <v>0.29021994506506926</v>
      </c>
      <c r="AF350" t="str">
        <f t="shared" si="37"/>
        <v>Low</v>
      </c>
      <c r="AG350" t="str">
        <f t="shared" si="38"/>
        <v>NO ACTION</v>
      </c>
      <c r="AH350" t="str">
        <f t="shared" si="39"/>
        <v/>
      </c>
    </row>
    <row r="351" spans="1:34" x14ac:dyDescent="0.3">
      <c r="A351" t="s">
        <v>378</v>
      </c>
      <c r="B351">
        <v>0.12892249527410199</v>
      </c>
      <c r="C351">
        <v>0.18476582604220201</v>
      </c>
      <c r="D351">
        <v>0</v>
      </c>
      <c r="E351">
        <v>0</v>
      </c>
      <c r="F351">
        <v>0</v>
      </c>
      <c r="G351">
        <v>0.99368100296728101</v>
      </c>
      <c r="H351">
        <v>7</v>
      </c>
      <c r="I351">
        <v>7</v>
      </c>
      <c r="J351">
        <v>9.4461142121082003E-2</v>
      </c>
      <c r="K351">
        <v>1.1419249592169599E-2</v>
      </c>
      <c r="L351">
        <v>3.0801203410024399E-2</v>
      </c>
      <c r="M351">
        <v>2.0202020202020202E-3</v>
      </c>
      <c r="N351">
        <v>1.28916367707299E-2</v>
      </c>
      <c r="O351">
        <v>1084</v>
      </c>
      <c r="P351">
        <v>7.5336700336700299E-2</v>
      </c>
      <c r="Q351">
        <v>7.5493530628703606E-2</v>
      </c>
      <c r="R351">
        <v>0</v>
      </c>
      <c r="S351">
        <v>0</v>
      </c>
      <c r="T351" t="s">
        <v>53</v>
      </c>
      <c r="U351">
        <v>2.9716981132075399E-2</v>
      </c>
      <c r="V351">
        <v>0</v>
      </c>
      <c r="W351">
        <v>0</v>
      </c>
      <c r="X351">
        <v>0</v>
      </c>
      <c r="Y351">
        <v>3.8160321160447597E-2</v>
      </c>
      <c r="Z351">
        <v>5.0358674910312103E-2</v>
      </c>
      <c r="AA351">
        <v>0</v>
      </c>
      <c r="AB351">
        <f t="shared" si="35"/>
        <v>2.4785318899812718E-2</v>
      </c>
      <c r="AC351">
        <f t="shared" si="40"/>
        <v>0.1</v>
      </c>
      <c r="AD351">
        <f t="shared" si="36"/>
        <v>0</v>
      </c>
      <c r="AE351">
        <f t="shared" si="41"/>
        <v>2.7263850789793993E-2</v>
      </c>
      <c r="AF351" t="str">
        <f t="shared" si="37"/>
        <v>Very Low</v>
      </c>
      <c r="AG351" t="str">
        <f t="shared" si="38"/>
        <v>NO ACTION</v>
      </c>
      <c r="AH351" t="str">
        <f t="shared" si="39"/>
        <v/>
      </c>
    </row>
    <row r="352" spans="1:34" x14ac:dyDescent="0.3">
      <c r="A352" t="s">
        <v>379</v>
      </c>
      <c r="B352">
        <v>0.12892249527410199</v>
      </c>
      <c r="C352">
        <v>0.28009428121759899</v>
      </c>
      <c r="D352">
        <v>7.50946055673926E-2</v>
      </c>
      <c r="E352">
        <v>0</v>
      </c>
      <c r="F352">
        <v>0</v>
      </c>
      <c r="G352">
        <v>0.993688657099146</v>
      </c>
      <c r="H352">
        <v>7</v>
      </c>
      <c r="I352">
        <v>8</v>
      </c>
      <c r="J352">
        <v>0.121893039454224</v>
      </c>
      <c r="K352">
        <v>1.38662316476345E-2</v>
      </c>
      <c r="L352">
        <v>2.9000742440604702E-2</v>
      </c>
      <c r="M352">
        <v>1.1544011544011501E-3</v>
      </c>
      <c r="N352">
        <v>5.7120310245310198E-3</v>
      </c>
      <c r="O352">
        <v>962</v>
      </c>
      <c r="P352">
        <v>9.6134960718293999E-2</v>
      </c>
      <c r="Q352">
        <v>9.6286686068936395E-2</v>
      </c>
      <c r="R352">
        <v>0</v>
      </c>
      <c r="S352">
        <v>0</v>
      </c>
      <c r="T352" t="s">
        <v>28</v>
      </c>
      <c r="U352">
        <v>5.77358490566037E-2</v>
      </c>
      <c r="V352">
        <v>0</v>
      </c>
      <c r="W352">
        <v>0</v>
      </c>
      <c r="X352">
        <v>2.2528381670217701E-2</v>
      </c>
      <c r="Y352">
        <v>4.0592588418506499E-2</v>
      </c>
      <c r="Z352">
        <v>5.9965788840788799E-2</v>
      </c>
      <c r="AA352">
        <v>0</v>
      </c>
      <c r="AB352">
        <f t="shared" si="35"/>
        <v>3.1760886699837516E-2</v>
      </c>
      <c r="AC352">
        <f t="shared" si="40"/>
        <v>0.25</v>
      </c>
      <c r="AD352">
        <f t="shared" si="36"/>
        <v>0</v>
      </c>
      <c r="AE352">
        <f t="shared" si="41"/>
        <v>3.9701108374796894E-2</v>
      </c>
      <c r="AF352" t="str">
        <f t="shared" si="37"/>
        <v>Very Low</v>
      </c>
      <c r="AG352" t="str">
        <f t="shared" si="38"/>
        <v>NO ACTION</v>
      </c>
      <c r="AH352" t="str">
        <f t="shared" si="39"/>
        <v/>
      </c>
    </row>
    <row r="353" spans="1:34" x14ac:dyDescent="0.3">
      <c r="A353" t="s">
        <v>380</v>
      </c>
      <c r="B353">
        <v>0.12892249527410199</v>
      </c>
      <c r="C353">
        <v>0.27420319690900702</v>
      </c>
      <c r="D353">
        <v>7.50946055673926E-2</v>
      </c>
      <c r="E353">
        <v>0</v>
      </c>
      <c r="F353">
        <v>0</v>
      </c>
      <c r="G353">
        <v>0.99368884443803795</v>
      </c>
      <c r="H353">
        <v>7</v>
      </c>
      <c r="I353">
        <v>8</v>
      </c>
      <c r="J353">
        <v>0.10867802108678</v>
      </c>
      <c r="K353">
        <v>1.38662316476345E-2</v>
      </c>
      <c r="L353">
        <v>3.2519448378426699E-2</v>
      </c>
      <c r="M353">
        <v>2.8860028860028799E-3</v>
      </c>
      <c r="N353">
        <v>1.6012701952255098E-2</v>
      </c>
      <c r="O353">
        <v>1118</v>
      </c>
      <c r="P353">
        <v>8.72615039281706E-2</v>
      </c>
      <c r="Q353">
        <v>8.7415407272344703E-2</v>
      </c>
      <c r="R353">
        <v>0</v>
      </c>
      <c r="S353">
        <v>0</v>
      </c>
      <c r="T353" t="s">
        <v>28</v>
      </c>
      <c r="U353">
        <v>2.6243567753001702E-2</v>
      </c>
      <c r="V353">
        <v>0</v>
      </c>
      <c r="W353">
        <v>0</v>
      </c>
      <c r="X353">
        <v>2.2528381670217701E-2</v>
      </c>
      <c r="Y353">
        <v>4.2799138992245897E-2</v>
      </c>
      <c r="Z353">
        <v>5.8761983137804397E-2</v>
      </c>
      <c r="AA353">
        <v>0</v>
      </c>
      <c r="AB353">
        <f t="shared" si="35"/>
        <v>3.2041655263648917E-2</v>
      </c>
      <c r="AC353">
        <f t="shared" si="40"/>
        <v>0.25</v>
      </c>
      <c r="AD353">
        <f t="shared" si="36"/>
        <v>0</v>
      </c>
      <c r="AE353">
        <f t="shared" si="41"/>
        <v>4.0052069079561145E-2</v>
      </c>
      <c r="AF353" t="str">
        <f t="shared" si="37"/>
        <v>Very Low</v>
      </c>
      <c r="AG353" t="str">
        <f t="shared" si="38"/>
        <v>NO ACTION</v>
      </c>
      <c r="AH353" t="str">
        <f t="shared" si="39"/>
        <v/>
      </c>
    </row>
    <row r="354" spans="1:34" x14ac:dyDescent="0.3">
      <c r="A354" t="s">
        <v>381</v>
      </c>
      <c r="B354">
        <v>4.6502835538752299E-2</v>
      </c>
      <c r="C354">
        <v>0.36953165208440503</v>
      </c>
      <c r="D354">
        <v>0</v>
      </c>
      <c r="E354">
        <v>0</v>
      </c>
      <c r="F354">
        <v>0</v>
      </c>
      <c r="G354">
        <v>0.97504778146562499</v>
      </c>
      <c r="H354">
        <v>8</v>
      </c>
      <c r="I354">
        <v>8</v>
      </c>
      <c r="J354">
        <v>1.84151519488574E-2</v>
      </c>
      <c r="K354">
        <v>2.4469820554649199E-3</v>
      </c>
      <c r="L354">
        <v>3.3507703015472297E-2</v>
      </c>
      <c r="M354">
        <v>1.1544011544011501E-3</v>
      </c>
      <c r="N354">
        <v>3.73984639969294E-2</v>
      </c>
      <c r="O354">
        <v>224</v>
      </c>
      <c r="P354">
        <v>1.51515151515151E-2</v>
      </c>
      <c r="Q354">
        <v>1.5323117921385699E-2</v>
      </c>
      <c r="R354">
        <v>0</v>
      </c>
      <c r="S354">
        <v>0</v>
      </c>
      <c r="T354" t="s">
        <v>53</v>
      </c>
      <c r="U354">
        <v>1.0188679245283E-2</v>
      </c>
      <c r="V354">
        <v>0</v>
      </c>
      <c r="W354">
        <v>0</v>
      </c>
      <c r="X354">
        <v>0</v>
      </c>
      <c r="Y354">
        <v>3.1656421096586403E-2</v>
      </c>
      <c r="Z354">
        <v>2.4050294689680798E-2</v>
      </c>
      <c r="AA354">
        <v>0</v>
      </c>
      <c r="AB354">
        <f t="shared" si="35"/>
        <v>1.5597880420154817E-2</v>
      </c>
      <c r="AC354">
        <f t="shared" si="40"/>
        <v>0.1</v>
      </c>
      <c r="AD354">
        <f t="shared" si="36"/>
        <v>0</v>
      </c>
      <c r="AE354">
        <f t="shared" si="41"/>
        <v>1.7157668462170299E-2</v>
      </c>
      <c r="AF354" t="str">
        <f t="shared" si="37"/>
        <v>Very Low</v>
      </c>
      <c r="AG354" t="str">
        <f t="shared" si="38"/>
        <v>NO ACTION</v>
      </c>
      <c r="AH354" t="str">
        <f t="shared" si="39"/>
        <v/>
      </c>
    </row>
    <row r="355" spans="1:34" x14ac:dyDescent="0.3">
      <c r="A355" t="s">
        <v>382</v>
      </c>
      <c r="B355">
        <v>0.25444234404536797</v>
      </c>
      <c r="C355">
        <v>0.769903094926224</v>
      </c>
      <c r="D355">
        <v>0.35538413801743302</v>
      </c>
      <c r="E355">
        <v>0</v>
      </c>
      <c r="F355">
        <v>0</v>
      </c>
      <c r="G355">
        <v>0.43285070277686699</v>
      </c>
      <c r="H355">
        <v>8</v>
      </c>
      <c r="I355">
        <v>16</v>
      </c>
      <c r="J355">
        <v>9.72281856781642E-2</v>
      </c>
      <c r="K355">
        <v>1.0603588907014599E-2</v>
      </c>
      <c r="L355">
        <v>2.7789142507365899E-2</v>
      </c>
      <c r="M355">
        <v>2.59740259740259E-3</v>
      </c>
      <c r="N355">
        <v>1.6104404650660101E-2</v>
      </c>
      <c r="O355">
        <v>1085</v>
      </c>
      <c r="P355">
        <v>7.7300785634118893E-2</v>
      </c>
      <c r="Q355">
        <v>7.7457133840597395E-2</v>
      </c>
      <c r="R355">
        <v>0.19469026548672499</v>
      </c>
      <c r="S355">
        <v>1</v>
      </c>
      <c r="T355" t="s">
        <v>28</v>
      </c>
      <c r="U355">
        <v>2.2075471698113198E-2</v>
      </c>
      <c r="V355">
        <v>0</v>
      </c>
      <c r="W355">
        <v>0</v>
      </c>
      <c r="X355">
        <v>0.10661524140523</v>
      </c>
      <c r="Y355">
        <v>3.8171529784513797E-2</v>
      </c>
      <c r="Z355">
        <v>5.28222332407354E-2</v>
      </c>
      <c r="AA355">
        <v>0.19469026548672499</v>
      </c>
      <c r="AB355">
        <f t="shared" si="35"/>
        <v>9.7049966608189583E-2</v>
      </c>
      <c r="AC355">
        <f t="shared" si="40"/>
        <v>0.25</v>
      </c>
      <c r="AD355">
        <f t="shared" si="36"/>
        <v>0</v>
      </c>
      <c r="AE355">
        <f t="shared" si="41"/>
        <v>0.12131245826023698</v>
      </c>
      <c r="AF355" t="str">
        <f t="shared" si="37"/>
        <v>Very Low</v>
      </c>
      <c r="AG355" t="str">
        <f t="shared" si="38"/>
        <v>NO ACTION</v>
      </c>
      <c r="AH355" t="str">
        <f t="shared" si="39"/>
        <v/>
      </c>
    </row>
    <row r="356" spans="1:34" x14ac:dyDescent="0.3">
      <c r="A356" t="s">
        <v>383</v>
      </c>
      <c r="B356">
        <v>0.236672967863894</v>
      </c>
      <c r="C356">
        <v>0.60268852780432802</v>
      </c>
      <c r="D356">
        <v>0.38129617951945799</v>
      </c>
      <c r="E356">
        <v>0</v>
      </c>
      <c r="F356">
        <v>0</v>
      </c>
      <c r="G356">
        <v>0.47635332630829902</v>
      </c>
      <c r="H356">
        <v>7</v>
      </c>
      <c r="I356">
        <v>13</v>
      </c>
      <c r="J356">
        <v>8.2486522589571107E-2</v>
      </c>
      <c r="K356">
        <v>8.1566068515497494E-3</v>
      </c>
      <c r="L356">
        <v>2.5185528410322299E-2</v>
      </c>
      <c r="M356">
        <v>1.7316017316017301E-3</v>
      </c>
      <c r="N356">
        <v>1.26494804695496E-2</v>
      </c>
      <c r="O356">
        <v>371</v>
      </c>
      <c r="P356">
        <v>6.4990179573512899E-2</v>
      </c>
      <c r="Q356">
        <v>6.5149549423191497E-2</v>
      </c>
      <c r="R356">
        <v>0</v>
      </c>
      <c r="S356">
        <v>0</v>
      </c>
      <c r="T356" t="s">
        <v>53</v>
      </c>
      <c r="U356">
        <v>2.4258760107816701E-2</v>
      </c>
      <c r="V356">
        <v>0</v>
      </c>
      <c r="W356">
        <v>0</v>
      </c>
      <c r="X356">
        <v>0.114388853855837</v>
      </c>
      <c r="Y356">
        <v>3.2884912863940199E-2</v>
      </c>
      <c r="Z356">
        <v>4.4053899931927598E-2</v>
      </c>
      <c r="AA356">
        <v>0</v>
      </c>
      <c r="AB356">
        <f t="shared" si="35"/>
        <v>3.9845084199776906E-2</v>
      </c>
      <c r="AC356">
        <f t="shared" si="40"/>
        <v>0.1</v>
      </c>
      <c r="AD356">
        <f t="shared" si="36"/>
        <v>0</v>
      </c>
      <c r="AE356">
        <f t="shared" si="41"/>
        <v>4.3829592619754602E-2</v>
      </c>
      <c r="AF356" t="str">
        <f t="shared" si="37"/>
        <v>Very Low</v>
      </c>
      <c r="AG356" t="str">
        <f t="shared" si="38"/>
        <v>NO ACTION</v>
      </c>
      <c r="AH356" t="str">
        <f t="shared" si="39"/>
        <v/>
      </c>
    </row>
    <row r="357" spans="1:34" x14ac:dyDescent="0.3">
      <c r="A357" t="s">
        <v>384</v>
      </c>
      <c r="B357">
        <v>0.12892249527410199</v>
      </c>
      <c r="C357">
        <v>0.36953165208440503</v>
      </c>
      <c r="D357">
        <v>0</v>
      </c>
      <c r="E357">
        <v>0</v>
      </c>
      <c r="F357">
        <v>0</v>
      </c>
      <c r="G357">
        <v>0.99366360721304103</v>
      </c>
      <c r="H357">
        <v>8</v>
      </c>
      <c r="I357">
        <v>8</v>
      </c>
      <c r="J357">
        <v>0.12518486713420099</v>
      </c>
      <c r="K357">
        <v>1.7944535073409401E-2</v>
      </c>
      <c r="L357">
        <v>3.6545360889957197E-2</v>
      </c>
      <c r="M357">
        <v>1.44300144300144E-3</v>
      </c>
      <c r="N357">
        <v>6.9526433162796697E-3</v>
      </c>
      <c r="O357">
        <v>1377</v>
      </c>
      <c r="P357">
        <v>0.10044893378226701</v>
      </c>
      <c r="Q357">
        <v>0.10059960026648899</v>
      </c>
      <c r="R357">
        <v>0</v>
      </c>
      <c r="S357">
        <v>0</v>
      </c>
      <c r="T357" t="s">
        <v>28</v>
      </c>
      <c r="U357">
        <v>6.2264150943396199E-2</v>
      </c>
      <c r="V357">
        <v>0</v>
      </c>
      <c r="W357">
        <v>0</v>
      </c>
      <c r="X357">
        <v>0</v>
      </c>
      <c r="Y357">
        <v>4.5395446866702799E-2</v>
      </c>
      <c r="Z357">
        <v>6.3050417595872099E-2</v>
      </c>
      <c r="AA357">
        <v>0</v>
      </c>
      <c r="AB357">
        <f t="shared" si="35"/>
        <v>3.0364842049520974E-2</v>
      </c>
      <c r="AC357">
        <f t="shared" si="40"/>
        <v>0.25</v>
      </c>
      <c r="AD357">
        <f t="shared" si="36"/>
        <v>0</v>
      </c>
      <c r="AE357">
        <f t="shared" si="41"/>
        <v>3.7956052561901217E-2</v>
      </c>
      <c r="AF357" t="str">
        <f t="shared" si="37"/>
        <v>Very Low</v>
      </c>
      <c r="AG357" t="str">
        <f t="shared" si="38"/>
        <v>NO ACTION</v>
      </c>
      <c r="AH357" t="str">
        <f t="shared" si="39"/>
        <v/>
      </c>
    </row>
    <row r="358" spans="1:34" x14ac:dyDescent="0.3">
      <c r="A358" t="s">
        <v>385</v>
      </c>
      <c r="B358">
        <v>0.25141776937618099</v>
      </c>
      <c r="C358">
        <v>0.68382688382734502</v>
      </c>
      <c r="D358">
        <v>0.365803402534008</v>
      </c>
      <c r="E358">
        <v>0</v>
      </c>
      <c r="F358">
        <v>0</v>
      </c>
      <c r="G358">
        <v>0.43984951692687702</v>
      </c>
      <c r="H358">
        <v>7</v>
      </c>
      <c r="I358">
        <v>16</v>
      </c>
      <c r="J358">
        <v>9.6274032727446196E-2</v>
      </c>
      <c r="K358">
        <v>1.6313213703099499E-2</v>
      </c>
      <c r="L358">
        <v>4.3175191560552502E-2</v>
      </c>
      <c r="M358">
        <v>1.7316017316017301E-3</v>
      </c>
      <c r="N358">
        <v>1.08424118310425E-2</v>
      </c>
      <c r="O358">
        <v>1050</v>
      </c>
      <c r="P358">
        <v>7.8633557800224393E-2</v>
      </c>
      <c r="Q358">
        <v>7.8789578877239697E-2</v>
      </c>
      <c r="R358">
        <v>0</v>
      </c>
      <c r="S358">
        <v>0</v>
      </c>
      <c r="T358" t="s">
        <v>28</v>
      </c>
      <c r="U358">
        <v>4.8517520215633402E-2</v>
      </c>
      <c r="V358">
        <v>0</v>
      </c>
      <c r="W358">
        <v>0</v>
      </c>
      <c r="X358">
        <v>0.10974102076020199</v>
      </c>
      <c r="Y358">
        <v>4.40951258750783E-2</v>
      </c>
      <c r="Z358">
        <v>5.1517099412551698E-2</v>
      </c>
      <c r="AA358">
        <v>0</v>
      </c>
      <c r="AB358">
        <f t="shared" si="35"/>
        <v>4.4329986402168724E-2</v>
      </c>
      <c r="AC358">
        <f t="shared" si="40"/>
        <v>0.25</v>
      </c>
      <c r="AD358">
        <f t="shared" si="36"/>
        <v>0</v>
      </c>
      <c r="AE358">
        <f t="shared" si="41"/>
        <v>5.5412483002710906E-2</v>
      </c>
      <c r="AF358" t="str">
        <f t="shared" si="37"/>
        <v>Very Low</v>
      </c>
      <c r="AG358" t="str">
        <f t="shared" si="38"/>
        <v>NO ACTION</v>
      </c>
      <c r="AH358" t="str">
        <f t="shared" si="39"/>
        <v/>
      </c>
    </row>
    <row r="359" spans="1:34" x14ac:dyDescent="0.3">
      <c r="A359" t="s">
        <v>386</v>
      </c>
      <c r="B359">
        <v>0.23478260869565201</v>
      </c>
      <c r="C359">
        <v>0.599823777663406</v>
      </c>
      <c r="D359">
        <v>0.38245625118659898</v>
      </c>
      <c r="E359">
        <v>0</v>
      </c>
      <c r="F359">
        <v>0</v>
      </c>
      <c r="G359">
        <v>0.48136119829840202</v>
      </c>
      <c r="H359">
        <v>7</v>
      </c>
      <c r="I359">
        <v>13</v>
      </c>
      <c r="J359">
        <v>9.8754830399313001E-2</v>
      </c>
      <c r="K359">
        <v>8.9722675367047301E-3</v>
      </c>
      <c r="L359">
        <v>2.31512659710114E-2</v>
      </c>
      <c r="M359">
        <v>1.44300144300144E-3</v>
      </c>
      <c r="N359">
        <v>8.8089153149394101E-3</v>
      </c>
      <c r="O359">
        <v>1085</v>
      </c>
      <c r="P359">
        <v>7.7160493827160503E-2</v>
      </c>
      <c r="Q359">
        <v>7.7316876468319307E-2</v>
      </c>
      <c r="R359">
        <v>0</v>
      </c>
      <c r="S359">
        <v>0</v>
      </c>
      <c r="T359" t="s">
        <v>28</v>
      </c>
      <c r="U359">
        <v>3.1132075471698099E-2</v>
      </c>
      <c r="V359">
        <v>0</v>
      </c>
      <c r="W359">
        <v>0</v>
      </c>
      <c r="X359">
        <v>0.114736875355979</v>
      </c>
      <c r="Y359">
        <v>3.3969273659850099E-2</v>
      </c>
      <c r="Z359">
        <v>4.9819862422272002E-2</v>
      </c>
      <c r="AA359">
        <v>0</v>
      </c>
      <c r="AB359">
        <f t="shared" si="35"/>
        <v>4.1818858159950831E-2</v>
      </c>
      <c r="AC359">
        <f t="shared" si="40"/>
        <v>0.25</v>
      </c>
      <c r="AD359">
        <f t="shared" si="36"/>
        <v>0</v>
      </c>
      <c r="AE359">
        <f t="shared" si="41"/>
        <v>5.2273572699938542E-2</v>
      </c>
      <c r="AF359" t="str">
        <f t="shared" si="37"/>
        <v>Very Low</v>
      </c>
      <c r="AG359" t="str">
        <f t="shared" si="38"/>
        <v>NO ACTION</v>
      </c>
      <c r="AH359" t="str">
        <f t="shared" si="39"/>
        <v/>
      </c>
    </row>
    <row r="360" spans="1:34" x14ac:dyDescent="0.3">
      <c r="A360" t="s">
        <v>387</v>
      </c>
      <c r="B360">
        <v>0.12892249527410199</v>
      </c>
      <c r="C360">
        <v>0.36953165208440503</v>
      </c>
      <c r="D360">
        <v>0</v>
      </c>
      <c r="E360">
        <v>0</v>
      </c>
      <c r="F360">
        <v>0</v>
      </c>
      <c r="G360">
        <v>0.99368632874434804</v>
      </c>
      <c r="H360">
        <v>8</v>
      </c>
      <c r="I360">
        <v>8</v>
      </c>
      <c r="J360">
        <v>9.7085062735556504E-2</v>
      </c>
      <c r="K360">
        <v>1.38662316476345E-2</v>
      </c>
      <c r="L360">
        <v>3.6393088552915703E-2</v>
      </c>
      <c r="M360">
        <v>4.3290043290043203E-3</v>
      </c>
      <c r="N360">
        <v>2.6880145997792999E-2</v>
      </c>
      <c r="O360">
        <v>1110</v>
      </c>
      <c r="P360">
        <v>7.94402356902357E-2</v>
      </c>
      <c r="Q360">
        <v>7.9596058767838901E-2</v>
      </c>
      <c r="R360">
        <v>0</v>
      </c>
      <c r="S360">
        <v>0</v>
      </c>
      <c r="T360" t="s">
        <v>28</v>
      </c>
      <c r="U360">
        <v>1.8042452830188599E-2</v>
      </c>
      <c r="V360">
        <v>0</v>
      </c>
      <c r="W360">
        <v>0</v>
      </c>
      <c r="X360">
        <v>0</v>
      </c>
      <c r="Y360">
        <v>4.56776006229071E-2</v>
      </c>
      <c r="Z360">
        <v>5.8416199813258601E-2</v>
      </c>
      <c r="AA360">
        <v>0</v>
      </c>
      <c r="AB360">
        <f t="shared" si="35"/>
        <v>2.9146264122126397E-2</v>
      </c>
      <c r="AC360">
        <f t="shared" si="40"/>
        <v>0.25</v>
      </c>
      <c r="AD360">
        <f t="shared" si="36"/>
        <v>0</v>
      </c>
      <c r="AE360">
        <f t="shared" si="41"/>
        <v>3.6432830152657997E-2</v>
      </c>
      <c r="AF360" t="str">
        <f t="shared" si="37"/>
        <v>Very Low</v>
      </c>
      <c r="AG360" t="str">
        <f t="shared" si="38"/>
        <v>NO ACTION</v>
      </c>
      <c r="AH360" t="str">
        <f t="shared" si="39"/>
        <v/>
      </c>
    </row>
    <row r="361" spans="1:34" x14ac:dyDescent="0.3">
      <c r="A361" t="s">
        <v>388</v>
      </c>
      <c r="B361">
        <v>0.235538752362948</v>
      </c>
      <c r="C361">
        <v>0.66008843753514201</v>
      </c>
      <c r="D361">
        <v>0.36878324534118401</v>
      </c>
      <c r="E361">
        <v>0</v>
      </c>
      <c r="F361">
        <v>0</v>
      </c>
      <c r="G361">
        <v>0.47941247371608797</v>
      </c>
      <c r="H361">
        <v>7</v>
      </c>
      <c r="I361">
        <v>15</v>
      </c>
      <c r="J361">
        <v>9.2218882686894696E-2</v>
      </c>
      <c r="K361">
        <v>3.2626427406199001E-3</v>
      </c>
      <c r="L361">
        <v>9.0137680626416698E-3</v>
      </c>
      <c r="M361">
        <v>5.7720057720057698E-4</v>
      </c>
      <c r="N361">
        <v>3.7726520698656901E-3</v>
      </c>
      <c r="O361">
        <v>423</v>
      </c>
      <c r="P361">
        <v>6.9479517396184007E-2</v>
      </c>
      <c r="Q361">
        <v>6.9637785336091704E-2</v>
      </c>
      <c r="R361">
        <v>0</v>
      </c>
      <c r="S361">
        <v>0</v>
      </c>
      <c r="T361" t="s">
        <v>53</v>
      </c>
      <c r="U361">
        <v>2.26415094339622E-2</v>
      </c>
      <c r="V361">
        <v>0</v>
      </c>
      <c r="W361">
        <v>0</v>
      </c>
      <c r="X361">
        <v>0.110634973602355</v>
      </c>
      <c r="Y361">
        <v>2.4082456189659401E-2</v>
      </c>
      <c r="Z361">
        <v>4.31967712656567E-2</v>
      </c>
      <c r="AA361">
        <v>0</v>
      </c>
      <c r="AB361">
        <f t="shared" si="35"/>
        <v>3.6539779463865309E-2</v>
      </c>
      <c r="AC361">
        <f t="shared" si="40"/>
        <v>0.1</v>
      </c>
      <c r="AD361">
        <f t="shared" si="36"/>
        <v>0</v>
      </c>
      <c r="AE361">
        <f t="shared" si="41"/>
        <v>4.0193757410251843E-2</v>
      </c>
      <c r="AF361" t="str">
        <f t="shared" si="37"/>
        <v>Very Low</v>
      </c>
      <c r="AG361" t="str">
        <f t="shared" si="38"/>
        <v>NO ACTION</v>
      </c>
      <c r="AH361" t="str">
        <f t="shared" si="39"/>
        <v/>
      </c>
    </row>
    <row r="362" spans="1:34" x14ac:dyDescent="0.3">
      <c r="A362" t="s">
        <v>389</v>
      </c>
      <c r="B362">
        <v>0.23440453686200299</v>
      </c>
      <c r="C362">
        <v>0.422237288359264</v>
      </c>
      <c r="D362">
        <v>0.39636132958100501</v>
      </c>
      <c r="E362">
        <v>0</v>
      </c>
      <c r="F362">
        <v>0.55288461538461497</v>
      </c>
      <c r="G362">
        <v>0.48233196976674397</v>
      </c>
      <c r="H362">
        <v>6</v>
      </c>
      <c r="I362">
        <v>17</v>
      </c>
      <c r="J362">
        <v>0.13191164543676301</v>
      </c>
      <c r="K362">
        <v>2.1207177814029299E-2</v>
      </c>
      <c r="L362">
        <v>4.0991493243717397E-2</v>
      </c>
      <c r="M362">
        <v>4.3290043290043203E-3</v>
      </c>
      <c r="N362">
        <v>1.97962086048728E-2</v>
      </c>
      <c r="O362">
        <v>1088</v>
      </c>
      <c r="P362">
        <v>0.108200056116722</v>
      </c>
      <c r="Q362">
        <v>0.108348820084855</v>
      </c>
      <c r="R362">
        <v>0.474926253687315</v>
      </c>
      <c r="S362">
        <v>1</v>
      </c>
      <c r="T362" t="s">
        <v>28</v>
      </c>
      <c r="U362">
        <v>2.75943396226415E-2</v>
      </c>
      <c r="V362">
        <v>0</v>
      </c>
      <c r="W362">
        <v>0.73959262405323101</v>
      </c>
      <c r="X362">
        <v>0.34006224502814703</v>
      </c>
      <c r="Y362">
        <v>5.2816938290673202E-2</v>
      </c>
      <c r="Z362">
        <v>7.2838517111982803E-2</v>
      </c>
      <c r="AA362">
        <v>0.474926253687315</v>
      </c>
      <c r="AB362">
        <f t="shared" si="35"/>
        <v>0.22257283774969544</v>
      </c>
      <c r="AC362">
        <f t="shared" si="40"/>
        <v>0.25</v>
      </c>
      <c r="AD362">
        <f t="shared" si="36"/>
        <v>0.08</v>
      </c>
      <c r="AE362">
        <f t="shared" si="41"/>
        <v>0.29602187420709497</v>
      </c>
      <c r="AF362" t="str">
        <f t="shared" si="37"/>
        <v>Low</v>
      </c>
      <c r="AG362" t="str">
        <f t="shared" si="38"/>
        <v>NO ACTION</v>
      </c>
      <c r="AH362" t="str">
        <f t="shared" si="39"/>
        <v/>
      </c>
    </row>
    <row r="363" spans="1:34" x14ac:dyDescent="0.3">
      <c r="A363" t="s">
        <v>390</v>
      </c>
      <c r="B363">
        <v>0.12892249527410199</v>
      </c>
      <c r="C363">
        <v>0.36953165208440503</v>
      </c>
      <c r="D363">
        <v>0</v>
      </c>
      <c r="E363">
        <v>0</v>
      </c>
      <c r="F363">
        <v>0</v>
      </c>
      <c r="G363">
        <v>0.99367104724331601</v>
      </c>
      <c r="H363">
        <v>8</v>
      </c>
      <c r="I363">
        <v>8</v>
      </c>
      <c r="J363">
        <v>0.109966127570249</v>
      </c>
      <c r="K363">
        <v>3.7520391517128798E-2</v>
      </c>
      <c r="L363">
        <v>8.6965302516058399E-2</v>
      </c>
      <c r="M363">
        <v>2.0202020202020202E-3</v>
      </c>
      <c r="N363">
        <v>1.1077878350605599E-2</v>
      </c>
      <c r="O363">
        <v>1241</v>
      </c>
      <c r="P363">
        <v>9.7958754208754203E-2</v>
      </c>
      <c r="Q363">
        <v>9.8110031908552095E-2</v>
      </c>
      <c r="R363">
        <v>0</v>
      </c>
      <c r="S363">
        <v>0</v>
      </c>
      <c r="T363" t="s">
        <v>28</v>
      </c>
      <c r="U363">
        <v>9.7641509433962201E-2</v>
      </c>
      <c r="V363">
        <v>0</v>
      </c>
      <c r="W363">
        <v>0</v>
      </c>
      <c r="X363">
        <v>0</v>
      </c>
      <c r="Y363">
        <v>6.8799240277260795E-2</v>
      </c>
      <c r="Z363">
        <v>6.3206403865494698E-2</v>
      </c>
      <c r="AA363">
        <v>0</v>
      </c>
      <c r="AB363">
        <f t="shared" si="35"/>
        <v>3.6961580359971546E-2</v>
      </c>
      <c r="AC363">
        <f t="shared" si="40"/>
        <v>0.25</v>
      </c>
      <c r="AD363">
        <f t="shared" si="36"/>
        <v>0</v>
      </c>
      <c r="AE363">
        <f t="shared" si="41"/>
        <v>4.6201975449964433E-2</v>
      </c>
      <c r="AF363" t="str">
        <f t="shared" si="37"/>
        <v>Very Low</v>
      </c>
      <c r="AG363" t="str">
        <f t="shared" si="38"/>
        <v>NO ACTION</v>
      </c>
      <c r="AH363" t="str">
        <f t="shared" si="39"/>
        <v/>
      </c>
    </row>
    <row r="364" spans="1:34" x14ac:dyDescent="0.3">
      <c r="A364" t="s">
        <v>391</v>
      </c>
      <c r="B364">
        <v>0.12892249527410199</v>
      </c>
      <c r="C364">
        <v>8.5152945915101905E-2</v>
      </c>
      <c r="D364">
        <v>7.4902366299490403E-2</v>
      </c>
      <c r="E364">
        <v>0</v>
      </c>
      <c r="F364">
        <v>0.53913043478260803</v>
      </c>
      <c r="G364">
        <v>0.99365905755424</v>
      </c>
      <c r="H364">
        <v>6</v>
      </c>
      <c r="I364">
        <v>7</v>
      </c>
      <c r="J364">
        <v>9.3459281522828105E-2</v>
      </c>
      <c r="K364">
        <v>1.4681892332789499E-2</v>
      </c>
      <c r="L364">
        <v>4.0024985373878802E-2</v>
      </c>
      <c r="M364">
        <v>2.0202020202020202E-3</v>
      </c>
      <c r="N364">
        <v>1.30294801374231E-2</v>
      </c>
      <c r="O364">
        <v>1037</v>
      </c>
      <c r="P364">
        <v>7.6003086419752994E-2</v>
      </c>
      <c r="Q364">
        <v>7.6159753147024695E-2</v>
      </c>
      <c r="R364">
        <v>0</v>
      </c>
      <c r="S364">
        <v>0</v>
      </c>
      <c r="T364" t="s">
        <v>53</v>
      </c>
      <c r="U364">
        <v>3.8207547169811298E-2</v>
      </c>
      <c r="V364">
        <v>0</v>
      </c>
      <c r="W364">
        <v>0</v>
      </c>
      <c r="X364">
        <v>0.23812288380289001</v>
      </c>
      <c r="Y364">
        <v>4.2613193032731901E-2</v>
      </c>
      <c r="Z364">
        <v>5.0813643906820999E-2</v>
      </c>
      <c r="AA364">
        <v>0</v>
      </c>
      <c r="AB364">
        <f t="shared" si="35"/>
        <v>6.4259175751537223E-2</v>
      </c>
      <c r="AC364">
        <f t="shared" si="40"/>
        <v>0.1</v>
      </c>
      <c r="AD364">
        <f t="shared" si="36"/>
        <v>0.08</v>
      </c>
      <c r="AE364">
        <f t="shared" si="41"/>
        <v>7.582582738681394E-2</v>
      </c>
      <c r="AF364" t="str">
        <f t="shared" si="37"/>
        <v>Very Low</v>
      </c>
      <c r="AG364" t="str">
        <f t="shared" si="38"/>
        <v>NO ACTION</v>
      </c>
      <c r="AH364" t="str">
        <f t="shared" si="39"/>
        <v/>
      </c>
    </row>
    <row r="365" spans="1:34" x14ac:dyDescent="0.3">
      <c r="A365" t="s">
        <v>392</v>
      </c>
      <c r="B365">
        <v>0.12892249527410199</v>
      </c>
      <c r="C365">
        <v>0.36953165208440503</v>
      </c>
      <c r="D365">
        <v>0</v>
      </c>
      <c r="E365">
        <v>0</v>
      </c>
      <c r="F365">
        <v>0</v>
      </c>
      <c r="G365">
        <v>0.99368303693239202</v>
      </c>
      <c r="H365">
        <v>8</v>
      </c>
      <c r="I365">
        <v>8</v>
      </c>
      <c r="J365">
        <v>0.121368255331329</v>
      </c>
      <c r="K365">
        <v>1.4681892332789499E-2</v>
      </c>
      <c r="L365">
        <v>3.0839180570536699E-2</v>
      </c>
      <c r="M365">
        <v>4.6176046176046098E-3</v>
      </c>
      <c r="N365">
        <v>2.29467232998029E-2</v>
      </c>
      <c r="O365">
        <v>1362</v>
      </c>
      <c r="P365">
        <v>9.7783389450056102E-2</v>
      </c>
      <c r="Q365">
        <v>9.7934710193204502E-2</v>
      </c>
      <c r="R365">
        <v>0</v>
      </c>
      <c r="S365">
        <v>0</v>
      </c>
      <c r="T365" t="s">
        <v>28</v>
      </c>
      <c r="U365">
        <v>1.7980022197558201E-2</v>
      </c>
      <c r="V365">
        <v>0</v>
      </c>
      <c r="W365">
        <v>0</v>
      </c>
      <c r="X365">
        <v>0</v>
      </c>
      <c r="Y365">
        <v>4.6577258341475102E-2</v>
      </c>
      <c r="Z365">
        <v>6.7848722989954799E-2</v>
      </c>
      <c r="AA365">
        <v>0</v>
      </c>
      <c r="AB365">
        <f t="shared" si="35"/>
        <v>3.2039274772800372E-2</v>
      </c>
      <c r="AC365">
        <f t="shared" si="40"/>
        <v>0.25</v>
      </c>
      <c r="AD365">
        <f t="shared" si="36"/>
        <v>0</v>
      </c>
      <c r="AE365">
        <f t="shared" si="41"/>
        <v>4.0049093466000468E-2</v>
      </c>
      <c r="AF365" t="str">
        <f t="shared" si="37"/>
        <v>Very Low</v>
      </c>
      <c r="AG365" t="str">
        <f t="shared" si="38"/>
        <v>NO ACTION</v>
      </c>
      <c r="AH365" t="str">
        <f t="shared" si="39"/>
        <v/>
      </c>
    </row>
    <row r="366" spans="1:34" x14ac:dyDescent="0.3">
      <c r="A366" t="s">
        <v>393</v>
      </c>
      <c r="B366">
        <v>0.13837429111531099</v>
      </c>
      <c r="C366">
        <v>0.241693675147097</v>
      </c>
      <c r="D366">
        <v>0.36226280338338002</v>
      </c>
      <c r="E366">
        <v>0.123123123123123</v>
      </c>
      <c r="F366">
        <v>4.59459459459459E-2</v>
      </c>
      <c r="G366">
        <v>0.91629178848955295</v>
      </c>
      <c r="H366">
        <v>0</v>
      </c>
      <c r="I366">
        <v>23</v>
      </c>
      <c r="J366">
        <v>0.131577691904012</v>
      </c>
      <c r="K366">
        <v>5.7096247960848204E-3</v>
      </c>
      <c r="L366">
        <v>1.10641311561524E-2</v>
      </c>
      <c r="M366">
        <v>0</v>
      </c>
      <c r="N366">
        <v>0</v>
      </c>
      <c r="O366">
        <v>491</v>
      </c>
      <c r="P366">
        <v>9.9186307519640804E-2</v>
      </c>
      <c r="Q366">
        <v>9.93372839159858E-2</v>
      </c>
      <c r="R366">
        <v>0</v>
      </c>
      <c r="S366">
        <v>0</v>
      </c>
      <c r="T366" t="s">
        <v>28</v>
      </c>
      <c r="U366">
        <v>0.118867924528301</v>
      </c>
      <c r="V366">
        <v>0</v>
      </c>
      <c r="W366">
        <v>0</v>
      </c>
      <c r="X366">
        <v>0.16399415633032899</v>
      </c>
      <c r="Y366">
        <v>3.1847603958878597E-2</v>
      </c>
      <c r="Z366">
        <v>5.9511784511784502E-2</v>
      </c>
      <c r="AA366">
        <v>0</v>
      </c>
      <c r="AB366">
        <f t="shared" si="35"/>
        <v>5.1819693784638313E-2</v>
      </c>
      <c r="AC366">
        <f t="shared" si="40"/>
        <v>0.25</v>
      </c>
      <c r="AD366">
        <f t="shared" si="36"/>
        <v>0</v>
      </c>
      <c r="AE366">
        <f t="shared" si="41"/>
        <v>6.4774617230797887E-2</v>
      </c>
      <c r="AF366" t="str">
        <f t="shared" si="37"/>
        <v>Very Low</v>
      </c>
      <c r="AG366" t="str">
        <f t="shared" si="38"/>
        <v>NO ACTION</v>
      </c>
      <c r="AH366" t="str">
        <f t="shared" si="39"/>
        <v/>
      </c>
    </row>
    <row r="367" spans="1:34" x14ac:dyDescent="0.3">
      <c r="A367" t="s">
        <v>394</v>
      </c>
      <c r="B367">
        <v>0.12892249527410199</v>
      </c>
      <c r="C367">
        <v>0.27206098443315602</v>
      </c>
      <c r="D367">
        <v>7.5018780494472401E-2</v>
      </c>
      <c r="E367">
        <v>0</v>
      </c>
      <c r="F367">
        <v>0</v>
      </c>
      <c r="G367">
        <v>0.993658120859781</v>
      </c>
      <c r="H367">
        <v>7</v>
      </c>
      <c r="I367">
        <v>8</v>
      </c>
      <c r="J367">
        <v>9.7323600973236002E-2</v>
      </c>
      <c r="K367">
        <v>7.34094616639478E-3</v>
      </c>
      <c r="L367">
        <v>1.9219821827456698E-2</v>
      </c>
      <c r="M367">
        <v>0</v>
      </c>
      <c r="N367">
        <v>0</v>
      </c>
      <c r="O367">
        <v>417</v>
      </c>
      <c r="P367">
        <v>7.4705387205387205E-2</v>
      </c>
      <c r="Q367">
        <v>7.4862372453451995E-2</v>
      </c>
      <c r="R367">
        <v>0.28318584070796399</v>
      </c>
      <c r="S367">
        <v>1</v>
      </c>
      <c r="T367" t="s">
        <v>28</v>
      </c>
      <c r="U367">
        <v>0.152830188679245</v>
      </c>
      <c r="V367">
        <v>0</v>
      </c>
      <c r="W367">
        <v>0</v>
      </c>
      <c r="X367">
        <v>2.25056341483417E-2</v>
      </c>
      <c r="Y367">
        <v>2.90746311083755E-2</v>
      </c>
      <c r="Z367">
        <v>4.48232323232323E-2</v>
      </c>
      <c r="AA367">
        <v>0.28318584070796399</v>
      </c>
      <c r="AB367">
        <f t="shared" si="35"/>
        <v>0.10358433862281477</v>
      </c>
      <c r="AC367">
        <f t="shared" si="40"/>
        <v>0.25</v>
      </c>
      <c r="AD367">
        <f t="shared" si="36"/>
        <v>0</v>
      </c>
      <c r="AE367">
        <f t="shared" si="41"/>
        <v>0.12948042327851847</v>
      </c>
      <c r="AF367" t="str">
        <f t="shared" si="37"/>
        <v>Very Low</v>
      </c>
      <c r="AG367" t="str">
        <f t="shared" si="38"/>
        <v>NO ACTION</v>
      </c>
      <c r="AH367" t="str">
        <f t="shared" si="39"/>
        <v/>
      </c>
    </row>
    <row r="368" spans="1:34" x14ac:dyDescent="0.3">
      <c r="A368" t="s">
        <v>395</v>
      </c>
      <c r="B368">
        <v>0.26691871455576499</v>
      </c>
      <c r="C368">
        <v>0.84107485882873101</v>
      </c>
      <c r="D368">
        <v>0.39924500536987401</v>
      </c>
      <c r="E368">
        <v>0</v>
      </c>
      <c r="F368">
        <v>0</v>
      </c>
      <c r="G368">
        <v>0.40589872329666399</v>
      </c>
      <c r="H368">
        <v>8</v>
      </c>
      <c r="I368">
        <v>16</v>
      </c>
      <c r="J368">
        <v>8.9594962072420195E-2</v>
      </c>
      <c r="K368">
        <v>1.4681892332789499E-2</v>
      </c>
      <c r="L368">
        <v>4.1746718679924598E-2</v>
      </c>
      <c r="M368">
        <v>2.0202020202020202E-3</v>
      </c>
      <c r="N368">
        <v>1.3589962288847001E-2</v>
      </c>
      <c r="O368">
        <v>1048</v>
      </c>
      <c r="P368">
        <v>7.3162177328844002E-2</v>
      </c>
      <c r="Q368">
        <v>7.3319541358392595E-2</v>
      </c>
      <c r="R368">
        <v>0</v>
      </c>
      <c r="S368">
        <v>0</v>
      </c>
      <c r="T368" t="s">
        <v>53</v>
      </c>
      <c r="U368">
        <v>3.8207547169811298E-2</v>
      </c>
      <c r="V368">
        <v>0</v>
      </c>
      <c r="W368">
        <v>0</v>
      </c>
      <c r="X368">
        <v>0.11977350161096199</v>
      </c>
      <c r="Y368">
        <v>4.2869340441100398E-2</v>
      </c>
      <c r="Z368">
        <v>4.9333291312845202E-2</v>
      </c>
      <c r="AA368">
        <v>0</v>
      </c>
      <c r="AB368">
        <f t="shared" si="35"/>
        <v>4.498049714885869E-2</v>
      </c>
      <c r="AC368">
        <f t="shared" si="40"/>
        <v>0.1</v>
      </c>
      <c r="AD368">
        <f t="shared" si="36"/>
        <v>0</v>
      </c>
      <c r="AE368">
        <f t="shared" si="41"/>
        <v>4.947854686374456E-2</v>
      </c>
      <c r="AF368" t="str">
        <f t="shared" si="37"/>
        <v>Very Low</v>
      </c>
      <c r="AG368" t="str">
        <f t="shared" si="38"/>
        <v>NO ACTION</v>
      </c>
      <c r="AH368" t="str">
        <f t="shared" si="39"/>
        <v/>
      </c>
    </row>
    <row r="369" spans="1:34" x14ac:dyDescent="0.3">
      <c r="A369" t="s">
        <v>396</v>
      </c>
      <c r="B369">
        <v>0.23478260869565201</v>
      </c>
      <c r="C369">
        <v>0.58859001544004097</v>
      </c>
      <c r="D369">
        <v>0.37195437605989401</v>
      </c>
      <c r="E369">
        <v>0</v>
      </c>
      <c r="F369">
        <v>0</v>
      </c>
      <c r="G369">
        <v>0.48134316916029002</v>
      </c>
      <c r="H369">
        <v>7</v>
      </c>
      <c r="I369">
        <v>13</v>
      </c>
      <c r="J369">
        <v>9.6798816850341099E-2</v>
      </c>
      <c r="K369">
        <v>1.1419249592169599E-2</v>
      </c>
      <c r="L369">
        <v>3.00591881852991E-2</v>
      </c>
      <c r="M369">
        <v>3.7518037518037501E-3</v>
      </c>
      <c r="N369">
        <v>2.33648466686814E-2</v>
      </c>
      <c r="O369">
        <v>1088</v>
      </c>
      <c r="P369">
        <v>7.7897025813692497E-2</v>
      </c>
      <c r="Q369">
        <v>7.8053227672779502E-2</v>
      </c>
      <c r="R369">
        <v>0</v>
      </c>
      <c r="S369">
        <v>0</v>
      </c>
      <c r="T369" t="s">
        <v>28</v>
      </c>
      <c r="U369">
        <v>1.6981132075471601E-2</v>
      </c>
      <c r="V369">
        <v>0</v>
      </c>
      <c r="W369">
        <v>0</v>
      </c>
      <c r="X369">
        <v>0.11158631281796801</v>
      </c>
      <c r="Y369">
        <v>4.1398811463322201E-2</v>
      </c>
      <c r="Z369">
        <v>5.6084154155688001E-2</v>
      </c>
      <c r="AA369">
        <v>0</v>
      </c>
      <c r="AB369">
        <f t="shared" si="35"/>
        <v>4.5149040424197741E-2</v>
      </c>
      <c r="AC369">
        <f t="shared" si="40"/>
        <v>0.25</v>
      </c>
      <c r="AD369">
        <f t="shared" si="36"/>
        <v>0</v>
      </c>
      <c r="AE369">
        <f t="shared" si="41"/>
        <v>5.6436300530247174E-2</v>
      </c>
      <c r="AF369" t="str">
        <f t="shared" si="37"/>
        <v>Very Low</v>
      </c>
      <c r="AG369" t="str">
        <f t="shared" si="38"/>
        <v>NO ACTION</v>
      </c>
      <c r="AH369" t="str">
        <f t="shared" si="39"/>
        <v/>
      </c>
    </row>
    <row r="370" spans="1:34" x14ac:dyDescent="0.3">
      <c r="A370" t="s">
        <v>397</v>
      </c>
      <c r="B370">
        <v>0.193194706994328</v>
      </c>
      <c r="C370">
        <v>0.92849312193635103</v>
      </c>
      <c r="D370">
        <v>0.38069271048551001</v>
      </c>
      <c r="E370">
        <v>0</v>
      </c>
      <c r="F370">
        <v>1.55339805825242E-2</v>
      </c>
      <c r="G370">
        <v>0.441277622460994</v>
      </c>
      <c r="H370">
        <v>1</v>
      </c>
      <c r="I370">
        <v>21</v>
      </c>
      <c r="J370">
        <v>3.6639473307571203E-2</v>
      </c>
      <c r="K370">
        <v>8.9722675367047301E-3</v>
      </c>
      <c r="L370">
        <v>6.2146024437061798E-2</v>
      </c>
      <c r="M370">
        <v>1.44300144300144E-3</v>
      </c>
      <c r="N370">
        <v>2.36461827664932E-2</v>
      </c>
      <c r="O370">
        <v>476</v>
      </c>
      <c r="P370">
        <v>3.1495510662177303E-2</v>
      </c>
      <c r="Q370">
        <v>3.1663101791787898E-2</v>
      </c>
      <c r="R370">
        <v>2.6548672566371601E-2</v>
      </c>
      <c r="S370">
        <v>1</v>
      </c>
      <c r="T370" t="s">
        <v>53</v>
      </c>
      <c r="U370">
        <v>3.1132075471698099E-2</v>
      </c>
      <c r="V370">
        <v>0</v>
      </c>
      <c r="W370">
        <v>3.1503618249603398E-2</v>
      </c>
      <c r="X370">
        <v>0.120421405378662</v>
      </c>
      <c r="Y370">
        <v>4.5494761709993101E-2</v>
      </c>
      <c r="Z370">
        <v>2.83557795039036E-2</v>
      </c>
      <c r="AA370">
        <v>2.6548672566371601E-2</v>
      </c>
      <c r="AB370">
        <f t="shared" si="35"/>
        <v>4.7379204719061055E-2</v>
      </c>
      <c r="AC370">
        <f t="shared" si="40"/>
        <v>0.1</v>
      </c>
      <c r="AD370">
        <f t="shared" si="36"/>
        <v>0</v>
      </c>
      <c r="AE370">
        <f t="shared" si="41"/>
        <v>5.2117125190967166E-2</v>
      </c>
      <c r="AF370" t="str">
        <f t="shared" si="37"/>
        <v>Very Low</v>
      </c>
      <c r="AG370" t="str">
        <f t="shared" si="38"/>
        <v>NO ACTION</v>
      </c>
      <c r="AH370" t="str">
        <f t="shared" si="39"/>
        <v/>
      </c>
    </row>
    <row r="371" spans="1:34" x14ac:dyDescent="0.3">
      <c r="A371" t="s">
        <v>398</v>
      </c>
      <c r="B371">
        <v>0.12892249527410199</v>
      </c>
      <c r="C371">
        <v>0.18476582604220201</v>
      </c>
      <c r="D371">
        <v>0</v>
      </c>
      <c r="E371">
        <v>0</v>
      </c>
      <c r="F371">
        <v>0</v>
      </c>
      <c r="G371">
        <v>0.99367653359657604</v>
      </c>
      <c r="H371">
        <v>7</v>
      </c>
      <c r="I371">
        <v>7</v>
      </c>
      <c r="J371">
        <v>0.106960545775487</v>
      </c>
      <c r="K371">
        <v>1.38662316476345E-2</v>
      </c>
      <c r="L371">
        <v>3.3040454226946202E-2</v>
      </c>
      <c r="M371">
        <v>2.59740259740259E-3</v>
      </c>
      <c r="N371">
        <v>1.4642322519492001E-2</v>
      </c>
      <c r="O371">
        <v>1165</v>
      </c>
      <c r="P371">
        <v>8.5858585858585801E-2</v>
      </c>
      <c r="Q371">
        <v>8.6012833549563406E-2</v>
      </c>
      <c r="R371">
        <v>0</v>
      </c>
      <c r="S371">
        <v>0</v>
      </c>
      <c r="T371" t="s">
        <v>28</v>
      </c>
      <c r="U371">
        <v>2.8867924528301801E-2</v>
      </c>
      <c r="V371">
        <v>0</v>
      </c>
      <c r="W371">
        <v>0</v>
      </c>
      <c r="X371">
        <v>0</v>
      </c>
      <c r="Y371">
        <v>4.23050330244183E-2</v>
      </c>
      <c r="Z371">
        <v>5.7372080522948302E-2</v>
      </c>
      <c r="AA371">
        <v>0</v>
      </c>
      <c r="AB371">
        <f t="shared" si="35"/>
        <v>2.7909591793262651E-2</v>
      </c>
      <c r="AC371">
        <f t="shared" si="40"/>
        <v>0.25</v>
      </c>
      <c r="AD371">
        <f t="shared" si="36"/>
        <v>0</v>
      </c>
      <c r="AE371">
        <f t="shared" si="41"/>
        <v>3.4886989741578313E-2</v>
      </c>
      <c r="AF371" t="str">
        <f t="shared" si="37"/>
        <v>Very Low</v>
      </c>
      <c r="AG371" t="str">
        <f t="shared" si="38"/>
        <v>NO ACTION</v>
      </c>
      <c r="AH371" t="str">
        <f t="shared" si="39"/>
        <v/>
      </c>
    </row>
    <row r="372" spans="1:34" x14ac:dyDescent="0.3">
      <c r="A372" t="s">
        <v>399</v>
      </c>
      <c r="B372">
        <v>0.12892249527410199</v>
      </c>
      <c r="C372">
        <v>0.36953165208440503</v>
      </c>
      <c r="D372">
        <v>0</v>
      </c>
      <c r="E372">
        <v>0</v>
      </c>
      <c r="F372">
        <v>0</v>
      </c>
      <c r="G372">
        <v>0.99367003026076095</v>
      </c>
      <c r="H372">
        <v>8</v>
      </c>
      <c r="I372">
        <v>8</v>
      </c>
      <c r="J372">
        <v>9.3697819760507603E-2</v>
      </c>
      <c r="K372">
        <v>7.34094616639478E-3</v>
      </c>
      <c r="L372">
        <v>1.9961673761883701E-2</v>
      </c>
      <c r="M372">
        <v>1.7316017316017301E-3</v>
      </c>
      <c r="N372">
        <v>1.11397659391564E-2</v>
      </c>
      <c r="O372">
        <v>1085</v>
      </c>
      <c r="P372">
        <v>7.2881593714927001E-2</v>
      </c>
      <c r="Q372">
        <v>7.3039026613836294E-2</v>
      </c>
      <c r="R372">
        <v>0</v>
      </c>
      <c r="S372">
        <v>0</v>
      </c>
      <c r="T372" t="s">
        <v>53</v>
      </c>
      <c r="U372">
        <v>2.1832884097034998E-2</v>
      </c>
      <c r="V372">
        <v>0</v>
      </c>
      <c r="W372">
        <v>0</v>
      </c>
      <c r="X372">
        <v>0</v>
      </c>
      <c r="Y372">
        <v>3.2062330614790302E-2</v>
      </c>
      <c r="Z372">
        <v>4.8184862604618801E-2</v>
      </c>
      <c r="AA372">
        <v>0</v>
      </c>
      <c r="AB372">
        <f t="shared" si="35"/>
        <v>2.246921410143455E-2</v>
      </c>
      <c r="AC372">
        <f t="shared" si="40"/>
        <v>0.1</v>
      </c>
      <c r="AD372">
        <f t="shared" si="36"/>
        <v>0</v>
      </c>
      <c r="AE372">
        <f t="shared" si="41"/>
        <v>2.4716135511578006E-2</v>
      </c>
      <c r="AF372" t="str">
        <f t="shared" si="37"/>
        <v>Very Low</v>
      </c>
      <c r="AG372" t="str">
        <f t="shared" si="38"/>
        <v>NO ACTION</v>
      </c>
      <c r="AH372" t="str">
        <f t="shared" si="39"/>
        <v/>
      </c>
    </row>
    <row r="373" spans="1:34" x14ac:dyDescent="0.3">
      <c r="A373" t="s">
        <v>400</v>
      </c>
      <c r="B373">
        <v>0.248393194706994</v>
      </c>
      <c r="C373">
        <v>0.57498230585296595</v>
      </c>
      <c r="D373">
        <v>0.35506394607167802</v>
      </c>
      <c r="E373">
        <v>0</v>
      </c>
      <c r="F373">
        <v>0</v>
      </c>
      <c r="G373">
        <v>0.44697036331677098</v>
      </c>
      <c r="H373">
        <v>7</v>
      </c>
      <c r="I373">
        <v>15</v>
      </c>
      <c r="J373">
        <v>8.9690377367491997E-2</v>
      </c>
      <c r="K373">
        <v>1.4681892332789499E-2</v>
      </c>
      <c r="L373">
        <v>4.1702425079203201E-2</v>
      </c>
      <c r="M373">
        <v>2.59740259740259E-3</v>
      </c>
      <c r="N373">
        <v>1.7454269868062901E-2</v>
      </c>
      <c r="O373">
        <v>982</v>
      </c>
      <c r="P373">
        <v>7.3512906846240095E-2</v>
      </c>
      <c r="Q373">
        <v>7.3670184789087906E-2</v>
      </c>
      <c r="R373">
        <v>0.47640117994100201</v>
      </c>
      <c r="S373">
        <v>1</v>
      </c>
      <c r="T373" t="s">
        <v>53</v>
      </c>
      <c r="U373">
        <v>3.0566037735849001E-2</v>
      </c>
      <c r="V373">
        <v>0</v>
      </c>
      <c r="W373">
        <v>0</v>
      </c>
      <c r="X373">
        <v>0.10651918382150299</v>
      </c>
      <c r="Y373">
        <v>4.4025568973518801E-2</v>
      </c>
      <c r="Z373">
        <v>5.10894520549693E-2</v>
      </c>
      <c r="AA373">
        <v>0.47640117994100201</v>
      </c>
      <c r="AB373">
        <f t="shared" si="35"/>
        <v>0.17706760568289773</v>
      </c>
      <c r="AC373">
        <f t="shared" si="40"/>
        <v>0.1</v>
      </c>
      <c r="AD373">
        <f t="shared" si="36"/>
        <v>0</v>
      </c>
      <c r="AE373">
        <f t="shared" si="41"/>
        <v>0.19477436625118752</v>
      </c>
      <c r="AF373" t="str">
        <f t="shared" si="37"/>
        <v>Very Low</v>
      </c>
      <c r="AG373" t="str">
        <f t="shared" si="38"/>
        <v>NO ACTION</v>
      </c>
      <c r="AH373" t="str">
        <f t="shared" si="39"/>
        <v/>
      </c>
    </row>
    <row r="374" spans="1:34" x14ac:dyDescent="0.3">
      <c r="A374" t="s">
        <v>401</v>
      </c>
      <c r="B374">
        <v>0.2351606805293</v>
      </c>
      <c r="C374">
        <v>0.58676431656852801</v>
      </c>
      <c r="D374">
        <v>0.36962543206006399</v>
      </c>
      <c r="E374">
        <v>0</v>
      </c>
      <c r="F374">
        <v>0</v>
      </c>
      <c r="G374">
        <v>0.48035034438333202</v>
      </c>
      <c r="H374">
        <v>7</v>
      </c>
      <c r="I374">
        <v>13</v>
      </c>
      <c r="J374">
        <v>8.0530509040599205E-2</v>
      </c>
      <c r="K374">
        <v>9.7879282218597003E-3</v>
      </c>
      <c r="L374">
        <v>3.0954546672296902E-2</v>
      </c>
      <c r="M374">
        <v>5.7720057720057698E-4</v>
      </c>
      <c r="N374">
        <v>4.3186058543412302E-3</v>
      </c>
      <c r="O374">
        <v>987</v>
      </c>
      <c r="P374">
        <v>6.3692480359147E-2</v>
      </c>
      <c r="Q374">
        <v>6.3852168729618797E-2</v>
      </c>
      <c r="R374">
        <v>0</v>
      </c>
      <c r="S374">
        <v>0</v>
      </c>
      <c r="T374" t="s">
        <v>53</v>
      </c>
      <c r="U374">
        <v>6.7924528301886694E-2</v>
      </c>
      <c r="V374">
        <v>0</v>
      </c>
      <c r="W374">
        <v>0</v>
      </c>
      <c r="X374">
        <v>0.110887629618019</v>
      </c>
      <c r="Y374">
        <v>3.2878956900570598E-2</v>
      </c>
      <c r="Z374">
        <v>3.9942930557224698E-2</v>
      </c>
      <c r="AA374">
        <v>0</v>
      </c>
      <c r="AB374">
        <f t="shared" si="35"/>
        <v>3.8132149227065724E-2</v>
      </c>
      <c r="AC374">
        <f t="shared" si="40"/>
        <v>0.1</v>
      </c>
      <c r="AD374">
        <f t="shared" si="36"/>
        <v>0</v>
      </c>
      <c r="AE374">
        <f t="shared" si="41"/>
        <v>4.1945364149772298E-2</v>
      </c>
      <c r="AF374" t="str">
        <f t="shared" si="37"/>
        <v>Very Low</v>
      </c>
      <c r="AG374" t="str">
        <f t="shared" si="38"/>
        <v>NO ACTION</v>
      </c>
      <c r="AH374" t="str">
        <f t="shared" si="39"/>
        <v/>
      </c>
    </row>
    <row r="375" spans="1:34" x14ac:dyDescent="0.3">
      <c r="A375" t="s">
        <v>402</v>
      </c>
      <c r="B375">
        <v>0.14366729678638901</v>
      </c>
      <c r="C375">
        <v>0.57065695230742797</v>
      </c>
      <c r="D375">
        <v>0.437022749558858</v>
      </c>
      <c r="E375">
        <v>0.23726851851851799</v>
      </c>
      <c r="F375">
        <v>9.8958333333333301E-2</v>
      </c>
      <c r="G375">
        <v>0.87736351305264004</v>
      </c>
      <c r="H375">
        <v>0</v>
      </c>
      <c r="I375">
        <v>23</v>
      </c>
      <c r="J375">
        <v>0.11254234053718799</v>
      </c>
      <c r="K375">
        <v>1.38662316476345E-2</v>
      </c>
      <c r="L375">
        <v>3.1405203319774998E-2</v>
      </c>
      <c r="M375">
        <v>3.7518037518037501E-3</v>
      </c>
      <c r="N375">
        <v>2.01032563976726E-2</v>
      </c>
      <c r="O375">
        <v>1246</v>
      </c>
      <c r="P375">
        <v>9.0523288439955094E-2</v>
      </c>
      <c r="Q375">
        <v>9.0676391177811205E-2</v>
      </c>
      <c r="R375">
        <v>0.45870206489675502</v>
      </c>
      <c r="S375">
        <v>1</v>
      </c>
      <c r="T375" t="s">
        <v>28</v>
      </c>
      <c r="U375">
        <v>2.0619946091644199E-2</v>
      </c>
      <c r="V375">
        <v>0</v>
      </c>
      <c r="W375">
        <v>0.101418762823185</v>
      </c>
      <c r="X375">
        <v>0.24187071375654601</v>
      </c>
      <c r="Y375">
        <v>4.4242046686626901E-2</v>
      </c>
      <c r="Z375">
        <v>6.2355275623042099E-2</v>
      </c>
      <c r="AA375">
        <v>0.45870206489675502</v>
      </c>
      <c r="AB375">
        <f t="shared" si="35"/>
        <v>0.19698314261884609</v>
      </c>
      <c r="AC375">
        <f t="shared" si="40"/>
        <v>0.25</v>
      </c>
      <c r="AD375">
        <f t="shared" si="36"/>
        <v>0</v>
      </c>
      <c r="AE375">
        <f t="shared" si="41"/>
        <v>0.24622892827355761</v>
      </c>
      <c r="AF375" t="str">
        <f t="shared" si="37"/>
        <v>Low</v>
      </c>
      <c r="AG375" t="str">
        <f t="shared" si="38"/>
        <v>NO ACTION</v>
      </c>
      <c r="AH375" t="str">
        <f t="shared" si="39"/>
        <v/>
      </c>
    </row>
    <row r="376" spans="1:34" x14ac:dyDescent="0.3">
      <c r="A376" t="s">
        <v>403</v>
      </c>
      <c r="B376">
        <v>0.26389413988657801</v>
      </c>
      <c r="C376">
        <v>0.76090883630770301</v>
      </c>
      <c r="D376">
        <v>0.39342063530932597</v>
      </c>
      <c r="E376">
        <v>0.12978790756568501</v>
      </c>
      <c r="F376">
        <v>1.9943019943019901E-2</v>
      </c>
      <c r="G376">
        <v>0.41193372696376301</v>
      </c>
      <c r="H376">
        <v>1</v>
      </c>
      <c r="I376">
        <v>23</v>
      </c>
      <c r="J376">
        <v>7.8860741376842694E-2</v>
      </c>
      <c r="K376">
        <v>3.1810766721044E-2</v>
      </c>
      <c r="L376">
        <v>0.102725967688568</v>
      </c>
      <c r="M376">
        <v>2.8860028860028799E-3</v>
      </c>
      <c r="N376">
        <v>2.2048853170686701E-2</v>
      </c>
      <c r="O376">
        <v>882</v>
      </c>
      <c r="P376">
        <v>7.3056958473625103E-2</v>
      </c>
      <c r="Q376">
        <v>7.3214348329183998E-2</v>
      </c>
      <c r="R376">
        <v>0.40265486725663702</v>
      </c>
      <c r="S376">
        <v>1</v>
      </c>
      <c r="T376" t="s">
        <v>53</v>
      </c>
      <c r="U376">
        <v>6.0205831903945101E-2</v>
      </c>
      <c r="V376">
        <v>0</v>
      </c>
      <c r="W376">
        <v>6.6855246028995494E-2</v>
      </c>
      <c r="X376">
        <v>0.16493977083971101</v>
      </c>
      <c r="Y376">
        <v>7.3749788070858496E-2</v>
      </c>
      <c r="Z376">
        <v>5.2653716352449698E-2</v>
      </c>
      <c r="AA376">
        <v>0.40265486725663702</v>
      </c>
      <c r="AB376">
        <f t="shared" si="35"/>
        <v>0.17452670740473844</v>
      </c>
      <c r="AC376">
        <f t="shared" si="40"/>
        <v>0.1</v>
      </c>
      <c r="AD376">
        <f t="shared" si="36"/>
        <v>0</v>
      </c>
      <c r="AE376">
        <f t="shared" si="41"/>
        <v>0.19197937814521229</v>
      </c>
      <c r="AF376" t="str">
        <f t="shared" si="37"/>
        <v>Very Low</v>
      </c>
      <c r="AG376" t="str">
        <f t="shared" si="38"/>
        <v>NO ACTION</v>
      </c>
      <c r="AH376" t="str">
        <f t="shared" si="39"/>
        <v/>
      </c>
    </row>
    <row r="377" spans="1:34" x14ac:dyDescent="0.3">
      <c r="A377" t="s">
        <v>404</v>
      </c>
      <c r="B377">
        <v>0.14026465028355301</v>
      </c>
      <c r="C377">
        <v>0.26359924515354199</v>
      </c>
      <c r="D377">
        <v>0.24727677271053</v>
      </c>
      <c r="E377">
        <v>0</v>
      </c>
      <c r="F377">
        <v>0</v>
      </c>
      <c r="G377">
        <v>0.90203740091123097</v>
      </c>
      <c r="H377">
        <v>7</v>
      </c>
      <c r="I377">
        <v>16</v>
      </c>
      <c r="J377">
        <v>0.108248652258957</v>
      </c>
      <c r="K377">
        <v>1.6313213703099499E-2</v>
      </c>
      <c r="L377">
        <v>3.8409592140280398E-2</v>
      </c>
      <c r="M377">
        <v>2.59740259740259E-3</v>
      </c>
      <c r="N377">
        <v>1.44684690858833E-2</v>
      </c>
      <c r="O377">
        <v>1233</v>
      </c>
      <c r="P377">
        <v>8.7857744107744107E-2</v>
      </c>
      <c r="Q377">
        <v>8.8011501104526796E-2</v>
      </c>
      <c r="R377">
        <v>0.58554572271386396</v>
      </c>
      <c r="S377">
        <v>1</v>
      </c>
      <c r="T377" t="s">
        <v>28</v>
      </c>
      <c r="U377">
        <v>3.3962264150943298E-2</v>
      </c>
      <c r="V377">
        <v>0</v>
      </c>
      <c r="W377">
        <v>0</v>
      </c>
      <c r="X377">
        <v>7.4183031813158995E-2</v>
      </c>
      <c r="Y377">
        <v>4.5195067247696598E-2</v>
      </c>
      <c r="Z377">
        <v>5.8502034098999803E-2</v>
      </c>
      <c r="AA377">
        <v>0.58554572271386396</v>
      </c>
      <c r="AB377">
        <f t="shared" si="35"/>
        <v>0.20485727582706234</v>
      </c>
      <c r="AC377">
        <f t="shared" si="40"/>
        <v>0.25</v>
      </c>
      <c r="AD377">
        <f t="shared" si="36"/>
        <v>0</v>
      </c>
      <c r="AE377">
        <f t="shared" si="41"/>
        <v>0.2560715947838279</v>
      </c>
      <c r="AF377" t="str">
        <f t="shared" si="37"/>
        <v>Low</v>
      </c>
      <c r="AG377" t="str">
        <f t="shared" si="38"/>
        <v>NO ACTION</v>
      </c>
      <c r="AH377" t="str">
        <f t="shared" si="39"/>
        <v/>
      </c>
    </row>
    <row r="378" spans="1:34" x14ac:dyDescent="0.3">
      <c r="A378" t="s">
        <v>405</v>
      </c>
      <c r="B378">
        <v>0.12892249527410199</v>
      </c>
      <c r="C378">
        <v>0.18476582604220201</v>
      </c>
      <c r="D378">
        <v>0</v>
      </c>
      <c r="E378">
        <v>0</v>
      </c>
      <c r="F378">
        <v>0</v>
      </c>
      <c r="G378">
        <v>0.99366906680360201</v>
      </c>
      <c r="H378">
        <v>7</v>
      </c>
      <c r="I378">
        <v>7</v>
      </c>
      <c r="J378">
        <v>6.8078813033729299E-2</v>
      </c>
      <c r="K378">
        <v>1.5497553017944501E-2</v>
      </c>
      <c r="L378">
        <v>5.7944303003245698E-2</v>
      </c>
      <c r="M378">
        <v>2.88600288600288E-4</v>
      </c>
      <c r="N378">
        <v>2.5528630277233599E-3</v>
      </c>
      <c r="O378">
        <v>808</v>
      </c>
      <c r="P378">
        <v>5.6853254769921403E-2</v>
      </c>
      <c r="Q378">
        <v>5.7014621831059903E-2</v>
      </c>
      <c r="R378">
        <v>0</v>
      </c>
      <c r="S378">
        <v>0</v>
      </c>
      <c r="T378" t="s">
        <v>53</v>
      </c>
      <c r="U378">
        <v>0.16132075471698101</v>
      </c>
      <c r="V378">
        <v>0</v>
      </c>
      <c r="W378">
        <v>0</v>
      </c>
      <c r="X378">
        <v>0</v>
      </c>
      <c r="Y378">
        <v>4.33537730166857E-2</v>
      </c>
      <c r="Z378">
        <v>3.5133098073042199E-2</v>
      </c>
      <c r="AA378">
        <v>0</v>
      </c>
      <c r="AB378">
        <f t="shared" si="35"/>
        <v>2.1976323905123815E-2</v>
      </c>
      <c r="AC378">
        <f t="shared" si="40"/>
        <v>0.1</v>
      </c>
      <c r="AD378">
        <f t="shared" si="36"/>
        <v>0</v>
      </c>
      <c r="AE378">
        <f t="shared" si="41"/>
        <v>2.4173956295636199E-2</v>
      </c>
      <c r="AF378" t="str">
        <f t="shared" si="37"/>
        <v>Very Low</v>
      </c>
      <c r="AG378" t="str">
        <f t="shared" si="38"/>
        <v>NO ACTION</v>
      </c>
      <c r="AH378" t="str">
        <f t="shared" si="39"/>
        <v/>
      </c>
    </row>
    <row r="379" spans="1:34" x14ac:dyDescent="0.3">
      <c r="A379" t="s">
        <v>406</v>
      </c>
      <c r="B379">
        <v>0.12892249527410199</v>
      </c>
      <c r="C379">
        <v>0.36953165208440503</v>
      </c>
      <c r="D379">
        <v>0</v>
      </c>
      <c r="E379">
        <v>0</v>
      </c>
      <c r="F379">
        <v>0</v>
      </c>
      <c r="G379">
        <v>0.99364955679615596</v>
      </c>
      <c r="H379">
        <v>8</v>
      </c>
      <c r="I379">
        <v>8</v>
      </c>
      <c r="J379">
        <v>0.12804732598635499</v>
      </c>
      <c r="K379">
        <v>4.0783034257748704E-3</v>
      </c>
      <c r="L379">
        <v>8.1204362706394397E-3</v>
      </c>
      <c r="M379">
        <v>5.7720057720057698E-4</v>
      </c>
      <c r="N379">
        <v>2.71900323964288E-3</v>
      </c>
      <c r="O379">
        <v>504</v>
      </c>
      <c r="P379">
        <v>9.61700336700336E-2</v>
      </c>
      <c r="Q379">
        <v>9.6321750412005996E-2</v>
      </c>
      <c r="R379">
        <v>0</v>
      </c>
      <c r="S379">
        <v>0</v>
      </c>
      <c r="T379" t="s">
        <v>28</v>
      </c>
      <c r="U379">
        <v>2.83018867924528E-2</v>
      </c>
      <c r="V379">
        <v>0</v>
      </c>
      <c r="W379">
        <v>0</v>
      </c>
      <c r="X379">
        <v>0</v>
      </c>
      <c r="Y379">
        <v>3.0485384304483699E-2</v>
      </c>
      <c r="Z379">
        <v>5.8789621497877302E-2</v>
      </c>
      <c r="AA379">
        <v>0</v>
      </c>
      <c r="AB379">
        <f t="shared" si="35"/>
        <v>2.4997001624661085E-2</v>
      </c>
      <c r="AC379">
        <f t="shared" si="40"/>
        <v>0.25</v>
      </c>
      <c r="AD379">
        <f t="shared" si="36"/>
        <v>0</v>
      </c>
      <c r="AE379">
        <f t="shared" si="41"/>
        <v>3.1246252030826357E-2</v>
      </c>
      <c r="AF379" t="str">
        <f t="shared" si="37"/>
        <v>Very Low</v>
      </c>
      <c r="AG379" t="str">
        <f t="shared" si="38"/>
        <v>NO ACTION</v>
      </c>
      <c r="AH379" t="str">
        <f t="shared" si="39"/>
        <v/>
      </c>
    </row>
    <row r="380" spans="1:34" x14ac:dyDescent="0.3">
      <c r="A380" t="s">
        <v>407</v>
      </c>
      <c r="B380">
        <v>0.13497164461247599</v>
      </c>
      <c r="C380">
        <v>0.40126428702794098</v>
      </c>
      <c r="D380">
        <v>0.14308212755253799</v>
      </c>
      <c r="E380">
        <v>0</v>
      </c>
      <c r="F380">
        <v>0</v>
      </c>
      <c r="G380">
        <v>0.94290046917710102</v>
      </c>
      <c r="H380">
        <v>8</v>
      </c>
      <c r="I380">
        <v>16</v>
      </c>
      <c r="J380">
        <v>9.1503267973856203E-2</v>
      </c>
      <c r="K380">
        <v>2.36541598694942E-2</v>
      </c>
      <c r="L380">
        <v>6.5859567428053406E-2</v>
      </c>
      <c r="M380">
        <v>2.8860028860028799E-3</v>
      </c>
      <c r="N380">
        <v>1.9010399665625798E-2</v>
      </c>
      <c r="O380">
        <v>1060</v>
      </c>
      <c r="P380">
        <v>7.8843995510662193E-2</v>
      </c>
      <c r="Q380">
        <v>7.8999964935656905E-2</v>
      </c>
      <c r="R380">
        <v>0.39085545722713799</v>
      </c>
      <c r="S380">
        <v>1</v>
      </c>
      <c r="T380" t="s">
        <v>53</v>
      </c>
      <c r="U380">
        <v>4.4768439108061699E-2</v>
      </c>
      <c r="V380">
        <v>0</v>
      </c>
      <c r="W380">
        <v>0</v>
      </c>
      <c r="X380">
        <v>4.2924638265761601E-2</v>
      </c>
      <c r="Y380">
        <v>5.6933557208485697E-2</v>
      </c>
      <c r="Z380">
        <v>5.4910557172647603E-2</v>
      </c>
      <c r="AA380">
        <v>0.39085545722713799</v>
      </c>
      <c r="AB380">
        <f t="shared" si="35"/>
        <v>0.14762382217283782</v>
      </c>
      <c r="AC380">
        <f t="shared" si="40"/>
        <v>0.1</v>
      </c>
      <c r="AD380">
        <f t="shared" si="36"/>
        <v>0</v>
      </c>
      <c r="AE380">
        <f t="shared" si="41"/>
        <v>0.16238620439012161</v>
      </c>
      <c r="AF380" t="str">
        <f t="shared" si="37"/>
        <v>Very Low</v>
      </c>
      <c r="AG380" t="str">
        <f t="shared" si="38"/>
        <v>NO ACTION</v>
      </c>
      <c r="AH380" t="str">
        <f t="shared" si="39"/>
        <v/>
      </c>
    </row>
    <row r="381" spans="1:34" x14ac:dyDescent="0.3">
      <c r="A381" t="s">
        <v>408</v>
      </c>
      <c r="B381">
        <v>0.12892249527410199</v>
      </c>
      <c r="C381">
        <v>0.36953165208440503</v>
      </c>
      <c r="D381">
        <v>0</v>
      </c>
      <c r="E381">
        <v>0</v>
      </c>
      <c r="F381">
        <v>0</v>
      </c>
      <c r="G381">
        <v>0.99366893299010794</v>
      </c>
      <c r="H381">
        <v>8</v>
      </c>
      <c r="I381">
        <v>8</v>
      </c>
      <c r="J381">
        <v>0.12900147893707301</v>
      </c>
      <c r="K381">
        <v>1.4681892332789499E-2</v>
      </c>
      <c r="L381">
        <v>2.9017745025580601E-2</v>
      </c>
      <c r="M381">
        <v>1.0678210678210599E-2</v>
      </c>
      <c r="N381">
        <v>4.99301936732722E-2</v>
      </c>
      <c r="O381">
        <v>519</v>
      </c>
      <c r="P381">
        <v>0.106341189674523</v>
      </c>
      <c r="Q381">
        <v>0.10649040990217</v>
      </c>
      <c r="R381">
        <v>0</v>
      </c>
      <c r="S381">
        <v>0</v>
      </c>
      <c r="T381" t="s">
        <v>28</v>
      </c>
      <c r="U381">
        <v>8.0436941410128998E-3</v>
      </c>
      <c r="V381">
        <v>0</v>
      </c>
      <c r="W381">
        <v>0</v>
      </c>
      <c r="X381">
        <v>0</v>
      </c>
      <c r="Y381">
        <v>5.5288226402186703E-2</v>
      </c>
      <c r="Z381">
        <v>8.3776791274022697E-2</v>
      </c>
      <c r="AA381">
        <v>0</v>
      </c>
      <c r="AB381">
        <f t="shared" si="35"/>
        <v>3.893820494933864E-2</v>
      </c>
      <c r="AC381">
        <f t="shared" si="40"/>
        <v>0.25</v>
      </c>
      <c r="AD381">
        <f t="shared" si="36"/>
        <v>0</v>
      </c>
      <c r="AE381">
        <f t="shared" si="41"/>
        <v>4.8672756186673299E-2</v>
      </c>
      <c r="AF381" t="str">
        <f t="shared" si="37"/>
        <v>Very Low</v>
      </c>
      <c r="AG381" t="str">
        <f t="shared" si="38"/>
        <v>NO ACTION</v>
      </c>
      <c r="AH381" t="str">
        <f t="shared" si="39"/>
        <v/>
      </c>
    </row>
    <row r="382" spans="1:34" x14ac:dyDescent="0.3">
      <c r="A382" t="s">
        <v>409</v>
      </c>
      <c r="B382">
        <v>0.12892249527410199</v>
      </c>
      <c r="C382">
        <v>0.27420319690900702</v>
      </c>
      <c r="D382">
        <v>7.50946055673926E-2</v>
      </c>
      <c r="E382">
        <v>0</v>
      </c>
      <c r="F382">
        <v>0</v>
      </c>
      <c r="G382">
        <v>0.99367696179975795</v>
      </c>
      <c r="H382">
        <v>7</v>
      </c>
      <c r="I382">
        <v>8</v>
      </c>
      <c r="J382">
        <v>0.109298220504746</v>
      </c>
      <c r="K382">
        <v>1.71288743882544E-2</v>
      </c>
      <c r="L382">
        <v>3.9943633777590401E-2</v>
      </c>
      <c r="M382">
        <v>2.3088023088023001E-3</v>
      </c>
      <c r="N382">
        <v>1.2737630159232899E-2</v>
      </c>
      <c r="O382">
        <v>997</v>
      </c>
      <c r="P382">
        <v>8.8839786756453404E-2</v>
      </c>
      <c r="Q382">
        <v>8.8993302710473704E-2</v>
      </c>
      <c r="R382">
        <v>0</v>
      </c>
      <c r="S382">
        <v>0</v>
      </c>
      <c r="T382" t="s">
        <v>28</v>
      </c>
      <c r="U382">
        <v>3.9622641509433898E-2</v>
      </c>
      <c r="V382">
        <v>0</v>
      </c>
      <c r="W382">
        <v>0</v>
      </c>
      <c r="X382">
        <v>2.2528381670217701E-2</v>
      </c>
      <c r="Y382">
        <v>4.5652750037514497E-2</v>
      </c>
      <c r="Z382">
        <v>5.8398924117565199E-2</v>
      </c>
      <c r="AA382">
        <v>0</v>
      </c>
      <c r="AB382">
        <f t="shared" si="35"/>
        <v>3.2739009830657154E-2</v>
      </c>
      <c r="AC382">
        <f t="shared" si="40"/>
        <v>0.25</v>
      </c>
      <c r="AD382">
        <f t="shared" si="36"/>
        <v>0</v>
      </c>
      <c r="AE382">
        <f t="shared" si="41"/>
        <v>4.0923762288321439E-2</v>
      </c>
      <c r="AF382" t="str">
        <f t="shared" si="37"/>
        <v>Very Low</v>
      </c>
      <c r="AG382" t="str">
        <f t="shared" si="38"/>
        <v>NO ACTION</v>
      </c>
      <c r="AH382" t="str">
        <f t="shared" si="39"/>
        <v/>
      </c>
    </row>
    <row r="383" spans="1:34" x14ac:dyDescent="0.3">
      <c r="A383" t="s">
        <v>410</v>
      </c>
      <c r="B383">
        <v>0.25179584120982901</v>
      </c>
      <c r="C383">
        <v>0.68914895414845401</v>
      </c>
      <c r="D383">
        <v>0.43288231483532902</v>
      </c>
      <c r="E383">
        <v>0.20398009950248699</v>
      </c>
      <c r="F383">
        <v>2.2388059701492501E-2</v>
      </c>
      <c r="G383">
        <v>0.439059425843847</v>
      </c>
      <c r="H383">
        <v>0</v>
      </c>
      <c r="I383">
        <v>23</v>
      </c>
      <c r="J383">
        <v>8.3154429655073706E-2</v>
      </c>
      <c r="K383">
        <v>1.7944535073409401E-2</v>
      </c>
      <c r="L383">
        <v>5.4964390034151898E-2</v>
      </c>
      <c r="M383">
        <v>1.1544011544011501E-3</v>
      </c>
      <c r="N383">
        <v>8.3654458940500102E-3</v>
      </c>
      <c r="O383">
        <v>965</v>
      </c>
      <c r="P383">
        <v>6.9409371492704805E-2</v>
      </c>
      <c r="Q383">
        <v>6.9567656649952597E-2</v>
      </c>
      <c r="R383">
        <v>1.1799410029498501E-2</v>
      </c>
      <c r="S383">
        <v>1</v>
      </c>
      <c r="T383" t="s">
        <v>53</v>
      </c>
      <c r="U383">
        <v>7.4716981132075394E-2</v>
      </c>
      <c r="V383">
        <v>0</v>
      </c>
      <c r="W383">
        <v>4.0157086479673497E-2</v>
      </c>
      <c r="X383">
        <v>0.20001394818194199</v>
      </c>
      <c r="Y383">
        <v>4.6622714716305698E-2</v>
      </c>
      <c r="Z383">
        <v>4.4991801253242897E-2</v>
      </c>
      <c r="AA383">
        <v>1.1799410029498501E-2</v>
      </c>
      <c r="AB383">
        <f t="shared" si="35"/>
        <v>6.0958130988843916E-2</v>
      </c>
      <c r="AC383">
        <f t="shared" si="40"/>
        <v>0.1</v>
      </c>
      <c r="AD383">
        <f t="shared" si="36"/>
        <v>0</v>
      </c>
      <c r="AE383">
        <f t="shared" si="41"/>
        <v>6.7053944087728315E-2</v>
      </c>
      <c r="AF383" t="str">
        <f t="shared" si="37"/>
        <v>Very Low</v>
      </c>
      <c r="AG383" t="str">
        <f t="shared" si="38"/>
        <v>NO ACTION</v>
      </c>
      <c r="AH383" t="str">
        <f t="shared" si="39"/>
        <v/>
      </c>
    </row>
    <row r="384" spans="1:34" x14ac:dyDescent="0.3">
      <c r="A384" t="s">
        <v>411</v>
      </c>
      <c r="B384">
        <v>0.26956521739130401</v>
      </c>
      <c r="C384">
        <v>0.71638632691397897</v>
      </c>
      <c r="D384">
        <v>0.43469142247277498</v>
      </c>
      <c r="E384">
        <v>0</v>
      </c>
      <c r="F384">
        <v>2.5104602510460199E-2</v>
      </c>
      <c r="G384">
        <v>0.40040614628342602</v>
      </c>
      <c r="H384">
        <v>0</v>
      </c>
      <c r="I384">
        <v>23</v>
      </c>
      <c r="J384">
        <v>0.100472305710605</v>
      </c>
      <c r="K384">
        <v>9.7879282218597003E-3</v>
      </c>
      <c r="L384">
        <v>2.4825223835243299E-2</v>
      </c>
      <c r="M384">
        <v>2.59740259740259E-3</v>
      </c>
      <c r="N384">
        <v>1.5585645997772899E-2</v>
      </c>
      <c r="O384">
        <v>1113</v>
      </c>
      <c r="P384">
        <v>7.93350168350168E-2</v>
      </c>
      <c r="Q384">
        <v>7.9490865738630304E-2</v>
      </c>
      <c r="R384">
        <v>1.7699115044247701E-2</v>
      </c>
      <c r="S384">
        <v>1</v>
      </c>
      <c r="T384" t="s">
        <v>28</v>
      </c>
      <c r="U384">
        <v>2.0377358490565999E-2</v>
      </c>
      <c r="V384">
        <v>0</v>
      </c>
      <c r="W384">
        <v>2.0338122047526701E-2</v>
      </c>
      <c r="X384">
        <v>0.14044926774601599</v>
      </c>
      <c r="Y384">
        <v>3.7182766859074602E-2</v>
      </c>
      <c r="Z384">
        <v>5.3835268500119202E-2</v>
      </c>
      <c r="AA384">
        <v>1.7699115044247701E-2</v>
      </c>
      <c r="AB384">
        <f t="shared" si="35"/>
        <v>5.2912684952326185E-2</v>
      </c>
      <c r="AC384">
        <f t="shared" si="40"/>
        <v>0.25</v>
      </c>
      <c r="AD384">
        <f t="shared" si="36"/>
        <v>0</v>
      </c>
      <c r="AE384">
        <f t="shared" si="41"/>
        <v>6.6140856190407729E-2</v>
      </c>
      <c r="AF384" t="str">
        <f t="shared" si="37"/>
        <v>Very Low</v>
      </c>
      <c r="AG384" t="str">
        <f t="shared" si="38"/>
        <v>NO ACTION</v>
      </c>
      <c r="AH384" t="str">
        <f t="shared" si="39"/>
        <v/>
      </c>
    </row>
    <row r="385" spans="1:34" x14ac:dyDescent="0.3">
      <c r="A385" t="s">
        <v>412</v>
      </c>
      <c r="B385">
        <v>0.235538752362948</v>
      </c>
      <c r="C385">
        <v>0.67246509573892599</v>
      </c>
      <c r="D385">
        <v>0.37039331521381802</v>
      </c>
      <c r="E385">
        <v>0</v>
      </c>
      <c r="F385">
        <v>0</v>
      </c>
      <c r="G385">
        <v>0.479389384261801</v>
      </c>
      <c r="H385">
        <v>7</v>
      </c>
      <c r="I385">
        <v>14</v>
      </c>
      <c r="J385">
        <v>8.4776489671294294E-2</v>
      </c>
      <c r="K385">
        <v>1.1419249592169599E-2</v>
      </c>
      <c r="L385">
        <v>3.4309982474129301E-2</v>
      </c>
      <c r="M385">
        <v>2.59740259740259E-3</v>
      </c>
      <c r="N385">
        <v>1.84631305843427E-2</v>
      </c>
      <c r="O385">
        <v>966</v>
      </c>
      <c r="P385">
        <v>6.8497474747474696E-2</v>
      </c>
      <c r="Q385">
        <v>6.8655983730144796E-2</v>
      </c>
      <c r="R385">
        <v>0</v>
      </c>
      <c r="S385">
        <v>0</v>
      </c>
      <c r="T385" t="s">
        <v>53</v>
      </c>
      <c r="U385">
        <v>2.3773584905660301E-2</v>
      </c>
      <c r="V385">
        <v>0</v>
      </c>
      <c r="W385">
        <v>0</v>
      </c>
      <c r="X385">
        <v>0.11111799456414501</v>
      </c>
      <c r="Y385">
        <v>3.9649228346626299E-2</v>
      </c>
      <c r="Z385">
        <v>4.8483737082221902E-2</v>
      </c>
      <c r="AA385">
        <v>0</v>
      </c>
      <c r="AB385">
        <f t="shared" si="35"/>
        <v>4.2456109450340701E-2</v>
      </c>
      <c r="AC385">
        <f t="shared" si="40"/>
        <v>0.1</v>
      </c>
      <c r="AD385">
        <f t="shared" si="36"/>
        <v>0</v>
      </c>
      <c r="AE385">
        <f t="shared" si="41"/>
        <v>4.6701720395374777E-2</v>
      </c>
      <c r="AF385" t="str">
        <f t="shared" si="37"/>
        <v>Very Low</v>
      </c>
      <c r="AG385" t="str">
        <f t="shared" si="38"/>
        <v>NO ACTION</v>
      </c>
      <c r="AH385" t="str">
        <f t="shared" si="39"/>
        <v/>
      </c>
    </row>
    <row r="386" spans="1:34" x14ac:dyDescent="0.3">
      <c r="A386" t="s">
        <v>413</v>
      </c>
      <c r="B386">
        <v>0.26200378071833602</v>
      </c>
      <c r="C386">
        <v>0.68233462874121897</v>
      </c>
      <c r="D386">
        <v>0.35855413319964702</v>
      </c>
      <c r="E386">
        <v>0</v>
      </c>
      <c r="F386">
        <v>0</v>
      </c>
      <c r="G386">
        <v>0.41622062701927798</v>
      </c>
      <c r="H386">
        <v>7</v>
      </c>
      <c r="I386">
        <v>14</v>
      </c>
      <c r="J386">
        <v>7.7954296073660598E-2</v>
      </c>
      <c r="K386">
        <v>8.1566068515497494E-3</v>
      </c>
      <c r="L386">
        <v>2.6645336341366E-2</v>
      </c>
      <c r="M386">
        <v>1.7316017316017301E-3</v>
      </c>
      <c r="N386">
        <v>1.3382671832946299E-2</v>
      </c>
      <c r="O386">
        <v>904</v>
      </c>
      <c r="P386">
        <v>6.16582491582491E-2</v>
      </c>
      <c r="Q386">
        <v>6.1818436831585902E-2</v>
      </c>
      <c r="R386">
        <v>0</v>
      </c>
      <c r="S386">
        <v>0</v>
      </c>
      <c r="T386" t="s">
        <v>53</v>
      </c>
      <c r="U386">
        <v>2.4258760107816701E-2</v>
      </c>
      <c r="V386">
        <v>0</v>
      </c>
      <c r="W386">
        <v>0</v>
      </c>
      <c r="X386">
        <v>0.10756623995989401</v>
      </c>
      <c r="Y386">
        <v>3.2928328935298998E-2</v>
      </c>
      <c r="Z386">
        <v>4.2348018228127997E-2</v>
      </c>
      <c r="AA386">
        <v>0</v>
      </c>
      <c r="AB386">
        <f t="shared" si="35"/>
        <v>3.8287975599342605E-2</v>
      </c>
      <c r="AC386">
        <f t="shared" si="40"/>
        <v>0.1</v>
      </c>
      <c r="AD386">
        <f t="shared" si="36"/>
        <v>0</v>
      </c>
      <c r="AE386">
        <f t="shared" si="41"/>
        <v>4.2116773159276866E-2</v>
      </c>
      <c r="AF386" t="str">
        <f t="shared" si="37"/>
        <v>Very Low</v>
      </c>
      <c r="AG386" t="str">
        <f t="shared" si="38"/>
        <v>NO ACTION</v>
      </c>
      <c r="AH386" t="str">
        <f t="shared" si="39"/>
        <v/>
      </c>
    </row>
    <row r="387" spans="1:34" x14ac:dyDescent="0.3">
      <c r="A387" t="s">
        <v>414</v>
      </c>
      <c r="B387">
        <v>0.22873345935727701</v>
      </c>
      <c r="C387">
        <v>0.56188228215132896</v>
      </c>
      <c r="D387">
        <v>0.35887287298847098</v>
      </c>
      <c r="E387">
        <v>0</v>
      </c>
      <c r="F387">
        <v>0</v>
      </c>
      <c r="G387">
        <v>0.49791110223603502</v>
      </c>
      <c r="H387">
        <v>7</v>
      </c>
      <c r="I387">
        <v>13</v>
      </c>
      <c r="J387">
        <v>0.107533037545918</v>
      </c>
      <c r="K387">
        <v>1.1419249592169599E-2</v>
      </c>
      <c r="L387">
        <v>2.7065245138954599E-2</v>
      </c>
      <c r="M387">
        <v>2.0202020202020202E-3</v>
      </c>
      <c r="N387">
        <v>1.1327976533819799E-2</v>
      </c>
      <c r="O387">
        <v>962</v>
      </c>
      <c r="P387">
        <v>8.4946689113355706E-2</v>
      </c>
      <c r="Q387">
        <v>8.5101160629755604E-2</v>
      </c>
      <c r="R387">
        <v>0</v>
      </c>
      <c r="S387">
        <v>0</v>
      </c>
      <c r="T387" t="s">
        <v>28</v>
      </c>
      <c r="U387">
        <v>2.9716981132075399E-2</v>
      </c>
      <c r="V387">
        <v>0</v>
      </c>
      <c r="W387">
        <v>0</v>
      </c>
      <c r="X387">
        <v>0.10766186189654101</v>
      </c>
      <c r="Y387">
        <v>3.8437623038806899E-2</v>
      </c>
      <c r="Z387">
        <v>5.5499204081541402E-2</v>
      </c>
      <c r="AA387">
        <v>0</v>
      </c>
      <c r="AB387">
        <f t="shared" ref="AB387:AB450" si="42">0.16*X387 + 0.28*Y387 + 0.28*Z387 + 0.28*AA387</f>
        <v>4.3528209497144088E-2</v>
      </c>
      <c r="AC387">
        <f t="shared" si="40"/>
        <v>0.25</v>
      </c>
      <c r="AD387">
        <f t="shared" ref="AD387:AD450" si="43">IF(V387&gt;0.7, 0.1,
 IF(F387&gt;0.5, 0.08,
 IF(E387&gt;0.5, 0.05,
 0)))</f>
        <v>0</v>
      </c>
      <c r="AE387">
        <f t="shared" si="41"/>
        <v>5.441026187143011E-2</v>
      </c>
      <c r="AF387" t="str">
        <f t="shared" ref="AF387:AF450" si="44">IF(MAX(X387, Y387, Z387, AA387)&gt;0.9,
 "Critical",
 IF(AE387&lt;=0.2,"Very Low",
 IF(AE387&lt;=0.4,"Low",
 IF(AE387&lt;=0.6,"Medium",
 IF(AE387&lt;=0.8,"High","Critical")))))</f>
        <v>Very Low</v>
      </c>
      <c r="AG387" t="str">
        <f t="shared" ref="AG387:AG450" si="45">IF(MAX(X387:AA387)&gt;0.9,"CRITICAL ALERT",
 IF(AE387&gt;0.8,"CRITICAL ALERT",
 IF(AE387&gt;0.6,"ALERT",
 IF(AE387&gt;=0.4,"REVIEW","NO ACTION"))))</f>
        <v>NO ACTION</v>
      </c>
      <c r="AH387" t="str">
        <f t="shared" ref="AH387:AH450" si="46">IF(AG387="NO ACTION","",
 IF(_xlfn.TEXTJOIN(", ", TRUE,
  IF(X387&gt;0.7,"Login anomaly",""),
  IF(Y387&gt;0.7,"File anomaly",""),
  IF(Z387&gt;0.7,"Network anomaly",""),
  IF(AA387&gt;0.7,"USB anomaly","")
 )="",
 "General anomaly detected",
 _xlfn.TEXTJOIN(", ", TRUE,
  IF(X387&gt;0.7,"Login anomaly",""),
  IF(Y387&gt;0.7,"File anomaly",""),
  IF(Z387&gt;0.7,"Network anomaly",""),
  IF(AA387&gt;0.7,"USB anomaly","")
 )))</f>
        <v/>
      </c>
    </row>
    <row r="388" spans="1:34" x14ac:dyDescent="0.3">
      <c r="A388" t="s">
        <v>415</v>
      </c>
      <c r="B388">
        <v>0.2351606805293</v>
      </c>
      <c r="C388">
        <v>0.66645564728960605</v>
      </c>
      <c r="D388">
        <v>0.368290683449712</v>
      </c>
      <c r="E388">
        <v>0</v>
      </c>
      <c r="F388">
        <v>0</v>
      </c>
      <c r="G388">
        <v>0.48039873305562902</v>
      </c>
      <c r="H388">
        <v>7</v>
      </c>
      <c r="I388">
        <v>16</v>
      </c>
      <c r="J388">
        <v>0.105052239874051</v>
      </c>
      <c r="K388">
        <v>8.1566068515497503E-4</v>
      </c>
      <c r="L388">
        <v>1.9787814346850399E-3</v>
      </c>
      <c r="M388">
        <v>2.88600288600288E-4</v>
      </c>
      <c r="N388">
        <v>1.6564113528318299E-3</v>
      </c>
      <c r="O388">
        <v>424</v>
      </c>
      <c r="P388">
        <v>7.7721661054994395E-2</v>
      </c>
      <c r="Q388">
        <v>7.7877905957431798E-2</v>
      </c>
      <c r="R388">
        <v>0.78171091445427698</v>
      </c>
      <c r="S388">
        <v>1</v>
      </c>
      <c r="T388" t="s">
        <v>28</v>
      </c>
      <c r="U388">
        <v>8.4905660377358402E-3</v>
      </c>
      <c r="V388">
        <v>0</v>
      </c>
      <c r="W388">
        <v>0</v>
      </c>
      <c r="X388">
        <v>0.11048720503491299</v>
      </c>
      <c r="Y388">
        <v>2.2496762098002401E-2</v>
      </c>
      <c r="Z388">
        <v>4.7295561174129301E-2</v>
      </c>
      <c r="AA388">
        <v>0.78171091445427698</v>
      </c>
      <c r="AB388">
        <f t="shared" si="42"/>
        <v>0.25609885936898052</v>
      </c>
      <c r="AC388">
        <f t="shared" ref="AC388:AC451" si="47">IF(T388="IT_Admin", 0.25, IF(AND(T388="HR", AA388&gt;0.6), 0.25, IF(AND(T388="General", Z388&gt;0.7), 0.2, 0.1)))</f>
        <v>0.25</v>
      </c>
      <c r="AD388">
        <f t="shared" si="43"/>
        <v>0</v>
      </c>
      <c r="AE388">
        <f t="shared" ref="AE388:AE451" si="48">MIN(1,AB388*(1+AC388+AD388))</f>
        <v>0.32012357421122567</v>
      </c>
      <c r="AF388" t="str">
        <f t="shared" si="44"/>
        <v>Low</v>
      </c>
      <c r="AG388" t="str">
        <f t="shared" si="45"/>
        <v>NO ACTION</v>
      </c>
      <c r="AH388" t="str">
        <f t="shared" si="46"/>
        <v/>
      </c>
    </row>
    <row r="389" spans="1:34" x14ac:dyDescent="0.3">
      <c r="A389" t="s">
        <v>416</v>
      </c>
      <c r="B389">
        <v>0.27863894139886503</v>
      </c>
      <c r="C389">
        <v>0.73856461098111204</v>
      </c>
      <c r="D389">
        <v>0.386110145642656</v>
      </c>
      <c r="E389">
        <v>0</v>
      </c>
      <c r="F389">
        <v>0</v>
      </c>
      <c r="G389">
        <v>0.382606462783323</v>
      </c>
      <c r="H389">
        <v>7</v>
      </c>
      <c r="I389">
        <v>16</v>
      </c>
      <c r="J389">
        <v>0.10023376747292501</v>
      </c>
      <c r="K389">
        <v>4.8939641109298502E-3</v>
      </c>
      <c r="L389">
        <v>1.24420815565523E-2</v>
      </c>
      <c r="M389">
        <v>8.6580086580086504E-4</v>
      </c>
      <c r="N389">
        <v>5.2075496519940903E-3</v>
      </c>
      <c r="O389">
        <v>435</v>
      </c>
      <c r="P389">
        <v>7.6213524130190793E-2</v>
      </c>
      <c r="Q389">
        <v>7.6370139205441903E-2</v>
      </c>
      <c r="R389">
        <v>0</v>
      </c>
      <c r="S389">
        <v>0</v>
      </c>
      <c r="T389" t="s">
        <v>28</v>
      </c>
      <c r="U389">
        <v>2.54716981132075E-2</v>
      </c>
      <c r="V389">
        <v>0</v>
      </c>
      <c r="W389">
        <v>0</v>
      </c>
      <c r="X389">
        <v>0.115833043692796</v>
      </c>
      <c r="Y389">
        <v>2.7830059168459601E-2</v>
      </c>
      <c r="Z389">
        <v>4.7811134338912098E-2</v>
      </c>
      <c r="AA389">
        <v>0</v>
      </c>
      <c r="AB389">
        <f t="shared" si="42"/>
        <v>3.9712821172911437E-2</v>
      </c>
      <c r="AC389">
        <f t="shared" si="47"/>
        <v>0.25</v>
      </c>
      <c r="AD389">
        <f t="shared" si="43"/>
        <v>0</v>
      </c>
      <c r="AE389">
        <f t="shared" si="48"/>
        <v>4.9641026466139299E-2</v>
      </c>
      <c r="AF389" t="str">
        <f t="shared" si="44"/>
        <v>Very Low</v>
      </c>
      <c r="AG389" t="str">
        <f t="shared" si="45"/>
        <v>NO ACTION</v>
      </c>
      <c r="AH389" t="str">
        <f t="shared" si="46"/>
        <v/>
      </c>
    </row>
    <row r="390" spans="1:34" x14ac:dyDescent="0.3">
      <c r="A390" t="s">
        <v>417</v>
      </c>
      <c r="B390">
        <v>0.28506616257088802</v>
      </c>
      <c r="C390">
        <v>0.78025779572703202</v>
      </c>
      <c r="D390">
        <v>0.54397387812506903</v>
      </c>
      <c r="E390">
        <v>0.48079742011140397</v>
      </c>
      <c r="F390">
        <v>8.4432717678100205E-2</v>
      </c>
      <c r="G390">
        <v>0.37064406407327199</v>
      </c>
      <c r="H390">
        <v>0</v>
      </c>
      <c r="I390">
        <v>23</v>
      </c>
      <c r="J390">
        <v>0.100042936882782</v>
      </c>
      <c r="K390">
        <v>1.71288743882544E-2</v>
      </c>
      <c r="L390">
        <v>4.3630153736131098E-2</v>
      </c>
      <c r="M390">
        <v>3.7518037518037501E-3</v>
      </c>
      <c r="N390">
        <v>2.2608990544290199E-2</v>
      </c>
      <c r="O390">
        <v>1125</v>
      </c>
      <c r="P390">
        <v>8.2737093153759794E-2</v>
      </c>
      <c r="Q390">
        <v>8.2892107016375005E-2</v>
      </c>
      <c r="R390">
        <v>0.971976401179941</v>
      </c>
      <c r="S390">
        <v>1</v>
      </c>
      <c r="T390" t="s">
        <v>28</v>
      </c>
      <c r="U390">
        <v>2.54716981132075E-2</v>
      </c>
      <c r="V390">
        <v>0</v>
      </c>
      <c r="W390">
        <v>0.12021587958633199</v>
      </c>
      <c r="X390">
        <v>0.341204476542182</v>
      </c>
      <c r="Y390">
        <v>4.8606361407909103E-2</v>
      </c>
      <c r="Z390">
        <v>5.8685852109972E-2</v>
      </c>
      <c r="AA390">
        <v>0.971976401179941</v>
      </c>
      <c r="AB390">
        <f t="shared" si="42"/>
        <v>0.35678792836213935</v>
      </c>
      <c r="AC390">
        <f t="shared" si="47"/>
        <v>0.25</v>
      </c>
      <c r="AD390">
        <f t="shared" si="43"/>
        <v>0</v>
      </c>
      <c r="AE390">
        <f t="shared" si="48"/>
        <v>0.44598491045267419</v>
      </c>
      <c r="AF390" t="str">
        <f t="shared" si="44"/>
        <v>Critical</v>
      </c>
      <c r="AG390" t="str">
        <f t="shared" si="45"/>
        <v>CRITICAL ALERT</v>
      </c>
      <c r="AH390" t="str">
        <f t="shared" si="46"/>
        <v>USB anomaly</v>
      </c>
    </row>
    <row r="391" spans="1:34" x14ac:dyDescent="0.3">
      <c r="A391" t="s">
        <v>418</v>
      </c>
      <c r="B391">
        <v>0.14858223062381801</v>
      </c>
      <c r="C391">
        <v>0.39000947663316299</v>
      </c>
      <c r="D391">
        <v>0.36248767901682699</v>
      </c>
      <c r="E391">
        <v>0.114749510215505</v>
      </c>
      <c r="F391">
        <v>1.7632241813602002E-2</v>
      </c>
      <c r="G391">
        <v>0.84370550201877403</v>
      </c>
      <c r="H391">
        <v>1</v>
      </c>
      <c r="I391">
        <v>22</v>
      </c>
      <c r="J391">
        <v>0.100329182767997</v>
      </c>
      <c r="K391">
        <v>1.7944535073409401E-2</v>
      </c>
      <c r="L391">
        <v>4.557768205868E-2</v>
      </c>
      <c r="M391">
        <v>2.59740259740259E-3</v>
      </c>
      <c r="N391">
        <v>1.5607826708395899E-2</v>
      </c>
      <c r="O391">
        <v>1115</v>
      </c>
      <c r="P391">
        <v>8.2737093153759794E-2</v>
      </c>
      <c r="Q391">
        <v>8.2892107016375005E-2</v>
      </c>
      <c r="R391">
        <v>0</v>
      </c>
      <c r="S391">
        <v>0</v>
      </c>
      <c r="T391" t="s">
        <v>28</v>
      </c>
      <c r="U391">
        <v>3.7358490566037697E-2</v>
      </c>
      <c r="V391">
        <v>0</v>
      </c>
      <c r="W391">
        <v>0</v>
      </c>
      <c r="X391">
        <v>0.15022405349514001</v>
      </c>
      <c r="Y391">
        <v>4.7537025595458297E-2</v>
      </c>
      <c r="Z391">
        <v>5.5885386575614197E-2</v>
      </c>
      <c r="AA391">
        <v>0</v>
      </c>
      <c r="AB391">
        <f t="shared" si="42"/>
        <v>5.2994123967122705E-2</v>
      </c>
      <c r="AC391">
        <f t="shared" si="47"/>
        <v>0.25</v>
      </c>
      <c r="AD391">
        <f t="shared" si="43"/>
        <v>0</v>
      </c>
      <c r="AE391">
        <f t="shared" si="48"/>
        <v>6.6242654958903385E-2</v>
      </c>
      <c r="AF391" t="str">
        <f t="shared" si="44"/>
        <v>Very Low</v>
      </c>
      <c r="AG391" t="str">
        <f t="shared" si="45"/>
        <v>NO ACTION</v>
      </c>
      <c r="AH391" t="str">
        <f t="shared" si="46"/>
        <v/>
      </c>
    </row>
    <row r="392" spans="1:34" x14ac:dyDescent="0.3">
      <c r="A392" t="s">
        <v>419</v>
      </c>
      <c r="B392">
        <v>0.25973534971644602</v>
      </c>
      <c r="C392">
        <v>0.57702554645307302</v>
      </c>
      <c r="D392">
        <v>0.34598048378646701</v>
      </c>
      <c r="E392">
        <v>0</v>
      </c>
      <c r="F392">
        <v>0</v>
      </c>
      <c r="G392">
        <v>0.42106837015891002</v>
      </c>
      <c r="H392">
        <v>7</v>
      </c>
      <c r="I392">
        <v>13</v>
      </c>
      <c r="J392">
        <v>5.70583464529364E-2</v>
      </c>
      <c r="K392">
        <v>4.8939641109298502E-3</v>
      </c>
      <c r="L392">
        <v>2.1817671738633901E-2</v>
      </c>
      <c r="M392">
        <v>2.88600288600288E-4</v>
      </c>
      <c r="N392">
        <v>3.0438799797667402E-3</v>
      </c>
      <c r="O392">
        <v>287</v>
      </c>
      <c r="P392">
        <v>4.4191919191919102E-2</v>
      </c>
      <c r="Q392">
        <v>4.4356393982958701E-2</v>
      </c>
      <c r="R392">
        <v>0</v>
      </c>
      <c r="S392">
        <v>0</v>
      </c>
      <c r="T392" t="s">
        <v>53</v>
      </c>
      <c r="U392">
        <v>5.0943396226415097E-2</v>
      </c>
      <c r="V392">
        <v>0</v>
      </c>
      <c r="W392">
        <v>0</v>
      </c>
      <c r="X392">
        <v>0.10379414513594</v>
      </c>
      <c r="Y392">
        <v>2.3233669153834201E-2</v>
      </c>
      <c r="Z392">
        <v>2.7732703507058198E-2</v>
      </c>
      <c r="AA392">
        <v>0</v>
      </c>
      <c r="AB392">
        <f t="shared" si="42"/>
        <v>3.0877647566800275E-2</v>
      </c>
      <c r="AC392">
        <f t="shared" si="47"/>
        <v>0.1</v>
      </c>
      <c r="AD392">
        <f t="shared" si="43"/>
        <v>0</v>
      </c>
      <c r="AE392">
        <f t="shared" si="48"/>
        <v>3.3965412323480305E-2</v>
      </c>
      <c r="AF392" t="str">
        <f t="shared" si="44"/>
        <v>Very Low</v>
      </c>
      <c r="AG392" t="str">
        <f t="shared" si="45"/>
        <v>NO ACTION</v>
      </c>
      <c r="AH392" t="str">
        <f t="shared" si="46"/>
        <v/>
      </c>
    </row>
    <row r="393" spans="1:34" x14ac:dyDescent="0.3">
      <c r="A393" t="s">
        <v>420</v>
      </c>
      <c r="B393">
        <v>0.2351606805293</v>
      </c>
      <c r="C393">
        <v>0.67176840267101101</v>
      </c>
      <c r="D393">
        <v>0.37070988870087201</v>
      </c>
      <c r="E393">
        <v>0</v>
      </c>
      <c r="F393">
        <v>0</v>
      </c>
      <c r="G393">
        <v>0.48011938974316598</v>
      </c>
      <c r="H393">
        <v>7</v>
      </c>
      <c r="I393">
        <v>14</v>
      </c>
      <c r="J393">
        <v>9.9279614522207904E-2</v>
      </c>
      <c r="K393">
        <v>1.5497553017944501E-2</v>
      </c>
      <c r="L393">
        <v>3.97776806810392E-2</v>
      </c>
      <c r="M393">
        <v>4.9062049062049001E-3</v>
      </c>
      <c r="N393">
        <v>2.9792376580487698E-2</v>
      </c>
      <c r="O393">
        <v>1064</v>
      </c>
      <c r="P393">
        <v>8.2035634118967402E-2</v>
      </c>
      <c r="Q393">
        <v>8.2190820154984398E-2</v>
      </c>
      <c r="R393">
        <v>0</v>
      </c>
      <c r="S393">
        <v>0</v>
      </c>
      <c r="T393" t="s">
        <v>28</v>
      </c>
      <c r="U393">
        <v>1.7924528301886698E-2</v>
      </c>
      <c r="V393">
        <v>0</v>
      </c>
      <c r="W393">
        <v>0</v>
      </c>
      <c r="X393">
        <v>0.111212966610261</v>
      </c>
      <c r="Y393">
        <v>4.8682476219107498E-2</v>
      </c>
      <c r="Z393">
        <v>6.1138331103575499E-2</v>
      </c>
      <c r="AA393">
        <v>0</v>
      </c>
      <c r="AB393">
        <f t="shared" si="42"/>
        <v>4.8543900707993005E-2</v>
      </c>
      <c r="AC393">
        <f t="shared" si="47"/>
        <v>0.25</v>
      </c>
      <c r="AD393">
        <f t="shared" si="43"/>
        <v>0</v>
      </c>
      <c r="AE393">
        <f t="shared" si="48"/>
        <v>6.0679875884991255E-2</v>
      </c>
      <c r="AF393" t="str">
        <f t="shared" si="44"/>
        <v>Very Low</v>
      </c>
      <c r="AG393" t="str">
        <f t="shared" si="45"/>
        <v>NO ACTION</v>
      </c>
      <c r="AH393" t="str">
        <f t="shared" si="46"/>
        <v/>
      </c>
    </row>
    <row r="394" spans="1:34" x14ac:dyDescent="0.3">
      <c r="A394" t="s">
        <v>421</v>
      </c>
      <c r="B394">
        <v>0.12892249527410199</v>
      </c>
      <c r="C394">
        <v>0.28009428121759899</v>
      </c>
      <c r="D394">
        <v>7.50946055673926E-2</v>
      </c>
      <c r="E394">
        <v>0</v>
      </c>
      <c r="F394">
        <v>0</v>
      </c>
      <c r="G394">
        <v>0.99366992320996494</v>
      </c>
      <c r="H394">
        <v>7</v>
      </c>
      <c r="I394">
        <v>8</v>
      </c>
      <c r="J394">
        <v>9.9041076284528407E-2</v>
      </c>
      <c r="K394">
        <v>1.4681892332789499E-2</v>
      </c>
      <c r="L394">
        <v>3.7774661832915897E-2</v>
      </c>
      <c r="M394">
        <v>1.7316017316017301E-3</v>
      </c>
      <c r="N394">
        <v>1.0540220631522801E-2</v>
      </c>
      <c r="O394">
        <v>1120</v>
      </c>
      <c r="P394">
        <v>7.9966329966329894E-2</v>
      </c>
      <c r="Q394">
        <v>8.0122023913881901E-2</v>
      </c>
      <c r="R394">
        <v>0</v>
      </c>
      <c r="S394">
        <v>0</v>
      </c>
      <c r="T394" t="s">
        <v>28</v>
      </c>
      <c r="U394">
        <v>4.3665768194069997E-2</v>
      </c>
      <c r="V394">
        <v>0</v>
      </c>
      <c r="W394">
        <v>0</v>
      </c>
      <c r="X394">
        <v>2.2528381670217701E-2</v>
      </c>
      <c r="Y394">
        <v>4.1857612362820498E-2</v>
      </c>
      <c r="Z394">
        <v>5.2195886232407097E-2</v>
      </c>
      <c r="AA394">
        <v>0</v>
      </c>
      <c r="AB394">
        <f t="shared" si="42"/>
        <v>2.9939520673898559E-2</v>
      </c>
      <c r="AC394">
        <f t="shared" si="47"/>
        <v>0.25</v>
      </c>
      <c r="AD394">
        <f t="shared" si="43"/>
        <v>0</v>
      </c>
      <c r="AE394">
        <f t="shared" si="48"/>
        <v>3.7424400842373196E-2</v>
      </c>
      <c r="AF394" t="str">
        <f t="shared" si="44"/>
        <v>Very Low</v>
      </c>
      <c r="AG394" t="str">
        <f t="shared" si="45"/>
        <v>NO ACTION</v>
      </c>
      <c r="AH394" t="str">
        <f t="shared" si="46"/>
        <v/>
      </c>
    </row>
    <row r="395" spans="1:34" x14ac:dyDescent="0.3">
      <c r="A395" t="s">
        <v>422</v>
      </c>
      <c r="B395">
        <v>0.12892249527410199</v>
      </c>
      <c r="C395">
        <v>0.18476582604220201</v>
      </c>
      <c r="D395">
        <v>0</v>
      </c>
      <c r="E395">
        <v>0</v>
      </c>
      <c r="F395">
        <v>0</v>
      </c>
      <c r="G395">
        <v>0.99367158249729304</v>
      </c>
      <c r="H395">
        <v>7</v>
      </c>
      <c r="I395">
        <v>7</v>
      </c>
      <c r="J395">
        <v>7.6427651352511797E-2</v>
      </c>
      <c r="K395">
        <v>1.6313213703099501E-3</v>
      </c>
      <c r="L395">
        <v>5.4351843513999899E-3</v>
      </c>
      <c r="M395">
        <v>8.6580086580086504E-4</v>
      </c>
      <c r="N395">
        <v>6.8245796932791302E-3</v>
      </c>
      <c r="O395">
        <v>376</v>
      </c>
      <c r="P395">
        <v>5.7309203142536402E-2</v>
      </c>
      <c r="Q395">
        <v>5.7470458290963901E-2</v>
      </c>
      <c r="R395">
        <v>0.10914454277286099</v>
      </c>
      <c r="S395">
        <v>1</v>
      </c>
      <c r="T395" t="s">
        <v>53</v>
      </c>
      <c r="U395">
        <v>8.4905660377358402E-3</v>
      </c>
      <c r="V395">
        <v>0</v>
      </c>
      <c r="W395">
        <v>0</v>
      </c>
      <c r="X395">
        <v>0</v>
      </c>
      <c r="Y395">
        <v>2.0050496354186001E-2</v>
      </c>
      <c r="Z395">
        <v>3.7115353762833501E-2</v>
      </c>
      <c r="AA395">
        <v>0.10914454277286099</v>
      </c>
      <c r="AB395">
        <f t="shared" si="42"/>
        <v>4.6566910009166546E-2</v>
      </c>
      <c r="AC395">
        <f t="shared" si="47"/>
        <v>0.1</v>
      </c>
      <c r="AD395">
        <f t="shared" si="43"/>
        <v>0</v>
      </c>
      <c r="AE395">
        <f t="shared" si="48"/>
        <v>5.1223601010083206E-2</v>
      </c>
      <c r="AF395" t="str">
        <f t="shared" si="44"/>
        <v>Very Low</v>
      </c>
      <c r="AG395" t="str">
        <f t="shared" si="45"/>
        <v>NO ACTION</v>
      </c>
      <c r="AH395" t="str">
        <f t="shared" si="46"/>
        <v/>
      </c>
    </row>
    <row r="396" spans="1:34" x14ac:dyDescent="0.3">
      <c r="A396" t="s">
        <v>423</v>
      </c>
      <c r="B396">
        <v>7.7126654064272201E-2</v>
      </c>
      <c r="C396">
        <v>0.31712211488974201</v>
      </c>
      <c r="D396">
        <v>0.24240818774412401</v>
      </c>
      <c r="E396">
        <v>0</v>
      </c>
      <c r="F396">
        <v>0</v>
      </c>
      <c r="G396">
        <v>0.75125656063766699</v>
      </c>
      <c r="H396">
        <v>7</v>
      </c>
      <c r="I396">
        <v>13</v>
      </c>
      <c r="J396">
        <v>1.9798673727398498E-2</v>
      </c>
      <c r="K396">
        <v>4.8939641109298502E-3</v>
      </c>
      <c r="L396">
        <v>6.2388151804998397E-2</v>
      </c>
      <c r="M396">
        <v>8.6580086580086504E-4</v>
      </c>
      <c r="N396">
        <v>2.6112141826427501E-2</v>
      </c>
      <c r="O396">
        <v>280</v>
      </c>
      <c r="P396">
        <v>1.70805274971941E-2</v>
      </c>
      <c r="Q396">
        <v>1.7251656790209999E-2</v>
      </c>
      <c r="R396">
        <v>0</v>
      </c>
      <c r="S396">
        <v>0</v>
      </c>
      <c r="T396" t="s">
        <v>53</v>
      </c>
      <c r="U396">
        <v>2.54716981132075E-2</v>
      </c>
      <c r="V396">
        <v>0</v>
      </c>
      <c r="W396">
        <v>0</v>
      </c>
      <c r="X396">
        <v>7.2722456323237206E-2</v>
      </c>
      <c r="Y396">
        <v>4.2987453195907098E-2</v>
      </c>
      <c r="Z396">
        <v>2.0693173228887501E-2</v>
      </c>
      <c r="AA396">
        <v>0</v>
      </c>
      <c r="AB396">
        <f t="shared" si="42"/>
        <v>2.9466168410660444E-2</v>
      </c>
      <c r="AC396">
        <f t="shared" si="47"/>
        <v>0.1</v>
      </c>
      <c r="AD396">
        <f t="shared" si="43"/>
        <v>0</v>
      </c>
      <c r="AE396">
        <f t="shared" si="48"/>
        <v>3.2412785251726493E-2</v>
      </c>
      <c r="AF396" t="str">
        <f t="shared" si="44"/>
        <v>Very Low</v>
      </c>
      <c r="AG396" t="str">
        <f t="shared" si="45"/>
        <v>NO ACTION</v>
      </c>
      <c r="AH396" t="str">
        <f t="shared" si="46"/>
        <v/>
      </c>
    </row>
    <row r="397" spans="1:34" x14ac:dyDescent="0.3">
      <c r="A397" t="s">
        <v>424</v>
      </c>
      <c r="B397">
        <v>0.234026465028355</v>
      </c>
      <c r="C397">
        <v>0.66788545786041797</v>
      </c>
      <c r="D397">
        <v>0.369971838197445</v>
      </c>
      <c r="E397">
        <v>0</v>
      </c>
      <c r="F397">
        <v>0</v>
      </c>
      <c r="G397">
        <v>0.48313871233576899</v>
      </c>
      <c r="H397">
        <v>7</v>
      </c>
      <c r="I397">
        <v>14</v>
      </c>
      <c r="J397">
        <v>0.11922141119221399</v>
      </c>
      <c r="K397">
        <v>1.5497553017944501E-2</v>
      </c>
      <c r="L397">
        <v>3.3137476797383297E-2</v>
      </c>
      <c r="M397">
        <v>1.7316017316017301E-3</v>
      </c>
      <c r="N397">
        <v>8.7596641909740893E-3</v>
      </c>
      <c r="O397">
        <v>1363</v>
      </c>
      <c r="P397">
        <v>9.5152918069584702E-2</v>
      </c>
      <c r="Q397">
        <v>9.53048844629895E-2</v>
      </c>
      <c r="R397">
        <v>0.59292035398230003</v>
      </c>
      <c r="S397">
        <v>1</v>
      </c>
      <c r="T397" t="s">
        <v>28</v>
      </c>
      <c r="U397">
        <v>4.6091644204851699E-2</v>
      </c>
      <c r="V397">
        <v>0</v>
      </c>
      <c r="W397">
        <v>0</v>
      </c>
      <c r="X397">
        <v>0.11099155145923301</v>
      </c>
      <c r="Y397">
        <v>4.3040919894426703E-2</v>
      </c>
      <c r="Z397">
        <v>6.0595616518140397E-2</v>
      </c>
      <c r="AA397">
        <v>0.59292035398230003</v>
      </c>
      <c r="AB397">
        <f t="shared" si="42"/>
        <v>0.21279457754404008</v>
      </c>
      <c r="AC397">
        <f t="shared" si="47"/>
        <v>0.25</v>
      </c>
      <c r="AD397">
        <f t="shared" si="43"/>
        <v>0</v>
      </c>
      <c r="AE397">
        <f t="shared" si="48"/>
        <v>0.26599322193005009</v>
      </c>
      <c r="AF397" t="str">
        <f t="shared" si="44"/>
        <v>Low</v>
      </c>
      <c r="AG397" t="str">
        <f t="shared" si="45"/>
        <v>NO ACTION</v>
      </c>
      <c r="AH397" t="str">
        <f t="shared" si="46"/>
        <v/>
      </c>
    </row>
    <row r="398" spans="1:34" x14ac:dyDescent="0.3">
      <c r="A398" t="s">
        <v>425</v>
      </c>
      <c r="B398">
        <v>0.28241965973534899</v>
      </c>
      <c r="C398">
        <v>0.82566459680110804</v>
      </c>
      <c r="D398">
        <v>0.38341080035261899</v>
      </c>
      <c r="E398">
        <v>0</v>
      </c>
      <c r="F398">
        <v>0</v>
      </c>
      <c r="G398">
        <v>0.37553317892388999</v>
      </c>
      <c r="H398">
        <v>8</v>
      </c>
      <c r="I398">
        <v>17</v>
      </c>
      <c r="J398">
        <v>9.8134630981346296E-2</v>
      </c>
      <c r="K398">
        <v>1.38662316476345E-2</v>
      </c>
      <c r="L398">
        <v>3.6004801478151299E-2</v>
      </c>
      <c r="M398">
        <v>1.7316017316017301E-3</v>
      </c>
      <c r="N398">
        <v>1.06373419661489E-2</v>
      </c>
      <c r="O398">
        <v>1078</v>
      </c>
      <c r="P398">
        <v>7.8949214365880996E-2</v>
      </c>
      <c r="Q398">
        <v>7.9105157964865502E-2</v>
      </c>
      <c r="R398">
        <v>0.3952802359882</v>
      </c>
      <c r="S398">
        <v>1</v>
      </c>
      <c r="T398" t="s">
        <v>28</v>
      </c>
      <c r="U398">
        <v>4.1239892183288399E-2</v>
      </c>
      <c r="V398">
        <v>0</v>
      </c>
      <c r="W398">
        <v>0</v>
      </c>
      <c r="X398">
        <v>0.115023240105785</v>
      </c>
      <c r="Y398">
        <v>4.0820529525189601E-2</v>
      </c>
      <c r="Z398">
        <v>5.1624465405988203E-2</v>
      </c>
      <c r="AA398">
        <v>0.3952802359882</v>
      </c>
      <c r="AB398">
        <f t="shared" si="42"/>
        <v>0.15496678307435141</v>
      </c>
      <c r="AC398">
        <f t="shared" si="47"/>
        <v>0.25</v>
      </c>
      <c r="AD398">
        <f t="shared" si="43"/>
        <v>0</v>
      </c>
      <c r="AE398">
        <f t="shared" si="48"/>
        <v>0.19370847884293926</v>
      </c>
      <c r="AF398" t="str">
        <f t="shared" si="44"/>
        <v>Very Low</v>
      </c>
      <c r="AG398" t="str">
        <f t="shared" si="45"/>
        <v>NO ACTION</v>
      </c>
      <c r="AH398" t="str">
        <f t="shared" si="46"/>
        <v/>
      </c>
    </row>
    <row r="399" spans="1:34" x14ac:dyDescent="0.3">
      <c r="A399" t="s">
        <v>426</v>
      </c>
      <c r="B399">
        <v>0.26729678638941401</v>
      </c>
      <c r="C399">
        <v>0.78479999247180299</v>
      </c>
      <c r="D399">
        <v>0.35997496641231402</v>
      </c>
      <c r="E399">
        <v>0</v>
      </c>
      <c r="F399">
        <v>0</v>
      </c>
      <c r="G399">
        <v>0.40507120214574499</v>
      </c>
      <c r="H399">
        <v>8</v>
      </c>
      <c r="I399">
        <v>16</v>
      </c>
      <c r="J399">
        <v>9.3316158580220396E-2</v>
      </c>
      <c r="K399">
        <v>1.71288743882544E-2</v>
      </c>
      <c r="L399">
        <v>4.6767253010376202E-2</v>
      </c>
      <c r="M399">
        <v>3.4632034632034602E-3</v>
      </c>
      <c r="N399">
        <v>2.2370422370422301E-2</v>
      </c>
      <c r="O399">
        <v>1105</v>
      </c>
      <c r="P399">
        <v>7.7651515151515096E-2</v>
      </c>
      <c r="Q399">
        <v>7.7807777271292802E-2</v>
      </c>
      <c r="R399">
        <v>0</v>
      </c>
      <c r="S399">
        <v>0</v>
      </c>
      <c r="T399" t="s">
        <v>53</v>
      </c>
      <c r="U399">
        <v>2.74310595065312E-2</v>
      </c>
      <c r="V399">
        <v>0</v>
      </c>
      <c r="W399">
        <v>0</v>
      </c>
      <c r="X399">
        <v>0.10799248992369399</v>
      </c>
      <c r="Y399">
        <v>4.8757984932358799E-2</v>
      </c>
      <c r="Z399">
        <v>5.5539078039078003E-2</v>
      </c>
      <c r="AA399">
        <v>0</v>
      </c>
      <c r="AB399">
        <f t="shared" si="42"/>
        <v>4.6481976019793349E-2</v>
      </c>
      <c r="AC399">
        <f t="shared" si="47"/>
        <v>0.1</v>
      </c>
      <c r="AD399">
        <f t="shared" si="43"/>
        <v>0</v>
      </c>
      <c r="AE399">
        <f t="shared" si="48"/>
        <v>5.113017362177269E-2</v>
      </c>
      <c r="AF399" t="str">
        <f t="shared" si="44"/>
        <v>Very Low</v>
      </c>
      <c r="AG399" t="str">
        <f t="shared" si="45"/>
        <v>NO ACTION</v>
      </c>
      <c r="AH399" t="str">
        <f t="shared" si="46"/>
        <v/>
      </c>
    </row>
    <row r="400" spans="1:34" x14ac:dyDescent="0.3">
      <c r="A400" t="s">
        <v>427</v>
      </c>
      <c r="B400">
        <v>0.12892249527410199</v>
      </c>
      <c r="C400">
        <v>0.36953165208440503</v>
      </c>
      <c r="D400">
        <v>0</v>
      </c>
      <c r="E400">
        <v>0</v>
      </c>
      <c r="F400">
        <v>0</v>
      </c>
      <c r="G400">
        <v>0.99367337559811397</v>
      </c>
      <c r="H400">
        <v>8</v>
      </c>
      <c r="I400">
        <v>8</v>
      </c>
      <c r="J400">
        <v>9.5653833309479505E-2</v>
      </c>
      <c r="K400">
        <v>7.34094616639478E-3</v>
      </c>
      <c r="L400">
        <v>1.95544953418651E-2</v>
      </c>
      <c r="M400">
        <v>5.7720057720057698E-4</v>
      </c>
      <c r="N400">
        <v>3.6375122942287098E-3</v>
      </c>
      <c r="O400">
        <v>375</v>
      </c>
      <c r="P400">
        <v>7.3758417508417495E-2</v>
      </c>
      <c r="Q400">
        <v>7.3915635190574702E-2</v>
      </c>
      <c r="R400">
        <v>0</v>
      </c>
      <c r="S400">
        <v>0</v>
      </c>
      <c r="T400" t="s">
        <v>28</v>
      </c>
      <c r="U400">
        <v>5.0943396226415097E-2</v>
      </c>
      <c r="V400">
        <v>0</v>
      </c>
      <c r="W400">
        <v>0</v>
      </c>
      <c r="X400">
        <v>0</v>
      </c>
      <c r="Y400">
        <v>2.9999268021097099E-2</v>
      </c>
      <c r="Z400">
        <v>4.5710055422741903E-2</v>
      </c>
      <c r="AA400">
        <v>0</v>
      </c>
      <c r="AB400">
        <f t="shared" si="42"/>
        <v>2.1198610564274925E-2</v>
      </c>
      <c r="AC400">
        <f t="shared" si="47"/>
        <v>0.25</v>
      </c>
      <c r="AD400">
        <f t="shared" si="43"/>
        <v>0</v>
      </c>
      <c r="AE400">
        <f t="shared" si="48"/>
        <v>2.6498263205343656E-2</v>
      </c>
      <c r="AF400" t="str">
        <f t="shared" si="44"/>
        <v>Very Low</v>
      </c>
      <c r="AG400" t="str">
        <f t="shared" si="45"/>
        <v>NO ACTION</v>
      </c>
      <c r="AH400" t="str">
        <f t="shared" si="46"/>
        <v/>
      </c>
    </row>
    <row r="401" spans="1:34" x14ac:dyDescent="0.3">
      <c r="A401" t="s">
        <v>428</v>
      </c>
      <c r="B401">
        <v>8.6578449905481997E-2</v>
      </c>
      <c r="C401">
        <v>0.281510164141553</v>
      </c>
      <c r="D401">
        <v>7.5101519564747102E-2</v>
      </c>
      <c r="E401">
        <v>0</v>
      </c>
      <c r="F401">
        <v>0</v>
      </c>
      <c r="G401">
        <v>0.98968233830112096</v>
      </c>
      <c r="H401">
        <v>7</v>
      </c>
      <c r="I401">
        <v>8</v>
      </c>
      <c r="J401">
        <v>3.2107246791660701E-2</v>
      </c>
      <c r="K401">
        <v>5.7096247960848204E-3</v>
      </c>
      <c r="L401">
        <v>4.50887822779487E-2</v>
      </c>
      <c r="M401">
        <v>5.7720057720057698E-4</v>
      </c>
      <c r="N401">
        <v>1.0783775385545201E-2</v>
      </c>
      <c r="O401">
        <v>420</v>
      </c>
      <c r="P401">
        <v>2.63397867564534E-2</v>
      </c>
      <c r="Q401">
        <v>2.6508643360566599E-2</v>
      </c>
      <c r="R401">
        <v>0</v>
      </c>
      <c r="S401">
        <v>0</v>
      </c>
      <c r="T401" t="s">
        <v>53</v>
      </c>
      <c r="U401">
        <v>3.9622641509433898E-2</v>
      </c>
      <c r="V401">
        <v>0</v>
      </c>
      <c r="W401">
        <v>0</v>
      </c>
      <c r="X401">
        <v>2.25304558694241E-2</v>
      </c>
      <c r="Y401">
        <v>3.2200973112970099E-2</v>
      </c>
      <c r="Z401">
        <v>2.01173822080901E-2</v>
      </c>
      <c r="AA401">
        <v>0</v>
      </c>
      <c r="AB401">
        <f t="shared" si="42"/>
        <v>1.8254012429004714E-2</v>
      </c>
      <c r="AC401">
        <f t="shared" si="47"/>
        <v>0.1</v>
      </c>
      <c r="AD401">
        <f t="shared" si="43"/>
        <v>0</v>
      </c>
      <c r="AE401">
        <f t="shared" si="48"/>
        <v>2.0079413671905185E-2</v>
      </c>
      <c r="AF401" t="str">
        <f t="shared" si="44"/>
        <v>Very Low</v>
      </c>
      <c r="AG401" t="str">
        <f t="shared" si="45"/>
        <v>NO ACTION</v>
      </c>
      <c r="AH401" t="str">
        <f t="shared" si="46"/>
        <v/>
      </c>
    </row>
    <row r="402" spans="1:34" x14ac:dyDescent="0.3">
      <c r="A402" t="s">
        <v>429</v>
      </c>
      <c r="B402">
        <v>0.12892249527410199</v>
      </c>
      <c r="C402">
        <v>0.36953165208440503</v>
      </c>
      <c r="D402">
        <v>0</v>
      </c>
      <c r="E402">
        <v>0</v>
      </c>
      <c r="F402">
        <v>0</v>
      </c>
      <c r="G402">
        <v>0.993669013278205</v>
      </c>
      <c r="H402">
        <v>8</v>
      </c>
      <c r="I402">
        <v>8</v>
      </c>
      <c r="J402">
        <v>9.72281856781642E-2</v>
      </c>
      <c r="K402">
        <v>2.2022838499184301E-2</v>
      </c>
      <c r="L402">
        <v>5.77159113614523E-2</v>
      </c>
      <c r="M402">
        <v>2.0202020202020202E-3</v>
      </c>
      <c r="N402">
        <v>1.2525648061624499E-2</v>
      </c>
      <c r="O402">
        <v>1131</v>
      </c>
      <c r="P402">
        <v>8.1930415263748599E-2</v>
      </c>
      <c r="Q402">
        <v>8.2085627125775801E-2</v>
      </c>
      <c r="R402">
        <v>0</v>
      </c>
      <c r="S402">
        <v>0</v>
      </c>
      <c r="T402" t="s">
        <v>28</v>
      </c>
      <c r="U402">
        <v>5.7311320754716899E-2</v>
      </c>
      <c r="V402">
        <v>0</v>
      </c>
      <c r="W402">
        <v>0</v>
      </c>
      <c r="X402">
        <v>0</v>
      </c>
      <c r="Y402">
        <v>5.20612872348463E-2</v>
      </c>
      <c r="Z402">
        <v>5.4168508382898897E-2</v>
      </c>
      <c r="AA402">
        <v>0</v>
      </c>
      <c r="AB402">
        <f t="shared" si="42"/>
        <v>2.9744342772968658E-2</v>
      </c>
      <c r="AC402">
        <f t="shared" si="47"/>
        <v>0.25</v>
      </c>
      <c r="AD402">
        <f t="shared" si="43"/>
        <v>0</v>
      </c>
      <c r="AE402">
        <f t="shared" si="48"/>
        <v>3.7180428466210821E-2</v>
      </c>
      <c r="AF402" t="str">
        <f t="shared" si="44"/>
        <v>Very Low</v>
      </c>
      <c r="AG402" t="str">
        <f t="shared" si="45"/>
        <v>NO ACTION</v>
      </c>
      <c r="AH402" t="str">
        <f t="shared" si="46"/>
        <v/>
      </c>
    </row>
    <row r="403" spans="1:34" x14ac:dyDescent="0.3">
      <c r="A403" t="s">
        <v>430</v>
      </c>
      <c r="B403">
        <v>0.12892249527410199</v>
      </c>
      <c r="C403">
        <v>0.36953165208440503</v>
      </c>
      <c r="D403">
        <v>0</v>
      </c>
      <c r="E403">
        <v>0</v>
      </c>
      <c r="F403">
        <v>0</v>
      </c>
      <c r="G403">
        <v>0.99369382230002001</v>
      </c>
      <c r="H403">
        <v>8</v>
      </c>
      <c r="I403">
        <v>8</v>
      </c>
      <c r="J403">
        <v>0.12485091360144999</v>
      </c>
      <c r="K403">
        <v>1.4681892332789499E-2</v>
      </c>
      <c r="L403">
        <v>2.9980576382264701E-2</v>
      </c>
      <c r="M403">
        <v>2.8860028860028799E-3</v>
      </c>
      <c r="N403">
        <v>1.39424098234166E-2</v>
      </c>
      <c r="O403">
        <v>1379</v>
      </c>
      <c r="P403">
        <v>9.9501964085297406E-2</v>
      </c>
      <c r="Q403">
        <v>9.9652863003611605E-2</v>
      </c>
      <c r="R403">
        <v>0.38790560471976399</v>
      </c>
      <c r="S403">
        <v>1</v>
      </c>
      <c r="T403" t="s">
        <v>28</v>
      </c>
      <c r="U403">
        <v>2.7787307032590001E-2</v>
      </c>
      <c r="V403">
        <v>0</v>
      </c>
      <c r="W403">
        <v>0</v>
      </c>
      <c r="X403">
        <v>0</v>
      </c>
      <c r="Y403">
        <v>4.4143193858447401E-2</v>
      </c>
      <c r="Z403">
        <v>6.5278142380545107E-2</v>
      </c>
      <c r="AA403">
        <v>0.38790560471976399</v>
      </c>
      <c r="AB403">
        <f t="shared" si="42"/>
        <v>0.13925154346845184</v>
      </c>
      <c r="AC403">
        <f t="shared" si="47"/>
        <v>0.25</v>
      </c>
      <c r="AD403">
        <f t="shared" si="43"/>
        <v>0</v>
      </c>
      <c r="AE403">
        <f t="shared" si="48"/>
        <v>0.17406442933556479</v>
      </c>
      <c r="AF403" t="str">
        <f t="shared" si="44"/>
        <v>Very Low</v>
      </c>
      <c r="AG403" t="str">
        <f t="shared" si="45"/>
        <v>NO ACTION</v>
      </c>
      <c r="AH403" t="str">
        <f t="shared" si="46"/>
        <v/>
      </c>
    </row>
    <row r="404" spans="1:34" x14ac:dyDescent="0.3">
      <c r="A404" t="s">
        <v>431</v>
      </c>
      <c r="B404">
        <v>0.12892249527410199</v>
      </c>
      <c r="C404">
        <v>0.18476582604220201</v>
      </c>
      <c r="D404">
        <v>0</v>
      </c>
      <c r="E404">
        <v>0</v>
      </c>
      <c r="F404">
        <v>0</v>
      </c>
      <c r="G404">
        <v>0.99368226081412603</v>
      </c>
      <c r="H404">
        <v>7</v>
      </c>
      <c r="I404">
        <v>7</v>
      </c>
      <c r="J404">
        <v>6.4309908878393204E-2</v>
      </c>
      <c r="K404">
        <v>8.1566068515497494E-3</v>
      </c>
      <c r="L404">
        <v>3.2277683860679099E-2</v>
      </c>
      <c r="M404">
        <v>1.1544011544011501E-3</v>
      </c>
      <c r="N404">
        <v>1.0807686195712801E-2</v>
      </c>
      <c r="O404">
        <v>754</v>
      </c>
      <c r="P404">
        <v>5.13468013468013E-2</v>
      </c>
      <c r="Q404">
        <v>5.1509519969143297E-2</v>
      </c>
      <c r="R404">
        <v>0</v>
      </c>
      <c r="S404">
        <v>0</v>
      </c>
      <c r="T404" t="s">
        <v>53</v>
      </c>
      <c r="U404">
        <v>3.3962264150943298E-2</v>
      </c>
      <c r="V404">
        <v>0</v>
      </c>
      <c r="W404">
        <v>0</v>
      </c>
      <c r="X404">
        <v>0</v>
      </c>
      <c r="Y404">
        <v>3.2243129564732E-2</v>
      </c>
      <c r="Z404">
        <v>3.51311552863659E-2</v>
      </c>
      <c r="AA404">
        <v>0</v>
      </c>
      <c r="AB404">
        <f t="shared" si="42"/>
        <v>1.8864799758307411E-2</v>
      </c>
      <c r="AC404">
        <f t="shared" si="47"/>
        <v>0.1</v>
      </c>
      <c r="AD404">
        <f t="shared" si="43"/>
        <v>0</v>
      </c>
      <c r="AE404">
        <f t="shared" si="48"/>
        <v>2.0751279734138154E-2</v>
      </c>
      <c r="AF404" t="str">
        <f t="shared" si="44"/>
        <v>Very Low</v>
      </c>
      <c r="AG404" t="str">
        <f t="shared" si="45"/>
        <v>NO ACTION</v>
      </c>
      <c r="AH404" t="str">
        <f t="shared" si="46"/>
        <v/>
      </c>
    </row>
    <row r="405" spans="1:34" x14ac:dyDescent="0.3">
      <c r="A405" t="s">
        <v>432</v>
      </c>
      <c r="B405">
        <v>0.22873345935727701</v>
      </c>
      <c r="C405">
        <v>0.54549910545793101</v>
      </c>
      <c r="D405">
        <v>0.343458605828102</v>
      </c>
      <c r="E405">
        <v>0</v>
      </c>
      <c r="F405">
        <v>0</v>
      </c>
      <c r="G405">
        <v>0.49792403354954101</v>
      </c>
      <c r="H405">
        <v>7</v>
      </c>
      <c r="I405">
        <v>13</v>
      </c>
      <c r="J405">
        <v>7.8574495491627303E-2</v>
      </c>
      <c r="K405">
        <v>1.2234910277324601E-2</v>
      </c>
      <c r="L405">
        <v>3.9653486316736299E-2</v>
      </c>
      <c r="M405">
        <v>5.7720057720057698E-4</v>
      </c>
      <c r="N405">
        <v>4.4257867502419503E-3</v>
      </c>
      <c r="O405">
        <v>956</v>
      </c>
      <c r="P405">
        <v>6.3306677890011195E-2</v>
      </c>
      <c r="Q405">
        <v>6.3466460955853995E-2</v>
      </c>
      <c r="R405">
        <v>0</v>
      </c>
      <c r="S405">
        <v>0</v>
      </c>
      <c r="T405" t="s">
        <v>53</v>
      </c>
      <c r="U405">
        <v>8.4905660377358402E-2</v>
      </c>
      <c r="V405">
        <v>0</v>
      </c>
      <c r="W405">
        <v>0</v>
      </c>
      <c r="X405">
        <v>0.10303758174843</v>
      </c>
      <c r="Y405">
        <v>3.6869378281766202E-2</v>
      </c>
      <c r="Z405">
        <v>3.9754321434103498E-2</v>
      </c>
      <c r="AA405">
        <v>0</v>
      </c>
      <c r="AB405">
        <f t="shared" si="42"/>
        <v>3.7940649000192318E-2</v>
      </c>
      <c r="AC405">
        <f t="shared" si="47"/>
        <v>0.1</v>
      </c>
      <c r="AD405">
        <f t="shared" si="43"/>
        <v>0</v>
      </c>
      <c r="AE405">
        <f t="shared" si="48"/>
        <v>4.1734713900211551E-2</v>
      </c>
      <c r="AF405" t="str">
        <f t="shared" si="44"/>
        <v>Very Low</v>
      </c>
      <c r="AG405" t="str">
        <f t="shared" si="45"/>
        <v>NO ACTION</v>
      </c>
      <c r="AH405" t="str">
        <f t="shared" si="46"/>
        <v/>
      </c>
    </row>
    <row r="406" spans="1:34" x14ac:dyDescent="0.3">
      <c r="A406" t="s">
        <v>433</v>
      </c>
      <c r="B406">
        <v>0.229111531190926</v>
      </c>
      <c r="C406">
        <v>0.57065379715329501</v>
      </c>
      <c r="D406">
        <v>0.36629184892715499</v>
      </c>
      <c r="E406">
        <v>0</v>
      </c>
      <c r="F406">
        <v>0</v>
      </c>
      <c r="G406">
        <v>0.49687739946063197</v>
      </c>
      <c r="H406">
        <v>7</v>
      </c>
      <c r="I406">
        <v>13</v>
      </c>
      <c r="J406">
        <v>0.120270979438003</v>
      </c>
      <c r="K406">
        <v>1.7944535073409401E-2</v>
      </c>
      <c r="L406">
        <v>3.8035531979294303E-2</v>
      </c>
      <c r="M406">
        <v>4.3290043290043203E-3</v>
      </c>
      <c r="N406">
        <v>2.17084314471487E-2</v>
      </c>
      <c r="O406">
        <v>946</v>
      </c>
      <c r="P406">
        <v>9.8239337822671094E-2</v>
      </c>
      <c r="Q406">
        <v>9.8390546653108396E-2</v>
      </c>
      <c r="R406">
        <v>0</v>
      </c>
      <c r="S406">
        <v>0</v>
      </c>
      <c r="T406" t="s">
        <v>28</v>
      </c>
      <c r="U406">
        <v>2.33490566037735E-2</v>
      </c>
      <c r="V406">
        <v>0</v>
      </c>
      <c r="W406">
        <v>0</v>
      </c>
      <c r="X406">
        <v>0.109887554678146</v>
      </c>
      <c r="Y406">
        <v>4.9584491311392601E-2</v>
      </c>
      <c r="Z406">
        <v>6.7626975272462198E-2</v>
      </c>
      <c r="AA406">
        <v>0</v>
      </c>
      <c r="AB406">
        <f t="shared" si="42"/>
        <v>5.0401219391982707E-2</v>
      </c>
      <c r="AC406">
        <f t="shared" si="47"/>
        <v>0.25</v>
      </c>
      <c r="AD406">
        <f t="shared" si="43"/>
        <v>0</v>
      </c>
      <c r="AE406">
        <f t="shared" si="48"/>
        <v>6.3001524239978388E-2</v>
      </c>
      <c r="AF406" t="str">
        <f t="shared" si="44"/>
        <v>Very Low</v>
      </c>
      <c r="AG406" t="str">
        <f t="shared" si="45"/>
        <v>NO ACTION</v>
      </c>
      <c r="AH406" t="str">
        <f t="shared" si="46"/>
        <v/>
      </c>
    </row>
    <row r="407" spans="1:34" x14ac:dyDescent="0.3">
      <c r="A407" t="s">
        <v>434</v>
      </c>
      <c r="B407">
        <v>0.12892249527410199</v>
      </c>
      <c r="C407">
        <v>0.18476582604220201</v>
      </c>
      <c r="D407">
        <v>0</v>
      </c>
      <c r="E407">
        <v>0</v>
      </c>
      <c r="F407">
        <v>0</v>
      </c>
      <c r="G407">
        <v>0.993670003498062</v>
      </c>
      <c r="H407">
        <v>7</v>
      </c>
      <c r="I407">
        <v>7</v>
      </c>
      <c r="J407">
        <v>0.104909116931444</v>
      </c>
      <c r="K407">
        <v>1.6313213703099499E-2</v>
      </c>
      <c r="L407">
        <v>3.9629497516786599E-2</v>
      </c>
      <c r="M407">
        <v>3.4632034632034602E-3</v>
      </c>
      <c r="N407">
        <v>1.99039919548086E-2</v>
      </c>
      <c r="O407">
        <v>1160</v>
      </c>
      <c r="P407">
        <v>8.58235129068462E-2</v>
      </c>
      <c r="Q407">
        <v>8.5977769206493901E-2</v>
      </c>
      <c r="R407">
        <v>0</v>
      </c>
      <c r="S407">
        <v>0</v>
      </c>
      <c r="T407" t="s">
        <v>28</v>
      </c>
      <c r="U407">
        <v>2.6124818577648701E-2</v>
      </c>
      <c r="V407">
        <v>0</v>
      </c>
      <c r="W407">
        <v>0</v>
      </c>
      <c r="X407">
        <v>0</v>
      </c>
      <c r="Y407">
        <v>4.6767769731124703E-2</v>
      </c>
      <c r="Z407">
        <v>5.9455704526031203E-2</v>
      </c>
      <c r="AA407">
        <v>0</v>
      </c>
      <c r="AB407">
        <f t="shared" si="42"/>
        <v>2.9742572792003659E-2</v>
      </c>
      <c r="AC407">
        <f t="shared" si="47"/>
        <v>0.25</v>
      </c>
      <c r="AD407">
        <f t="shared" si="43"/>
        <v>0</v>
      </c>
      <c r="AE407">
        <f t="shared" si="48"/>
        <v>3.7178215990004572E-2</v>
      </c>
      <c r="AF407" t="str">
        <f t="shared" si="44"/>
        <v>Very Low</v>
      </c>
      <c r="AG407" t="str">
        <f t="shared" si="45"/>
        <v>NO ACTION</v>
      </c>
      <c r="AH407" t="str">
        <f t="shared" si="46"/>
        <v/>
      </c>
    </row>
    <row r="408" spans="1:34" x14ac:dyDescent="0.3">
      <c r="A408" t="s">
        <v>435</v>
      </c>
      <c r="B408">
        <v>0.249905482041587</v>
      </c>
      <c r="C408">
        <v>0.95161346495420196</v>
      </c>
      <c r="D408">
        <v>0.35909242929586899</v>
      </c>
      <c r="E408">
        <v>0</v>
      </c>
      <c r="F408">
        <v>0</v>
      </c>
      <c r="G408">
        <v>0.44361390223242902</v>
      </c>
      <c r="H408">
        <v>9</v>
      </c>
      <c r="I408">
        <v>18</v>
      </c>
      <c r="J408">
        <v>0.106054100472305</v>
      </c>
      <c r="K408">
        <v>1.6313213703099499E-2</v>
      </c>
      <c r="L408">
        <v>3.9202608854128199E-2</v>
      </c>
      <c r="M408">
        <v>2.59740259740259E-3</v>
      </c>
      <c r="N408">
        <v>1.47671897223064E-2</v>
      </c>
      <c r="O408">
        <v>1206</v>
      </c>
      <c r="P408">
        <v>8.6244388327721605E-2</v>
      </c>
      <c r="Q408">
        <v>8.6398541323328304E-2</v>
      </c>
      <c r="R408">
        <v>0.37315634218289001</v>
      </c>
      <c r="S408">
        <v>1</v>
      </c>
      <c r="T408" t="s">
        <v>28</v>
      </c>
      <c r="U408">
        <v>3.3962264150943298E-2</v>
      </c>
      <c r="V408">
        <v>0</v>
      </c>
      <c r="W408">
        <v>0</v>
      </c>
      <c r="X408">
        <v>0.10772772878876</v>
      </c>
      <c r="Y408">
        <v>4.5242281438217201E-2</v>
      </c>
      <c r="Z408">
        <v>5.7653508885555503E-2</v>
      </c>
      <c r="AA408">
        <v>0.37315634218289001</v>
      </c>
      <c r="AB408">
        <f t="shared" si="42"/>
        <v>0.15053103370806717</v>
      </c>
      <c r="AC408">
        <f t="shared" si="47"/>
        <v>0.25</v>
      </c>
      <c r="AD408">
        <f t="shared" si="43"/>
        <v>0</v>
      </c>
      <c r="AE408">
        <f t="shared" si="48"/>
        <v>0.18816379213508397</v>
      </c>
      <c r="AF408" t="str">
        <f t="shared" si="44"/>
        <v>Very Low</v>
      </c>
      <c r="AG408" t="str">
        <f t="shared" si="45"/>
        <v>NO ACTION</v>
      </c>
      <c r="AH408" t="str">
        <f t="shared" si="46"/>
        <v/>
      </c>
    </row>
    <row r="409" spans="1:34" x14ac:dyDescent="0.3">
      <c r="A409" t="s">
        <v>436</v>
      </c>
      <c r="B409">
        <v>0.12892249527410199</v>
      </c>
      <c r="C409">
        <v>0.18476582604220201</v>
      </c>
      <c r="D409">
        <v>0</v>
      </c>
      <c r="E409">
        <v>0</v>
      </c>
      <c r="F409">
        <v>0</v>
      </c>
      <c r="G409">
        <v>0.99368710486261402</v>
      </c>
      <c r="H409">
        <v>7</v>
      </c>
      <c r="I409">
        <v>7</v>
      </c>
      <c r="J409">
        <v>9.3840942703115299E-2</v>
      </c>
      <c r="K409">
        <v>1.71288743882544E-2</v>
      </c>
      <c r="L409">
        <v>4.6506380909405502E-2</v>
      </c>
      <c r="M409">
        <v>5.7720057720057698E-4</v>
      </c>
      <c r="N409">
        <v>3.70760634452317E-3</v>
      </c>
      <c r="O409">
        <v>1051</v>
      </c>
      <c r="P409">
        <v>7.6634399551066198E-2</v>
      </c>
      <c r="Q409">
        <v>7.6790911322276306E-2</v>
      </c>
      <c r="R409">
        <v>0</v>
      </c>
      <c r="S409">
        <v>0</v>
      </c>
      <c r="T409" t="s">
        <v>53</v>
      </c>
      <c r="U409">
        <v>0.118867924528301</v>
      </c>
      <c r="V409">
        <v>0</v>
      </c>
      <c r="W409">
        <v>0</v>
      </c>
      <c r="X409">
        <v>0</v>
      </c>
      <c r="Y409">
        <v>4.3133660898682702E-2</v>
      </c>
      <c r="Z409">
        <v>4.7463682268448999E-2</v>
      </c>
      <c r="AA409">
        <v>0</v>
      </c>
      <c r="AB409">
        <f t="shared" si="42"/>
        <v>2.536725608679688E-2</v>
      </c>
      <c r="AC409">
        <f t="shared" si="47"/>
        <v>0.1</v>
      </c>
      <c r="AD409">
        <f t="shared" si="43"/>
        <v>0</v>
      </c>
      <c r="AE409">
        <f t="shared" si="48"/>
        <v>2.790398169547657E-2</v>
      </c>
      <c r="AF409" t="str">
        <f t="shared" si="44"/>
        <v>Very Low</v>
      </c>
      <c r="AG409" t="str">
        <f t="shared" si="45"/>
        <v>NO ACTION</v>
      </c>
      <c r="AH409" t="str">
        <f t="shared" si="46"/>
        <v/>
      </c>
    </row>
    <row r="410" spans="1:34" x14ac:dyDescent="0.3">
      <c r="A410" t="s">
        <v>437</v>
      </c>
      <c r="B410">
        <v>0.12892249527410199</v>
      </c>
      <c r="C410">
        <v>0.18476582604220201</v>
      </c>
      <c r="D410">
        <v>0</v>
      </c>
      <c r="E410">
        <v>0</v>
      </c>
      <c r="F410">
        <v>0</v>
      </c>
      <c r="G410">
        <v>0.993694544892889</v>
      </c>
      <c r="H410">
        <v>7</v>
      </c>
      <c r="I410">
        <v>7</v>
      </c>
      <c r="J410">
        <v>9.8420876866561702E-2</v>
      </c>
      <c r="K410">
        <v>1.5497553017944501E-2</v>
      </c>
      <c r="L410">
        <v>4.0123908075748498E-2</v>
      </c>
      <c r="M410">
        <v>2.3088023088023001E-3</v>
      </c>
      <c r="N410">
        <v>1.41419723624752E-2</v>
      </c>
      <c r="O410">
        <v>1098</v>
      </c>
      <c r="P410">
        <v>8.0141694725027995E-2</v>
      </c>
      <c r="Q410">
        <v>8.0297345629229605E-2</v>
      </c>
      <c r="R410">
        <v>0</v>
      </c>
      <c r="S410">
        <v>0</v>
      </c>
      <c r="T410" t="s">
        <v>28</v>
      </c>
      <c r="U410">
        <v>3.5849056603773501E-2</v>
      </c>
      <c r="V410">
        <v>0</v>
      </c>
      <c r="W410">
        <v>0</v>
      </c>
      <c r="X410">
        <v>0</v>
      </c>
      <c r="Y410">
        <v>4.3988721119929103E-2</v>
      </c>
      <c r="Z410">
        <v>5.3741805780006903E-2</v>
      </c>
      <c r="AA410">
        <v>0</v>
      </c>
      <c r="AB410">
        <f t="shared" si="42"/>
        <v>2.7364547531982083E-2</v>
      </c>
      <c r="AC410">
        <f t="shared" si="47"/>
        <v>0.25</v>
      </c>
      <c r="AD410">
        <f t="shared" si="43"/>
        <v>0</v>
      </c>
      <c r="AE410">
        <f t="shared" si="48"/>
        <v>3.4205684414977601E-2</v>
      </c>
      <c r="AF410" t="str">
        <f t="shared" si="44"/>
        <v>Very Low</v>
      </c>
      <c r="AG410" t="str">
        <f t="shared" si="45"/>
        <v>NO ACTION</v>
      </c>
      <c r="AH410" t="str">
        <f t="shared" si="46"/>
        <v/>
      </c>
    </row>
    <row r="411" spans="1:34" x14ac:dyDescent="0.3">
      <c r="A411" t="s">
        <v>438</v>
      </c>
      <c r="B411">
        <v>6.5784499054820395E-2</v>
      </c>
      <c r="C411">
        <v>0.75878549908342796</v>
      </c>
      <c r="D411">
        <v>0.34485928313091302</v>
      </c>
      <c r="E411">
        <v>0</v>
      </c>
      <c r="F411">
        <v>0</v>
      </c>
      <c r="G411">
        <v>0.40075175049959599</v>
      </c>
      <c r="H411">
        <v>8</v>
      </c>
      <c r="I411">
        <v>14</v>
      </c>
      <c r="J411">
        <v>7.2038547779209004E-3</v>
      </c>
      <c r="K411">
        <v>8.1566068515497503E-4</v>
      </c>
      <c r="L411">
        <v>2.7994683502242799E-2</v>
      </c>
      <c r="M411">
        <v>5.7720057720057698E-4</v>
      </c>
      <c r="N411">
        <v>4.6867946867946798E-2</v>
      </c>
      <c r="O411">
        <v>114</v>
      </c>
      <c r="P411">
        <v>5.9273288439955097E-3</v>
      </c>
      <c r="Q411">
        <v>6.1011956940986703E-3</v>
      </c>
      <c r="R411">
        <v>0.24631268436578099</v>
      </c>
      <c r="S411">
        <v>1</v>
      </c>
      <c r="T411" t="s">
        <v>53</v>
      </c>
      <c r="U411">
        <v>5.6603773584905596E-3</v>
      </c>
      <c r="V411">
        <v>0</v>
      </c>
      <c r="W411">
        <v>0</v>
      </c>
      <c r="X411">
        <v>0.103457784939273</v>
      </c>
      <c r="Y411">
        <v>2.9498496767089599E-2</v>
      </c>
      <c r="Z411">
        <v>2.2303576053576E-2</v>
      </c>
      <c r="AA411">
        <v>0.24631268436578099</v>
      </c>
      <c r="AB411">
        <f t="shared" si="42"/>
        <v>0.10002537760248874</v>
      </c>
      <c r="AC411">
        <f t="shared" si="47"/>
        <v>0.1</v>
      </c>
      <c r="AD411">
        <f t="shared" si="43"/>
        <v>0</v>
      </c>
      <c r="AE411">
        <f t="shared" si="48"/>
        <v>0.11002791536273762</v>
      </c>
      <c r="AF411" t="str">
        <f t="shared" si="44"/>
        <v>Very Low</v>
      </c>
      <c r="AG411" t="str">
        <f t="shared" si="45"/>
        <v>NO ACTION</v>
      </c>
      <c r="AH411" t="str">
        <f t="shared" si="46"/>
        <v/>
      </c>
    </row>
    <row r="412" spans="1:34" x14ac:dyDescent="0.3">
      <c r="A412" t="s">
        <v>439</v>
      </c>
      <c r="B412">
        <v>0.12892249527410199</v>
      </c>
      <c r="C412">
        <v>0.27902317497967399</v>
      </c>
      <c r="D412">
        <v>7.51173381640724E-2</v>
      </c>
      <c r="E412">
        <v>0</v>
      </c>
      <c r="F412">
        <v>0</v>
      </c>
      <c r="G412">
        <v>0.99367021759965202</v>
      </c>
      <c r="H412">
        <v>7</v>
      </c>
      <c r="I412">
        <v>8</v>
      </c>
      <c r="J412">
        <v>0.10600639282476899</v>
      </c>
      <c r="K412">
        <v>1.8760195758564399E-2</v>
      </c>
      <c r="L412">
        <v>4.51032440081039E-2</v>
      </c>
      <c r="M412">
        <v>1.7316017316017301E-3</v>
      </c>
      <c r="N412">
        <v>9.8492138007180603E-3</v>
      </c>
      <c r="O412">
        <v>863</v>
      </c>
      <c r="P412">
        <v>8.6840628507295098E-2</v>
      </c>
      <c r="Q412">
        <v>8.69946351555103E-2</v>
      </c>
      <c r="R412">
        <v>0</v>
      </c>
      <c r="S412">
        <v>0</v>
      </c>
      <c r="T412" t="s">
        <v>28</v>
      </c>
      <c r="U412">
        <v>5.5795148247978398E-2</v>
      </c>
      <c r="V412">
        <v>0</v>
      </c>
      <c r="W412">
        <v>0</v>
      </c>
      <c r="X412">
        <v>2.2535201449221699E-2</v>
      </c>
      <c r="Y412">
        <v>4.6707664709221303E-2</v>
      </c>
      <c r="Z412">
        <v>5.6044062624664298E-2</v>
      </c>
      <c r="AA412">
        <v>0</v>
      </c>
      <c r="AB412">
        <f t="shared" si="42"/>
        <v>3.2376115885363446E-2</v>
      </c>
      <c r="AC412">
        <f t="shared" si="47"/>
        <v>0.25</v>
      </c>
      <c r="AD412">
        <f t="shared" si="43"/>
        <v>0</v>
      </c>
      <c r="AE412">
        <f t="shared" si="48"/>
        <v>4.0470144856704304E-2</v>
      </c>
      <c r="AF412" t="str">
        <f t="shared" si="44"/>
        <v>Very Low</v>
      </c>
      <c r="AG412" t="str">
        <f t="shared" si="45"/>
        <v>NO ACTION</v>
      </c>
      <c r="AH412" t="str">
        <f t="shared" si="46"/>
        <v/>
      </c>
    </row>
    <row r="413" spans="1:34" x14ac:dyDescent="0.3">
      <c r="A413" t="s">
        <v>440</v>
      </c>
      <c r="B413">
        <v>0.23100189035916799</v>
      </c>
      <c r="C413">
        <v>0.75829096736669799</v>
      </c>
      <c r="D413">
        <v>0.36590741866993298</v>
      </c>
      <c r="E413">
        <v>0</v>
      </c>
      <c r="F413">
        <v>0</v>
      </c>
      <c r="G413">
        <v>0.49158694525841101</v>
      </c>
      <c r="H413">
        <v>8</v>
      </c>
      <c r="I413">
        <v>14</v>
      </c>
      <c r="J413">
        <v>0.13095749248604499</v>
      </c>
      <c r="K413">
        <v>2.36541598694942E-2</v>
      </c>
      <c r="L413">
        <v>4.6053799332417003E-2</v>
      </c>
      <c r="M413">
        <v>2.8860028860028799E-3</v>
      </c>
      <c r="N413">
        <v>1.32934540207267E-2</v>
      </c>
      <c r="O413">
        <v>1409</v>
      </c>
      <c r="P413">
        <v>0.107849326599326</v>
      </c>
      <c r="Q413">
        <v>0.10799817665416001</v>
      </c>
      <c r="R413">
        <v>0</v>
      </c>
      <c r="S413">
        <v>0</v>
      </c>
      <c r="T413" t="s">
        <v>28</v>
      </c>
      <c r="U413">
        <v>4.4768439108061699E-2</v>
      </c>
      <c r="V413">
        <v>0</v>
      </c>
      <c r="W413">
        <v>0</v>
      </c>
      <c r="X413">
        <v>0.109772225600979</v>
      </c>
      <c r="Y413">
        <v>5.3206434369635597E-2</v>
      </c>
      <c r="Z413">
        <v>7.0026977567886603E-2</v>
      </c>
      <c r="AA413">
        <v>0</v>
      </c>
      <c r="AB413">
        <f t="shared" si="42"/>
        <v>5.2068911438662865E-2</v>
      </c>
      <c r="AC413">
        <f t="shared" si="47"/>
        <v>0.25</v>
      </c>
      <c r="AD413">
        <f t="shared" si="43"/>
        <v>0</v>
      </c>
      <c r="AE413">
        <f t="shared" si="48"/>
        <v>6.5086139298328585E-2</v>
      </c>
      <c r="AF413" t="str">
        <f t="shared" si="44"/>
        <v>Very Low</v>
      </c>
      <c r="AG413" t="str">
        <f t="shared" si="45"/>
        <v>NO ACTION</v>
      </c>
      <c r="AH413" t="str">
        <f t="shared" si="46"/>
        <v/>
      </c>
    </row>
    <row r="414" spans="1:34" x14ac:dyDescent="0.3">
      <c r="A414" t="s">
        <v>441</v>
      </c>
      <c r="B414">
        <v>0.27334593572778798</v>
      </c>
      <c r="C414">
        <v>0.70170350165408701</v>
      </c>
      <c r="D414">
        <v>0.55024835924015703</v>
      </c>
      <c r="E414">
        <v>0.31331193642060201</v>
      </c>
      <c r="F414">
        <v>8.11554332874828E-2</v>
      </c>
      <c r="G414">
        <v>0.392865158879385</v>
      </c>
      <c r="H414">
        <v>0</v>
      </c>
      <c r="I414">
        <v>23</v>
      </c>
      <c r="J414">
        <v>0.100472305710605</v>
      </c>
      <c r="K414">
        <v>1.0603588907014599E-2</v>
      </c>
      <c r="L414">
        <v>2.68939924881802E-2</v>
      </c>
      <c r="M414">
        <v>2.3088023088023001E-3</v>
      </c>
      <c r="N414">
        <v>1.3853907553575901E-2</v>
      </c>
      <c r="O414">
        <v>1099</v>
      </c>
      <c r="P414">
        <v>7.9545454545454503E-2</v>
      </c>
      <c r="Q414">
        <v>7.9701251797047498E-2</v>
      </c>
      <c r="R414">
        <v>0.10176991150442399</v>
      </c>
      <c r="S414">
        <v>1</v>
      </c>
      <c r="T414" t="s">
        <v>28</v>
      </c>
      <c r="U414">
        <v>2.4528301886792399E-2</v>
      </c>
      <c r="V414">
        <v>0</v>
      </c>
      <c r="W414">
        <v>7.1225778826575506E-2</v>
      </c>
      <c r="X414">
        <v>0.29153026201322102</v>
      </c>
      <c r="Y414">
        <v>3.7697629652284001E-2</v>
      </c>
      <c r="Z414">
        <v>5.32688357487031E-2</v>
      </c>
      <c r="AA414">
        <v>0.10176991150442399</v>
      </c>
      <c r="AB414">
        <f t="shared" si="42"/>
        <v>0.10061102745563047</v>
      </c>
      <c r="AC414">
        <f t="shared" si="47"/>
        <v>0.25</v>
      </c>
      <c r="AD414">
        <f t="shared" si="43"/>
        <v>0</v>
      </c>
      <c r="AE414">
        <f t="shared" si="48"/>
        <v>0.12576378431953808</v>
      </c>
      <c r="AF414" t="str">
        <f t="shared" si="44"/>
        <v>Very Low</v>
      </c>
      <c r="AG414" t="str">
        <f t="shared" si="45"/>
        <v>NO ACTION</v>
      </c>
      <c r="AH414" t="str">
        <f t="shared" si="46"/>
        <v/>
      </c>
    </row>
    <row r="415" spans="1:34" x14ac:dyDescent="0.3">
      <c r="A415" t="s">
        <v>442</v>
      </c>
      <c r="B415">
        <v>0.12892249527410199</v>
      </c>
      <c r="C415">
        <v>0.18476582604220201</v>
      </c>
      <c r="D415">
        <v>0</v>
      </c>
      <c r="E415">
        <v>0</v>
      </c>
      <c r="F415">
        <v>0</v>
      </c>
      <c r="G415">
        <v>0.99366149295983397</v>
      </c>
      <c r="H415">
        <v>7</v>
      </c>
      <c r="I415">
        <v>7</v>
      </c>
      <c r="J415">
        <v>0.109202805209675</v>
      </c>
      <c r="K415">
        <v>1.1419249592169599E-2</v>
      </c>
      <c r="L415">
        <v>2.66523054790315E-2</v>
      </c>
      <c r="M415">
        <v>2.8860028860028799E-3</v>
      </c>
      <c r="N415">
        <v>1.5935919161725601E-2</v>
      </c>
      <c r="O415">
        <v>1238</v>
      </c>
      <c r="P415">
        <v>8.6595117845117794E-2</v>
      </c>
      <c r="Q415">
        <v>8.6749184754023601E-2</v>
      </c>
      <c r="R415">
        <v>0</v>
      </c>
      <c r="S415">
        <v>0</v>
      </c>
      <c r="T415" t="s">
        <v>28</v>
      </c>
      <c r="U415">
        <v>2.16123499142367E-2</v>
      </c>
      <c r="V415">
        <v>0</v>
      </c>
      <c r="W415">
        <v>0</v>
      </c>
      <c r="X415">
        <v>0</v>
      </c>
      <c r="Y415">
        <v>3.9947489529968502E-2</v>
      </c>
      <c r="Z415">
        <v>5.8331438371760899E-2</v>
      </c>
      <c r="AA415">
        <v>0</v>
      </c>
      <c r="AB415">
        <f t="shared" si="42"/>
        <v>2.7518099812484237E-2</v>
      </c>
      <c r="AC415">
        <f t="shared" si="47"/>
        <v>0.25</v>
      </c>
      <c r="AD415">
        <f t="shared" si="43"/>
        <v>0</v>
      </c>
      <c r="AE415">
        <f t="shared" si="48"/>
        <v>3.4397624765605296E-2</v>
      </c>
      <c r="AF415" t="str">
        <f t="shared" si="44"/>
        <v>Very Low</v>
      </c>
      <c r="AG415" t="str">
        <f t="shared" si="45"/>
        <v>NO ACTION</v>
      </c>
      <c r="AH415" t="str">
        <f t="shared" si="46"/>
        <v/>
      </c>
    </row>
    <row r="416" spans="1:34" x14ac:dyDescent="0.3">
      <c r="A416" t="s">
        <v>443</v>
      </c>
      <c r="B416">
        <v>0.12892249527410199</v>
      </c>
      <c r="C416">
        <v>9.3186242699545493E-2</v>
      </c>
      <c r="D416">
        <v>7.5129964412319103E-2</v>
      </c>
      <c r="E416">
        <v>0</v>
      </c>
      <c r="F416">
        <v>0.495652173913043</v>
      </c>
      <c r="G416">
        <v>0.99367364322510199</v>
      </c>
      <c r="H416">
        <v>6</v>
      </c>
      <c r="I416">
        <v>7</v>
      </c>
      <c r="J416">
        <v>9.1026191498497194E-2</v>
      </c>
      <c r="K416">
        <v>6.5252854812398002E-3</v>
      </c>
      <c r="L416">
        <v>1.8263128599476802E-2</v>
      </c>
      <c r="M416">
        <v>8.6580086580086504E-4</v>
      </c>
      <c r="N416">
        <v>5.7329323403552297E-3</v>
      </c>
      <c r="O416">
        <v>345</v>
      </c>
      <c r="P416">
        <v>7.0145903479236799E-2</v>
      </c>
      <c r="Q416">
        <v>7.0304007854412806E-2</v>
      </c>
      <c r="R416">
        <v>0</v>
      </c>
      <c r="S416">
        <v>0</v>
      </c>
      <c r="T416" t="s">
        <v>53</v>
      </c>
      <c r="U416">
        <v>3.3962264150943298E-2</v>
      </c>
      <c r="V416">
        <v>0</v>
      </c>
      <c r="W416">
        <v>0</v>
      </c>
      <c r="X416">
        <v>0.22079985888891299</v>
      </c>
      <c r="Y416">
        <v>2.9056682301544401E-2</v>
      </c>
      <c r="Z416">
        <v>4.4380715023684097E-2</v>
      </c>
      <c r="AA416">
        <v>0</v>
      </c>
      <c r="AB416">
        <f t="shared" si="42"/>
        <v>5.5890448673290058E-2</v>
      </c>
      <c r="AC416">
        <f t="shared" si="47"/>
        <v>0.1</v>
      </c>
      <c r="AD416">
        <f t="shared" si="43"/>
        <v>0</v>
      </c>
      <c r="AE416">
        <f t="shared" si="48"/>
        <v>6.1479493540619067E-2</v>
      </c>
      <c r="AF416" t="str">
        <f t="shared" si="44"/>
        <v>Very Low</v>
      </c>
      <c r="AG416" t="str">
        <f t="shared" si="45"/>
        <v>NO ACTION</v>
      </c>
      <c r="AH416" t="str">
        <f t="shared" si="46"/>
        <v/>
      </c>
    </row>
    <row r="417" spans="1:34" x14ac:dyDescent="0.3">
      <c r="A417" t="s">
        <v>444</v>
      </c>
      <c r="B417">
        <v>0.12892249527410199</v>
      </c>
      <c r="C417">
        <v>0.36953165208440503</v>
      </c>
      <c r="D417">
        <v>0</v>
      </c>
      <c r="E417">
        <v>0</v>
      </c>
      <c r="F417">
        <v>0</v>
      </c>
      <c r="G417">
        <v>0.99369441107939405</v>
      </c>
      <c r="H417">
        <v>8</v>
      </c>
      <c r="I417">
        <v>8</v>
      </c>
      <c r="J417">
        <v>6.5502600066790706E-2</v>
      </c>
      <c r="K417">
        <v>1.1419249592169599E-2</v>
      </c>
      <c r="L417">
        <v>4.4368932343177403E-2</v>
      </c>
      <c r="M417">
        <v>2.59740259740259E-3</v>
      </c>
      <c r="N417">
        <v>2.3876123876123801E-2</v>
      </c>
      <c r="O417">
        <v>744</v>
      </c>
      <c r="P417">
        <v>5.4328002244668903E-2</v>
      </c>
      <c r="Q417">
        <v>5.4489989130053602E-2</v>
      </c>
      <c r="R417">
        <v>0</v>
      </c>
      <c r="S417">
        <v>0</v>
      </c>
      <c r="T417" t="s">
        <v>53</v>
      </c>
      <c r="U417">
        <v>2.3773584905660301E-2</v>
      </c>
      <c r="V417">
        <v>0</v>
      </c>
      <c r="W417">
        <v>0</v>
      </c>
      <c r="X417">
        <v>0</v>
      </c>
      <c r="Y417">
        <v>4.2447823347783999E-2</v>
      </c>
      <c r="Z417">
        <v>4.2147250897250799E-2</v>
      </c>
      <c r="AA417">
        <v>0</v>
      </c>
      <c r="AB417">
        <f t="shared" si="42"/>
        <v>2.3686620788609745E-2</v>
      </c>
      <c r="AC417">
        <f t="shared" si="47"/>
        <v>0.1</v>
      </c>
      <c r="AD417">
        <f t="shared" si="43"/>
        <v>0</v>
      </c>
      <c r="AE417">
        <f t="shared" si="48"/>
        <v>2.6055282867470723E-2</v>
      </c>
      <c r="AF417" t="str">
        <f t="shared" si="44"/>
        <v>Very Low</v>
      </c>
      <c r="AG417" t="str">
        <f t="shared" si="45"/>
        <v>NO ACTION</v>
      </c>
      <c r="AH417" t="str">
        <f t="shared" si="46"/>
        <v/>
      </c>
    </row>
    <row r="418" spans="1:34" x14ac:dyDescent="0.3">
      <c r="A418" t="s">
        <v>445</v>
      </c>
      <c r="B418">
        <v>0.12892249527410199</v>
      </c>
      <c r="C418">
        <v>0.18476582604220201</v>
      </c>
      <c r="D418">
        <v>0</v>
      </c>
      <c r="E418">
        <v>0</v>
      </c>
      <c r="F418">
        <v>0</v>
      </c>
      <c r="G418">
        <v>0.99365937870662602</v>
      </c>
      <c r="H418">
        <v>7</v>
      </c>
      <c r="I418">
        <v>7</v>
      </c>
      <c r="J418">
        <v>0.104241209865941</v>
      </c>
      <c r="K418">
        <v>1.5497553017944501E-2</v>
      </c>
      <c r="L418">
        <v>3.7888694931802698E-2</v>
      </c>
      <c r="M418">
        <v>4.6176046176046098E-3</v>
      </c>
      <c r="N418">
        <v>2.67083094480354E-2</v>
      </c>
      <c r="O418">
        <v>953</v>
      </c>
      <c r="P418">
        <v>8.5542929292929296E-2</v>
      </c>
      <c r="Q418">
        <v>8.56972544619376E-2</v>
      </c>
      <c r="R418">
        <v>0</v>
      </c>
      <c r="S418">
        <v>0</v>
      </c>
      <c r="T418" t="s">
        <v>28</v>
      </c>
      <c r="U418">
        <v>1.8978912319644801E-2</v>
      </c>
      <c r="V418">
        <v>0</v>
      </c>
      <c r="W418">
        <v>0</v>
      </c>
      <c r="X418">
        <v>0</v>
      </c>
      <c r="Y418">
        <v>4.7805082273500298E-2</v>
      </c>
      <c r="Z418">
        <v>6.2009081354971698E-2</v>
      </c>
      <c r="AA418">
        <v>0</v>
      </c>
      <c r="AB418">
        <f t="shared" si="42"/>
        <v>3.074796581597216E-2</v>
      </c>
      <c r="AC418">
        <f t="shared" si="47"/>
        <v>0.25</v>
      </c>
      <c r="AD418">
        <f t="shared" si="43"/>
        <v>0</v>
      </c>
      <c r="AE418">
        <f t="shared" si="48"/>
        <v>3.8434957269965202E-2</v>
      </c>
      <c r="AF418" t="str">
        <f t="shared" si="44"/>
        <v>Very Low</v>
      </c>
      <c r="AG418" t="str">
        <f t="shared" si="45"/>
        <v>NO ACTION</v>
      </c>
      <c r="AH418" t="str">
        <f t="shared" si="46"/>
        <v/>
      </c>
    </row>
    <row r="419" spans="1:34" x14ac:dyDescent="0.3">
      <c r="A419" t="s">
        <v>446</v>
      </c>
      <c r="B419">
        <v>0.128544423440453</v>
      </c>
      <c r="C419">
        <v>0.27822295898215299</v>
      </c>
      <c r="D419">
        <v>7.5128043003564404E-2</v>
      </c>
      <c r="E419">
        <v>0</v>
      </c>
      <c r="F419">
        <v>0</v>
      </c>
      <c r="G419">
        <v>0.99469842886291704</v>
      </c>
      <c r="H419">
        <v>7</v>
      </c>
      <c r="I419">
        <v>8</v>
      </c>
      <c r="J419">
        <v>8.4633366728686599E-2</v>
      </c>
      <c r="K419">
        <v>1.1419249592169599E-2</v>
      </c>
      <c r="L419">
        <v>3.4367840791960903E-2</v>
      </c>
      <c r="M419">
        <v>8.6580086580086504E-4</v>
      </c>
      <c r="N419">
        <v>6.1647552372678799E-3</v>
      </c>
      <c r="O419">
        <v>978</v>
      </c>
      <c r="P419">
        <v>6.7550505050505E-2</v>
      </c>
      <c r="Q419">
        <v>6.7709246467267406E-2</v>
      </c>
      <c r="R419">
        <v>0</v>
      </c>
      <c r="S419">
        <v>0</v>
      </c>
      <c r="T419" t="s">
        <v>53</v>
      </c>
      <c r="U419">
        <v>5.9433962264150902E-2</v>
      </c>
      <c r="V419">
        <v>0</v>
      </c>
      <c r="W419">
        <v>0</v>
      </c>
      <c r="X419">
        <v>2.25384129010693E-2</v>
      </c>
      <c r="Y419">
        <v>3.5960020312898099E-2</v>
      </c>
      <c r="Z419">
        <v>4.2996205125210102E-2</v>
      </c>
      <c r="AA419">
        <v>0</v>
      </c>
      <c r="AB419">
        <f t="shared" si="42"/>
        <v>2.5713889186841386E-2</v>
      </c>
      <c r="AC419">
        <f t="shared" si="47"/>
        <v>0.1</v>
      </c>
      <c r="AD419">
        <f t="shared" si="43"/>
        <v>0</v>
      </c>
      <c r="AE419">
        <f t="shared" si="48"/>
        <v>2.8285278105525526E-2</v>
      </c>
      <c r="AF419" t="str">
        <f t="shared" si="44"/>
        <v>Very Low</v>
      </c>
      <c r="AG419" t="str">
        <f t="shared" si="45"/>
        <v>NO ACTION</v>
      </c>
      <c r="AH419" t="str">
        <f t="shared" si="46"/>
        <v/>
      </c>
    </row>
    <row r="420" spans="1:34" x14ac:dyDescent="0.3">
      <c r="A420" t="s">
        <v>447</v>
      </c>
      <c r="B420">
        <v>0.25293005671077501</v>
      </c>
      <c r="C420">
        <v>0.78820607216517602</v>
      </c>
      <c r="D420">
        <v>0.37714076065116298</v>
      </c>
      <c r="E420">
        <v>0</v>
      </c>
      <c r="F420">
        <v>0</v>
      </c>
      <c r="G420">
        <v>0.43613368581926698</v>
      </c>
      <c r="H420">
        <v>8</v>
      </c>
      <c r="I420">
        <v>16</v>
      </c>
      <c r="J420">
        <v>8.9738085015027905E-2</v>
      </c>
      <c r="K420">
        <v>1.38662316476345E-2</v>
      </c>
      <c r="L420">
        <v>3.93647405344369E-2</v>
      </c>
      <c r="M420">
        <v>2.59740259740259E-3</v>
      </c>
      <c r="N420">
        <v>1.7445015218079899E-2</v>
      </c>
      <c r="O420">
        <v>1019</v>
      </c>
      <c r="P420">
        <v>7.3197250280583603E-2</v>
      </c>
      <c r="Q420">
        <v>7.33546057014621E-2</v>
      </c>
      <c r="R420">
        <v>0.38200589970501397</v>
      </c>
      <c r="S420">
        <v>1</v>
      </c>
      <c r="T420" t="s">
        <v>53</v>
      </c>
      <c r="U420">
        <v>2.8867924528301801E-2</v>
      </c>
      <c r="V420">
        <v>0</v>
      </c>
      <c r="W420">
        <v>0</v>
      </c>
      <c r="X420">
        <v>0.113142228195348</v>
      </c>
      <c r="Y420">
        <v>4.2863491835647999E-2</v>
      </c>
      <c r="Z420">
        <v>5.0896356255582101E-2</v>
      </c>
      <c r="AA420">
        <v>0.38200589970501397</v>
      </c>
      <c r="AB420">
        <f t="shared" si="42"/>
        <v>0.15131716589420402</v>
      </c>
      <c r="AC420">
        <f t="shared" si="47"/>
        <v>0.1</v>
      </c>
      <c r="AD420">
        <f t="shared" si="43"/>
        <v>0</v>
      </c>
      <c r="AE420">
        <f t="shared" si="48"/>
        <v>0.16644888248362444</v>
      </c>
      <c r="AF420" t="str">
        <f t="shared" si="44"/>
        <v>Very Low</v>
      </c>
      <c r="AG420" t="str">
        <f t="shared" si="45"/>
        <v>NO ACTION</v>
      </c>
      <c r="AH420" t="str">
        <f t="shared" si="46"/>
        <v/>
      </c>
    </row>
    <row r="421" spans="1:34" x14ac:dyDescent="0.3">
      <c r="A421" t="s">
        <v>448</v>
      </c>
      <c r="B421">
        <v>0.12892249527410199</v>
      </c>
      <c r="C421">
        <v>0.36953165208440503</v>
      </c>
      <c r="D421">
        <v>0</v>
      </c>
      <c r="E421">
        <v>0</v>
      </c>
      <c r="F421">
        <v>0</v>
      </c>
      <c r="G421">
        <v>0.99367937044265198</v>
      </c>
      <c r="H421">
        <v>8</v>
      </c>
      <c r="I421">
        <v>8</v>
      </c>
      <c r="J421">
        <v>0.12365822241305199</v>
      </c>
      <c r="K421">
        <v>6.5252854812398002E-3</v>
      </c>
      <c r="L421">
        <v>1.3452970739622301E-2</v>
      </c>
      <c r="M421">
        <v>3.4632034632034602E-3</v>
      </c>
      <c r="N421">
        <v>1.6891951585829099E-2</v>
      </c>
      <c r="O421">
        <v>778</v>
      </c>
      <c r="P421">
        <v>9.5398428731762006E-2</v>
      </c>
      <c r="Q421">
        <v>9.5550334864476297E-2</v>
      </c>
      <c r="R421">
        <v>0</v>
      </c>
      <c r="S421">
        <v>0</v>
      </c>
      <c r="T421" t="s">
        <v>28</v>
      </c>
      <c r="U421">
        <v>1.04499274310595E-2</v>
      </c>
      <c r="V421">
        <v>0</v>
      </c>
      <c r="W421">
        <v>0</v>
      </c>
      <c r="X421">
        <v>0</v>
      </c>
      <c r="Y421">
        <v>3.6525715328170401E-2</v>
      </c>
      <c r="Z421">
        <v>6.3995837873388806E-2</v>
      </c>
      <c r="AA421">
        <v>0</v>
      </c>
      <c r="AB421">
        <f t="shared" si="42"/>
        <v>2.8146034896436578E-2</v>
      </c>
      <c r="AC421">
        <f t="shared" si="47"/>
        <v>0.25</v>
      </c>
      <c r="AD421">
        <f t="shared" si="43"/>
        <v>0</v>
      </c>
      <c r="AE421">
        <f t="shared" si="48"/>
        <v>3.5182543620545723E-2</v>
      </c>
      <c r="AF421" t="str">
        <f t="shared" si="44"/>
        <v>Very Low</v>
      </c>
      <c r="AG421" t="str">
        <f t="shared" si="45"/>
        <v>NO ACTION</v>
      </c>
      <c r="AH421" t="str">
        <f t="shared" si="46"/>
        <v/>
      </c>
    </row>
    <row r="422" spans="1:34" x14ac:dyDescent="0.3">
      <c r="A422" t="s">
        <v>449</v>
      </c>
      <c r="B422">
        <v>0.23591682419659701</v>
      </c>
      <c r="C422">
        <v>0.57606924743731303</v>
      </c>
      <c r="D422">
        <v>0.35940377891185399</v>
      </c>
      <c r="E422">
        <v>0</v>
      </c>
      <c r="F422">
        <v>0</v>
      </c>
      <c r="G422">
        <v>0.47836070168125699</v>
      </c>
      <c r="H422">
        <v>7</v>
      </c>
      <c r="I422">
        <v>13</v>
      </c>
      <c r="J422">
        <v>7.99103096226325E-2</v>
      </c>
      <c r="K422">
        <v>1.0603588907014599E-2</v>
      </c>
      <c r="L422">
        <v>3.3793582227707397E-2</v>
      </c>
      <c r="M422">
        <v>2.3088023088023001E-3</v>
      </c>
      <c r="N422">
        <v>1.7408094550951599E-2</v>
      </c>
      <c r="O422">
        <v>962</v>
      </c>
      <c r="P422">
        <v>6.4429012345678993E-2</v>
      </c>
      <c r="Q422">
        <v>6.4588519934079006E-2</v>
      </c>
      <c r="R422">
        <v>0</v>
      </c>
      <c r="S422">
        <v>0</v>
      </c>
      <c r="T422" t="s">
        <v>53</v>
      </c>
      <c r="U422">
        <v>2.4528301886792399E-2</v>
      </c>
      <c r="V422">
        <v>0</v>
      </c>
      <c r="W422">
        <v>0</v>
      </c>
      <c r="X422">
        <v>0.107821133673556</v>
      </c>
      <c r="Y422">
        <v>3.8101281403665699E-2</v>
      </c>
      <c r="Z422">
        <v>4.5620645227787998E-2</v>
      </c>
      <c r="AA422">
        <v>0</v>
      </c>
      <c r="AB422">
        <f t="shared" si="42"/>
        <v>4.0693520844576003E-2</v>
      </c>
      <c r="AC422">
        <f t="shared" si="47"/>
        <v>0.1</v>
      </c>
      <c r="AD422">
        <f t="shared" si="43"/>
        <v>0</v>
      </c>
      <c r="AE422">
        <f t="shared" si="48"/>
        <v>4.4762872929033609E-2</v>
      </c>
      <c r="AF422" t="str">
        <f t="shared" si="44"/>
        <v>Very Low</v>
      </c>
      <c r="AG422" t="str">
        <f t="shared" si="45"/>
        <v>NO ACTION</v>
      </c>
      <c r="AH422" t="str">
        <f t="shared" si="46"/>
        <v/>
      </c>
    </row>
    <row r="423" spans="1:34" x14ac:dyDescent="0.3">
      <c r="A423" t="s">
        <v>450</v>
      </c>
      <c r="B423">
        <v>0.23629489603024501</v>
      </c>
      <c r="C423">
        <v>0.74523195654859797</v>
      </c>
      <c r="D423">
        <v>0.34625973546567801</v>
      </c>
      <c r="E423">
        <v>0</v>
      </c>
      <c r="F423">
        <v>0</v>
      </c>
      <c r="G423">
        <v>0.477296168094197</v>
      </c>
      <c r="H423">
        <v>8</v>
      </c>
      <c r="I423">
        <v>14</v>
      </c>
      <c r="J423">
        <v>9.4985926243976906E-2</v>
      </c>
      <c r="K423">
        <v>1.9575856443719401E-2</v>
      </c>
      <c r="L423">
        <v>5.2511069655509703E-2</v>
      </c>
      <c r="M423">
        <v>2.3088023088023001E-3</v>
      </c>
      <c r="N423">
        <v>1.4652103630059501E-2</v>
      </c>
      <c r="O423">
        <v>1101</v>
      </c>
      <c r="P423">
        <v>7.9370089786756401E-2</v>
      </c>
      <c r="Q423">
        <v>7.9525930081699905E-2</v>
      </c>
      <c r="R423">
        <v>0.77581120943952797</v>
      </c>
      <c r="S423">
        <v>1</v>
      </c>
      <c r="T423" t="s">
        <v>53</v>
      </c>
      <c r="U423">
        <v>4.5283018867924497E-2</v>
      </c>
      <c r="V423">
        <v>0</v>
      </c>
      <c r="W423">
        <v>0</v>
      </c>
      <c r="X423">
        <v>0.103877920639703</v>
      </c>
      <c r="Y423">
        <v>4.9648351165568101E-2</v>
      </c>
      <c r="Z423">
        <v>5.3482895324077698E-2</v>
      </c>
      <c r="AA423">
        <v>0.77581120943952797</v>
      </c>
      <c r="AB423">
        <f t="shared" si="42"/>
        <v>0.26272435496252117</v>
      </c>
      <c r="AC423">
        <f t="shared" si="47"/>
        <v>0.1</v>
      </c>
      <c r="AD423">
        <f t="shared" si="43"/>
        <v>0</v>
      </c>
      <c r="AE423">
        <f t="shared" si="48"/>
        <v>0.2889967904587733</v>
      </c>
      <c r="AF423" t="str">
        <f t="shared" si="44"/>
        <v>Low</v>
      </c>
      <c r="AG423" t="str">
        <f t="shared" si="45"/>
        <v>NO ACTION</v>
      </c>
      <c r="AH423" t="str">
        <f t="shared" si="46"/>
        <v/>
      </c>
    </row>
    <row r="424" spans="1:34" x14ac:dyDescent="0.3">
      <c r="A424" t="s">
        <v>451</v>
      </c>
      <c r="B424">
        <v>0.27788279773156899</v>
      </c>
      <c r="C424">
        <v>0.72331195499335899</v>
      </c>
      <c r="D424">
        <v>0.44992709488037502</v>
      </c>
      <c r="E424">
        <v>0.123289730867538</v>
      </c>
      <c r="F424">
        <v>2.8416779431664398E-2</v>
      </c>
      <c r="G424">
        <v>0.38406529425670999</v>
      </c>
      <c r="H424">
        <v>0</v>
      </c>
      <c r="I424">
        <v>23</v>
      </c>
      <c r="J424">
        <v>9.31730356376127E-2</v>
      </c>
      <c r="K424">
        <v>2.2838499184339299E-2</v>
      </c>
      <c r="L424">
        <v>6.2451878211336499E-2</v>
      </c>
      <c r="M424">
        <v>2.0202020202020202E-3</v>
      </c>
      <c r="N424">
        <v>1.30694070428493E-2</v>
      </c>
      <c r="O424">
        <v>729</v>
      </c>
      <c r="P424">
        <v>7.9299943883277199E-2</v>
      </c>
      <c r="Q424">
        <v>7.9455801395560799E-2</v>
      </c>
      <c r="R424">
        <v>0.68879056047197595</v>
      </c>
      <c r="S424">
        <v>1</v>
      </c>
      <c r="T424" t="s">
        <v>53</v>
      </c>
      <c r="U424">
        <v>5.9433962264150902E-2</v>
      </c>
      <c r="V424">
        <v>0</v>
      </c>
      <c r="W424">
        <v>5.7914150077577997E-2</v>
      </c>
      <c r="X424">
        <v>0.183331759497039</v>
      </c>
      <c r="Y424">
        <v>5.3781368346045598E-2</v>
      </c>
      <c r="Z424">
        <v>5.2807729147105999E-2</v>
      </c>
      <c r="AA424">
        <v>0.68879056047197595</v>
      </c>
      <c r="AB424">
        <f t="shared" si="42"/>
        <v>0.25203938574976198</v>
      </c>
      <c r="AC424">
        <f t="shared" si="47"/>
        <v>0.1</v>
      </c>
      <c r="AD424">
        <f t="shared" si="43"/>
        <v>0</v>
      </c>
      <c r="AE424">
        <f t="shared" si="48"/>
        <v>0.27724332432473819</v>
      </c>
      <c r="AF424" t="str">
        <f t="shared" si="44"/>
        <v>Low</v>
      </c>
      <c r="AG424" t="str">
        <f t="shared" si="45"/>
        <v>NO ACTION</v>
      </c>
      <c r="AH424" t="str">
        <f t="shared" si="46"/>
        <v/>
      </c>
    </row>
    <row r="425" spans="1:34" x14ac:dyDescent="0.3">
      <c r="A425" t="s">
        <v>452</v>
      </c>
      <c r="B425">
        <v>0.12892249527410199</v>
      </c>
      <c r="C425">
        <v>9.7470667651248899E-2</v>
      </c>
      <c r="D425">
        <v>7.5018780494472401E-2</v>
      </c>
      <c r="E425">
        <v>0</v>
      </c>
      <c r="F425">
        <v>0.47246376811594198</v>
      </c>
      <c r="G425">
        <v>0.99370375126128596</v>
      </c>
      <c r="H425">
        <v>6</v>
      </c>
      <c r="I425">
        <v>7</v>
      </c>
      <c r="J425">
        <v>0.121511378273937</v>
      </c>
      <c r="K425">
        <v>1.8760195758564399E-2</v>
      </c>
      <c r="L425">
        <v>3.9359296397353999E-2</v>
      </c>
      <c r="M425">
        <v>4.3290043290043203E-3</v>
      </c>
      <c r="N425">
        <v>2.1487264042122901E-2</v>
      </c>
      <c r="O425">
        <v>1381</v>
      </c>
      <c r="P425">
        <v>9.9501964085297406E-2</v>
      </c>
      <c r="Q425">
        <v>9.9652863003611605E-2</v>
      </c>
      <c r="R425">
        <v>0</v>
      </c>
      <c r="S425">
        <v>0</v>
      </c>
      <c r="T425" t="s">
        <v>28</v>
      </c>
      <c r="U425">
        <v>2.4410377358490502E-2</v>
      </c>
      <c r="V425">
        <v>0</v>
      </c>
      <c r="W425">
        <v>0</v>
      </c>
      <c r="X425">
        <v>0.211491141394718</v>
      </c>
      <c r="Y425">
        <v>5.04281030661013E-2</v>
      </c>
      <c r="Z425">
        <v>6.8296084068027604E-2</v>
      </c>
      <c r="AA425">
        <v>0</v>
      </c>
      <c r="AB425">
        <f t="shared" si="42"/>
        <v>6.7081355020710984E-2</v>
      </c>
      <c r="AC425">
        <f t="shared" si="47"/>
        <v>0.25</v>
      </c>
      <c r="AD425">
        <f t="shared" si="43"/>
        <v>0</v>
      </c>
      <c r="AE425">
        <f t="shared" si="48"/>
        <v>8.3851693775888733E-2</v>
      </c>
      <c r="AF425" t="str">
        <f t="shared" si="44"/>
        <v>Very Low</v>
      </c>
      <c r="AG425" t="str">
        <f t="shared" si="45"/>
        <v>NO ACTION</v>
      </c>
      <c r="AH425" t="str">
        <f t="shared" si="46"/>
        <v/>
      </c>
    </row>
    <row r="426" spans="1:34" x14ac:dyDescent="0.3">
      <c r="A426" t="s">
        <v>453</v>
      </c>
      <c r="B426">
        <v>0.17126654064272201</v>
      </c>
      <c r="C426">
        <v>0.52963508121506597</v>
      </c>
      <c r="D426">
        <v>0.57946698525571205</v>
      </c>
      <c r="E426">
        <v>0.29905178701677598</v>
      </c>
      <c r="F426">
        <v>0.13129102844638901</v>
      </c>
      <c r="G426">
        <v>0.71311656546217295</v>
      </c>
      <c r="H426">
        <v>0</v>
      </c>
      <c r="I426">
        <v>23</v>
      </c>
      <c r="J426">
        <v>9.7752969801059103E-2</v>
      </c>
      <c r="K426">
        <v>2.2838499184339299E-2</v>
      </c>
      <c r="L426">
        <v>5.9532997827554501E-2</v>
      </c>
      <c r="M426">
        <v>2.0202020202020202E-3</v>
      </c>
      <c r="N426">
        <v>1.2458568154770601E-2</v>
      </c>
      <c r="O426">
        <v>1101</v>
      </c>
      <c r="P426">
        <v>8.2666947250280495E-2</v>
      </c>
      <c r="Q426">
        <v>8.2821978330235899E-2</v>
      </c>
      <c r="R426">
        <v>0.19026548672566301</v>
      </c>
      <c r="S426">
        <v>1</v>
      </c>
      <c r="T426" t="s">
        <v>28</v>
      </c>
      <c r="U426">
        <v>5.9433962264150902E-2</v>
      </c>
      <c r="V426">
        <v>0</v>
      </c>
      <c r="W426">
        <v>0.25506867690381702</v>
      </c>
      <c r="X426">
        <v>0.31607204306030201</v>
      </c>
      <c r="Y426">
        <v>5.3054663320420199E-2</v>
      </c>
      <c r="Z426">
        <v>5.4583595612076603E-2</v>
      </c>
      <c r="AA426">
        <v>0.19026548672566301</v>
      </c>
      <c r="AB426">
        <f t="shared" si="42"/>
        <v>0.13398457567393307</v>
      </c>
      <c r="AC426">
        <f t="shared" si="47"/>
        <v>0.25</v>
      </c>
      <c r="AD426">
        <f t="shared" si="43"/>
        <v>0</v>
      </c>
      <c r="AE426">
        <f t="shared" si="48"/>
        <v>0.16748071959241634</v>
      </c>
      <c r="AF426" t="str">
        <f t="shared" si="44"/>
        <v>Very Low</v>
      </c>
      <c r="AG426" t="str">
        <f t="shared" si="45"/>
        <v>NO ACTION</v>
      </c>
      <c r="AH426" t="str">
        <f t="shared" si="46"/>
        <v/>
      </c>
    </row>
    <row r="427" spans="1:34" x14ac:dyDescent="0.3">
      <c r="A427" t="s">
        <v>454</v>
      </c>
      <c r="B427">
        <v>0.23591682419659701</v>
      </c>
      <c r="C427">
        <v>0.67286535694031402</v>
      </c>
      <c r="D427">
        <v>0.37471870216685399</v>
      </c>
      <c r="E427">
        <v>0</v>
      </c>
      <c r="F427">
        <v>0</v>
      </c>
      <c r="G427">
        <v>0.478282601723512</v>
      </c>
      <c r="H427">
        <v>7</v>
      </c>
      <c r="I427">
        <v>14</v>
      </c>
      <c r="J427">
        <v>8.0482801393063297E-2</v>
      </c>
      <c r="K427">
        <v>8.1566068515497494E-3</v>
      </c>
      <c r="L427">
        <v>2.58107011013586E-2</v>
      </c>
      <c r="M427">
        <v>5.7720057720057698E-4</v>
      </c>
      <c r="N427">
        <v>4.3211582218674396E-3</v>
      </c>
      <c r="O427">
        <v>850</v>
      </c>
      <c r="P427">
        <v>6.2955948372615006E-2</v>
      </c>
      <c r="Q427">
        <v>6.3115817525158602E-2</v>
      </c>
      <c r="R427">
        <v>0</v>
      </c>
      <c r="S427">
        <v>0</v>
      </c>
      <c r="T427" t="s">
        <v>53</v>
      </c>
      <c r="U427">
        <v>5.6603773584905599E-2</v>
      </c>
      <c r="V427">
        <v>0</v>
      </c>
      <c r="W427">
        <v>0</v>
      </c>
      <c r="X427">
        <v>0.11241561065005599</v>
      </c>
      <c r="Y427">
        <v>3.0298258295852198E-2</v>
      </c>
      <c r="Z427">
        <v>3.9502032312315999E-2</v>
      </c>
      <c r="AA427">
        <v>0</v>
      </c>
      <c r="AB427">
        <f t="shared" si="42"/>
        <v>3.7530579074296057E-2</v>
      </c>
      <c r="AC427">
        <f t="shared" si="47"/>
        <v>0.1</v>
      </c>
      <c r="AD427">
        <f t="shared" si="43"/>
        <v>0</v>
      </c>
      <c r="AE427">
        <f t="shared" si="48"/>
        <v>4.1283636981725665E-2</v>
      </c>
      <c r="AF427" t="str">
        <f t="shared" si="44"/>
        <v>Very Low</v>
      </c>
      <c r="AG427" t="str">
        <f t="shared" si="45"/>
        <v>NO ACTION</v>
      </c>
      <c r="AH427" t="str">
        <f t="shared" si="46"/>
        <v/>
      </c>
    </row>
    <row r="428" spans="1:34" x14ac:dyDescent="0.3">
      <c r="A428" t="s">
        <v>455</v>
      </c>
      <c r="B428">
        <v>0.12892249527410199</v>
      </c>
      <c r="C428">
        <v>0.18476582604220201</v>
      </c>
      <c r="D428">
        <v>0</v>
      </c>
      <c r="E428">
        <v>0</v>
      </c>
      <c r="F428">
        <v>0</v>
      </c>
      <c r="G428">
        <v>0.99368306369509096</v>
      </c>
      <c r="H428">
        <v>7</v>
      </c>
      <c r="I428">
        <v>7</v>
      </c>
      <c r="J428">
        <v>0.10428891751347701</v>
      </c>
      <c r="K428">
        <v>1.1419249592169599E-2</v>
      </c>
      <c r="L428">
        <v>2.79052436188491E-2</v>
      </c>
      <c r="M428">
        <v>3.4632034632034602E-3</v>
      </c>
      <c r="N428">
        <v>2.0022089579369299E-2</v>
      </c>
      <c r="O428">
        <v>1086</v>
      </c>
      <c r="P428">
        <v>8.3263187429854099E-2</v>
      </c>
      <c r="Q428">
        <v>8.3418072162418005E-2</v>
      </c>
      <c r="R428">
        <v>0</v>
      </c>
      <c r="S428">
        <v>0</v>
      </c>
      <c r="T428" t="s">
        <v>28</v>
      </c>
      <c r="U428">
        <v>1.82873730043541E-2</v>
      </c>
      <c r="V428">
        <v>0</v>
      </c>
      <c r="W428">
        <v>0</v>
      </c>
      <c r="X428">
        <v>0</v>
      </c>
      <c r="Y428">
        <v>4.0817032185930802E-2</v>
      </c>
      <c r="Z428">
        <v>5.7966748289660197E-2</v>
      </c>
      <c r="AA428">
        <v>0</v>
      </c>
      <c r="AB428">
        <f t="shared" si="42"/>
        <v>2.7659458533165482E-2</v>
      </c>
      <c r="AC428">
        <f t="shared" si="47"/>
        <v>0.25</v>
      </c>
      <c r="AD428">
        <f t="shared" si="43"/>
        <v>0</v>
      </c>
      <c r="AE428">
        <f t="shared" si="48"/>
        <v>3.4574323166456852E-2</v>
      </c>
      <c r="AF428" t="str">
        <f t="shared" si="44"/>
        <v>Very Low</v>
      </c>
      <c r="AG428" t="str">
        <f t="shared" si="45"/>
        <v>NO ACTION</v>
      </c>
      <c r="AH428" t="str">
        <f t="shared" si="46"/>
        <v/>
      </c>
    </row>
    <row r="429" spans="1:34" x14ac:dyDescent="0.3">
      <c r="A429" t="s">
        <v>456</v>
      </c>
      <c r="B429">
        <v>0.13950850661625699</v>
      </c>
      <c r="C429">
        <v>0.26352659371166698</v>
      </c>
      <c r="D429">
        <v>0.33760480732828402</v>
      </c>
      <c r="E429">
        <v>0.61066428358653502</v>
      </c>
      <c r="F429">
        <v>7.5067024128686294E-2</v>
      </c>
      <c r="G429">
        <v>0.90770974551026196</v>
      </c>
      <c r="H429">
        <v>0</v>
      </c>
      <c r="I429">
        <v>23</v>
      </c>
      <c r="J429">
        <v>0.11621582939745199</v>
      </c>
      <c r="K429">
        <v>2.1207177814029299E-2</v>
      </c>
      <c r="L429">
        <v>4.6516360624783697E-2</v>
      </c>
      <c r="M429">
        <v>4.3290043290043203E-3</v>
      </c>
      <c r="N429">
        <v>2.2464357982588199E-2</v>
      </c>
      <c r="O429">
        <v>1272</v>
      </c>
      <c r="P429">
        <v>9.6661054994388304E-2</v>
      </c>
      <c r="Q429">
        <v>9.6812651214979395E-2</v>
      </c>
      <c r="R429">
        <v>0</v>
      </c>
      <c r="S429">
        <v>0</v>
      </c>
      <c r="T429" t="s">
        <v>28</v>
      </c>
      <c r="U429">
        <v>2.75943396226415E-2</v>
      </c>
      <c r="V429">
        <v>0</v>
      </c>
      <c r="W429">
        <v>0</v>
      </c>
      <c r="X429">
        <v>0.31450753692591998</v>
      </c>
      <c r="Y429">
        <v>5.3240653586658797E-2</v>
      </c>
      <c r="Z429">
        <v>6.6982376189668194E-2</v>
      </c>
      <c r="AA429">
        <v>0</v>
      </c>
      <c r="AB429">
        <f t="shared" si="42"/>
        <v>8.3983654245518763E-2</v>
      </c>
      <c r="AC429">
        <f t="shared" si="47"/>
        <v>0.25</v>
      </c>
      <c r="AD429">
        <f t="shared" si="43"/>
        <v>0.05</v>
      </c>
      <c r="AE429">
        <f t="shared" si="48"/>
        <v>0.10917875051917439</v>
      </c>
      <c r="AF429" t="str">
        <f t="shared" si="44"/>
        <v>Very Low</v>
      </c>
      <c r="AG429" t="str">
        <f t="shared" si="45"/>
        <v>NO ACTION</v>
      </c>
      <c r="AH429" t="str">
        <f t="shared" si="46"/>
        <v/>
      </c>
    </row>
    <row r="430" spans="1:34" x14ac:dyDescent="0.3">
      <c r="A430" t="s">
        <v>457</v>
      </c>
      <c r="B430">
        <v>0.238941398865784</v>
      </c>
      <c r="C430">
        <v>0.59729329928108299</v>
      </c>
      <c r="D430">
        <v>0.37732489172093803</v>
      </c>
      <c r="E430">
        <v>0</v>
      </c>
      <c r="F430">
        <v>0</v>
      </c>
      <c r="G430">
        <v>0.47049394281681101</v>
      </c>
      <c r="H430">
        <v>7</v>
      </c>
      <c r="I430">
        <v>14</v>
      </c>
      <c r="J430">
        <v>7.2372501311960297E-2</v>
      </c>
      <c r="K430">
        <v>1.1419249592169599E-2</v>
      </c>
      <c r="L430">
        <v>4.0171083290997597E-2</v>
      </c>
      <c r="M430">
        <v>2.8860028860028799E-3</v>
      </c>
      <c r="N430">
        <v>2.40190529283827E-2</v>
      </c>
      <c r="O430">
        <v>852</v>
      </c>
      <c r="P430">
        <v>5.9518799102132397E-2</v>
      </c>
      <c r="Q430">
        <v>5.9679511904344403E-2</v>
      </c>
      <c r="R430">
        <v>0</v>
      </c>
      <c r="S430">
        <v>0</v>
      </c>
      <c r="T430" t="s">
        <v>53</v>
      </c>
      <c r="U430">
        <v>2.16123499142367E-2</v>
      </c>
      <c r="V430">
        <v>0</v>
      </c>
      <c r="W430">
        <v>0</v>
      </c>
      <c r="X430">
        <v>0.113197467516281</v>
      </c>
      <c r="Y430">
        <v>4.1765757786405698E-2</v>
      </c>
      <c r="Z430">
        <v>4.5318900632632497E-2</v>
      </c>
      <c r="AA430">
        <v>0</v>
      </c>
      <c r="AB430">
        <f t="shared" si="42"/>
        <v>4.2495299159935655E-2</v>
      </c>
      <c r="AC430">
        <f t="shared" si="47"/>
        <v>0.1</v>
      </c>
      <c r="AD430">
        <f t="shared" si="43"/>
        <v>0</v>
      </c>
      <c r="AE430">
        <f t="shared" si="48"/>
        <v>4.6744829075929223E-2</v>
      </c>
      <c r="AF430" t="str">
        <f t="shared" si="44"/>
        <v>Very Low</v>
      </c>
      <c r="AG430" t="str">
        <f t="shared" si="45"/>
        <v>NO ACTION</v>
      </c>
      <c r="AH430" t="str">
        <f t="shared" si="46"/>
        <v/>
      </c>
    </row>
    <row r="431" spans="1:34" x14ac:dyDescent="0.3">
      <c r="A431" t="s">
        <v>458</v>
      </c>
      <c r="B431">
        <v>0.110018903591682</v>
      </c>
      <c r="C431">
        <v>0.55429747812660801</v>
      </c>
      <c r="D431">
        <v>0</v>
      </c>
      <c r="E431">
        <v>0</v>
      </c>
      <c r="F431">
        <v>0</v>
      </c>
      <c r="G431">
        <v>0.99582970723265996</v>
      </c>
      <c r="H431">
        <v>9</v>
      </c>
      <c r="I431">
        <v>9</v>
      </c>
      <c r="J431">
        <v>6.7315490673154899E-2</v>
      </c>
      <c r="K431">
        <v>3.2626427406199001E-3</v>
      </c>
      <c r="L431">
        <v>1.2336640187429001E-2</v>
      </c>
      <c r="M431">
        <v>5.4834054834054799E-3</v>
      </c>
      <c r="N431">
        <v>4.9052469815181597E-2</v>
      </c>
      <c r="O431">
        <v>258</v>
      </c>
      <c r="P431">
        <v>5.3556397306397302E-2</v>
      </c>
      <c r="Q431">
        <v>5.3718573582523903E-2</v>
      </c>
      <c r="R431">
        <v>0</v>
      </c>
      <c r="S431">
        <v>0</v>
      </c>
      <c r="T431" t="s">
        <v>53</v>
      </c>
      <c r="U431">
        <v>3.39622641509433E-3</v>
      </c>
      <c r="V431">
        <v>0</v>
      </c>
      <c r="W431">
        <v>0</v>
      </c>
      <c r="X431">
        <v>0</v>
      </c>
      <c r="Y431">
        <v>3.4347159172900002E-2</v>
      </c>
      <c r="Z431">
        <v>5.1754826309911003E-2</v>
      </c>
      <c r="AA431">
        <v>0</v>
      </c>
      <c r="AB431">
        <f t="shared" si="42"/>
        <v>2.4108555935187084E-2</v>
      </c>
      <c r="AC431">
        <f t="shared" si="47"/>
        <v>0.1</v>
      </c>
      <c r="AD431">
        <f t="shared" si="43"/>
        <v>0</v>
      </c>
      <c r="AE431">
        <f t="shared" si="48"/>
        <v>2.6519411528705794E-2</v>
      </c>
      <c r="AF431" t="str">
        <f t="shared" si="44"/>
        <v>Very Low</v>
      </c>
      <c r="AG431" t="str">
        <f t="shared" si="45"/>
        <v>NO ACTION</v>
      </c>
      <c r="AH431" t="str">
        <f t="shared" si="46"/>
        <v/>
      </c>
    </row>
    <row r="432" spans="1:34" x14ac:dyDescent="0.3">
      <c r="A432" t="s">
        <v>459</v>
      </c>
      <c r="B432">
        <v>0.12892249527410199</v>
      </c>
      <c r="C432">
        <v>8.7830711509916601E-2</v>
      </c>
      <c r="D432">
        <v>7.5041536061111899E-2</v>
      </c>
      <c r="E432">
        <v>0</v>
      </c>
      <c r="F432">
        <v>0.52463768115942</v>
      </c>
      <c r="G432">
        <v>0.99367356293700604</v>
      </c>
      <c r="H432">
        <v>6</v>
      </c>
      <c r="I432">
        <v>7</v>
      </c>
      <c r="J432">
        <v>7.7620342540909298E-2</v>
      </c>
      <c r="K432">
        <v>1.8760195758564399E-2</v>
      </c>
      <c r="L432">
        <v>6.1547135052725098E-2</v>
      </c>
      <c r="M432">
        <v>2.3088023088023001E-3</v>
      </c>
      <c r="N432">
        <v>1.7920097331861999E-2</v>
      </c>
      <c r="O432">
        <v>656</v>
      </c>
      <c r="P432">
        <v>6.62528058361391E-2</v>
      </c>
      <c r="Q432">
        <v>6.6411865773694706E-2</v>
      </c>
      <c r="R432">
        <v>0</v>
      </c>
      <c r="S432">
        <v>0</v>
      </c>
      <c r="T432" t="s">
        <v>53</v>
      </c>
      <c r="U432">
        <v>4.3396226415094302E-2</v>
      </c>
      <c r="V432">
        <v>0</v>
      </c>
      <c r="W432">
        <v>0</v>
      </c>
      <c r="X432">
        <v>0.232367533282101</v>
      </c>
      <c r="Y432">
        <v>5.1673665234103001E-2</v>
      </c>
      <c r="Z432">
        <v>4.6919722434428303E-2</v>
      </c>
      <c r="AA432">
        <v>0</v>
      </c>
      <c r="AB432">
        <f t="shared" si="42"/>
        <v>6.4784953872324941E-2</v>
      </c>
      <c r="AC432">
        <f t="shared" si="47"/>
        <v>0.1</v>
      </c>
      <c r="AD432">
        <f t="shared" si="43"/>
        <v>0.08</v>
      </c>
      <c r="AE432">
        <f t="shared" si="48"/>
        <v>7.6446245569343443E-2</v>
      </c>
      <c r="AF432" t="str">
        <f t="shared" si="44"/>
        <v>Very Low</v>
      </c>
      <c r="AG432" t="str">
        <f t="shared" si="45"/>
        <v>NO ACTION</v>
      </c>
      <c r="AH432" t="str">
        <f t="shared" si="46"/>
        <v/>
      </c>
    </row>
    <row r="433" spans="1:34" x14ac:dyDescent="0.3">
      <c r="A433" t="s">
        <v>460</v>
      </c>
      <c r="B433">
        <v>0.12892249527410199</v>
      </c>
      <c r="C433">
        <v>0.36953165208440503</v>
      </c>
      <c r="D433">
        <v>0</v>
      </c>
      <c r="E433">
        <v>0</v>
      </c>
      <c r="F433">
        <v>0</v>
      </c>
      <c r="G433">
        <v>0.99368124383156997</v>
      </c>
      <c r="H433">
        <v>8</v>
      </c>
      <c r="I433">
        <v>8</v>
      </c>
      <c r="J433">
        <v>9.4604265063689699E-2</v>
      </c>
      <c r="K433">
        <v>1.38662316476345E-2</v>
      </c>
      <c r="L433">
        <v>3.7345020446653998E-2</v>
      </c>
      <c r="M433">
        <v>3.7518037518037501E-3</v>
      </c>
      <c r="N433">
        <v>2.3905481953771599E-2</v>
      </c>
      <c r="O433">
        <v>1074</v>
      </c>
      <c r="P433">
        <v>7.7335858585858494E-2</v>
      </c>
      <c r="Q433">
        <v>7.7492198183666997E-2</v>
      </c>
      <c r="R433">
        <v>0</v>
      </c>
      <c r="S433">
        <v>0</v>
      </c>
      <c r="T433" t="s">
        <v>53</v>
      </c>
      <c r="U433">
        <v>2.0619946091644199E-2</v>
      </c>
      <c r="V433">
        <v>0</v>
      </c>
      <c r="W433">
        <v>0</v>
      </c>
      <c r="X433">
        <v>0</v>
      </c>
      <c r="Y433">
        <v>4.4765007822196397E-2</v>
      </c>
      <c r="Z433">
        <v>5.5963707933023799E-2</v>
      </c>
      <c r="AA433">
        <v>0</v>
      </c>
      <c r="AB433">
        <f t="shared" si="42"/>
        <v>2.8204040411461656E-2</v>
      </c>
      <c r="AC433">
        <f t="shared" si="47"/>
        <v>0.1</v>
      </c>
      <c r="AD433">
        <f t="shared" si="43"/>
        <v>0</v>
      </c>
      <c r="AE433">
        <f t="shared" si="48"/>
        <v>3.1024444452607824E-2</v>
      </c>
      <c r="AF433" t="str">
        <f t="shared" si="44"/>
        <v>Very Low</v>
      </c>
      <c r="AG433" t="str">
        <f t="shared" si="45"/>
        <v>NO ACTION</v>
      </c>
      <c r="AH433" t="str">
        <f t="shared" si="46"/>
        <v/>
      </c>
    </row>
    <row r="434" spans="1:34" x14ac:dyDescent="0.3">
      <c r="A434" t="s">
        <v>461</v>
      </c>
      <c r="B434">
        <v>0.12892249527410199</v>
      </c>
      <c r="C434">
        <v>0</v>
      </c>
      <c r="D434">
        <v>0</v>
      </c>
      <c r="E434">
        <v>0</v>
      </c>
      <c r="F434">
        <v>1</v>
      </c>
      <c r="G434">
        <v>0.99369382230002001</v>
      </c>
      <c r="H434">
        <v>6</v>
      </c>
      <c r="I434">
        <v>6</v>
      </c>
      <c r="J434">
        <v>0.11082486522589501</v>
      </c>
      <c r="K434">
        <v>1.2234910277324601E-2</v>
      </c>
      <c r="L434">
        <v>2.81389859945224E-2</v>
      </c>
      <c r="M434">
        <v>3.7518037518037501E-3</v>
      </c>
      <c r="N434">
        <v>2.04141314966057E-2</v>
      </c>
      <c r="O434">
        <v>1219</v>
      </c>
      <c r="P434">
        <v>8.8559203142536402E-2</v>
      </c>
      <c r="Q434">
        <v>8.8712787965917403E-2</v>
      </c>
      <c r="R434">
        <v>0</v>
      </c>
      <c r="S434">
        <v>0</v>
      </c>
      <c r="T434" t="s">
        <v>28</v>
      </c>
      <c r="U434">
        <v>1.81940700808625E-2</v>
      </c>
      <c r="V434">
        <v>0</v>
      </c>
      <c r="W434">
        <v>0</v>
      </c>
      <c r="X434">
        <v>0.4</v>
      </c>
      <c r="Y434">
        <v>4.2358705491422101E-2</v>
      </c>
      <c r="Z434">
        <v>6.1301174484164098E-2</v>
      </c>
      <c r="AA434">
        <v>0</v>
      </c>
      <c r="AB434">
        <f t="shared" si="42"/>
        <v>9.3024766393164135E-2</v>
      </c>
      <c r="AC434">
        <f t="shared" si="47"/>
        <v>0.25</v>
      </c>
      <c r="AD434">
        <f t="shared" si="43"/>
        <v>0.08</v>
      </c>
      <c r="AE434">
        <f t="shared" si="48"/>
        <v>0.1237229393029083</v>
      </c>
      <c r="AF434" t="str">
        <f t="shared" si="44"/>
        <v>Very Low</v>
      </c>
      <c r="AG434" t="str">
        <f t="shared" si="45"/>
        <v>NO ACTION</v>
      </c>
      <c r="AH434" t="str">
        <f t="shared" si="46"/>
        <v/>
      </c>
    </row>
    <row r="435" spans="1:34" x14ac:dyDescent="0.3">
      <c r="A435" t="s">
        <v>462</v>
      </c>
      <c r="B435">
        <v>0.12892249527410199</v>
      </c>
      <c r="C435">
        <v>0.36953165208440503</v>
      </c>
      <c r="D435">
        <v>0</v>
      </c>
      <c r="E435">
        <v>0</v>
      </c>
      <c r="F435">
        <v>0</v>
      </c>
      <c r="G435">
        <v>0.99367514193623696</v>
      </c>
      <c r="H435">
        <v>8</v>
      </c>
      <c r="I435">
        <v>8</v>
      </c>
      <c r="J435">
        <v>8.2581937884642895E-2</v>
      </c>
      <c r="K435">
        <v>8.1566068515497494E-3</v>
      </c>
      <c r="L435">
        <v>2.5156512824596099E-2</v>
      </c>
      <c r="M435">
        <v>1.1544011544011501E-3</v>
      </c>
      <c r="N435">
        <v>8.4232715569120993E-3</v>
      </c>
      <c r="O435">
        <v>964</v>
      </c>
      <c r="P435">
        <v>6.4779741863075196E-2</v>
      </c>
      <c r="Q435">
        <v>6.4939163364774302E-2</v>
      </c>
      <c r="R435">
        <v>0</v>
      </c>
      <c r="S435">
        <v>0</v>
      </c>
      <c r="T435" t="s">
        <v>53</v>
      </c>
      <c r="U435">
        <v>3.3962264150943298E-2</v>
      </c>
      <c r="V435">
        <v>0</v>
      </c>
      <c r="W435">
        <v>0</v>
      </c>
      <c r="X435">
        <v>0</v>
      </c>
      <c r="Y435">
        <v>3.1621625456300199E-2</v>
      </c>
      <c r="Z435">
        <v>4.2237153740609899E-2</v>
      </c>
      <c r="AA435">
        <v>0</v>
      </c>
      <c r="AB435">
        <f t="shared" si="42"/>
        <v>2.0680458175134829E-2</v>
      </c>
      <c r="AC435">
        <f t="shared" si="47"/>
        <v>0.1</v>
      </c>
      <c r="AD435">
        <f t="shared" si="43"/>
        <v>0</v>
      </c>
      <c r="AE435">
        <f t="shared" si="48"/>
        <v>2.2748503992648314E-2</v>
      </c>
      <c r="AF435" t="str">
        <f t="shared" si="44"/>
        <v>Very Low</v>
      </c>
      <c r="AG435" t="str">
        <f t="shared" si="45"/>
        <v>NO ACTION</v>
      </c>
      <c r="AH435" t="str">
        <f t="shared" si="46"/>
        <v/>
      </c>
    </row>
    <row r="436" spans="1:34" x14ac:dyDescent="0.3">
      <c r="A436" t="s">
        <v>463</v>
      </c>
      <c r="B436">
        <v>0.23629489603024501</v>
      </c>
      <c r="C436">
        <v>0.58543448537696297</v>
      </c>
      <c r="D436">
        <v>0.366961199677309</v>
      </c>
      <c r="E436">
        <v>0</v>
      </c>
      <c r="F436">
        <v>0</v>
      </c>
      <c r="G436">
        <v>0.477098363112052</v>
      </c>
      <c r="H436">
        <v>7</v>
      </c>
      <c r="I436">
        <v>13</v>
      </c>
      <c r="J436">
        <v>9.2171175039358802E-2</v>
      </c>
      <c r="K436">
        <v>1.30505709624796E-2</v>
      </c>
      <c r="L436">
        <v>3.6073686123695499E-2</v>
      </c>
      <c r="M436">
        <v>2.3088023088023001E-3</v>
      </c>
      <c r="N436">
        <v>1.50983989910164E-2</v>
      </c>
      <c r="O436">
        <v>1029</v>
      </c>
      <c r="P436">
        <v>7.4494949494949503E-2</v>
      </c>
      <c r="Q436">
        <v>7.46519863950348E-2</v>
      </c>
      <c r="R436">
        <v>0</v>
      </c>
      <c r="S436">
        <v>0</v>
      </c>
      <c r="T436" t="s">
        <v>53</v>
      </c>
      <c r="U436">
        <v>3.0188679245282998E-2</v>
      </c>
      <c r="V436">
        <v>0</v>
      </c>
      <c r="W436">
        <v>0</v>
      </c>
      <c r="X436">
        <v>0.110088359903192</v>
      </c>
      <c r="Y436">
        <v>4.1000597767024402E-2</v>
      </c>
      <c r="Z436">
        <v>5.0736329293376202E-2</v>
      </c>
      <c r="AA436">
        <v>0</v>
      </c>
      <c r="AB436">
        <f t="shared" si="42"/>
        <v>4.3300477161422893E-2</v>
      </c>
      <c r="AC436">
        <f t="shared" si="47"/>
        <v>0.1</v>
      </c>
      <c r="AD436">
        <f t="shared" si="43"/>
        <v>0</v>
      </c>
      <c r="AE436">
        <f t="shared" si="48"/>
        <v>4.7630524877565188E-2</v>
      </c>
      <c r="AF436" t="str">
        <f t="shared" si="44"/>
        <v>Very Low</v>
      </c>
      <c r="AG436" t="str">
        <f t="shared" si="45"/>
        <v>NO ACTION</v>
      </c>
      <c r="AH436" t="str">
        <f t="shared" si="46"/>
        <v/>
      </c>
    </row>
    <row r="437" spans="1:34" x14ac:dyDescent="0.3">
      <c r="A437" t="s">
        <v>464</v>
      </c>
      <c r="B437">
        <v>0.23629489603024501</v>
      </c>
      <c r="C437">
        <v>0.60482167857058</v>
      </c>
      <c r="D437">
        <v>0.38399630274513802</v>
      </c>
      <c r="E437">
        <v>0</v>
      </c>
      <c r="F437">
        <v>0</v>
      </c>
      <c r="G437">
        <v>0.477103831225766</v>
      </c>
      <c r="H437">
        <v>7</v>
      </c>
      <c r="I437">
        <v>13</v>
      </c>
      <c r="J437">
        <v>0.103143933972615</v>
      </c>
      <c r="K437">
        <v>1.38662316476345E-2</v>
      </c>
      <c r="L437">
        <v>3.4260221803390903E-2</v>
      </c>
      <c r="M437">
        <v>3.4632034632034602E-3</v>
      </c>
      <c r="N437">
        <v>2.0243838610243699E-2</v>
      </c>
      <c r="O437">
        <v>1195</v>
      </c>
      <c r="P437">
        <v>8.3473625140291802E-2</v>
      </c>
      <c r="Q437">
        <v>8.36284582208352E-2</v>
      </c>
      <c r="R437">
        <v>0</v>
      </c>
      <c r="S437">
        <v>0</v>
      </c>
      <c r="T437" t="s">
        <v>28</v>
      </c>
      <c r="U437">
        <v>2.2206095791001398E-2</v>
      </c>
      <c r="V437">
        <v>0</v>
      </c>
      <c r="W437">
        <v>0</v>
      </c>
      <c r="X437">
        <v>0.115198890823541</v>
      </c>
      <c r="Y437">
        <v>4.3832049279291699E-2</v>
      </c>
      <c r="Z437">
        <v>5.8181710528272597E-2</v>
      </c>
      <c r="AA437">
        <v>0</v>
      </c>
      <c r="AB437">
        <f t="shared" si="42"/>
        <v>4.6995675277884563E-2</v>
      </c>
      <c r="AC437">
        <f t="shared" si="47"/>
        <v>0.25</v>
      </c>
      <c r="AD437">
        <f t="shared" si="43"/>
        <v>0</v>
      </c>
      <c r="AE437">
        <f t="shared" si="48"/>
        <v>5.8744594097355704E-2</v>
      </c>
      <c r="AF437" t="str">
        <f t="shared" si="44"/>
        <v>Very Low</v>
      </c>
      <c r="AG437" t="str">
        <f t="shared" si="45"/>
        <v>NO ACTION</v>
      </c>
      <c r="AH437" t="str">
        <f t="shared" si="46"/>
        <v/>
      </c>
    </row>
    <row r="438" spans="1:34" x14ac:dyDescent="0.3">
      <c r="A438" t="s">
        <v>465</v>
      </c>
      <c r="B438">
        <v>0.12892249527410199</v>
      </c>
      <c r="C438">
        <v>0.36953165208440503</v>
      </c>
      <c r="D438">
        <v>0</v>
      </c>
      <c r="E438">
        <v>0</v>
      </c>
      <c r="F438">
        <v>0</v>
      </c>
      <c r="G438">
        <v>0.99368223405142697</v>
      </c>
      <c r="H438">
        <v>8</v>
      </c>
      <c r="I438">
        <v>8</v>
      </c>
      <c r="J438">
        <v>0.103048518677544</v>
      </c>
      <c r="K438">
        <v>1.71288743882544E-2</v>
      </c>
      <c r="L438">
        <v>4.2360546491153603E-2</v>
      </c>
      <c r="M438">
        <v>3.4632034632034602E-3</v>
      </c>
      <c r="N438">
        <v>2.0262539615888302E-2</v>
      </c>
      <c r="O438">
        <v>1176</v>
      </c>
      <c r="P438">
        <v>8.4806397306397302E-2</v>
      </c>
      <c r="Q438">
        <v>8.4960903257477405E-2</v>
      </c>
      <c r="R438">
        <v>0</v>
      </c>
      <c r="S438">
        <v>0</v>
      </c>
      <c r="T438" t="s">
        <v>28</v>
      </c>
      <c r="U438">
        <v>2.74310595065312E-2</v>
      </c>
      <c r="V438">
        <v>0</v>
      </c>
      <c r="W438">
        <v>0</v>
      </c>
      <c r="X438">
        <v>0</v>
      </c>
      <c r="Y438">
        <v>4.7868738865852099E-2</v>
      </c>
      <c r="Z438">
        <v>5.8988854230193698E-2</v>
      </c>
      <c r="AA438">
        <v>0</v>
      </c>
      <c r="AB438">
        <f t="shared" si="42"/>
        <v>2.992012606689283E-2</v>
      </c>
      <c r="AC438">
        <f t="shared" si="47"/>
        <v>0.25</v>
      </c>
      <c r="AD438">
        <f t="shared" si="43"/>
        <v>0</v>
      </c>
      <c r="AE438">
        <f t="shared" si="48"/>
        <v>3.7400157583616034E-2</v>
      </c>
      <c r="AF438" t="str">
        <f t="shared" si="44"/>
        <v>Very Low</v>
      </c>
      <c r="AG438" t="str">
        <f t="shared" si="45"/>
        <v>NO ACTION</v>
      </c>
      <c r="AH438" t="str">
        <f t="shared" si="46"/>
        <v/>
      </c>
    </row>
    <row r="439" spans="1:34" x14ac:dyDescent="0.3">
      <c r="A439" t="s">
        <v>466</v>
      </c>
      <c r="B439">
        <v>2.9867674858223E-2</v>
      </c>
      <c r="C439">
        <v>0.18476582604220201</v>
      </c>
      <c r="D439">
        <v>0</v>
      </c>
      <c r="E439">
        <v>0</v>
      </c>
      <c r="F439">
        <v>0</v>
      </c>
      <c r="G439">
        <v>0.96683362826382002</v>
      </c>
      <c r="H439">
        <v>7</v>
      </c>
      <c r="I439">
        <v>7</v>
      </c>
      <c r="J439">
        <v>1.0829635990649299E-2</v>
      </c>
      <c r="K439">
        <v>1.6313213703099501E-3</v>
      </c>
      <c r="L439">
        <v>3.7648022640947298E-2</v>
      </c>
      <c r="M439">
        <v>2.88600288600288E-4</v>
      </c>
      <c r="N439">
        <v>1.5757326964223502E-2</v>
      </c>
      <c r="O439">
        <v>175</v>
      </c>
      <c r="P439">
        <v>8.8033108866442198E-3</v>
      </c>
      <c r="Q439">
        <v>8.9764718258003393E-3</v>
      </c>
      <c r="R439">
        <v>0</v>
      </c>
      <c r="S439">
        <v>0</v>
      </c>
      <c r="T439" t="s">
        <v>53</v>
      </c>
      <c r="U439">
        <v>1.6981132075471601E-2</v>
      </c>
      <c r="V439">
        <v>0</v>
      </c>
      <c r="W439">
        <v>0</v>
      </c>
      <c r="X439">
        <v>0</v>
      </c>
      <c r="Y439">
        <v>2.5717136607870499E-2</v>
      </c>
      <c r="Z439">
        <v>1.15849173176759E-2</v>
      </c>
      <c r="AA439">
        <v>0</v>
      </c>
      <c r="AB439">
        <f t="shared" si="42"/>
        <v>1.0444575099152992E-2</v>
      </c>
      <c r="AC439">
        <f t="shared" si="47"/>
        <v>0.1</v>
      </c>
      <c r="AD439">
        <f t="shared" si="43"/>
        <v>0</v>
      </c>
      <c r="AE439">
        <f t="shared" si="48"/>
        <v>1.1489032609068292E-2</v>
      </c>
      <c r="AF439" t="str">
        <f t="shared" si="44"/>
        <v>Very Low</v>
      </c>
      <c r="AG439" t="str">
        <f t="shared" si="45"/>
        <v>NO ACTION</v>
      </c>
      <c r="AH439" t="str">
        <f t="shared" si="46"/>
        <v/>
      </c>
    </row>
    <row r="440" spans="1:34" x14ac:dyDescent="0.3">
      <c r="A440" t="s">
        <v>467</v>
      </c>
      <c r="B440">
        <v>0.28204158790170097</v>
      </c>
      <c r="C440">
        <v>0.82996809058157395</v>
      </c>
      <c r="D440">
        <v>0.53604945917722302</v>
      </c>
      <c r="E440">
        <v>0.18222222222222201</v>
      </c>
      <c r="F440">
        <v>7.1999999999999995E-2</v>
      </c>
      <c r="G440">
        <v>0.37602053320687601</v>
      </c>
      <c r="H440">
        <v>0</v>
      </c>
      <c r="I440">
        <v>23</v>
      </c>
      <c r="J440">
        <v>0.10323934926768701</v>
      </c>
      <c r="K440">
        <v>9.7879282218597003E-3</v>
      </c>
      <c r="L440">
        <v>2.4161386591147398E-2</v>
      </c>
      <c r="M440">
        <v>1.7316017316017301E-3</v>
      </c>
      <c r="N440">
        <v>1.0112586046196E-2</v>
      </c>
      <c r="O440">
        <v>1186</v>
      </c>
      <c r="P440">
        <v>8.0948372615039205E-2</v>
      </c>
      <c r="Q440">
        <v>8.1103825519828796E-2</v>
      </c>
      <c r="R440">
        <v>0.94395280235988199</v>
      </c>
      <c r="S440">
        <v>1</v>
      </c>
      <c r="T440" t="s">
        <v>28</v>
      </c>
      <c r="U440">
        <v>2.9110512129380001E-2</v>
      </c>
      <c r="V440">
        <v>0</v>
      </c>
      <c r="W440">
        <v>5.67699716653755E-2</v>
      </c>
      <c r="X440">
        <v>0.24428150441983301</v>
      </c>
      <c r="Y440">
        <v>3.576233896297E-2</v>
      </c>
      <c r="Z440">
        <v>5.2614057987501898E-2</v>
      </c>
      <c r="AA440">
        <v>0.94395280235988199</v>
      </c>
      <c r="AB440">
        <f t="shared" si="42"/>
        <v>0.32813721651407235</v>
      </c>
      <c r="AC440">
        <f t="shared" si="47"/>
        <v>0.25</v>
      </c>
      <c r="AD440">
        <f t="shared" si="43"/>
        <v>0</v>
      </c>
      <c r="AE440">
        <f t="shared" si="48"/>
        <v>0.41017152064259044</v>
      </c>
      <c r="AF440" t="str">
        <f t="shared" si="44"/>
        <v>Critical</v>
      </c>
      <c r="AG440" t="str">
        <f t="shared" si="45"/>
        <v>CRITICAL ALERT</v>
      </c>
      <c r="AH440" t="str">
        <f t="shared" si="46"/>
        <v>USB anomaly</v>
      </c>
    </row>
    <row r="441" spans="1:34" x14ac:dyDescent="0.3">
      <c r="A441" t="s">
        <v>468</v>
      </c>
      <c r="B441">
        <v>0.24574669187145501</v>
      </c>
      <c r="C441">
        <v>0.61390847093227197</v>
      </c>
      <c r="D441">
        <v>0.44397031420410799</v>
      </c>
      <c r="E441">
        <v>0.13931362555215701</v>
      </c>
      <c r="F441">
        <v>2.29357798165137E-2</v>
      </c>
      <c r="G441">
        <v>0.45343252372684401</v>
      </c>
      <c r="H441">
        <v>0</v>
      </c>
      <c r="I441">
        <v>23</v>
      </c>
      <c r="J441">
        <v>0.108057821668813</v>
      </c>
      <c r="K441">
        <v>1.30505709624796E-2</v>
      </c>
      <c r="L441">
        <v>3.0781819392774499E-2</v>
      </c>
      <c r="M441">
        <v>2.3088023088023001E-3</v>
      </c>
      <c r="N441">
        <v>1.28835237205281E-2</v>
      </c>
      <c r="O441">
        <v>975</v>
      </c>
      <c r="P441">
        <v>8.6174242424242403E-2</v>
      </c>
      <c r="Q441">
        <v>8.6328412637189197E-2</v>
      </c>
      <c r="R441">
        <v>0</v>
      </c>
      <c r="S441">
        <v>0</v>
      </c>
      <c r="T441" t="s">
        <v>28</v>
      </c>
      <c r="U441">
        <v>3.0188679245282998E-2</v>
      </c>
      <c r="V441">
        <v>0</v>
      </c>
      <c r="W441">
        <v>0</v>
      </c>
      <c r="X441">
        <v>0.18415949385348501</v>
      </c>
      <c r="Y441">
        <v>4.0867531146308402E-2</v>
      </c>
      <c r="Z441">
        <v>5.6857954942756701E-2</v>
      </c>
      <c r="AA441">
        <v>0</v>
      </c>
      <c r="AB441">
        <f t="shared" si="42"/>
        <v>5.6828655121495833E-2</v>
      </c>
      <c r="AC441">
        <f t="shared" si="47"/>
        <v>0.25</v>
      </c>
      <c r="AD441">
        <f t="shared" si="43"/>
        <v>0</v>
      </c>
      <c r="AE441">
        <f t="shared" si="48"/>
        <v>7.1035818901869788E-2</v>
      </c>
      <c r="AF441" t="str">
        <f t="shared" si="44"/>
        <v>Very Low</v>
      </c>
      <c r="AG441" t="str">
        <f t="shared" si="45"/>
        <v>NO ACTION</v>
      </c>
      <c r="AH441" t="str">
        <f t="shared" si="46"/>
        <v/>
      </c>
    </row>
    <row r="442" spans="1:34" x14ac:dyDescent="0.3">
      <c r="A442" t="s">
        <v>469</v>
      </c>
      <c r="B442">
        <v>0.12892249527410199</v>
      </c>
      <c r="C442">
        <v>0.36953165208440503</v>
      </c>
      <c r="D442">
        <v>0</v>
      </c>
      <c r="E442">
        <v>0</v>
      </c>
      <c r="F442">
        <v>0</v>
      </c>
      <c r="G442">
        <v>0.99368943321741199</v>
      </c>
      <c r="H442">
        <v>8</v>
      </c>
      <c r="I442">
        <v>8</v>
      </c>
      <c r="J442">
        <v>0.10366871809551</v>
      </c>
      <c r="K442">
        <v>1.6313213703099499E-2</v>
      </c>
      <c r="L442">
        <v>4.01025769178135E-2</v>
      </c>
      <c r="M442">
        <v>1.1544011544011501E-3</v>
      </c>
      <c r="N442">
        <v>6.7138656670337098E-3</v>
      </c>
      <c r="O442">
        <v>1190</v>
      </c>
      <c r="P442">
        <v>8.3789281705948307E-2</v>
      </c>
      <c r="Q442">
        <v>8.3944037308461006E-2</v>
      </c>
      <c r="R442">
        <v>0</v>
      </c>
      <c r="S442">
        <v>0</v>
      </c>
      <c r="T442" t="s">
        <v>28</v>
      </c>
      <c r="U442">
        <v>6.7924528301886694E-2</v>
      </c>
      <c r="V442">
        <v>0</v>
      </c>
      <c r="W442">
        <v>0</v>
      </c>
      <c r="X442">
        <v>0</v>
      </c>
      <c r="Y442">
        <v>4.2799191778119E-2</v>
      </c>
      <c r="Z442">
        <v>5.2959115290382497E-2</v>
      </c>
      <c r="AA442">
        <v>0</v>
      </c>
      <c r="AB442">
        <f t="shared" si="42"/>
        <v>2.6812325979180422E-2</v>
      </c>
      <c r="AC442">
        <f t="shared" si="47"/>
        <v>0.25</v>
      </c>
      <c r="AD442">
        <f t="shared" si="43"/>
        <v>0</v>
      </c>
      <c r="AE442">
        <f t="shared" si="48"/>
        <v>3.3515407473975529E-2</v>
      </c>
      <c r="AF442" t="str">
        <f t="shared" si="44"/>
        <v>Very Low</v>
      </c>
      <c r="AG442" t="str">
        <f t="shared" si="45"/>
        <v>NO ACTION</v>
      </c>
      <c r="AH442" t="str">
        <f t="shared" si="46"/>
        <v/>
      </c>
    </row>
    <row r="443" spans="1:34" x14ac:dyDescent="0.3">
      <c r="A443" t="s">
        <v>470</v>
      </c>
      <c r="B443">
        <v>0.12892249527410199</v>
      </c>
      <c r="C443">
        <v>0.26938321883834099</v>
      </c>
      <c r="D443">
        <v>7.4866899962459793E-2</v>
      </c>
      <c r="E443">
        <v>0</v>
      </c>
      <c r="F443">
        <v>0</v>
      </c>
      <c r="G443">
        <v>0.99365030615172301</v>
      </c>
      <c r="H443">
        <v>7</v>
      </c>
      <c r="I443">
        <v>8</v>
      </c>
      <c r="J443">
        <v>9.4318019178474294E-2</v>
      </c>
      <c r="K443">
        <v>1.5497553017944501E-2</v>
      </c>
      <c r="L443">
        <v>4.1864905096189599E-2</v>
      </c>
      <c r="M443">
        <v>2.59740259740259E-3</v>
      </c>
      <c r="N443">
        <v>1.66000497988389E-2</v>
      </c>
      <c r="O443">
        <v>1068</v>
      </c>
      <c r="P443">
        <v>7.7265712682379306E-2</v>
      </c>
      <c r="Q443">
        <v>7.7422069497527904E-2</v>
      </c>
      <c r="R443">
        <v>0</v>
      </c>
      <c r="S443">
        <v>0</v>
      </c>
      <c r="T443" t="s">
        <v>53</v>
      </c>
      <c r="U443">
        <v>3.22641509433962E-2</v>
      </c>
      <c r="V443">
        <v>0</v>
      </c>
      <c r="W443">
        <v>0</v>
      </c>
      <c r="X443">
        <v>2.24600699887379E-2</v>
      </c>
      <c r="Y443">
        <v>4.4776071323441302E-2</v>
      </c>
      <c r="Z443">
        <v>5.2999447528963101E-2</v>
      </c>
      <c r="AA443">
        <v>0</v>
      </c>
      <c r="AB443">
        <f t="shared" si="42"/>
        <v>3.0970756476871295E-2</v>
      </c>
      <c r="AC443">
        <f t="shared" si="47"/>
        <v>0.1</v>
      </c>
      <c r="AD443">
        <f t="shared" si="43"/>
        <v>0</v>
      </c>
      <c r="AE443">
        <f t="shared" si="48"/>
        <v>3.4067832124558425E-2</v>
      </c>
      <c r="AF443" t="str">
        <f t="shared" si="44"/>
        <v>Very Low</v>
      </c>
      <c r="AG443" t="str">
        <f t="shared" si="45"/>
        <v>NO ACTION</v>
      </c>
      <c r="AH443" t="str">
        <f t="shared" si="46"/>
        <v/>
      </c>
    </row>
    <row r="444" spans="1:34" x14ac:dyDescent="0.3">
      <c r="A444" t="s">
        <v>471</v>
      </c>
      <c r="B444">
        <v>0.12892249527410199</v>
      </c>
      <c r="C444">
        <v>0.27634540938485902</v>
      </c>
      <c r="D444">
        <v>7.5129964412319103E-2</v>
      </c>
      <c r="E444">
        <v>0</v>
      </c>
      <c r="F444">
        <v>0</v>
      </c>
      <c r="G444">
        <v>0.99366614966943001</v>
      </c>
      <c r="H444">
        <v>7</v>
      </c>
      <c r="I444">
        <v>8</v>
      </c>
      <c r="J444">
        <v>0.113353370545298</v>
      </c>
      <c r="K444">
        <v>1.30505709624796E-2</v>
      </c>
      <c r="L444">
        <v>2.9346799673077802E-2</v>
      </c>
      <c r="M444">
        <v>4.0404040404040404E-3</v>
      </c>
      <c r="N444">
        <v>2.14950852498101E-2</v>
      </c>
      <c r="O444">
        <v>1265</v>
      </c>
      <c r="P444">
        <v>9.0909090909090898E-2</v>
      </c>
      <c r="Q444">
        <v>9.1062098951576104E-2</v>
      </c>
      <c r="R444">
        <v>0</v>
      </c>
      <c r="S444">
        <v>0</v>
      </c>
      <c r="T444" t="s">
        <v>28</v>
      </c>
      <c r="U444">
        <v>1.8113207547169798E-2</v>
      </c>
      <c r="V444">
        <v>0</v>
      </c>
      <c r="W444">
        <v>0</v>
      </c>
      <c r="X444">
        <v>2.2538989323695701E-2</v>
      </c>
      <c r="Y444">
        <v>4.3792599520541597E-2</v>
      </c>
      <c r="Z444">
        <v>6.3143488645378595E-2</v>
      </c>
      <c r="AA444">
        <v>0</v>
      </c>
      <c r="AB444">
        <f t="shared" si="42"/>
        <v>3.354834297824897E-2</v>
      </c>
      <c r="AC444">
        <f t="shared" si="47"/>
        <v>0.25</v>
      </c>
      <c r="AD444">
        <f t="shared" si="43"/>
        <v>0</v>
      </c>
      <c r="AE444">
        <f t="shared" si="48"/>
        <v>4.193542872281121E-2</v>
      </c>
      <c r="AF444" t="str">
        <f t="shared" si="44"/>
        <v>Very Low</v>
      </c>
      <c r="AG444" t="str">
        <f t="shared" si="45"/>
        <v>NO ACTION</v>
      </c>
      <c r="AH444" t="str">
        <f t="shared" si="46"/>
        <v/>
      </c>
    </row>
    <row r="445" spans="1:34" x14ac:dyDescent="0.3">
      <c r="A445" t="s">
        <v>472</v>
      </c>
      <c r="B445">
        <v>0.12892249527410199</v>
      </c>
      <c r="C445">
        <v>0.18476582604220201</v>
      </c>
      <c r="D445">
        <v>0</v>
      </c>
      <c r="E445">
        <v>0</v>
      </c>
      <c r="F445">
        <v>0</v>
      </c>
      <c r="G445">
        <v>0.99366202821381</v>
      </c>
      <c r="H445">
        <v>7</v>
      </c>
      <c r="I445">
        <v>7</v>
      </c>
      <c r="J445">
        <v>8.0864462573350504E-2</v>
      </c>
      <c r="K445">
        <v>9.7879282218597003E-3</v>
      </c>
      <c r="L445">
        <v>3.0827086774234499E-2</v>
      </c>
      <c r="M445">
        <v>1.44300144300144E-3</v>
      </c>
      <c r="N445">
        <v>1.0752058399117199E-2</v>
      </c>
      <c r="O445">
        <v>982</v>
      </c>
      <c r="P445">
        <v>6.4358866442199694E-2</v>
      </c>
      <c r="Q445">
        <v>6.4518391247939899E-2</v>
      </c>
      <c r="R445">
        <v>0</v>
      </c>
      <c r="S445">
        <v>0</v>
      </c>
      <c r="T445" t="s">
        <v>53</v>
      </c>
      <c r="U445">
        <v>3.3962264150943298E-2</v>
      </c>
      <c r="V445">
        <v>0</v>
      </c>
      <c r="W445">
        <v>0</v>
      </c>
      <c r="X445">
        <v>0</v>
      </c>
      <c r="Y445">
        <v>3.48120534215225E-2</v>
      </c>
      <c r="Z445">
        <v>4.2916143224966702E-2</v>
      </c>
      <c r="AA445">
        <v>0</v>
      </c>
      <c r="AB445">
        <f t="shared" si="42"/>
        <v>2.1763895061016978E-2</v>
      </c>
      <c r="AC445">
        <f t="shared" si="47"/>
        <v>0.1</v>
      </c>
      <c r="AD445">
        <f t="shared" si="43"/>
        <v>0</v>
      </c>
      <c r="AE445">
        <f t="shared" si="48"/>
        <v>2.3940284567118678E-2</v>
      </c>
      <c r="AF445" t="str">
        <f t="shared" si="44"/>
        <v>Very Low</v>
      </c>
      <c r="AG445" t="str">
        <f t="shared" si="45"/>
        <v>NO ACTION</v>
      </c>
      <c r="AH445" t="str">
        <f t="shared" si="46"/>
        <v/>
      </c>
    </row>
    <row r="446" spans="1:34" x14ac:dyDescent="0.3">
      <c r="A446" t="s">
        <v>473</v>
      </c>
      <c r="B446">
        <v>1</v>
      </c>
      <c r="C446">
        <v>0.91434322898725395</v>
      </c>
      <c r="D446">
        <v>0.93663457618202495</v>
      </c>
      <c r="E446">
        <v>0</v>
      </c>
      <c r="F446">
        <v>0.35032087580218901</v>
      </c>
      <c r="G446">
        <v>0</v>
      </c>
      <c r="H446">
        <v>0</v>
      </c>
      <c r="I446">
        <v>23</v>
      </c>
      <c r="J446">
        <v>7.8765326081770906E-2</v>
      </c>
      <c r="K446">
        <v>1.2234910277324601E-2</v>
      </c>
      <c r="L446">
        <v>3.9557704948821402E-2</v>
      </c>
      <c r="M446">
        <v>2.3088023088023001E-3</v>
      </c>
      <c r="N446">
        <v>1.7660385776327801E-2</v>
      </c>
      <c r="O446">
        <v>931</v>
      </c>
      <c r="P446">
        <v>6.4288720538720506E-2</v>
      </c>
      <c r="Q446">
        <v>6.4448262561800904E-2</v>
      </c>
      <c r="R446">
        <v>0.474926253687315</v>
      </c>
      <c r="S446">
        <v>1</v>
      </c>
      <c r="T446" t="s">
        <v>53</v>
      </c>
      <c r="U446">
        <v>2.83018867924528E-2</v>
      </c>
      <c r="V446">
        <v>0</v>
      </c>
      <c r="W446">
        <v>0.45223214754418001</v>
      </c>
      <c r="X446">
        <v>0.42111872317548299</v>
      </c>
      <c r="Y446">
        <v>4.0830033423663203E-2</v>
      </c>
      <c r="Z446">
        <v>4.5637386633763398E-2</v>
      </c>
      <c r="AA446">
        <v>0.474926253687315</v>
      </c>
      <c r="AB446">
        <f t="shared" si="42"/>
        <v>0.22456922435660492</v>
      </c>
      <c r="AC446">
        <f t="shared" si="47"/>
        <v>0.1</v>
      </c>
      <c r="AD446">
        <f t="shared" si="43"/>
        <v>0</v>
      </c>
      <c r="AE446">
        <f t="shared" si="48"/>
        <v>0.24702614679226545</v>
      </c>
      <c r="AF446" t="str">
        <f t="shared" si="44"/>
        <v>Low</v>
      </c>
      <c r="AG446" t="str">
        <f t="shared" si="45"/>
        <v>NO ACTION</v>
      </c>
      <c r="AH446" t="str">
        <f t="shared" si="46"/>
        <v/>
      </c>
    </row>
    <row r="447" spans="1:34" x14ac:dyDescent="0.3">
      <c r="A447" t="s">
        <v>474</v>
      </c>
      <c r="B447">
        <v>3.1758034026465001E-2</v>
      </c>
      <c r="C447">
        <v>0.84404388714733503</v>
      </c>
      <c r="D447">
        <v>0.42366378551496497</v>
      </c>
      <c r="E447">
        <v>0</v>
      </c>
      <c r="F447">
        <v>0</v>
      </c>
      <c r="G447">
        <v>0.39261567040619</v>
      </c>
      <c r="H447">
        <v>8</v>
      </c>
      <c r="I447">
        <v>18</v>
      </c>
      <c r="J447">
        <v>2.7670435570822001E-3</v>
      </c>
      <c r="K447">
        <v>8.1566068515497503E-4</v>
      </c>
      <c r="L447">
        <v>6.9320168672220503E-2</v>
      </c>
      <c r="M447">
        <v>8.6580086580086504E-4</v>
      </c>
      <c r="N447">
        <v>0.174080945509516</v>
      </c>
      <c r="O447">
        <v>55</v>
      </c>
      <c r="P447">
        <v>2.8058361391694701E-3</v>
      </c>
      <c r="Q447">
        <v>2.9804691609102698E-3</v>
      </c>
      <c r="R447">
        <v>0</v>
      </c>
      <c r="S447">
        <v>0</v>
      </c>
      <c r="T447" t="s">
        <v>53</v>
      </c>
      <c r="U447">
        <v>4.2452830188679201E-3</v>
      </c>
      <c r="V447">
        <v>0</v>
      </c>
      <c r="W447">
        <v>0</v>
      </c>
      <c r="X447">
        <v>0.12709913565448899</v>
      </c>
      <c r="Y447">
        <v>8.7437776700381706E-2</v>
      </c>
      <c r="Z447">
        <v>7.1315879887308406E-2</v>
      </c>
      <c r="AA447">
        <v>0</v>
      </c>
      <c r="AB447">
        <f t="shared" si="42"/>
        <v>6.4786885549271478E-2</v>
      </c>
      <c r="AC447">
        <f t="shared" si="47"/>
        <v>0.1</v>
      </c>
      <c r="AD447">
        <f t="shared" si="43"/>
        <v>0</v>
      </c>
      <c r="AE447">
        <f t="shared" si="48"/>
        <v>7.1265574104198634E-2</v>
      </c>
      <c r="AF447" t="str">
        <f t="shared" si="44"/>
        <v>Very Low</v>
      </c>
      <c r="AG447" t="str">
        <f t="shared" si="45"/>
        <v>NO ACTION</v>
      </c>
      <c r="AH447" t="str">
        <f t="shared" si="46"/>
        <v/>
      </c>
    </row>
    <row r="448" spans="1:34" x14ac:dyDescent="0.3">
      <c r="A448" t="s">
        <v>475</v>
      </c>
      <c r="B448">
        <v>0.12892249527410199</v>
      </c>
      <c r="C448">
        <v>0.55429747812660801</v>
      </c>
      <c r="D448">
        <v>0</v>
      </c>
      <c r="E448">
        <v>0</v>
      </c>
      <c r="F448">
        <v>0</v>
      </c>
      <c r="G448">
        <v>0.99367730971484203</v>
      </c>
      <c r="H448">
        <v>9</v>
      </c>
      <c r="I448">
        <v>9</v>
      </c>
      <c r="J448">
        <v>8.2534230237107001E-2</v>
      </c>
      <c r="K448">
        <v>8.9722675367047301E-3</v>
      </c>
      <c r="L448">
        <v>2.76881134811808E-2</v>
      </c>
      <c r="M448">
        <v>1.44300144300144E-3</v>
      </c>
      <c r="N448">
        <v>1.05351580855903E-2</v>
      </c>
      <c r="O448">
        <v>944</v>
      </c>
      <c r="P448">
        <v>6.5235690235690202E-2</v>
      </c>
      <c r="Q448">
        <v>6.5394999824678196E-2</v>
      </c>
      <c r="R448">
        <v>0</v>
      </c>
      <c r="S448">
        <v>0</v>
      </c>
      <c r="T448" t="s">
        <v>53</v>
      </c>
      <c r="U448">
        <v>3.1132075471698099E-2</v>
      </c>
      <c r="V448">
        <v>0</v>
      </c>
      <c r="W448">
        <v>0</v>
      </c>
      <c r="X448">
        <v>0</v>
      </c>
      <c r="Y448">
        <v>3.3511450213688898E-2</v>
      </c>
      <c r="Z448">
        <v>4.3355477375650202E-2</v>
      </c>
      <c r="AA448">
        <v>0</v>
      </c>
      <c r="AB448">
        <f t="shared" si="42"/>
        <v>2.152273972501495E-2</v>
      </c>
      <c r="AC448">
        <f t="shared" si="47"/>
        <v>0.1</v>
      </c>
      <c r="AD448">
        <f t="shared" si="43"/>
        <v>0</v>
      </c>
      <c r="AE448">
        <f t="shared" si="48"/>
        <v>2.3675013697516446E-2</v>
      </c>
      <c r="AF448" t="str">
        <f t="shared" si="44"/>
        <v>Very Low</v>
      </c>
      <c r="AG448" t="str">
        <f t="shared" si="45"/>
        <v>NO ACTION</v>
      </c>
      <c r="AH448" t="str">
        <f t="shared" si="46"/>
        <v/>
      </c>
    </row>
    <row r="449" spans="1:34" x14ac:dyDescent="0.3">
      <c r="A449" t="s">
        <v>476</v>
      </c>
      <c r="B449">
        <v>0.12892249527410199</v>
      </c>
      <c r="C449">
        <v>0.27206098443315602</v>
      </c>
      <c r="D449">
        <v>7.5018780494472401E-2</v>
      </c>
      <c r="E449">
        <v>0</v>
      </c>
      <c r="F449">
        <v>0</v>
      </c>
      <c r="G449">
        <v>0.99365688977563504</v>
      </c>
      <c r="H449">
        <v>7</v>
      </c>
      <c r="I449">
        <v>8</v>
      </c>
      <c r="J449">
        <v>8.6827918515337998E-2</v>
      </c>
      <c r="K449">
        <v>1.4681892332789499E-2</v>
      </c>
      <c r="L449">
        <v>4.30734637119441E-2</v>
      </c>
      <c r="M449">
        <v>2.3088023088023001E-3</v>
      </c>
      <c r="N449">
        <v>1.6024985668821198E-2</v>
      </c>
      <c r="O449">
        <v>1006</v>
      </c>
      <c r="P449">
        <v>7.1268237934904596E-2</v>
      </c>
      <c r="Q449">
        <v>7.1426066832637802E-2</v>
      </c>
      <c r="R449">
        <v>0</v>
      </c>
      <c r="S449">
        <v>0</v>
      </c>
      <c r="T449" t="s">
        <v>53</v>
      </c>
      <c r="U449">
        <v>3.3962264150943298E-2</v>
      </c>
      <c r="V449">
        <v>0</v>
      </c>
      <c r="W449">
        <v>0</v>
      </c>
      <c r="X449">
        <v>2.25056341483417E-2</v>
      </c>
      <c r="Y449">
        <v>4.3709811259686003E-2</v>
      </c>
      <c r="Z449">
        <v>4.9170937028471202E-2</v>
      </c>
      <c r="AA449">
        <v>0</v>
      </c>
      <c r="AB449">
        <f t="shared" si="42"/>
        <v>2.9607510984418689E-2</v>
      </c>
      <c r="AC449">
        <f t="shared" si="47"/>
        <v>0.1</v>
      </c>
      <c r="AD449">
        <f t="shared" si="43"/>
        <v>0</v>
      </c>
      <c r="AE449">
        <f t="shared" si="48"/>
        <v>3.2568262082860559E-2</v>
      </c>
      <c r="AF449" t="str">
        <f t="shared" si="44"/>
        <v>Very Low</v>
      </c>
      <c r="AG449" t="str">
        <f t="shared" si="45"/>
        <v>NO ACTION</v>
      </c>
      <c r="AH449" t="str">
        <f t="shared" si="46"/>
        <v/>
      </c>
    </row>
    <row r="450" spans="1:34" x14ac:dyDescent="0.3">
      <c r="A450" t="s">
        <v>477</v>
      </c>
      <c r="B450">
        <v>0.12892249527410199</v>
      </c>
      <c r="C450">
        <v>0.36953165208440503</v>
      </c>
      <c r="D450">
        <v>0</v>
      </c>
      <c r="E450">
        <v>0</v>
      </c>
      <c r="F450">
        <v>0</v>
      </c>
      <c r="G450">
        <v>0.99365814762247995</v>
      </c>
      <c r="H450">
        <v>8</v>
      </c>
      <c r="I450">
        <v>8</v>
      </c>
      <c r="J450">
        <v>8.0101140212776104E-2</v>
      </c>
      <c r="K450">
        <v>1.0603588907014599E-2</v>
      </c>
      <c r="L450">
        <v>3.3713312436192702E-2</v>
      </c>
      <c r="M450">
        <v>1.1544011544011501E-3</v>
      </c>
      <c r="N450">
        <v>8.6833725788595106E-3</v>
      </c>
      <c r="O450">
        <v>909</v>
      </c>
      <c r="P450">
        <v>6.4008136924803602E-2</v>
      </c>
      <c r="Q450">
        <v>6.4167747817244603E-2</v>
      </c>
      <c r="R450">
        <v>0</v>
      </c>
      <c r="S450">
        <v>0</v>
      </c>
      <c r="T450" t="s">
        <v>53</v>
      </c>
      <c r="U450">
        <v>4.4150943396226397E-2</v>
      </c>
      <c r="V450">
        <v>0</v>
      </c>
      <c r="W450">
        <v>0</v>
      </c>
      <c r="X450">
        <v>0</v>
      </c>
      <c r="Y450">
        <v>3.5481896034309401E-2</v>
      </c>
      <c r="Z450">
        <v>4.1878231186425897E-2</v>
      </c>
      <c r="AA450">
        <v>0</v>
      </c>
      <c r="AB450">
        <f t="shared" si="42"/>
        <v>2.1660835621805888E-2</v>
      </c>
      <c r="AC450">
        <f t="shared" si="47"/>
        <v>0.1</v>
      </c>
      <c r="AD450">
        <f t="shared" si="43"/>
        <v>0</v>
      </c>
      <c r="AE450">
        <f t="shared" si="48"/>
        <v>2.3826919183986477E-2</v>
      </c>
      <c r="AF450" t="str">
        <f t="shared" si="44"/>
        <v>Very Low</v>
      </c>
      <c r="AG450" t="str">
        <f t="shared" si="45"/>
        <v>NO ACTION</v>
      </c>
      <c r="AH450" t="str">
        <f t="shared" si="46"/>
        <v/>
      </c>
    </row>
    <row r="451" spans="1:34" x14ac:dyDescent="0.3">
      <c r="A451" t="s">
        <v>478</v>
      </c>
      <c r="B451">
        <v>0.12892249527410199</v>
      </c>
      <c r="C451">
        <v>0.36953165208440503</v>
      </c>
      <c r="D451">
        <v>0</v>
      </c>
      <c r="E451">
        <v>0</v>
      </c>
      <c r="F451">
        <v>0</v>
      </c>
      <c r="G451">
        <v>0.993667916007553</v>
      </c>
      <c r="H451">
        <v>8</v>
      </c>
      <c r="I451">
        <v>8</v>
      </c>
      <c r="J451">
        <v>7.9958017270168394E-2</v>
      </c>
      <c r="K451">
        <v>1.6313213703099499E-2</v>
      </c>
      <c r="L451">
        <v>5.1959198409873703E-2</v>
      </c>
      <c r="M451">
        <v>3.1746031746031698E-3</v>
      </c>
      <c r="N451">
        <v>2.3921890786852099E-2</v>
      </c>
      <c r="O451">
        <v>989</v>
      </c>
      <c r="P451">
        <v>6.7340067340067297E-2</v>
      </c>
      <c r="Q451">
        <v>6.7498860408850198E-2</v>
      </c>
      <c r="R451">
        <v>9.8820058997050098E-2</v>
      </c>
      <c r="S451">
        <v>1</v>
      </c>
      <c r="T451" t="s">
        <v>53</v>
      </c>
      <c r="U451">
        <v>2.83018867924528E-2</v>
      </c>
      <c r="V451">
        <v>0</v>
      </c>
      <c r="W451">
        <v>0</v>
      </c>
      <c r="X451">
        <v>0</v>
      </c>
      <c r="Y451">
        <v>4.91477698950262E-2</v>
      </c>
      <c r="Z451">
        <v>4.9972796718781201E-2</v>
      </c>
      <c r="AA451">
        <v>9.8820058997050098E-2</v>
      </c>
      <c r="AB451">
        <f t="shared" ref="AB451:AB514" si="49">0.16*X451 + 0.28*Y451 + 0.28*Z451 + 0.28*AA451</f>
        <v>5.542337517104011E-2</v>
      </c>
      <c r="AC451">
        <f t="shared" si="47"/>
        <v>0.1</v>
      </c>
      <c r="AD451">
        <f t="shared" ref="AD451:AD514" si="50">IF(V451&gt;0.7, 0.1,
 IF(F451&gt;0.5, 0.08,
 IF(E451&gt;0.5, 0.05,
 0)))</f>
        <v>0</v>
      </c>
      <c r="AE451">
        <f t="shared" si="48"/>
        <v>6.0965712688144123E-2</v>
      </c>
      <c r="AF451" t="str">
        <f t="shared" ref="AF451:AF514" si="51">IF(MAX(X451, Y451, Z451, AA451)&gt;0.9,
 "Critical",
 IF(AE451&lt;=0.2,"Very Low",
 IF(AE451&lt;=0.4,"Low",
 IF(AE451&lt;=0.6,"Medium",
 IF(AE451&lt;=0.8,"High","Critical")))))</f>
        <v>Very Low</v>
      </c>
      <c r="AG451" t="str">
        <f t="shared" ref="AG451:AG514" si="52">IF(MAX(X451:AA451)&gt;0.9,"CRITICAL ALERT",
 IF(AE451&gt;0.8,"CRITICAL ALERT",
 IF(AE451&gt;0.6,"ALERT",
 IF(AE451&gt;=0.4,"REVIEW","NO ACTION"))))</f>
        <v>NO ACTION</v>
      </c>
      <c r="AH451" t="str">
        <f t="shared" ref="AH451:AH514" si="53">IF(AG451="NO ACTION","",
 IF(_xlfn.TEXTJOIN(", ", TRUE,
  IF(X451&gt;0.7,"Login anomaly",""),
  IF(Y451&gt;0.7,"File anomaly",""),
  IF(Z451&gt;0.7,"Network anomaly",""),
  IF(AA451&gt;0.7,"USB anomaly","")
 )="",
 "General anomaly detected",
 _xlfn.TEXTJOIN(", ", TRUE,
  IF(X451&gt;0.7,"Login anomaly",""),
  IF(Y451&gt;0.7,"File anomaly",""),
  IF(Z451&gt;0.7,"Network anomaly",""),
  IF(AA451&gt;0.7,"USB anomaly","")
 )))</f>
        <v/>
      </c>
    </row>
    <row r="452" spans="1:34" x14ac:dyDescent="0.3">
      <c r="A452" t="s">
        <v>479</v>
      </c>
      <c r="B452">
        <v>0.12892249527410199</v>
      </c>
      <c r="C452">
        <v>0.36953165208440503</v>
      </c>
      <c r="D452">
        <v>0</v>
      </c>
      <c r="E452">
        <v>0</v>
      </c>
      <c r="F452">
        <v>0</v>
      </c>
      <c r="G452">
        <v>0.99369178833490901</v>
      </c>
      <c r="H452">
        <v>8</v>
      </c>
      <c r="I452">
        <v>8</v>
      </c>
      <c r="J452">
        <v>9.0405992080530503E-2</v>
      </c>
      <c r="K452">
        <v>1.38662316476345E-2</v>
      </c>
      <c r="L452">
        <v>3.9074684551551601E-2</v>
      </c>
      <c r="M452">
        <v>4.0404040404040404E-3</v>
      </c>
      <c r="N452">
        <v>2.6936735778840998E-2</v>
      </c>
      <c r="O452">
        <v>1026</v>
      </c>
      <c r="P452">
        <v>7.4389730639730603E-2</v>
      </c>
      <c r="Q452">
        <v>7.4546793365826203E-2</v>
      </c>
      <c r="R452">
        <v>0</v>
      </c>
      <c r="S452">
        <v>0</v>
      </c>
      <c r="T452" t="s">
        <v>53</v>
      </c>
      <c r="U452">
        <v>1.9245283018867899E-2</v>
      </c>
      <c r="V452">
        <v>0</v>
      </c>
      <c r="W452">
        <v>0</v>
      </c>
      <c r="X452">
        <v>0</v>
      </c>
      <c r="Y452">
        <v>4.5699561425534198E-2</v>
      </c>
      <c r="Z452">
        <v>5.5408532695374803E-2</v>
      </c>
      <c r="AA452">
        <v>0</v>
      </c>
      <c r="AB452">
        <f t="shared" si="49"/>
        <v>2.8310266353854523E-2</v>
      </c>
      <c r="AC452">
        <f t="shared" ref="AC452:AC515" si="54">IF(T452="IT_Admin", 0.25, IF(AND(T452="HR", AA452&gt;0.6), 0.25, IF(AND(T452="General", Z452&gt;0.7), 0.2, 0.1)))</f>
        <v>0.1</v>
      </c>
      <c r="AD452">
        <f t="shared" si="50"/>
        <v>0</v>
      </c>
      <c r="AE452">
        <f t="shared" ref="AE452:AE515" si="55">MIN(1,AB452*(1+AC452+AD452))</f>
        <v>3.1141292989239979E-2</v>
      </c>
      <c r="AF452" t="str">
        <f t="shared" si="51"/>
        <v>Very Low</v>
      </c>
      <c r="AG452" t="str">
        <f t="shared" si="52"/>
        <v>NO ACTION</v>
      </c>
      <c r="AH452" t="str">
        <f t="shared" si="53"/>
        <v/>
      </c>
    </row>
    <row r="453" spans="1:34" x14ac:dyDescent="0.3">
      <c r="A453" t="s">
        <v>480</v>
      </c>
      <c r="B453">
        <v>0.14215500945179499</v>
      </c>
      <c r="C453">
        <v>0.34376168161009801</v>
      </c>
      <c r="D453">
        <v>0.216852646156381</v>
      </c>
      <c r="E453">
        <v>0</v>
      </c>
      <c r="F453">
        <v>0</v>
      </c>
      <c r="G453">
        <v>0.88818989550848404</v>
      </c>
      <c r="H453">
        <v>7</v>
      </c>
      <c r="I453">
        <v>17</v>
      </c>
      <c r="J453">
        <v>0.10247602690711299</v>
      </c>
      <c r="K453">
        <v>1.5497553017944501E-2</v>
      </c>
      <c r="L453">
        <v>3.85398243848806E-2</v>
      </c>
      <c r="M453">
        <v>6.9264069264069203E-3</v>
      </c>
      <c r="N453">
        <v>4.0750950551229202E-2</v>
      </c>
      <c r="O453">
        <v>1143</v>
      </c>
      <c r="P453">
        <v>8.5367564534231194E-2</v>
      </c>
      <c r="Q453">
        <v>8.5521932746589993E-2</v>
      </c>
      <c r="R453">
        <v>0.104719764011799</v>
      </c>
      <c r="S453">
        <v>1</v>
      </c>
      <c r="T453" t="s">
        <v>28</v>
      </c>
      <c r="U453">
        <v>1.2905660377358401E-2</v>
      </c>
      <c r="V453">
        <v>0</v>
      </c>
      <c r="W453">
        <v>0</v>
      </c>
      <c r="X453">
        <v>6.50557938469144E-2</v>
      </c>
      <c r="Y453">
        <v>5.1990402739231702E-2</v>
      </c>
      <c r="Z453">
        <v>6.7520918941030406E-2</v>
      </c>
      <c r="AA453">
        <v>0.104719764011799</v>
      </c>
      <c r="AB453">
        <f t="shared" si="49"/>
        <v>7.3193631009283416E-2</v>
      </c>
      <c r="AC453">
        <f t="shared" si="54"/>
        <v>0.25</v>
      </c>
      <c r="AD453">
        <f t="shared" si="50"/>
        <v>0</v>
      </c>
      <c r="AE453">
        <f t="shared" si="55"/>
        <v>9.1492038761604277E-2</v>
      </c>
      <c r="AF453" t="str">
        <f t="shared" si="51"/>
        <v>Very Low</v>
      </c>
      <c r="AG453" t="str">
        <f t="shared" si="52"/>
        <v>NO ACTION</v>
      </c>
      <c r="AH453" t="str">
        <f t="shared" si="53"/>
        <v/>
      </c>
    </row>
    <row r="454" spans="1:34" x14ac:dyDescent="0.3">
      <c r="A454" t="s">
        <v>481</v>
      </c>
      <c r="B454">
        <v>0.28015122873345899</v>
      </c>
      <c r="C454">
        <v>0.74526349967358196</v>
      </c>
      <c r="D454">
        <v>0.52787276862629295</v>
      </c>
      <c r="E454">
        <v>0.122296793437733</v>
      </c>
      <c r="F454">
        <v>5.6375838926174399E-2</v>
      </c>
      <c r="G454">
        <v>0.37979847821620599</v>
      </c>
      <c r="H454">
        <v>0</v>
      </c>
      <c r="I454">
        <v>23</v>
      </c>
      <c r="J454">
        <v>9.7085062735556504E-2</v>
      </c>
      <c r="K454">
        <v>1.5497553017944501E-2</v>
      </c>
      <c r="L454">
        <v>4.0674628382670497E-2</v>
      </c>
      <c r="M454">
        <v>2.3088023088023001E-3</v>
      </c>
      <c r="N454">
        <v>1.4336077865489599E-2</v>
      </c>
      <c r="O454">
        <v>1078</v>
      </c>
      <c r="P454">
        <v>7.9159652076318698E-2</v>
      </c>
      <c r="Q454">
        <v>7.9315544023282697E-2</v>
      </c>
      <c r="R454">
        <v>0.10914454277286099</v>
      </c>
      <c r="S454">
        <v>1</v>
      </c>
      <c r="T454" t="s">
        <v>28</v>
      </c>
      <c r="U454">
        <v>3.5849056603773501E-2</v>
      </c>
      <c r="V454">
        <v>0</v>
      </c>
      <c r="W454">
        <v>7.4830894763714004E-2</v>
      </c>
      <c r="X454">
        <v>0.21760120418967699</v>
      </c>
      <c r="Y454">
        <v>4.4055150098093403E-2</v>
      </c>
      <c r="Z454">
        <v>5.3230222391987103E-2</v>
      </c>
      <c r="AA454">
        <v>0.10914454277286099</v>
      </c>
      <c r="AB454">
        <f t="shared" si="49"/>
        <v>9.2616568943971952E-2</v>
      </c>
      <c r="AC454">
        <f t="shared" si="54"/>
        <v>0.25</v>
      </c>
      <c r="AD454">
        <f t="shared" si="50"/>
        <v>0</v>
      </c>
      <c r="AE454">
        <f t="shared" si="55"/>
        <v>0.11577071117996494</v>
      </c>
      <c r="AF454" t="str">
        <f t="shared" si="51"/>
        <v>Very Low</v>
      </c>
      <c r="AG454" t="str">
        <f t="shared" si="52"/>
        <v>NO ACTION</v>
      </c>
      <c r="AH454" t="str">
        <f t="shared" si="53"/>
        <v/>
      </c>
    </row>
    <row r="455" spans="1:34" x14ac:dyDescent="0.3">
      <c r="A455" t="s">
        <v>482</v>
      </c>
      <c r="B455">
        <v>0.240075614366729</v>
      </c>
      <c r="C455">
        <v>0.59044102782187402</v>
      </c>
      <c r="D455">
        <v>0.36890818294874</v>
      </c>
      <c r="E455">
        <v>0</v>
      </c>
      <c r="F455">
        <v>0</v>
      </c>
      <c r="G455">
        <v>0.467524489375929</v>
      </c>
      <c r="H455">
        <v>7</v>
      </c>
      <c r="I455">
        <v>13</v>
      </c>
      <c r="J455">
        <v>7.5139544869042493E-2</v>
      </c>
      <c r="K455">
        <v>8.9722675367047301E-3</v>
      </c>
      <c r="L455">
        <v>3.0404352461929601E-2</v>
      </c>
      <c r="M455">
        <v>2.8860028860028799E-3</v>
      </c>
      <c r="N455">
        <v>2.3137340858859799E-2</v>
      </c>
      <c r="O455">
        <v>933</v>
      </c>
      <c r="P455">
        <v>6.0500841750841701E-2</v>
      </c>
      <c r="Q455">
        <v>6.0661313510291297E-2</v>
      </c>
      <c r="R455">
        <v>0.77728613569321503</v>
      </c>
      <c r="S455">
        <v>1</v>
      </c>
      <c r="T455" t="s">
        <v>53</v>
      </c>
      <c r="U455">
        <v>1.6981132075471601E-2</v>
      </c>
      <c r="V455">
        <v>0</v>
      </c>
      <c r="W455">
        <v>0</v>
      </c>
      <c r="X455">
        <v>0.110672454884622</v>
      </c>
      <c r="Y455">
        <v>3.7171287462431202E-2</v>
      </c>
      <c r="Z455">
        <v>4.55554413940489E-2</v>
      </c>
      <c r="AA455">
        <v>0.77728613569321503</v>
      </c>
      <c r="AB455">
        <f t="shared" si="49"/>
        <v>0.25851119485545421</v>
      </c>
      <c r="AC455">
        <f t="shared" si="54"/>
        <v>0.1</v>
      </c>
      <c r="AD455">
        <f t="shared" si="50"/>
        <v>0</v>
      </c>
      <c r="AE455">
        <f t="shared" si="55"/>
        <v>0.28436231434099968</v>
      </c>
      <c r="AF455" t="str">
        <f t="shared" si="51"/>
        <v>Low</v>
      </c>
      <c r="AG455" t="str">
        <f t="shared" si="52"/>
        <v>NO ACTION</v>
      </c>
      <c r="AH455" t="str">
        <f t="shared" si="53"/>
        <v/>
      </c>
    </row>
    <row r="456" spans="1:34" x14ac:dyDescent="0.3">
      <c r="A456" t="s">
        <v>483</v>
      </c>
      <c r="B456">
        <v>0.24423440453686199</v>
      </c>
      <c r="C456">
        <v>0.42155033849321</v>
      </c>
      <c r="D456">
        <v>0.38241098708891602</v>
      </c>
      <c r="E456">
        <v>0</v>
      </c>
      <c r="F456">
        <v>0.53538461538461501</v>
      </c>
      <c r="G456">
        <v>0.45711705774643402</v>
      </c>
      <c r="H456">
        <v>6</v>
      </c>
      <c r="I456">
        <v>15</v>
      </c>
      <c r="J456">
        <v>0.10781928343113401</v>
      </c>
      <c r="K456">
        <v>5.7096247960848204E-3</v>
      </c>
      <c r="L456">
        <v>1.34967745626707E-2</v>
      </c>
      <c r="M456">
        <v>0</v>
      </c>
      <c r="N456">
        <v>0</v>
      </c>
      <c r="O456">
        <v>417</v>
      </c>
      <c r="P456">
        <v>8.1719977553310896E-2</v>
      </c>
      <c r="Q456">
        <v>8.1875241067358606E-2</v>
      </c>
      <c r="R456">
        <v>0</v>
      </c>
      <c r="S456">
        <v>0</v>
      </c>
      <c r="T456" t="s">
        <v>28</v>
      </c>
      <c r="U456">
        <v>0.118867924528301</v>
      </c>
      <c r="V456">
        <v>0</v>
      </c>
      <c r="W456">
        <v>0</v>
      </c>
      <c r="X456">
        <v>0.32887714228052001</v>
      </c>
      <c r="Y456">
        <v>2.8312243967562101E-2</v>
      </c>
      <c r="Z456">
        <v>4.9031986531986503E-2</v>
      </c>
      <c r="AA456">
        <v>0</v>
      </c>
      <c r="AB456">
        <f t="shared" si="49"/>
        <v>7.4276727304756818E-2</v>
      </c>
      <c r="AC456">
        <f t="shared" si="54"/>
        <v>0.25</v>
      </c>
      <c r="AD456">
        <f t="shared" si="50"/>
        <v>0.08</v>
      </c>
      <c r="AE456">
        <f t="shared" si="55"/>
        <v>9.8788047315326574E-2</v>
      </c>
      <c r="AF456" t="str">
        <f t="shared" si="51"/>
        <v>Very Low</v>
      </c>
      <c r="AG456" t="str">
        <f t="shared" si="52"/>
        <v>NO ACTION</v>
      </c>
      <c r="AH456" t="str">
        <f t="shared" si="53"/>
        <v/>
      </c>
    </row>
    <row r="457" spans="1:34" x14ac:dyDescent="0.3">
      <c r="A457" t="s">
        <v>484</v>
      </c>
      <c r="B457">
        <v>0.14102079395084999</v>
      </c>
      <c r="C457">
        <v>0.45578837723938598</v>
      </c>
      <c r="D457">
        <v>0.40666262286051302</v>
      </c>
      <c r="E457">
        <v>0.48334806955496601</v>
      </c>
      <c r="F457">
        <v>8.4880636604774504E-2</v>
      </c>
      <c r="G457">
        <v>0.89644371520038602</v>
      </c>
      <c r="H457">
        <v>0</v>
      </c>
      <c r="I457">
        <v>23</v>
      </c>
      <c r="J457">
        <v>0.108296359906493</v>
      </c>
      <c r="K457">
        <v>2.0391517128874301E-2</v>
      </c>
      <c r="L457">
        <v>4.79908860038449E-2</v>
      </c>
      <c r="M457">
        <v>1.7316017316017301E-3</v>
      </c>
      <c r="N457">
        <v>9.6414062128347792E-3</v>
      </c>
      <c r="O457">
        <v>1242</v>
      </c>
      <c r="P457">
        <v>8.9225589225589194E-2</v>
      </c>
      <c r="Q457">
        <v>8.9379010484238505E-2</v>
      </c>
      <c r="R457">
        <v>9.1445427728613499E-2</v>
      </c>
      <c r="S457">
        <v>1</v>
      </c>
      <c r="T457" t="s">
        <v>28</v>
      </c>
      <c r="U457">
        <v>6.0646900269541698E-2</v>
      </c>
      <c r="V457">
        <v>0</v>
      </c>
      <c r="W457">
        <v>0.13293266846761501</v>
      </c>
      <c r="X457">
        <v>0.30095546236655302</v>
      </c>
      <c r="Y457">
        <v>4.8547136847071501E-2</v>
      </c>
      <c r="Z457">
        <v>5.7391916020487398E-2</v>
      </c>
      <c r="AA457">
        <v>9.1445427728613499E-2</v>
      </c>
      <c r="AB457">
        <f t="shared" si="49"/>
        <v>0.10342052854557675</v>
      </c>
      <c r="AC457">
        <f t="shared" si="54"/>
        <v>0.25</v>
      </c>
      <c r="AD457">
        <f t="shared" si="50"/>
        <v>0</v>
      </c>
      <c r="AE457">
        <f t="shared" si="55"/>
        <v>0.12927566068197094</v>
      </c>
      <c r="AF457" t="str">
        <f t="shared" si="51"/>
        <v>Very Low</v>
      </c>
      <c r="AG457" t="str">
        <f t="shared" si="52"/>
        <v>NO ACTION</v>
      </c>
      <c r="AH457" t="str">
        <f t="shared" si="53"/>
        <v/>
      </c>
    </row>
    <row r="458" spans="1:34" x14ac:dyDescent="0.3">
      <c r="A458" t="s">
        <v>485</v>
      </c>
      <c r="B458">
        <v>0.23591682419659701</v>
      </c>
      <c r="C458">
        <v>0.66992322595238096</v>
      </c>
      <c r="D458">
        <v>0.36237787158502199</v>
      </c>
      <c r="E458">
        <v>0</v>
      </c>
      <c r="F458">
        <v>0</v>
      </c>
      <c r="G458">
        <v>0.47839017087005098</v>
      </c>
      <c r="H458">
        <v>7</v>
      </c>
      <c r="I458">
        <v>14</v>
      </c>
      <c r="J458">
        <v>9.1407852678784401E-2</v>
      </c>
      <c r="K458">
        <v>1.9575856443719401E-2</v>
      </c>
      <c r="L458">
        <v>5.4561215529618602E-2</v>
      </c>
      <c r="M458">
        <v>2.8860028860028799E-3</v>
      </c>
      <c r="N458">
        <v>1.9030191856844601E-2</v>
      </c>
      <c r="O458">
        <v>978</v>
      </c>
      <c r="P458">
        <v>7.7020202020202003E-2</v>
      </c>
      <c r="Q458">
        <v>7.7176619096041205E-2</v>
      </c>
      <c r="R458">
        <v>0.29793510324483702</v>
      </c>
      <c r="S458">
        <v>1</v>
      </c>
      <c r="T458" t="s">
        <v>53</v>
      </c>
      <c r="U458">
        <v>3.7049742710120001E-2</v>
      </c>
      <c r="V458">
        <v>0</v>
      </c>
      <c r="W458">
        <v>0</v>
      </c>
      <c r="X458">
        <v>0.108713361475506</v>
      </c>
      <c r="Y458">
        <v>5.1271235857619599E-2</v>
      </c>
      <c r="Z458">
        <v>5.3824197954859002E-2</v>
      </c>
      <c r="AA458">
        <v>0.29793510324483702</v>
      </c>
      <c r="AB458">
        <f t="shared" si="49"/>
        <v>0.13024268821212934</v>
      </c>
      <c r="AC458">
        <f t="shared" si="54"/>
        <v>0.1</v>
      </c>
      <c r="AD458">
        <f t="shared" si="50"/>
        <v>0</v>
      </c>
      <c r="AE458">
        <f t="shared" si="55"/>
        <v>0.14326695703334227</v>
      </c>
      <c r="AF458" t="str">
        <f t="shared" si="51"/>
        <v>Very Low</v>
      </c>
      <c r="AG458" t="str">
        <f t="shared" si="52"/>
        <v>NO ACTION</v>
      </c>
      <c r="AH458" t="str">
        <f t="shared" si="53"/>
        <v/>
      </c>
    </row>
    <row r="459" spans="1:34" x14ac:dyDescent="0.3">
      <c r="A459" t="s">
        <v>486</v>
      </c>
      <c r="B459">
        <v>0.12892249527410199</v>
      </c>
      <c r="C459">
        <v>0.36953165208440503</v>
      </c>
      <c r="D459">
        <v>0</v>
      </c>
      <c r="E459">
        <v>0</v>
      </c>
      <c r="F459">
        <v>0</v>
      </c>
      <c r="G459">
        <v>0.99368523147369603</v>
      </c>
      <c r="H459">
        <v>8</v>
      </c>
      <c r="I459">
        <v>8</v>
      </c>
      <c r="J459">
        <v>9.3029912695005004E-2</v>
      </c>
      <c r="K459">
        <v>1.30505709624796E-2</v>
      </c>
      <c r="L459">
        <v>3.5741549883170402E-2</v>
      </c>
      <c r="M459">
        <v>1.44300144300144E-3</v>
      </c>
      <c r="N459">
        <v>9.3496159992323604E-3</v>
      </c>
      <c r="O459">
        <v>1064</v>
      </c>
      <c r="P459">
        <v>7.4705387205387205E-2</v>
      </c>
      <c r="Q459">
        <v>7.4862372453451995E-2</v>
      </c>
      <c r="R459">
        <v>0</v>
      </c>
      <c r="S459">
        <v>0</v>
      </c>
      <c r="T459" t="s">
        <v>53</v>
      </c>
      <c r="U459">
        <v>4.5283018867924497E-2</v>
      </c>
      <c r="V459">
        <v>0</v>
      </c>
      <c r="W459">
        <v>0</v>
      </c>
      <c r="X459">
        <v>0</v>
      </c>
      <c r="Y459">
        <v>3.9281642280355897E-2</v>
      </c>
      <c r="Z459">
        <v>4.8563078722925201E-2</v>
      </c>
      <c r="AA459">
        <v>0</v>
      </c>
      <c r="AB459">
        <f t="shared" si="49"/>
        <v>2.4596521880918709E-2</v>
      </c>
      <c r="AC459">
        <f t="shared" si="54"/>
        <v>0.1</v>
      </c>
      <c r="AD459">
        <f t="shared" si="50"/>
        <v>0</v>
      </c>
      <c r="AE459">
        <f t="shared" si="55"/>
        <v>2.7056174069010581E-2</v>
      </c>
      <c r="AF459" t="str">
        <f t="shared" si="51"/>
        <v>Very Low</v>
      </c>
      <c r="AG459" t="str">
        <f t="shared" si="52"/>
        <v>NO ACTION</v>
      </c>
      <c r="AH459" t="str">
        <f t="shared" si="53"/>
        <v/>
      </c>
    </row>
    <row r="460" spans="1:34" x14ac:dyDescent="0.3">
      <c r="A460" t="s">
        <v>487</v>
      </c>
      <c r="B460">
        <v>0.28015122873345899</v>
      </c>
      <c r="C460">
        <v>0.82561803341542594</v>
      </c>
      <c r="D460">
        <v>0.39252385099233</v>
      </c>
      <c r="E460">
        <v>0</v>
      </c>
      <c r="F460">
        <v>0</v>
      </c>
      <c r="G460">
        <v>0.37972241430956699</v>
      </c>
      <c r="H460">
        <v>8</v>
      </c>
      <c r="I460">
        <v>18</v>
      </c>
      <c r="J460">
        <v>0.111922141119221</v>
      </c>
      <c r="K460">
        <v>1.38662316476345E-2</v>
      </c>
      <c r="L460">
        <v>3.1578860335154398E-2</v>
      </c>
      <c r="M460">
        <v>4.6176046176046098E-3</v>
      </c>
      <c r="N460">
        <v>2.4879284428412401E-2</v>
      </c>
      <c r="O460">
        <v>1274</v>
      </c>
      <c r="P460">
        <v>9.0488215488215507E-2</v>
      </c>
      <c r="Q460">
        <v>9.0641326834741701E-2</v>
      </c>
      <c r="R460">
        <v>0</v>
      </c>
      <c r="S460">
        <v>0</v>
      </c>
      <c r="T460" t="s">
        <v>28</v>
      </c>
      <c r="U460">
        <v>1.6981132075471601E-2</v>
      </c>
      <c r="V460">
        <v>0</v>
      </c>
      <c r="W460">
        <v>0</v>
      </c>
      <c r="X460">
        <v>0.11775715529769901</v>
      </c>
      <c r="Y460">
        <v>4.5637643719945199E-2</v>
      </c>
      <c r="Z460">
        <v>6.4244643064294199E-2</v>
      </c>
      <c r="AA460">
        <v>0</v>
      </c>
      <c r="AB460">
        <f t="shared" si="49"/>
        <v>4.9608185147218875E-2</v>
      </c>
      <c r="AC460">
        <f t="shared" si="54"/>
        <v>0.25</v>
      </c>
      <c r="AD460">
        <f t="shared" si="50"/>
        <v>0</v>
      </c>
      <c r="AE460">
        <f t="shared" si="55"/>
        <v>6.2010231434023594E-2</v>
      </c>
      <c r="AF460" t="str">
        <f t="shared" si="51"/>
        <v>Very Low</v>
      </c>
      <c r="AG460" t="str">
        <f t="shared" si="52"/>
        <v>NO ACTION</v>
      </c>
      <c r="AH460" t="str">
        <f t="shared" si="53"/>
        <v/>
      </c>
    </row>
    <row r="461" spans="1:34" x14ac:dyDescent="0.3">
      <c r="A461" t="s">
        <v>488</v>
      </c>
      <c r="B461">
        <v>0.93988657844990497</v>
      </c>
      <c r="C461">
        <v>0.93866975880878001</v>
      </c>
      <c r="D461">
        <v>1</v>
      </c>
      <c r="E461">
        <v>0</v>
      </c>
      <c r="F461">
        <v>0.39839357429718802</v>
      </c>
      <c r="G461">
        <v>9.5102483712538807E-3</v>
      </c>
      <c r="H461">
        <v>0</v>
      </c>
      <c r="I461">
        <v>23</v>
      </c>
      <c r="J461">
        <v>4.23643910118792E-2</v>
      </c>
      <c r="K461">
        <v>1.0603588907014599E-2</v>
      </c>
      <c r="L461">
        <v>6.3575832186504505E-2</v>
      </c>
      <c r="M461">
        <v>1.44300144300144E-3</v>
      </c>
      <c r="N461">
        <v>2.0468644208845699E-2</v>
      </c>
      <c r="O461">
        <v>569</v>
      </c>
      <c r="P461">
        <v>3.64057239057239E-2</v>
      </c>
      <c r="Q461">
        <v>3.6572109821522397E-2</v>
      </c>
      <c r="R461">
        <v>0</v>
      </c>
      <c r="S461">
        <v>0</v>
      </c>
      <c r="T461" t="s">
        <v>53</v>
      </c>
      <c r="U461">
        <v>3.6792452830188602E-2</v>
      </c>
      <c r="V461">
        <v>0</v>
      </c>
      <c r="W461">
        <v>0</v>
      </c>
      <c r="X461">
        <v>0.459357429718875</v>
      </c>
      <c r="Y461">
        <v>4.6401387558281798E-2</v>
      </c>
      <c r="Z461">
        <v>3.0030892026972601E-2</v>
      </c>
      <c r="AA461">
        <v>0</v>
      </c>
      <c r="AB461">
        <f t="shared" si="49"/>
        <v>9.4898227038891239E-2</v>
      </c>
      <c r="AC461">
        <f t="shared" si="54"/>
        <v>0.1</v>
      </c>
      <c r="AD461">
        <f t="shared" si="50"/>
        <v>0</v>
      </c>
      <c r="AE461">
        <f t="shared" si="55"/>
        <v>0.10438804974278038</v>
      </c>
      <c r="AF461" t="str">
        <f t="shared" si="51"/>
        <v>Very Low</v>
      </c>
      <c r="AG461" t="str">
        <f t="shared" si="52"/>
        <v>NO ACTION</v>
      </c>
      <c r="AH461" t="str">
        <f t="shared" si="53"/>
        <v/>
      </c>
    </row>
    <row r="462" spans="1:34" x14ac:dyDescent="0.3">
      <c r="A462" t="s">
        <v>489</v>
      </c>
      <c r="B462">
        <v>0.12892249527410199</v>
      </c>
      <c r="C462">
        <v>0.47128674468735698</v>
      </c>
      <c r="D462">
        <v>7.4745173332315298E-2</v>
      </c>
      <c r="E462">
        <v>0</v>
      </c>
      <c r="F462">
        <v>0</v>
      </c>
      <c r="G462">
        <v>0.99369296589365796</v>
      </c>
      <c r="H462">
        <v>8</v>
      </c>
      <c r="I462">
        <v>9</v>
      </c>
      <c r="J462">
        <v>0.120986594151042</v>
      </c>
      <c r="K462">
        <v>2.6916802610114102E-2</v>
      </c>
      <c r="L462">
        <v>5.67165016409076E-2</v>
      </c>
      <c r="M462">
        <v>2.8860028860028799E-3</v>
      </c>
      <c r="N462">
        <v>1.43868550007865E-2</v>
      </c>
      <c r="O462">
        <v>1378</v>
      </c>
      <c r="P462">
        <v>0.10192199775533101</v>
      </c>
      <c r="Q462">
        <v>0.102072302675409</v>
      </c>
      <c r="R462">
        <v>0</v>
      </c>
      <c r="S462">
        <v>0</v>
      </c>
      <c r="T462" t="s">
        <v>28</v>
      </c>
      <c r="U462">
        <v>5.0943396226415097E-2</v>
      </c>
      <c r="V462">
        <v>0</v>
      </c>
      <c r="W462">
        <v>0</v>
      </c>
      <c r="X462">
        <v>2.2423551999694601E-2</v>
      </c>
      <c r="Y462">
        <v>5.6871626150898198E-2</v>
      </c>
      <c r="Z462">
        <v>6.6907940653513201E-2</v>
      </c>
      <c r="AA462">
        <v>0</v>
      </c>
      <c r="AB462">
        <f t="shared" si="49"/>
        <v>3.824604702518633E-2</v>
      </c>
      <c r="AC462">
        <f t="shared" si="54"/>
        <v>0.25</v>
      </c>
      <c r="AD462">
        <f t="shared" si="50"/>
        <v>0</v>
      </c>
      <c r="AE462">
        <f t="shared" si="55"/>
        <v>4.7807558781482913E-2</v>
      </c>
      <c r="AF462" t="str">
        <f t="shared" si="51"/>
        <v>Very Low</v>
      </c>
      <c r="AG462" t="str">
        <f t="shared" si="52"/>
        <v>NO ACTION</v>
      </c>
      <c r="AH462" t="str">
        <f t="shared" si="53"/>
        <v/>
      </c>
    </row>
    <row r="463" spans="1:34" x14ac:dyDescent="0.3">
      <c r="A463" t="s">
        <v>490</v>
      </c>
      <c r="B463">
        <v>0.12892249527410199</v>
      </c>
      <c r="C463">
        <v>0.18476582604220201</v>
      </c>
      <c r="D463">
        <v>0</v>
      </c>
      <c r="E463">
        <v>0</v>
      </c>
      <c r="F463">
        <v>0</v>
      </c>
      <c r="G463">
        <v>0.99366194792571405</v>
      </c>
      <c r="H463">
        <v>7</v>
      </c>
      <c r="I463">
        <v>7</v>
      </c>
      <c r="J463">
        <v>9.1694098563999807E-2</v>
      </c>
      <c r="K463">
        <v>9.7879282218597003E-3</v>
      </c>
      <c r="L463">
        <v>2.7195665550699799E-2</v>
      </c>
      <c r="M463">
        <v>1.1544011544011501E-3</v>
      </c>
      <c r="N463">
        <v>7.5883754140111098E-3</v>
      </c>
      <c r="O463">
        <v>1107</v>
      </c>
      <c r="P463">
        <v>7.2180134680134594E-2</v>
      </c>
      <c r="Q463">
        <v>7.2337739752445701E-2</v>
      </c>
      <c r="R463">
        <v>0</v>
      </c>
      <c r="S463">
        <v>0</v>
      </c>
      <c r="T463" t="s">
        <v>53</v>
      </c>
      <c r="U463">
        <v>4.0754716981131998E-2</v>
      </c>
      <c r="V463">
        <v>0</v>
      </c>
      <c r="W463">
        <v>0</v>
      </c>
      <c r="X463">
        <v>0</v>
      </c>
      <c r="Y463">
        <v>3.42131651123532E-2</v>
      </c>
      <c r="Z463">
        <v>4.63434309736852E-2</v>
      </c>
      <c r="AA463">
        <v>0</v>
      </c>
      <c r="AB463">
        <f t="shared" si="49"/>
        <v>2.2555846904090755E-2</v>
      </c>
      <c r="AC463">
        <f t="shared" si="54"/>
        <v>0.1</v>
      </c>
      <c r="AD463">
        <f t="shared" si="50"/>
        <v>0</v>
      </c>
      <c r="AE463">
        <f t="shared" si="55"/>
        <v>2.4811431594499833E-2</v>
      </c>
      <c r="AF463" t="str">
        <f t="shared" si="51"/>
        <v>Very Low</v>
      </c>
      <c r="AG463" t="str">
        <f t="shared" si="52"/>
        <v>NO ACTION</v>
      </c>
      <c r="AH463" t="str">
        <f t="shared" si="53"/>
        <v/>
      </c>
    </row>
    <row r="464" spans="1:34" x14ac:dyDescent="0.3">
      <c r="A464" t="s">
        <v>491</v>
      </c>
      <c r="B464">
        <v>0.25368620037807099</v>
      </c>
      <c r="C464">
        <v>0.47710642191342101</v>
      </c>
      <c r="D464">
        <v>0.54365885038767103</v>
      </c>
      <c r="E464">
        <v>0</v>
      </c>
      <c r="F464">
        <v>0.56444444444444397</v>
      </c>
      <c r="G464">
        <v>0.43462177872577901</v>
      </c>
      <c r="H464">
        <v>0</v>
      </c>
      <c r="I464">
        <v>23</v>
      </c>
      <c r="J464">
        <v>9.4747388006297395E-2</v>
      </c>
      <c r="K464">
        <v>1.2234910277324601E-2</v>
      </c>
      <c r="L464">
        <v>3.2901837968482298E-2</v>
      </c>
      <c r="M464">
        <v>2.59740259740259E-3</v>
      </c>
      <c r="N464">
        <v>1.65250119042183E-2</v>
      </c>
      <c r="O464">
        <v>1088</v>
      </c>
      <c r="P464">
        <v>7.6178451178451095E-2</v>
      </c>
      <c r="Q464">
        <v>7.6335074862372398E-2</v>
      </c>
      <c r="R464">
        <v>0.39823008849557501</v>
      </c>
      <c r="S464">
        <v>1</v>
      </c>
      <c r="T464" t="s">
        <v>53</v>
      </c>
      <c r="U464">
        <v>2.54716981132075E-2</v>
      </c>
      <c r="V464">
        <v>0</v>
      </c>
      <c r="W464">
        <v>0.60604613914076799</v>
      </c>
      <c r="X464">
        <v>0.388875432894079</v>
      </c>
      <c r="Y464">
        <v>4.0357900156766102E-2</v>
      </c>
      <c r="Z464">
        <v>5.2317075468758002E-2</v>
      </c>
      <c r="AA464">
        <v>0.39823008849557501</v>
      </c>
      <c r="AB464">
        <f t="shared" si="49"/>
        <v>0.19967348721696043</v>
      </c>
      <c r="AC464">
        <f t="shared" si="54"/>
        <v>0.1</v>
      </c>
      <c r="AD464">
        <f t="shared" si="50"/>
        <v>0.08</v>
      </c>
      <c r="AE464">
        <f t="shared" si="55"/>
        <v>0.23561471491601335</v>
      </c>
      <c r="AF464" t="str">
        <f t="shared" si="51"/>
        <v>Low</v>
      </c>
      <c r="AG464" t="str">
        <f t="shared" si="52"/>
        <v>NO ACTION</v>
      </c>
      <c r="AH464" t="str">
        <f t="shared" si="53"/>
        <v/>
      </c>
    </row>
    <row r="465" spans="1:34" x14ac:dyDescent="0.3">
      <c r="A465" t="s">
        <v>492</v>
      </c>
      <c r="B465">
        <v>0.23629489603024501</v>
      </c>
      <c r="C465">
        <v>0.55077253390958603</v>
      </c>
      <c r="D465">
        <v>0.33710360668871803</v>
      </c>
      <c r="E465">
        <v>0</v>
      </c>
      <c r="F465">
        <v>0</v>
      </c>
      <c r="G465">
        <v>0.47741428228237898</v>
      </c>
      <c r="H465">
        <v>7</v>
      </c>
      <c r="I465">
        <v>13</v>
      </c>
      <c r="J465">
        <v>9.9661275702495097E-2</v>
      </c>
      <c r="K465">
        <v>1.7944535073409401E-2</v>
      </c>
      <c r="L465">
        <v>4.5882403906254803E-2</v>
      </c>
      <c r="M465">
        <v>2.59740259740259E-3</v>
      </c>
      <c r="N465">
        <v>1.5712177030228602E-2</v>
      </c>
      <c r="O465">
        <v>1122</v>
      </c>
      <c r="P465">
        <v>8.2246071829405104E-2</v>
      </c>
      <c r="Q465">
        <v>8.2401206213401496E-2</v>
      </c>
      <c r="R465">
        <v>0.100294985250737</v>
      </c>
      <c r="S465">
        <v>1</v>
      </c>
      <c r="T465" t="s">
        <v>28</v>
      </c>
      <c r="U465">
        <v>3.7358490566037697E-2</v>
      </c>
      <c r="V465">
        <v>0</v>
      </c>
      <c r="W465">
        <v>0</v>
      </c>
      <c r="X465">
        <v>0.101131082006615</v>
      </c>
      <c r="Y465">
        <v>4.7587110202695002E-2</v>
      </c>
      <c r="Z465">
        <v>5.5632513909734498E-2</v>
      </c>
      <c r="AA465">
        <v>0.100294985250737</v>
      </c>
      <c r="AB465">
        <f t="shared" si="49"/>
        <v>7.3165063742745035E-2</v>
      </c>
      <c r="AC465">
        <f t="shared" si="54"/>
        <v>0.25</v>
      </c>
      <c r="AD465">
        <f t="shared" si="50"/>
        <v>0</v>
      </c>
      <c r="AE465">
        <f t="shared" si="55"/>
        <v>9.1456329678431286E-2</v>
      </c>
      <c r="AF465" t="str">
        <f t="shared" si="51"/>
        <v>Very Low</v>
      </c>
      <c r="AG465" t="str">
        <f t="shared" si="52"/>
        <v>NO ACTION</v>
      </c>
      <c r="AH465" t="str">
        <f t="shared" si="53"/>
        <v/>
      </c>
    </row>
    <row r="466" spans="1:34" x14ac:dyDescent="0.3">
      <c r="A466" t="s">
        <v>493</v>
      </c>
      <c r="B466">
        <v>0.12892249527410199</v>
      </c>
      <c r="C466">
        <v>0.26831211260041599</v>
      </c>
      <c r="D466">
        <v>7.4788307505895393E-2</v>
      </c>
      <c r="E466">
        <v>0</v>
      </c>
      <c r="F466">
        <v>0</v>
      </c>
      <c r="G466">
        <v>0.99367953101884499</v>
      </c>
      <c r="H466">
        <v>7</v>
      </c>
      <c r="I466">
        <v>8</v>
      </c>
      <c r="J466">
        <v>9.3125327990076806E-2</v>
      </c>
      <c r="K466">
        <v>1.9575856443719401E-2</v>
      </c>
      <c r="L466">
        <v>5.3557534508123297E-2</v>
      </c>
      <c r="M466">
        <v>3.7518037518037501E-3</v>
      </c>
      <c r="N466">
        <v>2.4284158469135401E-2</v>
      </c>
      <c r="O466">
        <v>1064</v>
      </c>
      <c r="P466">
        <v>7.8703703703703706E-2</v>
      </c>
      <c r="Q466">
        <v>7.8859707563378803E-2</v>
      </c>
      <c r="R466">
        <v>0</v>
      </c>
      <c r="S466">
        <v>0</v>
      </c>
      <c r="T466" t="s">
        <v>53</v>
      </c>
      <c r="U466">
        <v>2.9110512129380001E-2</v>
      </c>
      <c r="V466">
        <v>0</v>
      </c>
      <c r="W466">
        <v>0</v>
      </c>
      <c r="X466">
        <v>2.2436492251768601E-2</v>
      </c>
      <c r="Y466">
        <v>5.2689080392817597E-2</v>
      </c>
      <c r="Z466">
        <v>5.6935885609876398E-2</v>
      </c>
      <c r="AA466">
        <v>0</v>
      </c>
      <c r="AB466">
        <f t="shared" si="49"/>
        <v>3.4284829241037297E-2</v>
      </c>
      <c r="AC466">
        <f t="shared" si="54"/>
        <v>0.1</v>
      </c>
      <c r="AD466">
        <f t="shared" si="50"/>
        <v>0</v>
      </c>
      <c r="AE466">
        <f t="shared" si="55"/>
        <v>3.7713312165141032E-2</v>
      </c>
      <c r="AF466" t="str">
        <f t="shared" si="51"/>
        <v>Very Low</v>
      </c>
      <c r="AG466" t="str">
        <f t="shared" si="52"/>
        <v>NO ACTION</v>
      </c>
      <c r="AH466" t="str">
        <f t="shared" si="53"/>
        <v/>
      </c>
    </row>
    <row r="467" spans="1:34" x14ac:dyDescent="0.3">
      <c r="A467" t="s">
        <v>494</v>
      </c>
      <c r="B467">
        <v>0.12892249527410199</v>
      </c>
      <c r="C467">
        <v>0.36953165208440503</v>
      </c>
      <c r="D467">
        <v>0</v>
      </c>
      <c r="E467">
        <v>0</v>
      </c>
      <c r="F467">
        <v>0</v>
      </c>
      <c r="G467">
        <v>0.99367064580283404</v>
      </c>
      <c r="H467">
        <v>8</v>
      </c>
      <c r="I467">
        <v>8</v>
      </c>
      <c r="J467">
        <v>0.10323934926768701</v>
      </c>
      <c r="K467">
        <v>1.30505709624796E-2</v>
      </c>
      <c r="L467">
        <v>3.2215182121529802E-2</v>
      </c>
      <c r="M467">
        <v>3.1746031746031698E-3</v>
      </c>
      <c r="N467">
        <v>1.8539741084692599E-2</v>
      </c>
      <c r="O467">
        <v>897</v>
      </c>
      <c r="P467">
        <v>8.3052749719416397E-2</v>
      </c>
      <c r="Q467">
        <v>8.3207686104000797E-2</v>
      </c>
      <c r="R467">
        <v>0</v>
      </c>
      <c r="S467">
        <v>0</v>
      </c>
      <c r="T467" t="s">
        <v>28</v>
      </c>
      <c r="U467">
        <v>2.26415094339622E-2</v>
      </c>
      <c r="V467">
        <v>0</v>
      </c>
      <c r="W467">
        <v>0</v>
      </c>
      <c r="X467">
        <v>0</v>
      </c>
      <c r="Y467">
        <v>4.2317383239710203E-2</v>
      </c>
      <c r="Z467">
        <v>5.7247546265526902E-2</v>
      </c>
      <c r="AA467">
        <v>0</v>
      </c>
      <c r="AB467">
        <f t="shared" si="49"/>
        <v>2.7878180261466393E-2</v>
      </c>
      <c r="AC467">
        <f t="shared" si="54"/>
        <v>0.25</v>
      </c>
      <c r="AD467">
        <f t="shared" si="50"/>
        <v>0</v>
      </c>
      <c r="AE467">
        <f t="shared" si="55"/>
        <v>3.4847725326832987E-2</v>
      </c>
      <c r="AF467" t="str">
        <f t="shared" si="51"/>
        <v>Very Low</v>
      </c>
      <c r="AG467" t="str">
        <f t="shared" si="52"/>
        <v>NO ACTION</v>
      </c>
      <c r="AH467" t="str">
        <f t="shared" si="53"/>
        <v/>
      </c>
    </row>
    <row r="468" spans="1:34" x14ac:dyDescent="0.3">
      <c r="A468" t="s">
        <v>495</v>
      </c>
      <c r="B468">
        <v>0.262759924385633</v>
      </c>
      <c r="C468">
        <v>0.64337628123994395</v>
      </c>
      <c r="D468">
        <v>0.395218770525189</v>
      </c>
      <c r="E468">
        <v>0</v>
      </c>
      <c r="F468">
        <v>0</v>
      </c>
      <c r="G468">
        <v>0.41462314961366797</v>
      </c>
      <c r="H468">
        <v>7</v>
      </c>
      <c r="I468">
        <v>16</v>
      </c>
      <c r="J468">
        <v>9.1169314441104904E-2</v>
      </c>
      <c r="K468">
        <v>1.38662316476345E-2</v>
      </c>
      <c r="L468">
        <v>3.8748382384106501E-2</v>
      </c>
      <c r="M468">
        <v>1.7316017316017301E-3</v>
      </c>
      <c r="N468">
        <v>1.14479118654483E-2</v>
      </c>
      <c r="O468">
        <v>875</v>
      </c>
      <c r="P468">
        <v>7.3828563411896697E-2</v>
      </c>
      <c r="Q468">
        <v>7.3985763876713698E-2</v>
      </c>
      <c r="R468">
        <v>0</v>
      </c>
      <c r="S468">
        <v>0</v>
      </c>
      <c r="T468" t="s">
        <v>53</v>
      </c>
      <c r="U468">
        <v>4.1239892183288399E-2</v>
      </c>
      <c r="V468">
        <v>0</v>
      </c>
      <c r="W468">
        <v>0</v>
      </c>
      <c r="X468">
        <v>0.118565631157556</v>
      </c>
      <c r="Y468">
        <v>4.1042427639908702E-2</v>
      </c>
      <c r="Z468">
        <v>4.8876302793317401E-2</v>
      </c>
      <c r="AA468">
        <v>0</v>
      </c>
      <c r="AB468">
        <f t="shared" si="49"/>
        <v>4.4147745506512272E-2</v>
      </c>
      <c r="AC468">
        <f t="shared" si="54"/>
        <v>0.1</v>
      </c>
      <c r="AD468">
        <f t="shared" si="50"/>
        <v>0</v>
      </c>
      <c r="AE468">
        <f t="shared" si="55"/>
        <v>4.8562520057163501E-2</v>
      </c>
      <c r="AF468" t="str">
        <f t="shared" si="51"/>
        <v>Very Low</v>
      </c>
      <c r="AG468" t="str">
        <f t="shared" si="52"/>
        <v>NO ACTION</v>
      </c>
      <c r="AH468" t="str">
        <f t="shared" si="53"/>
        <v/>
      </c>
    </row>
    <row r="469" spans="1:34" x14ac:dyDescent="0.3">
      <c r="A469" t="s">
        <v>496</v>
      </c>
      <c r="B469">
        <v>0.12892249527410199</v>
      </c>
      <c r="C469">
        <v>0.18476582604220201</v>
      </c>
      <c r="D469">
        <v>0</v>
      </c>
      <c r="E469">
        <v>0</v>
      </c>
      <c r="F469">
        <v>0</v>
      </c>
      <c r="G469">
        <v>0.99368327779668097</v>
      </c>
      <c r="H469">
        <v>7</v>
      </c>
      <c r="I469">
        <v>7</v>
      </c>
      <c r="J469">
        <v>9.0072038547779204E-2</v>
      </c>
      <c r="K469">
        <v>1.2234910277324601E-2</v>
      </c>
      <c r="L469">
        <v>3.4605155517827897E-2</v>
      </c>
      <c r="M469">
        <v>3.1746031746031698E-3</v>
      </c>
      <c r="N469">
        <v>2.1242841211145402E-2</v>
      </c>
      <c r="O469">
        <v>1040</v>
      </c>
      <c r="P469">
        <v>7.3021885521885502E-2</v>
      </c>
      <c r="Q469">
        <v>7.3179283986114493E-2</v>
      </c>
      <c r="R469">
        <v>0</v>
      </c>
      <c r="S469">
        <v>0</v>
      </c>
      <c r="T469" t="s">
        <v>53</v>
      </c>
      <c r="U469">
        <v>2.1226415094339601E-2</v>
      </c>
      <c r="V469">
        <v>0</v>
      </c>
      <c r="W469">
        <v>0</v>
      </c>
      <c r="X469">
        <v>0</v>
      </c>
      <c r="Y469">
        <v>4.1689837831813403E-2</v>
      </c>
      <c r="Z469">
        <v>5.2310267797589502E-2</v>
      </c>
      <c r="AA469">
        <v>0</v>
      </c>
      <c r="AB469">
        <f t="shared" si="49"/>
        <v>2.6320029576232817E-2</v>
      </c>
      <c r="AC469">
        <f t="shared" si="54"/>
        <v>0.1</v>
      </c>
      <c r="AD469">
        <f t="shared" si="50"/>
        <v>0</v>
      </c>
      <c r="AE469">
        <f t="shared" si="55"/>
        <v>2.8952032533856101E-2</v>
      </c>
      <c r="AF469" t="str">
        <f t="shared" si="51"/>
        <v>Very Low</v>
      </c>
      <c r="AG469" t="str">
        <f t="shared" si="52"/>
        <v>NO ACTION</v>
      </c>
      <c r="AH469" t="str">
        <f t="shared" si="53"/>
        <v/>
      </c>
    </row>
    <row r="470" spans="1:34" x14ac:dyDescent="0.3">
      <c r="A470" t="s">
        <v>497</v>
      </c>
      <c r="B470">
        <v>0.238941398865784</v>
      </c>
      <c r="C470">
        <v>0.67515059704729397</v>
      </c>
      <c r="D470">
        <v>0.36569789364894401</v>
      </c>
      <c r="E470">
        <v>0</v>
      </c>
      <c r="F470">
        <v>0</v>
      </c>
      <c r="G470">
        <v>0.47051318195202901</v>
      </c>
      <c r="H470">
        <v>7</v>
      </c>
      <c r="I470">
        <v>17</v>
      </c>
      <c r="J470">
        <v>0.108391775201564</v>
      </c>
      <c r="K470">
        <v>1.8760195758564399E-2</v>
      </c>
      <c r="L470">
        <v>4.4112834609594802E-2</v>
      </c>
      <c r="M470">
        <v>2.8860028860028799E-3</v>
      </c>
      <c r="N470">
        <v>1.6054896160298E-2</v>
      </c>
      <c r="O470">
        <v>1262</v>
      </c>
      <c r="P470">
        <v>8.9155443322110006E-2</v>
      </c>
      <c r="Q470">
        <v>8.9308881798099496E-2</v>
      </c>
      <c r="R470">
        <v>0.184365781710914</v>
      </c>
      <c r="S470">
        <v>1</v>
      </c>
      <c r="T470" t="s">
        <v>28</v>
      </c>
      <c r="U470">
        <v>3.5506003430531702E-2</v>
      </c>
      <c r="V470">
        <v>0</v>
      </c>
      <c r="W470">
        <v>0</v>
      </c>
      <c r="X470">
        <v>0.109709368094683</v>
      </c>
      <c r="Y470">
        <v>4.8551241193199798E-2</v>
      </c>
      <c r="Z470">
        <v>5.9915224457385202E-2</v>
      </c>
      <c r="AA470">
        <v>0.184365781710914</v>
      </c>
      <c r="AB470">
        <f t="shared" si="49"/>
        <v>9.954652815636901E-2</v>
      </c>
      <c r="AC470">
        <f t="shared" si="54"/>
        <v>0.25</v>
      </c>
      <c r="AD470">
        <f t="shared" si="50"/>
        <v>0</v>
      </c>
      <c r="AE470">
        <f t="shared" si="55"/>
        <v>0.12443316019546126</v>
      </c>
      <c r="AF470" t="str">
        <f t="shared" si="51"/>
        <v>Very Low</v>
      </c>
      <c r="AG470" t="str">
        <f t="shared" si="52"/>
        <v>NO ACTION</v>
      </c>
      <c r="AH470" t="str">
        <f t="shared" si="53"/>
        <v/>
      </c>
    </row>
    <row r="471" spans="1:34" x14ac:dyDescent="0.3">
      <c r="A471" t="s">
        <v>498</v>
      </c>
      <c r="B471">
        <v>0.25671077504725898</v>
      </c>
      <c r="C471">
        <v>0.58648947417202801</v>
      </c>
      <c r="D471">
        <v>0.50234836620718004</v>
      </c>
      <c r="E471">
        <v>0.200097608589555</v>
      </c>
      <c r="F471">
        <v>6.1493411420204903E-2</v>
      </c>
      <c r="G471">
        <v>0.42780760492702802</v>
      </c>
      <c r="H471">
        <v>0</v>
      </c>
      <c r="I471">
        <v>23</v>
      </c>
      <c r="J471">
        <v>0.118267258241496</v>
      </c>
      <c r="K471">
        <v>1.5497553017944501E-2</v>
      </c>
      <c r="L471">
        <v>3.3404284179004803E-2</v>
      </c>
      <c r="M471">
        <v>4.6176046176046098E-3</v>
      </c>
      <c r="N471">
        <v>2.3547181035103702E-2</v>
      </c>
      <c r="O471">
        <v>1116</v>
      </c>
      <c r="P471">
        <v>9.5854377104377095E-2</v>
      </c>
      <c r="Q471">
        <v>9.6006171324380205E-2</v>
      </c>
      <c r="R471">
        <v>0.13716814159292001</v>
      </c>
      <c r="S471">
        <v>1</v>
      </c>
      <c r="T471" t="s">
        <v>28</v>
      </c>
      <c r="U471">
        <v>1.8978912319644801E-2</v>
      </c>
      <c r="V471">
        <v>0</v>
      </c>
      <c r="W471">
        <v>6.70339919920242E-2</v>
      </c>
      <c r="X471">
        <v>0.235331157007103</v>
      </c>
      <c r="Y471">
        <v>4.7419748048332697E-2</v>
      </c>
      <c r="Z471">
        <v>6.69314986766677E-2</v>
      </c>
      <c r="AA471">
        <v>0.13716814159292001</v>
      </c>
      <c r="AB471">
        <f t="shared" si="49"/>
        <v>0.10807841385015421</v>
      </c>
      <c r="AC471">
        <f t="shared" si="54"/>
        <v>0.25</v>
      </c>
      <c r="AD471">
        <f t="shared" si="50"/>
        <v>0</v>
      </c>
      <c r="AE471">
        <f t="shared" si="55"/>
        <v>0.13509801731269278</v>
      </c>
      <c r="AF471" t="str">
        <f t="shared" si="51"/>
        <v>Very Low</v>
      </c>
      <c r="AG471" t="str">
        <f t="shared" si="52"/>
        <v>NO ACTION</v>
      </c>
      <c r="AH471" t="str">
        <f t="shared" si="53"/>
        <v/>
      </c>
    </row>
    <row r="472" spans="1:34" x14ac:dyDescent="0.3">
      <c r="A472" t="s">
        <v>499</v>
      </c>
      <c r="B472">
        <v>0.12892249527410199</v>
      </c>
      <c r="C472">
        <v>0.18476582604220201</v>
      </c>
      <c r="D472">
        <v>0</v>
      </c>
      <c r="E472">
        <v>0</v>
      </c>
      <c r="F472">
        <v>0</v>
      </c>
      <c r="G472">
        <v>0.99367294739493295</v>
      </c>
      <c r="H472">
        <v>7</v>
      </c>
      <c r="I472">
        <v>7</v>
      </c>
      <c r="J472">
        <v>0.108773436381852</v>
      </c>
      <c r="K472">
        <v>2.0391517128874301E-2</v>
      </c>
      <c r="L472">
        <v>4.7780860244528302E-2</v>
      </c>
      <c r="M472">
        <v>2.0202020202020202E-3</v>
      </c>
      <c r="N472">
        <v>1.1199080520743501E-2</v>
      </c>
      <c r="O472">
        <v>1249</v>
      </c>
      <c r="P472">
        <v>8.9716610549943898E-2</v>
      </c>
      <c r="Q472">
        <v>8.9869911287212001E-2</v>
      </c>
      <c r="R472">
        <v>0</v>
      </c>
      <c r="S472">
        <v>0</v>
      </c>
      <c r="T472" t="s">
        <v>28</v>
      </c>
      <c r="U472">
        <v>5.3066037735849003E-2</v>
      </c>
      <c r="V472">
        <v>0</v>
      </c>
      <c r="W472">
        <v>0</v>
      </c>
      <c r="X472">
        <v>0</v>
      </c>
      <c r="Y472">
        <v>4.9004841554857598E-2</v>
      </c>
      <c r="Z472">
        <v>5.8309598538263702E-2</v>
      </c>
      <c r="AA472">
        <v>0</v>
      </c>
      <c r="AB472">
        <f t="shared" si="49"/>
        <v>3.0048043226073969E-2</v>
      </c>
      <c r="AC472">
        <f t="shared" si="54"/>
        <v>0.25</v>
      </c>
      <c r="AD472">
        <f t="shared" si="50"/>
        <v>0</v>
      </c>
      <c r="AE472">
        <f t="shared" si="55"/>
        <v>3.7560054032592459E-2</v>
      </c>
      <c r="AF472" t="str">
        <f t="shared" si="51"/>
        <v>Very Low</v>
      </c>
      <c r="AG472" t="str">
        <f t="shared" si="52"/>
        <v>NO ACTION</v>
      </c>
      <c r="AH472" t="str">
        <f t="shared" si="53"/>
        <v/>
      </c>
    </row>
    <row r="473" spans="1:34" x14ac:dyDescent="0.3">
      <c r="A473" t="s">
        <v>500</v>
      </c>
      <c r="B473">
        <v>0.27826086956521701</v>
      </c>
      <c r="C473">
        <v>0.45791962832621502</v>
      </c>
      <c r="D473">
        <v>0.38338943641666101</v>
      </c>
      <c r="E473">
        <v>0</v>
      </c>
      <c r="F473">
        <v>0.47567567567567498</v>
      </c>
      <c r="G473">
        <v>0.38328734601565201</v>
      </c>
      <c r="H473">
        <v>6</v>
      </c>
      <c r="I473">
        <v>14</v>
      </c>
      <c r="J473">
        <v>7.99103096226325E-2</v>
      </c>
      <c r="K473">
        <v>1.2234910277324601E-2</v>
      </c>
      <c r="L473">
        <v>3.8992594878124003E-2</v>
      </c>
      <c r="M473">
        <v>8.6580086580086504E-4</v>
      </c>
      <c r="N473">
        <v>6.5280354566068797E-3</v>
      </c>
      <c r="O473">
        <v>952</v>
      </c>
      <c r="P473">
        <v>6.4429012345678993E-2</v>
      </c>
      <c r="Q473">
        <v>6.4588519934079006E-2</v>
      </c>
      <c r="R473">
        <v>0</v>
      </c>
      <c r="S473">
        <v>0</v>
      </c>
      <c r="T473" t="s">
        <v>53</v>
      </c>
      <c r="U473">
        <v>6.3679245283018798E-2</v>
      </c>
      <c r="V473">
        <v>0</v>
      </c>
      <c r="W473">
        <v>0</v>
      </c>
      <c r="X473">
        <v>0.30528710119526797</v>
      </c>
      <c r="Y473">
        <v>3.7436770000570503E-2</v>
      </c>
      <c r="Z473">
        <v>4.1268621590050097E-2</v>
      </c>
      <c r="AA473">
        <v>0</v>
      </c>
      <c r="AB473">
        <f t="shared" si="49"/>
        <v>7.0883445836616654E-2</v>
      </c>
      <c r="AC473">
        <f t="shared" si="54"/>
        <v>0.1</v>
      </c>
      <c r="AD473">
        <f t="shared" si="50"/>
        <v>0</v>
      </c>
      <c r="AE473">
        <f t="shared" si="55"/>
        <v>7.7971790420278325E-2</v>
      </c>
      <c r="AF473" t="str">
        <f t="shared" si="51"/>
        <v>Very Low</v>
      </c>
      <c r="AG473" t="str">
        <f t="shared" si="52"/>
        <v>NO ACTION</v>
      </c>
      <c r="AH473" t="str">
        <f t="shared" si="53"/>
        <v/>
      </c>
    </row>
    <row r="474" spans="1:34" x14ac:dyDescent="0.3">
      <c r="A474" t="s">
        <v>501</v>
      </c>
      <c r="B474">
        <v>0.13383742911153099</v>
      </c>
      <c r="C474">
        <v>0.40307851994123001</v>
      </c>
      <c r="D474">
        <v>0.17238403144398901</v>
      </c>
      <c r="E474">
        <v>0</v>
      </c>
      <c r="F474">
        <v>0</v>
      </c>
      <c r="G474">
        <v>0.95209468469550496</v>
      </c>
      <c r="H474">
        <v>8</v>
      </c>
      <c r="I474">
        <v>19</v>
      </c>
      <c r="J474">
        <v>0.12990792424025499</v>
      </c>
      <c r="K474">
        <v>1.71288743882544E-2</v>
      </c>
      <c r="L474">
        <v>3.3618248956505697E-2</v>
      </c>
      <c r="M474">
        <v>1.5873015873015799E-2</v>
      </c>
      <c r="N474">
        <v>7.3703626122980898E-2</v>
      </c>
      <c r="O474">
        <v>1037</v>
      </c>
      <c r="P474">
        <v>0.110585016835016</v>
      </c>
      <c r="Q474">
        <v>0.11073319541358299</v>
      </c>
      <c r="R474">
        <v>0</v>
      </c>
      <c r="S474">
        <v>0</v>
      </c>
      <c r="T474" t="s">
        <v>28</v>
      </c>
      <c r="U474">
        <v>6.3679245283018802E-3</v>
      </c>
      <c r="V474">
        <v>0</v>
      </c>
      <c r="W474">
        <v>0</v>
      </c>
      <c r="X474">
        <v>5.1715209433196803E-2</v>
      </c>
      <c r="Y474">
        <v>6.4901797163198299E-2</v>
      </c>
      <c r="Z474">
        <v>9.5832460550202406E-2</v>
      </c>
      <c r="AA474">
        <v>0</v>
      </c>
      <c r="AB474">
        <f t="shared" si="49"/>
        <v>5.3280025669063688E-2</v>
      </c>
      <c r="AC474">
        <f t="shared" si="54"/>
        <v>0.25</v>
      </c>
      <c r="AD474">
        <f t="shared" si="50"/>
        <v>0</v>
      </c>
      <c r="AE474">
        <f t="shared" si="55"/>
        <v>6.6600032086329614E-2</v>
      </c>
      <c r="AF474" t="str">
        <f t="shared" si="51"/>
        <v>Very Low</v>
      </c>
      <c r="AG474" t="str">
        <f t="shared" si="52"/>
        <v>NO ACTION</v>
      </c>
      <c r="AH474" t="str">
        <f t="shared" si="53"/>
        <v/>
      </c>
    </row>
    <row r="475" spans="1:34" x14ac:dyDescent="0.3">
      <c r="A475" t="s">
        <v>502</v>
      </c>
      <c r="B475">
        <v>0.27410207939508502</v>
      </c>
      <c r="C475">
        <v>0.78696555536493695</v>
      </c>
      <c r="D475">
        <v>0.47761068808395901</v>
      </c>
      <c r="E475">
        <v>0.37494284407864598</v>
      </c>
      <c r="F475">
        <v>4.6639231824417003E-2</v>
      </c>
      <c r="G475">
        <v>0.39132329053907</v>
      </c>
      <c r="H475">
        <v>0</v>
      </c>
      <c r="I475">
        <v>23</v>
      </c>
      <c r="J475">
        <v>9.1503267973856203E-2</v>
      </c>
      <c r="K475">
        <v>1.7944535073409401E-2</v>
      </c>
      <c r="L475">
        <v>4.9962430462661203E-2</v>
      </c>
      <c r="M475">
        <v>2.3088023088023001E-3</v>
      </c>
      <c r="N475">
        <v>1.52083197325006E-2</v>
      </c>
      <c r="O475">
        <v>1052</v>
      </c>
      <c r="P475">
        <v>7.6108305274971894E-2</v>
      </c>
      <c r="Q475">
        <v>7.6264946176233306E-2</v>
      </c>
      <c r="R475">
        <v>0.15339233038347999</v>
      </c>
      <c r="S475">
        <v>1</v>
      </c>
      <c r="T475" t="s">
        <v>53</v>
      </c>
      <c r="U475">
        <v>4.15094339622641E-2</v>
      </c>
      <c r="V475">
        <v>0</v>
      </c>
      <c r="W475">
        <v>7.6043005299464797E-2</v>
      </c>
      <c r="X475">
        <v>0.27442175237854799</v>
      </c>
      <c r="Y475">
        <v>4.7844364745851999E-2</v>
      </c>
      <c r="Z475">
        <v>5.1748311057983401E-2</v>
      </c>
      <c r="AA475">
        <v>0.15339233038347999</v>
      </c>
      <c r="AB475">
        <f t="shared" si="49"/>
        <v>0.114743282113016</v>
      </c>
      <c r="AC475">
        <f t="shared" si="54"/>
        <v>0.1</v>
      </c>
      <c r="AD475">
        <f t="shared" si="50"/>
        <v>0</v>
      </c>
      <c r="AE475">
        <f t="shared" si="55"/>
        <v>0.12621761032431761</v>
      </c>
      <c r="AF475" t="str">
        <f t="shared" si="51"/>
        <v>Very Low</v>
      </c>
      <c r="AG475" t="str">
        <f t="shared" si="52"/>
        <v>NO ACTION</v>
      </c>
      <c r="AH475" t="str">
        <f t="shared" si="53"/>
        <v/>
      </c>
    </row>
    <row r="476" spans="1:34" x14ac:dyDescent="0.3">
      <c r="A476" t="s">
        <v>503</v>
      </c>
      <c r="B476">
        <v>0.23629489603024501</v>
      </c>
      <c r="C476">
        <v>0.60217797040781496</v>
      </c>
      <c r="D476">
        <v>0.38145747803908098</v>
      </c>
      <c r="E476">
        <v>0</v>
      </c>
      <c r="F476">
        <v>0</v>
      </c>
      <c r="G476">
        <v>0.477298953460432</v>
      </c>
      <c r="H476">
        <v>7</v>
      </c>
      <c r="I476">
        <v>13</v>
      </c>
      <c r="J476">
        <v>9.0501407375602305E-2</v>
      </c>
      <c r="K476">
        <v>8.1566068515497494E-3</v>
      </c>
      <c r="L476">
        <v>2.2960939150104501E-2</v>
      </c>
      <c r="M476">
        <v>2.59740259740259E-3</v>
      </c>
      <c r="N476">
        <v>1.72982643014188E-2</v>
      </c>
      <c r="O476">
        <v>1068</v>
      </c>
      <c r="P476">
        <v>7.1303310886644197E-2</v>
      </c>
      <c r="Q476">
        <v>7.1461131175707404E-2</v>
      </c>
      <c r="R476">
        <v>0.10914454277286099</v>
      </c>
      <c r="S476">
        <v>1</v>
      </c>
      <c r="T476" t="s">
        <v>53</v>
      </c>
      <c r="U476">
        <v>1.6981132075471601E-2</v>
      </c>
      <c r="V476">
        <v>0</v>
      </c>
      <c r="W476">
        <v>0</v>
      </c>
      <c r="X476">
        <v>0.114437243411724</v>
      </c>
      <c r="Y476">
        <v>3.4770230340598403E-2</v>
      </c>
      <c r="Z476">
        <v>4.9701292252554E-2</v>
      </c>
      <c r="AA476">
        <v>0.10914454277286099</v>
      </c>
      <c r="AB476">
        <f t="shared" si="49"/>
        <v>7.2522457248359595E-2</v>
      </c>
      <c r="AC476">
        <f t="shared" si="54"/>
        <v>0.1</v>
      </c>
      <c r="AD476">
        <f t="shared" si="50"/>
        <v>0</v>
      </c>
      <c r="AE476">
        <f t="shared" si="55"/>
        <v>7.9774702973195555E-2</v>
      </c>
      <c r="AF476" t="str">
        <f t="shared" si="51"/>
        <v>Very Low</v>
      </c>
      <c r="AG476" t="str">
        <f t="shared" si="52"/>
        <v>NO ACTION</v>
      </c>
      <c r="AH476" t="str">
        <f t="shared" si="53"/>
        <v/>
      </c>
    </row>
    <row r="477" spans="1:34" x14ac:dyDescent="0.3">
      <c r="A477" t="s">
        <v>504</v>
      </c>
      <c r="B477">
        <v>1.4744801512287299E-2</v>
      </c>
      <c r="C477">
        <v>0.54570371877580803</v>
      </c>
      <c r="D477">
        <v>0.34489754713170601</v>
      </c>
      <c r="E477">
        <v>0</v>
      </c>
      <c r="F477">
        <v>0</v>
      </c>
      <c r="G477">
        <v>0.44144593848399599</v>
      </c>
      <c r="H477">
        <v>7</v>
      </c>
      <c r="I477">
        <v>13</v>
      </c>
      <c r="J477">
        <v>8.1103000811029999E-4</v>
      </c>
      <c r="K477">
        <v>0</v>
      </c>
      <c r="L477">
        <v>0</v>
      </c>
      <c r="M477">
        <v>0</v>
      </c>
      <c r="N477">
        <v>0</v>
      </c>
      <c r="O477">
        <v>19</v>
      </c>
      <c r="P477">
        <v>5.9624017957351301E-4</v>
      </c>
      <c r="Q477">
        <v>7.71415547529717E-4</v>
      </c>
      <c r="R477">
        <v>0</v>
      </c>
      <c r="S477">
        <v>0</v>
      </c>
      <c r="T477" t="s">
        <v>53</v>
      </c>
      <c r="U477">
        <v>0</v>
      </c>
      <c r="V477">
        <v>0</v>
      </c>
      <c r="W477">
        <v>0</v>
      </c>
      <c r="X477">
        <v>0.103469264139512</v>
      </c>
      <c r="Y477">
        <v>1.6220600162205999E-4</v>
      </c>
      <c r="Z477">
        <v>3.5774410774410699E-4</v>
      </c>
      <c r="AA477">
        <v>0</v>
      </c>
      <c r="AB477">
        <f t="shared" si="49"/>
        <v>1.6700668292944448E-2</v>
      </c>
      <c r="AC477">
        <f t="shared" si="54"/>
        <v>0.1</v>
      </c>
      <c r="AD477">
        <f t="shared" si="50"/>
        <v>0</v>
      </c>
      <c r="AE477">
        <f t="shared" si="55"/>
        <v>1.8370735122238895E-2</v>
      </c>
      <c r="AF477" t="str">
        <f t="shared" si="51"/>
        <v>Very Low</v>
      </c>
      <c r="AG477" t="str">
        <f t="shared" si="52"/>
        <v>NO ACTION</v>
      </c>
      <c r="AH477" t="str">
        <f t="shared" si="53"/>
        <v/>
      </c>
    </row>
    <row r="478" spans="1:34" x14ac:dyDescent="0.3">
      <c r="A478" t="s">
        <v>505</v>
      </c>
      <c r="B478">
        <v>0.12892249527410199</v>
      </c>
      <c r="C478">
        <v>0.36953165208440503</v>
      </c>
      <c r="D478">
        <v>0</v>
      </c>
      <c r="E478">
        <v>0</v>
      </c>
      <c r="F478">
        <v>0</v>
      </c>
      <c r="G478">
        <v>0.99368298340699401</v>
      </c>
      <c r="H478">
        <v>8</v>
      </c>
      <c r="I478">
        <v>8</v>
      </c>
      <c r="J478">
        <v>9.7132770383092398E-2</v>
      </c>
      <c r="K478">
        <v>2.36541598694942E-2</v>
      </c>
      <c r="L478">
        <v>6.2051909928538297E-2</v>
      </c>
      <c r="M478">
        <v>2.8860028860028799E-3</v>
      </c>
      <c r="N478">
        <v>1.7911317274374498E-2</v>
      </c>
      <c r="O478">
        <v>1163</v>
      </c>
      <c r="P478">
        <v>8.2982603815937098E-2</v>
      </c>
      <c r="Q478">
        <v>8.3137557417861704E-2</v>
      </c>
      <c r="R478">
        <v>0</v>
      </c>
      <c r="S478">
        <v>0</v>
      </c>
      <c r="T478" t="s">
        <v>28</v>
      </c>
      <c r="U478">
        <v>4.4768439108061699E-2</v>
      </c>
      <c r="V478">
        <v>0</v>
      </c>
      <c r="W478">
        <v>0</v>
      </c>
      <c r="X478">
        <v>0</v>
      </c>
      <c r="Y478">
        <v>5.5825904223200003E-2</v>
      </c>
      <c r="Z478">
        <v>5.6954089199312101E-2</v>
      </c>
      <c r="AA478">
        <v>0</v>
      </c>
      <c r="AB478">
        <f t="shared" si="49"/>
        <v>3.1578398158303392E-2</v>
      </c>
      <c r="AC478">
        <f t="shared" si="54"/>
        <v>0.25</v>
      </c>
      <c r="AD478">
        <f t="shared" si="50"/>
        <v>0</v>
      </c>
      <c r="AE478">
        <f t="shared" si="55"/>
        <v>3.9472997697879236E-2</v>
      </c>
      <c r="AF478" t="str">
        <f t="shared" si="51"/>
        <v>Very Low</v>
      </c>
      <c r="AG478" t="str">
        <f t="shared" si="52"/>
        <v>NO ACTION</v>
      </c>
      <c r="AH478" t="str">
        <f t="shared" si="53"/>
        <v/>
      </c>
    </row>
    <row r="479" spans="1:34" x14ac:dyDescent="0.3">
      <c r="A479" t="s">
        <v>506</v>
      </c>
      <c r="B479">
        <v>0.12892249527410199</v>
      </c>
      <c r="C479">
        <v>0.27259653755211899</v>
      </c>
      <c r="D479">
        <v>7.5041536061111899E-2</v>
      </c>
      <c r="E479">
        <v>0</v>
      </c>
      <c r="F479">
        <v>0</v>
      </c>
      <c r="G479">
        <v>0.99367152897189504</v>
      </c>
      <c r="H479">
        <v>7</v>
      </c>
      <c r="I479">
        <v>8</v>
      </c>
      <c r="J479">
        <v>0.115786460569629</v>
      </c>
      <c r="K479">
        <v>2.6101141924959201E-2</v>
      </c>
      <c r="L479">
        <v>5.7462771399340598E-2</v>
      </c>
      <c r="M479">
        <v>4.3290043290043203E-3</v>
      </c>
      <c r="N479">
        <v>2.2547490886306601E-2</v>
      </c>
      <c r="O479">
        <v>1279</v>
      </c>
      <c r="P479">
        <v>9.8449775533108796E-2</v>
      </c>
      <c r="Q479">
        <v>9.8600932711525605E-2</v>
      </c>
      <c r="R479">
        <v>0</v>
      </c>
      <c r="S479">
        <v>0</v>
      </c>
      <c r="T479" t="s">
        <v>28</v>
      </c>
      <c r="U479">
        <v>3.3962264150943298E-2</v>
      </c>
      <c r="V479">
        <v>0</v>
      </c>
      <c r="W479">
        <v>0</v>
      </c>
      <c r="X479">
        <v>2.25124608183335E-2</v>
      </c>
      <c r="Y479">
        <v>5.8652925079488202E-2</v>
      </c>
      <c r="Z479">
        <v>6.8088861674387893E-2</v>
      </c>
      <c r="AA479">
        <v>0</v>
      </c>
      <c r="AB479">
        <f t="shared" si="49"/>
        <v>3.9089694022018673E-2</v>
      </c>
      <c r="AC479">
        <f t="shared" si="54"/>
        <v>0.25</v>
      </c>
      <c r="AD479">
        <f t="shared" si="50"/>
        <v>0</v>
      </c>
      <c r="AE479">
        <f t="shared" si="55"/>
        <v>4.8862117527523341E-2</v>
      </c>
      <c r="AF479" t="str">
        <f t="shared" si="51"/>
        <v>Very Low</v>
      </c>
      <c r="AG479" t="str">
        <f t="shared" si="52"/>
        <v>NO ACTION</v>
      </c>
      <c r="AH479" t="str">
        <f t="shared" si="53"/>
        <v/>
      </c>
    </row>
    <row r="480" spans="1:34" x14ac:dyDescent="0.3">
      <c r="A480" t="s">
        <v>507</v>
      </c>
      <c r="B480">
        <v>0.12892249527410199</v>
      </c>
      <c r="C480">
        <v>0.18476582604220201</v>
      </c>
      <c r="D480">
        <v>0</v>
      </c>
      <c r="E480">
        <v>0</v>
      </c>
      <c r="F480">
        <v>0</v>
      </c>
      <c r="G480">
        <v>0.99365089493109704</v>
      </c>
      <c r="H480">
        <v>7</v>
      </c>
      <c r="I480">
        <v>7</v>
      </c>
      <c r="J480">
        <v>0.103716425743046</v>
      </c>
      <c r="K480">
        <v>1.7944535073409401E-2</v>
      </c>
      <c r="L480">
        <v>4.40925900778786E-2</v>
      </c>
      <c r="M480">
        <v>4.3290043290043203E-3</v>
      </c>
      <c r="N480">
        <v>2.5165441870352301E-2</v>
      </c>
      <c r="O480">
        <v>1175</v>
      </c>
      <c r="P480">
        <v>8.6069023569023503E-2</v>
      </c>
      <c r="Q480">
        <v>8.62232196079806E-2</v>
      </c>
      <c r="R480">
        <v>0</v>
      </c>
      <c r="S480">
        <v>0</v>
      </c>
      <c r="T480" t="s">
        <v>28</v>
      </c>
      <c r="U480">
        <v>2.33490566037735E-2</v>
      </c>
      <c r="V480">
        <v>0</v>
      </c>
      <c r="W480">
        <v>0</v>
      </c>
      <c r="X480">
        <v>0</v>
      </c>
      <c r="Y480">
        <v>5.03392127486543E-2</v>
      </c>
      <c r="Z480">
        <v>6.1707590889555103E-2</v>
      </c>
      <c r="AA480">
        <v>0</v>
      </c>
      <c r="AB480">
        <f t="shared" si="49"/>
        <v>3.1373105018698638E-2</v>
      </c>
      <c r="AC480">
        <f t="shared" si="54"/>
        <v>0.25</v>
      </c>
      <c r="AD480">
        <f t="shared" si="50"/>
        <v>0</v>
      </c>
      <c r="AE480">
        <f t="shared" si="55"/>
        <v>3.9216381273373298E-2</v>
      </c>
      <c r="AF480" t="str">
        <f t="shared" si="51"/>
        <v>Very Low</v>
      </c>
      <c r="AG480" t="str">
        <f t="shared" si="52"/>
        <v>NO ACTION</v>
      </c>
      <c r="AH480" t="str">
        <f t="shared" si="53"/>
        <v/>
      </c>
    </row>
    <row r="481" spans="1:34" x14ac:dyDescent="0.3">
      <c r="A481" t="s">
        <v>508</v>
      </c>
      <c r="B481">
        <v>0.26540642722117203</v>
      </c>
      <c r="C481">
        <v>0.62888424926262398</v>
      </c>
      <c r="D481">
        <v>0.38260854944407802</v>
      </c>
      <c r="E481">
        <v>0</v>
      </c>
      <c r="F481">
        <v>0</v>
      </c>
      <c r="G481">
        <v>0.40876492663004599</v>
      </c>
      <c r="H481">
        <v>7</v>
      </c>
      <c r="I481">
        <v>16</v>
      </c>
      <c r="J481">
        <v>0.10285768808740001</v>
      </c>
      <c r="K481">
        <v>2.36541598694942E-2</v>
      </c>
      <c r="L481">
        <v>5.86061768459726E-2</v>
      </c>
      <c r="M481">
        <v>1.1544011544011501E-3</v>
      </c>
      <c r="N481">
        <v>6.7666818245254098E-3</v>
      </c>
      <c r="O481">
        <v>1160</v>
      </c>
      <c r="P481">
        <v>8.6349607182940505E-2</v>
      </c>
      <c r="Q481">
        <v>8.6503734352536901E-2</v>
      </c>
      <c r="R481">
        <v>0.59734513274336198</v>
      </c>
      <c r="S481">
        <v>1</v>
      </c>
      <c r="T481" t="s">
        <v>28</v>
      </c>
      <c r="U481">
        <v>9.8490566037735802E-2</v>
      </c>
      <c r="V481">
        <v>0</v>
      </c>
      <c r="W481">
        <v>0</v>
      </c>
      <c r="X481">
        <v>0.11478256483322299</v>
      </c>
      <c r="Y481">
        <v>5.1904630587823998E-2</v>
      </c>
      <c r="Z481">
        <v>5.45164370395744E-2</v>
      </c>
      <c r="AA481">
        <v>0.59734513274336198</v>
      </c>
      <c r="AB481">
        <f t="shared" si="49"/>
        <v>0.21541974647712861</v>
      </c>
      <c r="AC481">
        <f t="shared" si="54"/>
        <v>0.25</v>
      </c>
      <c r="AD481">
        <f t="shared" si="50"/>
        <v>0</v>
      </c>
      <c r="AE481">
        <f t="shared" si="55"/>
        <v>0.26927468309641078</v>
      </c>
      <c r="AF481" t="str">
        <f t="shared" si="51"/>
        <v>Low</v>
      </c>
      <c r="AG481" t="str">
        <f t="shared" si="52"/>
        <v>NO ACTION</v>
      </c>
      <c r="AH481" t="str">
        <f t="shared" si="53"/>
        <v/>
      </c>
    </row>
    <row r="482" spans="1:34" x14ac:dyDescent="0.3">
      <c r="A482" t="s">
        <v>509</v>
      </c>
      <c r="B482">
        <v>0.12892249527410199</v>
      </c>
      <c r="C482">
        <v>0.36953165208440503</v>
      </c>
      <c r="D482">
        <v>0</v>
      </c>
      <c r="E482">
        <v>0</v>
      </c>
      <c r="F482">
        <v>0</v>
      </c>
      <c r="G482">
        <v>0.99367305444572795</v>
      </c>
      <c r="H482">
        <v>8</v>
      </c>
      <c r="I482">
        <v>8</v>
      </c>
      <c r="J482">
        <v>0.10729449930823901</v>
      </c>
      <c r="K482">
        <v>1.2234910277324601E-2</v>
      </c>
      <c r="L482">
        <v>2.90628036358688E-2</v>
      </c>
      <c r="M482">
        <v>2.0202020202020202E-3</v>
      </c>
      <c r="N482">
        <v>1.1353105141925E-2</v>
      </c>
      <c r="O482">
        <v>1035</v>
      </c>
      <c r="P482">
        <v>8.5122053872053793E-2</v>
      </c>
      <c r="Q482">
        <v>8.5276482345103197E-2</v>
      </c>
      <c r="R482">
        <v>0</v>
      </c>
      <c r="S482">
        <v>0</v>
      </c>
      <c r="T482" t="s">
        <v>28</v>
      </c>
      <c r="U482">
        <v>3.1839622641509399E-2</v>
      </c>
      <c r="V482">
        <v>0</v>
      </c>
      <c r="W482">
        <v>0</v>
      </c>
      <c r="X482">
        <v>0</v>
      </c>
      <c r="Y482">
        <v>3.9396233222159703E-2</v>
      </c>
      <c r="Z482">
        <v>5.5614474380002298E-2</v>
      </c>
      <c r="AA482">
        <v>0</v>
      </c>
      <c r="AB482">
        <f t="shared" si="49"/>
        <v>2.6602998128605365E-2</v>
      </c>
      <c r="AC482">
        <f t="shared" si="54"/>
        <v>0.25</v>
      </c>
      <c r="AD482">
        <f t="shared" si="50"/>
        <v>0</v>
      </c>
      <c r="AE482">
        <f t="shared" si="55"/>
        <v>3.3253747660756706E-2</v>
      </c>
      <c r="AF482" t="str">
        <f t="shared" si="51"/>
        <v>Very Low</v>
      </c>
      <c r="AG482" t="str">
        <f t="shared" si="52"/>
        <v>NO ACTION</v>
      </c>
      <c r="AH482" t="str">
        <f t="shared" si="53"/>
        <v/>
      </c>
    </row>
    <row r="483" spans="1:34" x14ac:dyDescent="0.3">
      <c r="A483" t="s">
        <v>510</v>
      </c>
      <c r="B483">
        <v>0.236672967863894</v>
      </c>
      <c r="C483">
        <v>0.67160911370895904</v>
      </c>
      <c r="D483">
        <v>0.37295559090215302</v>
      </c>
      <c r="E483">
        <v>0</v>
      </c>
      <c r="F483">
        <v>0</v>
      </c>
      <c r="G483">
        <v>0.47642163492723599</v>
      </c>
      <c r="H483">
        <v>7</v>
      </c>
      <c r="I483">
        <v>14</v>
      </c>
      <c r="J483">
        <v>9.1455560326320295E-2</v>
      </c>
      <c r="K483">
        <v>1.71288743882544E-2</v>
      </c>
      <c r="L483">
        <v>4.7716224325363002E-2</v>
      </c>
      <c r="M483">
        <v>2.0202020202020202E-3</v>
      </c>
      <c r="N483">
        <v>1.3314203428667499E-2</v>
      </c>
      <c r="O483">
        <v>1072</v>
      </c>
      <c r="P483">
        <v>7.5582210998877603E-2</v>
      </c>
      <c r="Q483">
        <v>7.5738981030190403E-2</v>
      </c>
      <c r="R483">
        <v>0</v>
      </c>
      <c r="S483">
        <v>0</v>
      </c>
      <c r="T483" t="s">
        <v>53</v>
      </c>
      <c r="U483">
        <v>4.4575471698113198E-2</v>
      </c>
      <c r="V483">
        <v>0</v>
      </c>
      <c r="W483">
        <v>0</v>
      </c>
      <c r="X483">
        <v>0.111886677270645</v>
      </c>
      <c r="Y483">
        <v>4.6143485256545803E-2</v>
      </c>
      <c r="Z483">
        <v>5.0675007970793599E-2</v>
      </c>
      <c r="AA483">
        <v>0</v>
      </c>
      <c r="AB483">
        <f t="shared" si="49"/>
        <v>4.5011046466958235E-2</v>
      </c>
      <c r="AC483">
        <f t="shared" si="54"/>
        <v>0.1</v>
      </c>
      <c r="AD483">
        <f t="shared" si="50"/>
        <v>0</v>
      </c>
      <c r="AE483">
        <f t="shared" si="55"/>
        <v>4.9512151113654063E-2</v>
      </c>
      <c r="AF483" t="str">
        <f t="shared" si="51"/>
        <v>Very Low</v>
      </c>
      <c r="AG483" t="str">
        <f t="shared" si="52"/>
        <v>NO ACTION</v>
      </c>
      <c r="AH483" t="str">
        <f t="shared" si="53"/>
        <v/>
      </c>
    </row>
    <row r="484" spans="1:34" x14ac:dyDescent="0.3">
      <c r="A484" t="s">
        <v>511</v>
      </c>
      <c r="B484">
        <v>0.14744801512287301</v>
      </c>
      <c r="C484">
        <v>0.37984852561975602</v>
      </c>
      <c r="D484">
        <v>0.27235137701784101</v>
      </c>
      <c r="E484">
        <v>0</v>
      </c>
      <c r="F484">
        <v>0</v>
      </c>
      <c r="G484">
        <v>0.85125879860952103</v>
      </c>
      <c r="H484">
        <v>7</v>
      </c>
      <c r="I484">
        <v>17</v>
      </c>
      <c r="J484">
        <v>8.9404131482276605E-2</v>
      </c>
      <c r="K484">
        <v>1.5497553017944501E-2</v>
      </c>
      <c r="L484">
        <v>4.4159788132329902E-2</v>
      </c>
      <c r="M484">
        <v>3.1746031746031698E-3</v>
      </c>
      <c r="N484">
        <v>2.1401116770994301E-2</v>
      </c>
      <c r="O484">
        <v>1062</v>
      </c>
      <c r="P484">
        <v>7.3933782267115597E-2</v>
      </c>
      <c r="Q484">
        <v>7.4090956905922295E-2</v>
      </c>
      <c r="R484">
        <v>0.370206489675516</v>
      </c>
      <c r="S484">
        <v>1</v>
      </c>
      <c r="T484" t="s">
        <v>53</v>
      </c>
      <c r="U484">
        <v>2.6886792452830099E-2</v>
      </c>
      <c r="V484">
        <v>0</v>
      </c>
      <c r="W484">
        <v>0</v>
      </c>
      <c r="X484">
        <v>8.1705413105352301E-2</v>
      </c>
      <c r="Y484">
        <v>4.6381055393918597E-2</v>
      </c>
      <c r="Z484">
        <v>5.2920716068667099E-2</v>
      </c>
      <c r="AA484">
        <v>0.370206489675516</v>
      </c>
      <c r="AB484">
        <f t="shared" si="49"/>
        <v>0.14453517921552486</v>
      </c>
      <c r="AC484">
        <f t="shared" si="54"/>
        <v>0.1</v>
      </c>
      <c r="AD484">
        <f t="shared" si="50"/>
        <v>0</v>
      </c>
      <c r="AE484">
        <f t="shared" si="55"/>
        <v>0.15898869713707736</v>
      </c>
      <c r="AF484" t="str">
        <f t="shared" si="51"/>
        <v>Very Low</v>
      </c>
      <c r="AG484" t="str">
        <f t="shared" si="52"/>
        <v>NO ACTION</v>
      </c>
      <c r="AH484" t="str">
        <f t="shared" si="53"/>
        <v/>
      </c>
    </row>
    <row r="485" spans="1:34" x14ac:dyDescent="0.3">
      <c r="A485" t="s">
        <v>512</v>
      </c>
      <c r="B485">
        <v>0.148960302457466</v>
      </c>
      <c r="C485">
        <v>0.45030867150989001</v>
      </c>
      <c r="D485">
        <v>0.40385284644501301</v>
      </c>
      <c r="E485">
        <v>0.57230597431602404</v>
      </c>
      <c r="F485">
        <v>7.0351758793969807E-2</v>
      </c>
      <c r="G485">
        <v>0.842386866129201</v>
      </c>
      <c r="H485">
        <v>0</v>
      </c>
      <c r="I485">
        <v>23</v>
      </c>
      <c r="J485">
        <v>9.4318019178474294E-2</v>
      </c>
      <c r="K485">
        <v>1.6313213703099501E-3</v>
      </c>
      <c r="L485">
        <v>4.4068321153883797E-3</v>
      </c>
      <c r="M485">
        <v>1.44300144300144E-3</v>
      </c>
      <c r="N485">
        <v>9.2222498882438293E-3</v>
      </c>
      <c r="O485">
        <v>336</v>
      </c>
      <c r="P485">
        <v>7.0742143658810305E-2</v>
      </c>
      <c r="Q485">
        <v>7.0900101686594899E-2</v>
      </c>
      <c r="R485">
        <v>0.43952802359881998</v>
      </c>
      <c r="S485">
        <v>1</v>
      </c>
      <c r="T485" t="s">
        <v>53</v>
      </c>
      <c r="U485">
        <v>5.6603773584905596E-3</v>
      </c>
      <c r="V485">
        <v>0</v>
      </c>
      <c r="W485">
        <v>1.0117327112298799E-2</v>
      </c>
      <c r="X485">
        <v>0.32098834974589902</v>
      </c>
      <c r="Y485">
        <v>2.3833694859862201E-2</v>
      </c>
      <c r="Z485">
        <v>4.6134186150583699E-2</v>
      </c>
      <c r="AA485">
        <v>0.43952802359881998</v>
      </c>
      <c r="AB485">
        <f t="shared" si="49"/>
        <v>0.19401698924993832</v>
      </c>
      <c r="AC485">
        <f t="shared" si="54"/>
        <v>0.1</v>
      </c>
      <c r="AD485">
        <f t="shared" si="50"/>
        <v>0.05</v>
      </c>
      <c r="AE485">
        <f t="shared" si="55"/>
        <v>0.22311953763742909</v>
      </c>
      <c r="AF485" t="str">
        <f t="shared" si="51"/>
        <v>Low</v>
      </c>
      <c r="AG485" t="str">
        <f t="shared" si="52"/>
        <v>NO ACTION</v>
      </c>
      <c r="AH485" t="str">
        <f t="shared" si="53"/>
        <v/>
      </c>
    </row>
    <row r="486" spans="1:34" x14ac:dyDescent="0.3">
      <c r="A486" t="s">
        <v>513</v>
      </c>
      <c r="B486">
        <v>0.12892249527410199</v>
      </c>
      <c r="C486">
        <v>0.456826810475359</v>
      </c>
      <c r="D486">
        <v>7.5018780494472401E-2</v>
      </c>
      <c r="E486">
        <v>0</v>
      </c>
      <c r="F486">
        <v>0</v>
      </c>
      <c r="G486">
        <v>0.99368881767533901</v>
      </c>
      <c r="H486">
        <v>8</v>
      </c>
      <c r="I486">
        <v>9</v>
      </c>
      <c r="J486">
        <v>9.4556557416153805E-2</v>
      </c>
      <c r="K486">
        <v>1.38662316476345E-2</v>
      </c>
      <c r="L486">
        <v>3.7363815122268801E-2</v>
      </c>
      <c r="M486">
        <v>3.1746031746031698E-3</v>
      </c>
      <c r="N486">
        <v>2.0237895527276499E-2</v>
      </c>
      <c r="O486">
        <v>1106</v>
      </c>
      <c r="P486">
        <v>7.7020202020202003E-2</v>
      </c>
      <c r="Q486">
        <v>7.7176619096041205E-2</v>
      </c>
      <c r="R486">
        <v>0</v>
      </c>
      <c r="S486">
        <v>0</v>
      </c>
      <c r="T486" t="s">
        <v>53</v>
      </c>
      <c r="U486">
        <v>2.40566037735849E-2</v>
      </c>
      <c r="V486">
        <v>0</v>
      </c>
      <c r="W486">
        <v>0</v>
      </c>
      <c r="X486">
        <v>2.25056341483417E-2</v>
      </c>
      <c r="Y486">
        <v>4.3664587702548101E-2</v>
      </c>
      <c r="Z486">
        <v>5.4307279423031797E-2</v>
      </c>
      <c r="AA486">
        <v>0</v>
      </c>
      <c r="AB486">
        <f t="shared" si="49"/>
        <v>3.1033024258897045E-2</v>
      </c>
      <c r="AC486">
        <f t="shared" si="54"/>
        <v>0.1</v>
      </c>
      <c r="AD486">
        <f t="shared" si="50"/>
        <v>0</v>
      </c>
      <c r="AE486">
        <f t="shared" si="55"/>
        <v>3.413632668478675E-2</v>
      </c>
      <c r="AF486" t="str">
        <f t="shared" si="51"/>
        <v>Very Low</v>
      </c>
      <c r="AG486" t="str">
        <f t="shared" si="52"/>
        <v>NO ACTION</v>
      </c>
      <c r="AH486" t="str">
        <f t="shared" si="53"/>
        <v/>
      </c>
    </row>
    <row r="487" spans="1:34" x14ac:dyDescent="0.3">
      <c r="A487" t="s">
        <v>514</v>
      </c>
      <c r="B487">
        <v>0.22986767485822299</v>
      </c>
      <c r="C487">
        <v>0.73996901900235101</v>
      </c>
      <c r="D487">
        <v>0.38807012007262698</v>
      </c>
      <c r="E487">
        <v>7.4437182280319494E-2</v>
      </c>
      <c r="F487">
        <v>1.9607843137254902E-2</v>
      </c>
      <c r="G487">
        <v>0.44785396946533701</v>
      </c>
      <c r="H487">
        <v>0</v>
      </c>
      <c r="I487">
        <v>23</v>
      </c>
      <c r="J487">
        <v>4.64195410524307E-2</v>
      </c>
      <c r="K487">
        <v>8.1566068515497494E-3</v>
      </c>
      <c r="L487">
        <v>4.4654096383945699E-2</v>
      </c>
      <c r="M487">
        <v>5.7720057720057698E-4</v>
      </c>
      <c r="N487">
        <v>7.4758688255620702E-3</v>
      </c>
      <c r="O487">
        <v>481</v>
      </c>
      <c r="P487">
        <v>3.7913860830527397E-2</v>
      </c>
      <c r="Q487">
        <v>3.8079876573512299E-2</v>
      </c>
      <c r="R487">
        <v>0.92035398230088405</v>
      </c>
      <c r="S487">
        <v>1</v>
      </c>
      <c r="T487" t="s">
        <v>53</v>
      </c>
      <c r="U487">
        <v>5.6603773584905599E-2</v>
      </c>
      <c r="V487">
        <v>0</v>
      </c>
      <c r="W487">
        <v>2.8572974665173601E-2</v>
      </c>
      <c r="X487">
        <v>0.146595327960785</v>
      </c>
      <c r="Y487">
        <v>3.3853717050127602E-2</v>
      </c>
      <c r="Z487">
        <v>2.5738664028541299E-2</v>
      </c>
      <c r="AA487">
        <v>0.92035398230088405</v>
      </c>
      <c r="AB487">
        <f t="shared" si="49"/>
        <v>0.2978402342200005</v>
      </c>
      <c r="AC487">
        <f t="shared" si="54"/>
        <v>0.1</v>
      </c>
      <c r="AD487">
        <f t="shared" si="50"/>
        <v>0</v>
      </c>
      <c r="AE487">
        <f t="shared" si="55"/>
        <v>0.32762425764200059</v>
      </c>
      <c r="AF487" t="str">
        <f t="shared" si="51"/>
        <v>Critical</v>
      </c>
      <c r="AG487" t="str">
        <f t="shared" si="52"/>
        <v>CRITICAL ALERT</v>
      </c>
      <c r="AH487" t="str">
        <f t="shared" si="53"/>
        <v>USB anomaly</v>
      </c>
    </row>
    <row r="488" spans="1:34" x14ac:dyDescent="0.3">
      <c r="A488" t="s">
        <v>515</v>
      </c>
      <c r="B488">
        <v>0.10056710775047201</v>
      </c>
      <c r="C488">
        <v>0.26619965307561699</v>
      </c>
      <c r="D488">
        <v>7.4633396232086605E-2</v>
      </c>
      <c r="E488">
        <v>0</v>
      </c>
      <c r="F488">
        <v>0</v>
      </c>
      <c r="G488">
        <v>0.99870216739429996</v>
      </c>
      <c r="H488">
        <v>7</v>
      </c>
      <c r="I488">
        <v>8</v>
      </c>
      <c r="J488">
        <v>3.6162396832212201E-2</v>
      </c>
      <c r="K488">
        <v>4.8939641109298502E-3</v>
      </c>
      <c r="L488">
        <v>3.4342101911008303E-2</v>
      </c>
      <c r="M488">
        <v>2.88600288600288E-4</v>
      </c>
      <c r="N488">
        <v>4.7912186837481699E-3</v>
      </c>
      <c r="O488">
        <v>436</v>
      </c>
      <c r="P488">
        <v>2.8829966329966299E-2</v>
      </c>
      <c r="Q488">
        <v>2.8998211718503399E-2</v>
      </c>
      <c r="R488">
        <v>0</v>
      </c>
      <c r="S488">
        <v>0</v>
      </c>
      <c r="T488" t="s">
        <v>53</v>
      </c>
      <c r="U488">
        <v>5.0943396226415097E-2</v>
      </c>
      <c r="V488">
        <v>0</v>
      </c>
      <c r="W488">
        <v>0</v>
      </c>
      <c r="X488">
        <v>2.23900188696259E-2</v>
      </c>
      <c r="Y488">
        <v>2.5840895927070999E-2</v>
      </c>
      <c r="Z488">
        <v>1.9214467271479001E-2</v>
      </c>
      <c r="AA488">
        <v>0</v>
      </c>
      <c r="AB488">
        <f t="shared" si="49"/>
        <v>1.6197904714734146E-2</v>
      </c>
      <c r="AC488">
        <f t="shared" si="54"/>
        <v>0.1</v>
      </c>
      <c r="AD488">
        <f t="shared" si="50"/>
        <v>0</v>
      </c>
      <c r="AE488">
        <f t="shared" si="55"/>
        <v>1.7817695186207561E-2</v>
      </c>
      <c r="AF488" t="str">
        <f t="shared" si="51"/>
        <v>Very Low</v>
      </c>
      <c r="AG488" t="str">
        <f t="shared" si="52"/>
        <v>NO ACTION</v>
      </c>
      <c r="AH488" t="str">
        <f t="shared" si="53"/>
        <v/>
      </c>
    </row>
    <row r="489" spans="1:34" x14ac:dyDescent="0.3">
      <c r="A489" t="s">
        <v>516</v>
      </c>
      <c r="B489">
        <v>0.12892249527410199</v>
      </c>
      <c r="C489">
        <v>0.36953165208440503</v>
      </c>
      <c r="D489">
        <v>0</v>
      </c>
      <c r="E489">
        <v>0</v>
      </c>
      <c r="F489">
        <v>0</v>
      </c>
      <c r="G489">
        <v>0.99367460668226004</v>
      </c>
      <c r="H489">
        <v>8</v>
      </c>
      <c r="I489">
        <v>8</v>
      </c>
      <c r="J489">
        <v>8.98812079576356E-2</v>
      </c>
      <c r="K489">
        <v>1.9575856443719401E-2</v>
      </c>
      <c r="L489">
        <v>5.5485492341131398E-2</v>
      </c>
      <c r="M489">
        <v>2.0202020202020202E-3</v>
      </c>
      <c r="N489">
        <v>1.3546796712492801E-2</v>
      </c>
      <c r="O489">
        <v>1039</v>
      </c>
      <c r="P489">
        <v>7.54769921436588E-2</v>
      </c>
      <c r="Q489">
        <v>7.5633788000981805E-2</v>
      </c>
      <c r="R489">
        <v>0</v>
      </c>
      <c r="S489">
        <v>0</v>
      </c>
      <c r="T489" t="s">
        <v>53</v>
      </c>
      <c r="U489">
        <v>5.0943396226415097E-2</v>
      </c>
      <c r="V489">
        <v>0</v>
      </c>
      <c r="W489">
        <v>0</v>
      </c>
      <c r="X489">
        <v>0</v>
      </c>
      <c r="Y489">
        <v>4.9783026775840698E-2</v>
      </c>
      <c r="Z489">
        <v>5.0704913971192402E-2</v>
      </c>
      <c r="AA489">
        <v>0</v>
      </c>
      <c r="AB489">
        <f t="shared" si="49"/>
        <v>2.8136623409169271E-2</v>
      </c>
      <c r="AC489">
        <f t="shared" si="54"/>
        <v>0.1</v>
      </c>
      <c r="AD489">
        <f t="shared" si="50"/>
        <v>0</v>
      </c>
      <c r="AE489">
        <f t="shared" si="55"/>
        <v>3.0950285750086199E-2</v>
      </c>
      <c r="AF489" t="str">
        <f t="shared" si="51"/>
        <v>Very Low</v>
      </c>
      <c r="AG489" t="str">
        <f t="shared" si="52"/>
        <v>NO ACTION</v>
      </c>
      <c r="AH489" t="str">
        <f t="shared" si="53"/>
        <v/>
      </c>
    </row>
    <row r="490" spans="1:34" x14ac:dyDescent="0.3">
      <c r="A490" t="s">
        <v>517</v>
      </c>
      <c r="B490">
        <v>0.23705103969754199</v>
      </c>
      <c r="C490">
        <v>0.586507051604646</v>
      </c>
      <c r="D490">
        <v>0.36611906630163099</v>
      </c>
      <c r="E490">
        <v>0</v>
      </c>
      <c r="F490">
        <v>0</v>
      </c>
      <c r="G490">
        <v>0.47541799317542799</v>
      </c>
      <c r="H490">
        <v>7</v>
      </c>
      <c r="I490">
        <v>13</v>
      </c>
      <c r="J490">
        <v>8.6875626162873906E-2</v>
      </c>
      <c r="K490">
        <v>7.34094616639478E-3</v>
      </c>
      <c r="L490">
        <v>2.1524937369741998E-2</v>
      </c>
      <c r="M490">
        <v>2.3088023088023001E-3</v>
      </c>
      <c r="N490">
        <v>1.6016209663526199E-2</v>
      </c>
      <c r="O490">
        <v>1033</v>
      </c>
      <c r="P490">
        <v>6.8146745230078506E-2</v>
      </c>
      <c r="Q490">
        <v>6.8305340299449402E-2</v>
      </c>
      <c r="R490">
        <v>0</v>
      </c>
      <c r="S490">
        <v>0</v>
      </c>
      <c r="T490" t="s">
        <v>53</v>
      </c>
      <c r="U490">
        <v>1.6981132075471601E-2</v>
      </c>
      <c r="V490">
        <v>0</v>
      </c>
      <c r="W490">
        <v>0</v>
      </c>
      <c r="X490">
        <v>0.109835719890489</v>
      </c>
      <c r="Y490">
        <v>3.2942456816503603E-2</v>
      </c>
      <c r="Z490">
        <v>4.7294531003457603E-2</v>
      </c>
      <c r="AA490">
        <v>0</v>
      </c>
      <c r="AB490">
        <f t="shared" si="49"/>
        <v>4.0040071772067379E-2</v>
      </c>
      <c r="AC490">
        <f t="shared" si="54"/>
        <v>0.1</v>
      </c>
      <c r="AD490">
        <f t="shared" si="50"/>
        <v>0</v>
      </c>
      <c r="AE490">
        <f t="shared" si="55"/>
        <v>4.4044078949274118E-2</v>
      </c>
      <c r="AF490" t="str">
        <f t="shared" si="51"/>
        <v>Very Low</v>
      </c>
      <c r="AG490" t="str">
        <f t="shared" si="52"/>
        <v>NO ACTION</v>
      </c>
      <c r="AH490" t="str">
        <f t="shared" si="53"/>
        <v/>
      </c>
    </row>
    <row r="491" spans="1:34" x14ac:dyDescent="0.3">
      <c r="A491" t="s">
        <v>518</v>
      </c>
      <c r="B491">
        <v>0.26805293005670999</v>
      </c>
      <c r="C491">
        <v>0.82457904413224203</v>
      </c>
      <c r="D491">
        <v>0.52844614746663598</v>
      </c>
      <c r="E491">
        <v>0.51114227832320402</v>
      </c>
      <c r="F491">
        <v>7.2931276297335201E-2</v>
      </c>
      <c r="G491">
        <v>0.40398871726943902</v>
      </c>
      <c r="H491">
        <v>0</v>
      </c>
      <c r="I491">
        <v>23</v>
      </c>
      <c r="J491">
        <v>8.3917752015648106E-2</v>
      </c>
      <c r="K491">
        <v>1.1419249592169599E-2</v>
      </c>
      <c r="L491">
        <v>3.4660084336110203E-2</v>
      </c>
      <c r="M491">
        <v>1.7316017316017301E-3</v>
      </c>
      <c r="N491">
        <v>1.24343532506797E-2</v>
      </c>
      <c r="O491">
        <v>866</v>
      </c>
      <c r="P491">
        <v>6.7445286195286197E-2</v>
      </c>
      <c r="Q491">
        <v>6.7604053438058795E-2</v>
      </c>
      <c r="R491">
        <v>2.9498525073746298E-2</v>
      </c>
      <c r="S491">
        <v>1</v>
      </c>
      <c r="T491" t="s">
        <v>53</v>
      </c>
      <c r="U491">
        <v>3.3962264150943298E-2</v>
      </c>
      <c r="V491">
        <v>0</v>
      </c>
      <c r="W491">
        <v>8.2491225515010994E-2</v>
      </c>
      <c r="X491">
        <v>0.34104903825588601</v>
      </c>
      <c r="Y491">
        <v>3.7843898546388602E-2</v>
      </c>
      <c r="Z491">
        <v>4.5440913017443602E-2</v>
      </c>
      <c r="AA491">
        <v>2.9498525073746298E-2</v>
      </c>
      <c r="AB491">
        <f t="shared" si="49"/>
        <v>8.6147180379463742E-2</v>
      </c>
      <c r="AC491">
        <f t="shared" si="54"/>
        <v>0.1</v>
      </c>
      <c r="AD491">
        <f t="shared" si="50"/>
        <v>0.05</v>
      </c>
      <c r="AE491">
        <f t="shared" si="55"/>
        <v>9.9069257436383312E-2</v>
      </c>
      <c r="AF491" t="str">
        <f t="shared" si="51"/>
        <v>Very Low</v>
      </c>
      <c r="AG491" t="str">
        <f t="shared" si="52"/>
        <v>NO ACTION</v>
      </c>
      <c r="AH491" t="str">
        <f t="shared" si="53"/>
        <v/>
      </c>
    </row>
    <row r="492" spans="1:34" x14ac:dyDescent="0.3">
      <c r="A492" t="s">
        <v>519</v>
      </c>
      <c r="B492">
        <v>0.12892249527410199</v>
      </c>
      <c r="C492">
        <v>0.18476582604220201</v>
      </c>
      <c r="D492">
        <v>0</v>
      </c>
      <c r="E492">
        <v>0</v>
      </c>
      <c r="F492">
        <v>0</v>
      </c>
      <c r="G492">
        <v>0.99367043170124303</v>
      </c>
      <c r="H492">
        <v>7</v>
      </c>
      <c r="I492">
        <v>7</v>
      </c>
      <c r="J492">
        <v>9.6655693907733403E-2</v>
      </c>
      <c r="K492">
        <v>2.9363784665579099E-2</v>
      </c>
      <c r="L492">
        <v>7.7409228236630198E-2</v>
      </c>
      <c r="M492">
        <v>1.1544011544011501E-3</v>
      </c>
      <c r="N492">
        <v>7.1998027684881402E-3</v>
      </c>
      <c r="O492">
        <v>1090</v>
      </c>
      <c r="P492">
        <v>8.4245230078563396E-2</v>
      </c>
      <c r="Q492">
        <v>8.43998737683649E-2</v>
      </c>
      <c r="R492">
        <v>0</v>
      </c>
      <c r="S492">
        <v>0</v>
      </c>
      <c r="T492" t="s">
        <v>28</v>
      </c>
      <c r="U492">
        <v>0.122264150943396</v>
      </c>
      <c r="V492">
        <v>0</v>
      </c>
      <c r="W492">
        <v>0</v>
      </c>
      <c r="X492">
        <v>0</v>
      </c>
      <c r="Y492">
        <v>6.0195693730408201E-2</v>
      </c>
      <c r="Z492">
        <v>5.3427059154533302E-2</v>
      </c>
      <c r="AA492">
        <v>0</v>
      </c>
      <c r="AB492">
        <f t="shared" si="49"/>
        <v>3.1814370807783626E-2</v>
      </c>
      <c r="AC492">
        <f t="shared" si="54"/>
        <v>0.25</v>
      </c>
      <c r="AD492">
        <f t="shared" si="50"/>
        <v>0</v>
      </c>
      <c r="AE492">
        <f t="shared" si="55"/>
        <v>3.9767963509729533E-2</v>
      </c>
      <c r="AF492" t="str">
        <f t="shared" si="51"/>
        <v>Very Low</v>
      </c>
      <c r="AG492" t="str">
        <f t="shared" si="52"/>
        <v>NO ACTION</v>
      </c>
      <c r="AH492" t="str">
        <f t="shared" si="53"/>
        <v/>
      </c>
    </row>
    <row r="493" spans="1:34" x14ac:dyDescent="0.3">
      <c r="A493" t="s">
        <v>520</v>
      </c>
      <c r="B493">
        <v>0.12892249527410199</v>
      </c>
      <c r="C493">
        <v>0.18476582604220201</v>
      </c>
      <c r="D493">
        <v>0</v>
      </c>
      <c r="E493">
        <v>0</v>
      </c>
      <c r="F493">
        <v>0</v>
      </c>
      <c r="G493">
        <v>0.99367342912351198</v>
      </c>
      <c r="H493">
        <v>7</v>
      </c>
      <c r="I493">
        <v>7</v>
      </c>
      <c r="J493">
        <v>6.22584800343495E-2</v>
      </c>
      <c r="K493">
        <v>2.0391517128874301E-2</v>
      </c>
      <c r="L493">
        <v>8.3342950884539899E-2</v>
      </c>
      <c r="M493">
        <v>2.8860028860028799E-3</v>
      </c>
      <c r="N493">
        <v>2.79061057687011E-2</v>
      </c>
      <c r="O493">
        <v>599</v>
      </c>
      <c r="P493">
        <v>5.5941358024691301E-2</v>
      </c>
      <c r="Q493">
        <v>5.6102948911252101E-2</v>
      </c>
      <c r="R493">
        <v>0</v>
      </c>
      <c r="S493">
        <v>0</v>
      </c>
      <c r="T493" t="s">
        <v>53</v>
      </c>
      <c r="U493">
        <v>3.8593481989708397E-2</v>
      </c>
      <c r="V493">
        <v>0</v>
      </c>
      <c r="W493">
        <v>0</v>
      </c>
      <c r="X493">
        <v>0</v>
      </c>
      <c r="Y493">
        <v>6.2495003179750201E-2</v>
      </c>
      <c r="Z493">
        <v>4.4727257122295201E-2</v>
      </c>
      <c r="AA493">
        <v>0</v>
      </c>
      <c r="AB493">
        <f t="shared" si="49"/>
        <v>3.0022232884572717E-2</v>
      </c>
      <c r="AC493">
        <f t="shared" si="54"/>
        <v>0.1</v>
      </c>
      <c r="AD493">
        <f t="shared" si="50"/>
        <v>0</v>
      </c>
      <c r="AE493">
        <f t="shared" si="55"/>
        <v>3.3024456173029994E-2</v>
      </c>
      <c r="AF493" t="str">
        <f t="shared" si="51"/>
        <v>Very Low</v>
      </c>
      <c r="AG493" t="str">
        <f t="shared" si="52"/>
        <v>NO ACTION</v>
      </c>
      <c r="AH493" t="str">
        <f t="shared" si="53"/>
        <v/>
      </c>
    </row>
    <row r="494" spans="1:34" x14ac:dyDescent="0.3">
      <c r="A494" t="s">
        <v>521</v>
      </c>
      <c r="B494">
        <v>0.12892249527410199</v>
      </c>
      <c r="C494">
        <v>0.18476582604220201</v>
      </c>
      <c r="D494">
        <v>0</v>
      </c>
      <c r="E494">
        <v>0</v>
      </c>
      <c r="F494">
        <v>0</v>
      </c>
      <c r="G494">
        <v>0.99368343837287398</v>
      </c>
      <c r="H494">
        <v>7</v>
      </c>
      <c r="I494">
        <v>7</v>
      </c>
      <c r="J494">
        <v>8.3154429655073706E-2</v>
      </c>
      <c r="K494">
        <v>1.0603588907014599E-2</v>
      </c>
      <c r="L494">
        <v>3.2478957747453401E-2</v>
      </c>
      <c r="M494">
        <v>8.6580086580086504E-4</v>
      </c>
      <c r="N494">
        <v>6.2740844205374999E-3</v>
      </c>
      <c r="O494">
        <v>1058</v>
      </c>
      <c r="P494">
        <v>6.6112514029180697E-2</v>
      </c>
      <c r="Q494">
        <v>6.6271608401416604E-2</v>
      </c>
      <c r="R494">
        <v>0</v>
      </c>
      <c r="S494">
        <v>0</v>
      </c>
      <c r="T494" t="s">
        <v>53</v>
      </c>
      <c r="U494">
        <v>5.5188679245283E-2</v>
      </c>
      <c r="V494">
        <v>0</v>
      </c>
      <c r="W494">
        <v>0</v>
      </c>
      <c r="X494">
        <v>0</v>
      </c>
      <c r="Y494">
        <v>3.4752590130902698E-2</v>
      </c>
      <c r="Z494">
        <v>4.2177142185723403E-2</v>
      </c>
      <c r="AA494">
        <v>0</v>
      </c>
      <c r="AB494">
        <f t="shared" si="49"/>
        <v>2.1540325048655311E-2</v>
      </c>
      <c r="AC494">
        <f t="shared" si="54"/>
        <v>0.1</v>
      </c>
      <c r="AD494">
        <f t="shared" si="50"/>
        <v>0</v>
      </c>
      <c r="AE494">
        <f t="shared" si="55"/>
        <v>2.3694357553520843E-2</v>
      </c>
      <c r="AF494" t="str">
        <f t="shared" si="51"/>
        <v>Very Low</v>
      </c>
      <c r="AG494" t="str">
        <f t="shared" si="52"/>
        <v>NO ACTION</v>
      </c>
      <c r="AH494" t="str">
        <f t="shared" si="53"/>
        <v/>
      </c>
    </row>
    <row r="495" spans="1:34" x14ac:dyDescent="0.3">
      <c r="A495" t="s">
        <v>522</v>
      </c>
      <c r="B495">
        <v>0.12892249527410199</v>
      </c>
      <c r="C495">
        <v>0.18476582604220201</v>
      </c>
      <c r="D495">
        <v>0</v>
      </c>
      <c r="E495">
        <v>0</v>
      </c>
      <c r="F495">
        <v>0</v>
      </c>
      <c r="G495">
        <v>0.99367610539339501</v>
      </c>
      <c r="H495">
        <v>7</v>
      </c>
      <c r="I495">
        <v>7</v>
      </c>
      <c r="J495">
        <v>8.5730642622012299E-2</v>
      </c>
      <c r="K495">
        <v>1.4681892332789499E-2</v>
      </c>
      <c r="L495">
        <v>4.3623236001275198E-2</v>
      </c>
      <c r="M495">
        <v>2.3088023088023001E-3</v>
      </c>
      <c r="N495">
        <v>1.6229522111874999E-2</v>
      </c>
      <c r="O495">
        <v>967</v>
      </c>
      <c r="P495">
        <v>7.0461560044893304E-2</v>
      </c>
      <c r="Q495">
        <v>7.0619586942038598E-2</v>
      </c>
      <c r="R495">
        <v>0.96460176991150404</v>
      </c>
      <c r="S495">
        <v>1</v>
      </c>
      <c r="T495" t="s">
        <v>53</v>
      </c>
      <c r="U495">
        <v>3.3962264150943298E-2</v>
      </c>
      <c r="V495">
        <v>0</v>
      </c>
      <c r="W495">
        <v>0</v>
      </c>
      <c r="X495">
        <v>0</v>
      </c>
      <c r="Y495">
        <v>4.3826603158602602E-2</v>
      </c>
      <c r="Z495">
        <v>4.8768744871685997E-2</v>
      </c>
      <c r="AA495">
        <v>0.96460176991150404</v>
      </c>
      <c r="AB495">
        <f t="shared" si="49"/>
        <v>0.29601519302370194</v>
      </c>
      <c r="AC495">
        <f t="shared" si="54"/>
        <v>0.1</v>
      </c>
      <c r="AD495">
        <f t="shared" si="50"/>
        <v>0</v>
      </c>
      <c r="AE495">
        <f t="shared" si="55"/>
        <v>0.32561671232607214</v>
      </c>
      <c r="AF495" t="str">
        <f t="shared" si="51"/>
        <v>Critical</v>
      </c>
      <c r="AG495" t="str">
        <f t="shared" si="52"/>
        <v>CRITICAL ALERT</v>
      </c>
      <c r="AH495" t="str">
        <f t="shared" si="53"/>
        <v>USB anomaly</v>
      </c>
    </row>
    <row r="496" spans="1:34" x14ac:dyDescent="0.3">
      <c r="A496" t="s">
        <v>523</v>
      </c>
      <c r="B496">
        <v>0.25482041587901699</v>
      </c>
      <c r="C496">
        <v>0.51859788636919102</v>
      </c>
      <c r="D496">
        <v>0.36707345388086299</v>
      </c>
      <c r="E496">
        <v>0</v>
      </c>
      <c r="F496">
        <v>0.224188790560471</v>
      </c>
      <c r="G496">
        <v>0.43202333439984197</v>
      </c>
      <c r="H496">
        <v>6</v>
      </c>
      <c r="I496">
        <v>14</v>
      </c>
      <c r="J496">
        <v>8.9690377367491997E-2</v>
      </c>
      <c r="K496">
        <v>1.71288743882544E-2</v>
      </c>
      <c r="L496">
        <v>4.8652829259070399E-2</v>
      </c>
      <c r="M496">
        <v>2.59740259740259E-3</v>
      </c>
      <c r="N496">
        <v>1.7454269868062901E-2</v>
      </c>
      <c r="O496">
        <v>1029</v>
      </c>
      <c r="P496">
        <v>7.4565095398428705E-2</v>
      </c>
      <c r="Q496">
        <v>7.4722115081173907E-2</v>
      </c>
      <c r="R496">
        <v>0.59734513274336198</v>
      </c>
      <c r="S496">
        <v>1</v>
      </c>
      <c r="T496" t="s">
        <v>53</v>
      </c>
      <c r="U496">
        <v>3.5660377358490501E-2</v>
      </c>
      <c r="V496">
        <v>0</v>
      </c>
      <c r="W496">
        <v>0.35594780673972398</v>
      </c>
      <c r="X496">
        <v>0.19979755238844699</v>
      </c>
      <c r="Y496">
        <v>4.7500771063452497E-2</v>
      </c>
      <c r="Z496">
        <v>5.1720765186282401E-2</v>
      </c>
      <c r="AA496">
        <v>0.59734513274336198</v>
      </c>
      <c r="AB496">
        <f t="shared" si="49"/>
        <v>0.22700627570021867</v>
      </c>
      <c r="AC496">
        <f t="shared" si="54"/>
        <v>0.1</v>
      </c>
      <c r="AD496">
        <f t="shared" si="50"/>
        <v>0</v>
      </c>
      <c r="AE496">
        <f t="shared" si="55"/>
        <v>0.24970690327024056</v>
      </c>
      <c r="AF496" t="str">
        <f t="shared" si="51"/>
        <v>Low</v>
      </c>
      <c r="AG496" t="str">
        <f t="shared" si="52"/>
        <v>NO ACTION</v>
      </c>
      <c r="AH496" t="str">
        <f t="shared" si="53"/>
        <v/>
      </c>
    </row>
    <row r="497" spans="1:34" x14ac:dyDescent="0.3">
      <c r="A497" t="s">
        <v>524</v>
      </c>
      <c r="B497">
        <v>0.12892249527410199</v>
      </c>
      <c r="C497">
        <v>0.28759202488308</v>
      </c>
      <c r="D497">
        <v>7.4651206918551496E-2</v>
      </c>
      <c r="E497">
        <v>0</v>
      </c>
      <c r="F497">
        <v>0</v>
      </c>
      <c r="G497">
        <v>0.99368863033644705</v>
      </c>
      <c r="H497">
        <v>7</v>
      </c>
      <c r="I497">
        <v>8</v>
      </c>
      <c r="J497">
        <v>0.106149515767377</v>
      </c>
      <c r="K497">
        <v>1.7944535073409401E-2</v>
      </c>
      <c r="L497">
        <v>4.3084194520043702E-2</v>
      </c>
      <c r="M497">
        <v>3.4632034632034602E-3</v>
      </c>
      <c r="N497">
        <v>1.9671927474618E-2</v>
      </c>
      <c r="O497">
        <v>1240</v>
      </c>
      <c r="P497">
        <v>8.7436868686868702E-2</v>
      </c>
      <c r="Q497">
        <v>8.7590728987692407E-2</v>
      </c>
      <c r="R497">
        <v>0</v>
      </c>
      <c r="S497">
        <v>0</v>
      </c>
      <c r="T497" t="s">
        <v>28</v>
      </c>
      <c r="U497">
        <v>2.8737300435413601E-2</v>
      </c>
      <c r="V497">
        <v>0</v>
      </c>
      <c r="W497">
        <v>0</v>
      </c>
      <c r="X497">
        <v>2.23953620755654E-2</v>
      </c>
      <c r="Y497">
        <v>4.8673578655882802E-2</v>
      </c>
      <c r="Z497">
        <v>6.0330892201968397E-2</v>
      </c>
      <c r="AA497">
        <v>0</v>
      </c>
      <c r="AB497">
        <f t="shared" si="49"/>
        <v>3.41045097722888E-2</v>
      </c>
      <c r="AC497">
        <f t="shared" si="54"/>
        <v>0.25</v>
      </c>
      <c r="AD497">
        <f t="shared" si="50"/>
        <v>0</v>
      </c>
      <c r="AE497">
        <f t="shared" si="55"/>
        <v>4.2630637215360999E-2</v>
      </c>
      <c r="AF497" t="str">
        <f t="shared" si="51"/>
        <v>Very Low</v>
      </c>
      <c r="AG497" t="str">
        <f t="shared" si="52"/>
        <v>NO ACTION</v>
      </c>
      <c r="AH497" t="str">
        <f t="shared" si="53"/>
        <v/>
      </c>
    </row>
    <row r="498" spans="1:34" x14ac:dyDescent="0.3">
      <c r="A498" t="s">
        <v>525</v>
      </c>
      <c r="B498">
        <v>0.12892249527410199</v>
      </c>
      <c r="C498">
        <v>0.36953165208440503</v>
      </c>
      <c r="D498">
        <v>0</v>
      </c>
      <c r="E498">
        <v>0</v>
      </c>
      <c r="F498">
        <v>0</v>
      </c>
      <c r="G498">
        <v>0.99366312548446301</v>
      </c>
      <c r="H498">
        <v>8</v>
      </c>
      <c r="I498">
        <v>8</v>
      </c>
      <c r="J498">
        <v>0.12461237536377</v>
      </c>
      <c r="K498">
        <v>1.9575856443719401E-2</v>
      </c>
      <c r="L498">
        <v>4.0050475747954603E-2</v>
      </c>
      <c r="M498">
        <v>3.4632034632034602E-3</v>
      </c>
      <c r="N498">
        <v>1.6762857572945399E-2</v>
      </c>
      <c r="O498">
        <v>1318</v>
      </c>
      <c r="P498">
        <v>0.101711560044893</v>
      </c>
      <c r="Q498">
        <v>0.101861916616992</v>
      </c>
      <c r="R498">
        <v>0</v>
      </c>
      <c r="S498">
        <v>0</v>
      </c>
      <c r="T498" t="s">
        <v>28</v>
      </c>
      <c r="U498">
        <v>3.1349782293178502E-2</v>
      </c>
      <c r="V498">
        <v>0</v>
      </c>
      <c r="W498">
        <v>0</v>
      </c>
      <c r="X498">
        <v>0</v>
      </c>
      <c r="Y498">
        <v>4.9976570218615103E-2</v>
      </c>
      <c r="Z498">
        <v>6.7732079056114197E-2</v>
      </c>
      <c r="AA498">
        <v>0</v>
      </c>
      <c r="AB498">
        <f t="shared" si="49"/>
        <v>3.2958421796924209E-2</v>
      </c>
      <c r="AC498">
        <f t="shared" si="54"/>
        <v>0.25</v>
      </c>
      <c r="AD498">
        <f t="shared" si="50"/>
        <v>0</v>
      </c>
      <c r="AE498">
        <f t="shared" si="55"/>
        <v>4.1198027246155261E-2</v>
      </c>
      <c r="AF498" t="str">
        <f t="shared" si="51"/>
        <v>Very Low</v>
      </c>
      <c r="AG498" t="str">
        <f t="shared" si="52"/>
        <v>NO ACTION</v>
      </c>
      <c r="AH498" t="str">
        <f t="shared" si="53"/>
        <v/>
      </c>
    </row>
    <row r="499" spans="1:34" x14ac:dyDescent="0.3">
      <c r="A499" t="s">
        <v>526</v>
      </c>
      <c r="B499">
        <v>7.5614366729678598E-3</v>
      </c>
      <c r="C499">
        <v>0.27714873906330401</v>
      </c>
      <c r="D499">
        <v>7.6637438353128196E-2</v>
      </c>
      <c r="E499">
        <v>0</v>
      </c>
      <c r="F499">
        <v>0</v>
      </c>
      <c r="G499">
        <v>0.92377096212028198</v>
      </c>
      <c r="H499">
        <v>7</v>
      </c>
      <c r="I499">
        <v>8</v>
      </c>
      <c r="J499">
        <v>5.7249177043080005E-4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4.2087542087541999E-4</v>
      </c>
      <c r="Q499">
        <v>5.9609383218205397E-4</v>
      </c>
      <c r="R499">
        <v>0</v>
      </c>
      <c r="S499">
        <v>0</v>
      </c>
      <c r="T499" t="s">
        <v>53</v>
      </c>
      <c r="U499">
        <v>0</v>
      </c>
      <c r="V499">
        <v>0</v>
      </c>
      <c r="W499">
        <v>0</v>
      </c>
      <c r="X499">
        <v>2.29912315059384E-2</v>
      </c>
      <c r="Y499">
        <v>1.1449835408616E-4</v>
      </c>
      <c r="Z499">
        <v>2.5252525252525198E-4</v>
      </c>
      <c r="AA499">
        <v>0</v>
      </c>
      <c r="AB499">
        <f t="shared" si="49"/>
        <v>3.7813636508013393E-3</v>
      </c>
      <c r="AC499">
        <f t="shared" si="54"/>
        <v>0.1</v>
      </c>
      <c r="AD499">
        <f t="shared" si="50"/>
        <v>0</v>
      </c>
      <c r="AE499">
        <f t="shared" si="55"/>
        <v>4.1595000158814732E-3</v>
      </c>
      <c r="AF499" t="str">
        <f t="shared" si="51"/>
        <v>Very Low</v>
      </c>
      <c r="AG499" t="str">
        <f t="shared" si="52"/>
        <v>NO ACTION</v>
      </c>
      <c r="AH499" t="str">
        <f t="shared" si="53"/>
        <v/>
      </c>
    </row>
    <row r="500" spans="1:34" x14ac:dyDescent="0.3">
      <c r="A500" t="s">
        <v>527</v>
      </c>
      <c r="B500">
        <v>0.12892249527410199</v>
      </c>
      <c r="C500">
        <v>0.18476582604220201</v>
      </c>
      <c r="D500">
        <v>0</v>
      </c>
      <c r="E500">
        <v>0</v>
      </c>
      <c r="F500">
        <v>0</v>
      </c>
      <c r="G500">
        <v>0.993685632914178</v>
      </c>
      <c r="H500">
        <v>7</v>
      </c>
      <c r="I500">
        <v>7</v>
      </c>
      <c r="J500">
        <v>9.4222603883402506E-2</v>
      </c>
      <c r="K500">
        <v>2.77324632952691E-2</v>
      </c>
      <c r="L500">
        <v>7.4991818836311203E-2</v>
      </c>
      <c r="M500">
        <v>4.0404040404040404E-3</v>
      </c>
      <c r="N500">
        <v>2.5848382818079701E-2</v>
      </c>
      <c r="O500">
        <v>979</v>
      </c>
      <c r="P500">
        <v>8.3157968574635199E-2</v>
      </c>
      <c r="Q500">
        <v>8.3312879133209394E-2</v>
      </c>
      <c r="R500">
        <v>0</v>
      </c>
      <c r="S500">
        <v>0</v>
      </c>
      <c r="T500" t="s">
        <v>53</v>
      </c>
      <c r="U500">
        <v>3.8490566037735797E-2</v>
      </c>
      <c r="V500">
        <v>0</v>
      </c>
      <c r="W500">
        <v>0</v>
      </c>
      <c r="X500">
        <v>0</v>
      </c>
      <c r="Y500">
        <v>6.4094945040260004E-2</v>
      </c>
      <c r="Z500">
        <v>6.0234134272012997E-2</v>
      </c>
      <c r="AA500">
        <v>0</v>
      </c>
      <c r="AB500">
        <f t="shared" si="49"/>
        <v>3.4812142207436447E-2</v>
      </c>
      <c r="AC500">
        <f t="shared" si="54"/>
        <v>0.1</v>
      </c>
      <c r="AD500">
        <f t="shared" si="50"/>
        <v>0</v>
      </c>
      <c r="AE500">
        <f t="shared" si="55"/>
        <v>3.8293356428180096E-2</v>
      </c>
      <c r="AF500" t="str">
        <f t="shared" si="51"/>
        <v>Very Low</v>
      </c>
      <c r="AG500" t="str">
        <f t="shared" si="52"/>
        <v>NO ACTION</v>
      </c>
      <c r="AH500" t="str">
        <f t="shared" si="53"/>
        <v/>
      </c>
    </row>
    <row r="501" spans="1:34" x14ac:dyDescent="0.3">
      <c r="A501" t="s">
        <v>528</v>
      </c>
      <c r="B501">
        <v>0.235538752362948</v>
      </c>
      <c r="C501">
        <v>0.76175384420908099</v>
      </c>
      <c r="D501">
        <v>0.36466893870164102</v>
      </c>
      <c r="E501">
        <v>0</v>
      </c>
      <c r="F501">
        <v>0</v>
      </c>
      <c r="G501">
        <v>0.47910378094825601</v>
      </c>
      <c r="H501">
        <v>8</v>
      </c>
      <c r="I501">
        <v>16</v>
      </c>
      <c r="J501">
        <v>9.6226325079910302E-2</v>
      </c>
      <c r="K501">
        <v>1.38662316476345E-2</v>
      </c>
      <c r="L501">
        <v>3.6717062634989202E-2</v>
      </c>
      <c r="M501">
        <v>4.9062049062049001E-3</v>
      </c>
      <c r="N501">
        <v>3.0735359815478501E-2</v>
      </c>
      <c r="O501">
        <v>929</v>
      </c>
      <c r="P501">
        <v>7.9089506172839497E-2</v>
      </c>
      <c r="Q501">
        <v>7.9245415337143604E-2</v>
      </c>
      <c r="R501">
        <v>0.656342182890855</v>
      </c>
      <c r="S501">
        <v>1</v>
      </c>
      <c r="T501" t="s">
        <v>28</v>
      </c>
      <c r="U501">
        <v>1.60377358490566E-2</v>
      </c>
      <c r="V501">
        <v>0</v>
      </c>
      <c r="W501">
        <v>0</v>
      </c>
      <c r="X501">
        <v>0.109400681610492</v>
      </c>
      <c r="Y501">
        <v>4.6824404278120201E-2</v>
      </c>
      <c r="Z501">
        <v>5.9747847629895101E-2</v>
      </c>
      <c r="AA501">
        <v>0.656342182890855</v>
      </c>
      <c r="AB501">
        <f t="shared" si="49"/>
        <v>0.23112015080136245</v>
      </c>
      <c r="AC501">
        <f t="shared" si="54"/>
        <v>0.25</v>
      </c>
      <c r="AD501">
        <f t="shared" si="50"/>
        <v>0</v>
      </c>
      <c r="AE501">
        <f t="shared" si="55"/>
        <v>0.28890018850170307</v>
      </c>
      <c r="AF501" t="str">
        <f t="shared" si="51"/>
        <v>Low</v>
      </c>
      <c r="AG501" t="str">
        <f t="shared" si="52"/>
        <v>NO ACTION</v>
      </c>
      <c r="AH501" t="str">
        <f t="shared" si="53"/>
        <v/>
      </c>
    </row>
    <row r="502" spans="1:34" x14ac:dyDescent="0.3">
      <c r="A502" t="s">
        <v>529</v>
      </c>
      <c r="B502">
        <v>0.26351606805292999</v>
      </c>
      <c r="C502">
        <v>0.70796149607611403</v>
      </c>
      <c r="D502">
        <v>0.39284078686318102</v>
      </c>
      <c r="E502">
        <v>0</v>
      </c>
      <c r="F502">
        <v>9.9857346647646197E-3</v>
      </c>
      <c r="G502">
        <v>0.41297632705909798</v>
      </c>
      <c r="H502">
        <v>3</v>
      </c>
      <c r="I502">
        <v>23</v>
      </c>
      <c r="J502">
        <v>7.5139544869042493E-2</v>
      </c>
      <c r="K502">
        <v>0</v>
      </c>
      <c r="L502">
        <v>0</v>
      </c>
      <c r="M502">
        <v>2.88600288600288E-4</v>
      </c>
      <c r="N502">
        <v>2.3137340858859802E-3</v>
      </c>
      <c r="O502">
        <v>309</v>
      </c>
      <c r="P502">
        <v>5.5380190796857402E-2</v>
      </c>
      <c r="Q502">
        <v>5.5541919422139603E-2</v>
      </c>
      <c r="R502">
        <v>8.8495575221238902E-3</v>
      </c>
      <c r="S502">
        <v>1</v>
      </c>
      <c r="T502" t="s">
        <v>53</v>
      </c>
      <c r="U502">
        <v>0</v>
      </c>
      <c r="V502">
        <v>0</v>
      </c>
      <c r="W502">
        <v>0</v>
      </c>
      <c r="X502">
        <v>0.12184652992486</v>
      </c>
      <c r="Y502">
        <v>1.5722029199574199E-2</v>
      </c>
      <c r="Z502">
        <v>3.41536081124688E-2</v>
      </c>
      <c r="AA502">
        <v>8.8495575221238902E-3</v>
      </c>
      <c r="AB502">
        <f t="shared" si="49"/>
        <v>3.5938499341544333E-2</v>
      </c>
      <c r="AC502">
        <f t="shared" si="54"/>
        <v>0.1</v>
      </c>
      <c r="AD502">
        <f t="shared" si="50"/>
        <v>0</v>
      </c>
      <c r="AE502">
        <f t="shared" si="55"/>
        <v>3.9532349275698771E-2</v>
      </c>
      <c r="AF502" t="str">
        <f t="shared" si="51"/>
        <v>Very Low</v>
      </c>
      <c r="AG502" t="str">
        <f t="shared" si="52"/>
        <v>NO ACTION</v>
      </c>
      <c r="AH502" t="str">
        <f t="shared" si="53"/>
        <v/>
      </c>
    </row>
    <row r="503" spans="1:34" x14ac:dyDescent="0.3">
      <c r="A503" t="s">
        <v>530</v>
      </c>
      <c r="B503">
        <v>0.236672967863894</v>
      </c>
      <c r="C503">
        <v>0.65958467106176799</v>
      </c>
      <c r="D503">
        <v>0.36325095778856298</v>
      </c>
      <c r="E503">
        <v>0</v>
      </c>
      <c r="F503">
        <v>0</v>
      </c>
      <c r="G503">
        <v>0.47634492494826702</v>
      </c>
      <c r="H503">
        <v>7</v>
      </c>
      <c r="I503">
        <v>14</v>
      </c>
      <c r="J503">
        <v>8.7638948523448307E-2</v>
      </c>
      <c r="K503">
        <v>1.1419249592169599E-2</v>
      </c>
      <c r="L503">
        <v>3.3192393468457301E-2</v>
      </c>
      <c r="M503">
        <v>2.0202020202020202E-3</v>
      </c>
      <c r="N503">
        <v>1.3892453306133999E-2</v>
      </c>
      <c r="O503">
        <v>988</v>
      </c>
      <c r="P503">
        <v>7.03212682379349E-2</v>
      </c>
      <c r="Q503">
        <v>7.0479329569760496E-2</v>
      </c>
      <c r="R503">
        <v>0</v>
      </c>
      <c r="S503">
        <v>0</v>
      </c>
      <c r="T503" t="s">
        <v>53</v>
      </c>
      <c r="U503">
        <v>2.9716981132075399E-2</v>
      </c>
      <c r="V503">
        <v>0</v>
      </c>
      <c r="W503">
        <v>0</v>
      </c>
      <c r="X503">
        <v>0.108975287336569</v>
      </c>
      <c r="Y503">
        <v>3.8291722430758499E-2</v>
      </c>
      <c r="Z503">
        <v>4.7749742265214501E-2</v>
      </c>
      <c r="AA503">
        <v>0</v>
      </c>
      <c r="AB503">
        <f t="shared" si="49"/>
        <v>4.1527656088723483E-2</v>
      </c>
      <c r="AC503">
        <f t="shared" si="54"/>
        <v>0.1</v>
      </c>
      <c r="AD503">
        <f t="shared" si="50"/>
        <v>0</v>
      </c>
      <c r="AE503">
        <f t="shared" si="55"/>
        <v>4.5680421697595834E-2</v>
      </c>
      <c r="AF503" t="str">
        <f t="shared" si="51"/>
        <v>Very Low</v>
      </c>
      <c r="AG503" t="str">
        <f t="shared" si="52"/>
        <v>NO ACTION</v>
      </c>
      <c r="AH503" t="str">
        <f t="shared" si="53"/>
        <v/>
      </c>
    </row>
    <row r="504" spans="1:34" x14ac:dyDescent="0.3">
      <c r="A504" t="s">
        <v>531</v>
      </c>
      <c r="B504">
        <v>0.12892249527410199</v>
      </c>
      <c r="C504">
        <v>0.18476582604220201</v>
      </c>
      <c r="D504">
        <v>0</v>
      </c>
      <c r="E504">
        <v>0</v>
      </c>
      <c r="F504">
        <v>0</v>
      </c>
      <c r="G504">
        <v>0.99365785323279299</v>
      </c>
      <c r="H504">
        <v>7</v>
      </c>
      <c r="I504">
        <v>7</v>
      </c>
      <c r="J504">
        <v>9.0739945613281803E-2</v>
      </c>
      <c r="K504">
        <v>1.30505709624796E-2</v>
      </c>
      <c r="L504">
        <v>3.6641179874985899E-2</v>
      </c>
      <c r="M504">
        <v>3.1746031746031698E-3</v>
      </c>
      <c r="N504">
        <v>2.10868895714202E-2</v>
      </c>
      <c r="O504">
        <v>1068</v>
      </c>
      <c r="P504">
        <v>7.3863636363636298E-2</v>
      </c>
      <c r="Q504">
        <v>7.40208282197833E-2</v>
      </c>
      <c r="R504">
        <v>0</v>
      </c>
      <c r="S504">
        <v>0</v>
      </c>
      <c r="T504" t="s">
        <v>53</v>
      </c>
      <c r="U504">
        <v>2.26415094339622E-2</v>
      </c>
      <c r="V504">
        <v>0</v>
      </c>
      <c r="W504">
        <v>0</v>
      </c>
      <c r="X504">
        <v>0</v>
      </c>
      <c r="Y504">
        <v>4.2794645931575399E-2</v>
      </c>
      <c r="Z504">
        <v>5.2752937646749903E-2</v>
      </c>
      <c r="AA504">
        <v>0</v>
      </c>
      <c r="AB504">
        <f t="shared" si="49"/>
        <v>2.6753323401931088E-2</v>
      </c>
      <c r="AC504">
        <f t="shared" si="54"/>
        <v>0.1</v>
      </c>
      <c r="AD504">
        <f t="shared" si="50"/>
        <v>0</v>
      </c>
      <c r="AE504">
        <f t="shared" si="55"/>
        <v>2.94286557421242E-2</v>
      </c>
      <c r="AF504" t="str">
        <f t="shared" si="51"/>
        <v>Very Low</v>
      </c>
      <c r="AG504" t="str">
        <f t="shared" si="52"/>
        <v>NO ACTION</v>
      </c>
      <c r="AH504" t="str">
        <f t="shared" si="53"/>
        <v/>
      </c>
    </row>
    <row r="505" spans="1:34" x14ac:dyDescent="0.3">
      <c r="A505" t="s">
        <v>532</v>
      </c>
      <c r="B505">
        <v>0.240075614366729</v>
      </c>
      <c r="C505">
        <v>0.77202622149089395</v>
      </c>
      <c r="D505">
        <v>0.36656257828236299</v>
      </c>
      <c r="E505">
        <v>0</v>
      </c>
      <c r="F505">
        <v>0</v>
      </c>
      <c r="G505">
        <v>0.46758626439647699</v>
      </c>
      <c r="H505">
        <v>8</v>
      </c>
      <c r="I505">
        <v>14</v>
      </c>
      <c r="J505">
        <v>6.8603597156624202E-2</v>
      </c>
      <c r="K505">
        <v>1.2234910277324601E-2</v>
      </c>
      <c r="L505">
        <v>4.5396784057691097E-2</v>
      </c>
      <c r="M505">
        <v>3.1746031746031698E-3</v>
      </c>
      <c r="N505">
        <v>2.78674278674278E-2</v>
      </c>
      <c r="O505">
        <v>626</v>
      </c>
      <c r="P505">
        <v>5.7239057239057201E-2</v>
      </c>
      <c r="Q505">
        <v>5.7400329604824801E-2</v>
      </c>
      <c r="R505">
        <v>0.30678466076696098</v>
      </c>
      <c r="S505">
        <v>1</v>
      </c>
      <c r="T505" t="s">
        <v>53</v>
      </c>
      <c r="U505">
        <v>2.1226415094339601E-2</v>
      </c>
      <c r="V505">
        <v>0</v>
      </c>
      <c r="W505">
        <v>0</v>
      </c>
      <c r="X505">
        <v>0.109968773484709</v>
      </c>
      <c r="Y505">
        <v>4.4779339820398799E-2</v>
      </c>
      <c r="Z505">
        <v>4.5490405490405401E-2</v>
      </c>
      <c r="AA505">
        <v>0.30678466076696098</v>
      </c>
      <c r="AB505">
        <f t="shared" si="49"/>
        <v>0.1287702374593277</v>
      </c>
      <c r="AC505">
        <f t="shared" si="54"/>
        <v>0.1</v>
      </c>
      <c r="AD505">
        <f t="shared" si="50"/>
        <v>0</v>
      </c>
      <c r="AE505">
        <f t="shared" si="55"/>
        <v>0.14164726120526047</v>
      </c>
      <c r="AF505" t="str">
        <f t="shared" si="51"/>
        <v>Very Low</v>
      </c>
      <c r="AG505" t="str">
        <f t="shared" si="52"/>
        <v>NO ACTION</v>
      </c>
      <c r="AH505" t="str">
        <f t="shared" si="53"/>
        <v/>
      </c>
    </row>
    <row r="506" spans="1:34" x14ac:dyDescent="0.3">
      <c r="A506" t="s">
        <v>533</v>
      </c>
      <c r="B506">
        <v>0.91795841209829798</v>
      </c>
      <c r="C506">
        <v>0.91851103488907504</v>
      </c>
      <c r="D506">
        <v>0.97491210501029602</v>
      </c>
      <c r="E506">
        <v>0</v>
      </c>
      <c r="F506">
        <v>0.37047697368421001</v>
      </c>
      <c r="G506">
        <v>1.31988330996472E-2</v>
      </c>
      <c r="H506">
        <v>0</v>
      </c>
      <c r="I506">
        <v>23</v>
      </c>
      <c r="J506">
        <v>4.7421401650684598E-2</v>
      </c>
      <c r="K506">
        <v>9.7879282218597003E-3</v>
      </c>
      <c r="L506">
        <v>5.2458506022220901E-2</v>
      </c>
      <c r="M506">
        <v>8.6580086580086504E-4</v>
      </c>
      <c r="N506">
        <v>1.0978077644744301E-2</v>
      </c>
      <c r="O506">
        <v>537</v>
      </c>
      <c r="P506">
        <v>3.9492143658810298E-2</v>
      </c>
      <c r="Q506">
        <v>3.96577720116413E-2</v>
      </c>
      <c r="R506">
        <v>0</v>
      </c>
      <c r="S506">
        <v>0</v>
      </c>
      <c r="T506" t="s">
        <v>53</v>
      </c>
      <c r="U506">
        <v>5.0943396226415097E-2</v>
      </c>
      <c r="V506">
        <v>0</v>
      </c>
      <c r="W506">
        <v>0</v>
      </c>
      <c r="X506">
        <v>0.440664420976773</v>
      </c>
      <c r="Y506">
        <v>3.9006956634670603E-2</v>
      </c>
      <c r="Z506">
        <v>2.8086517253183899E-2</v>
      </c>
      <c r="AA506">
        <v>0</v>
      </c>
      <c r="AB506">
        <f t="shared" si="49"/>
        <v>8.9292480044882952E-2</v>
      </c>
      <c r="AC506">
        <f t="shared" si="54"/>
        <v>0.1</v>
      </c>
      <c r="AD506">
        <f t="shared" si="50"/>
        <v>0</v>
      </c>
      <c r="AE506">
        <f t="shared" si="55"/>
        <v>9.8221728049371251E-2</v>
      </c>
      <c r="AF506" t="str">
        <f t="shared" si="51"/>
        <v>Very Low</v>
      </c>
      <c r="AG506" t="str">
        <f t="shared" si="52"/>
        <v>NO ACTION</v>
      </c>
      <c r="AH506" t="str">
        <f t="shared" si="53"/>
        <v/>
      </c>
    </row>
    <row r="507" spans="1:34" x14ac:dyDescent="0.3">
      <c r="A507" t="s">
        <v>534</v>
      </c>
      <c r="B507">
        <v>0.12892249527410199</v>
      </c>
      <c r="C507">
        <v>0.36953165208440503</v>
      </c>
      <c r="D507">
        <v>0</v>
      </c>
      <c r="E507">
        <v>0</v>
      </c>
      <c r="F507">
        <v>0</v>
      </c>
      <c r="G507">
        <v>0.993675784241009</v>
      </c>
      <c r="H507">
        <v>8</v>
      </c>
      <c r="I507">
        <v>8</v>
      </c>
      <c r="J507">
        <v>7.4376222508468107E-2</v>
      </c>
      <c r="K507">
        <v>1.4681892332789499E-2</v>
      </c>
      <c r="L507">
        <v>5.02615545232084E-2</v>
      </c>
      <c r="M507">
        <v>2.3088023088023001E-3</v>
      </c>
      <c r="N507">
        <v>1.86992319984647E-2</v>
      </c>
      <c r="O507">
        <v>844</v>
      </c>
      <c r="P507">
        <v>6.2114197530864203E-2</v>
      </c>
      <c r="Q507">
        <v>6.2274273291489803E-2</v>
      </c>
      <c r="R507">
        <v>0</v>
      </c>
      <c r="S507">
        <v>0</v>
      </c>
      <c r="T507" t="s">
        <v>53</v>
      </c>
      <c r="U507">
        <v>3.3962264150943298E-2</v>
      </c>
      <c r="V507">
        <v>0</v>
      </c>
      <c r="W507">
        <v>0</v>
      </c>
      <c r="X507">
        <v>0</v>
      </c>
      <c r="Y507">
        <v>4.5615791362837201E-2</v>
      </c>
      <c r="Z507">
        <v>4.47482113179044E-2</v>
      </c>
      <c r="AA507">
        <v>0</v>
      </c>
      <c r="AB507">
        <f t="shared" si="49"/>
        <v>2.5301920750607651E-2</v>
      </c>
      <c r="AC507">
        <f t="shared" si="54"/>
        <v>0.1</v>
      </c>
      <c r="AD507">
        <f t="shared" si="50"/>
        <v>0</v>
      </c>
      <c r="AE507">
        <f t="shared" si="55"/>
        <v>2.7832112825668418E-2</v>
      </c>
      <c r="AF507" t="str">
        <f t="shared" si="51"/>
        <v>Very Low</v>
      </c>
      <c r="AG507" t="str">
        <f t="shared" si="52"/>
        <v>NO ACTION</v>
      </c>
      <c r="AH507" t="str">
        <f t="shared" si="53"/>
        <v/>
      </c>
    </row>
    <row r="508" spans="1:34" x14ac:dyDescent="0.3">
      <c r="A508" t="s">
        <v>535</v>
      </c>
      <c r="B508">
        <v>0.261625708884688</v>
      </c>
      <c r="C508">
        <v>0.77145041735436903</v>
      </c>
      <c r="D508">
        <v>0.35180621324381101</v>
      </c>
      <c r="E508">
        <v>0</v>
      </c>
      <c r="F508">
        <v>0</v>
      </c>
      <c r="G508">
        <v>0.41706957391855898</v>
      </c>
      <c r="H508">
        <v>8</v>
      </c>
      <c r="I508">
        <v>16</v>
      </c>
      <c r="J508">
        <v>9.6178617432374394E-2</v>
      </c>
      <c r="K508">
        <v>1.6313213703099499E-2</v>
      </c>
      <c r="L508">
        <v>4.3217918123205197E-2</v>
      </c>
      <c r="M508">
        <v>2.8860028860028799E-3</v>
      </c>
      <c r="N508">
        <v>1.80885693008404E-2</v>
      </c>
      <c r="O508">
        <v>1105</v>
      </c>
      <c r="P508">
        <v>7.9124579124579097E-2</v>
      </c>
      <c r="Q508">
        <v>7.9280479680213095E-2</v>
      </c>
      <c r="R508">
        <v>0</v>
      </c>
      <c r="S508">
        <v>0</v>
      </c>
      <c r="T508" t="s">
        <v>28</v>
      </c>
      <c r="U508">
        <v>3.08747855917667E-2</v>
      </c>
      <c r="V508">
        <v>0</v>
      </c>
      <c r="W508">
        <v>0</v>
      </c>
      <c r="X508">
        <v>0.105541863973143</v>
      </c>
      <c r="Y508">
        <v>4.6271253338329599E-2</v>
      </c>
      <c r="Z508">
        <v>5.4710175195083602E-2</v>
      </c>
      <c r="AA508">
        <v>0</v>
      </c>
      <c r="AB508">
        <f t="shared" si="49"/>
        <v>4.5161498225058577E-2</v>
      </c>
      <c r="AC508">
        <f t="shared" si="54"/>
        <v>0.25</v>
      </c>
      <c r="AD508">
        <f t="shared" si="50"/>
        <v>0</v>
      </c>
      <c r="AE508">
        <f t="shared" si="55"/>
        <v>5.6451872781323222E-2</v>
      </c>
      <c r="AF508" t="str">
        <f t="shared" si="51"/>
        <v>Very Low</v>
      </c>
      <c r="AG508" t="str">
        <f t="shared" si="52"/>
        <v>NO ACTION</v>
      </c>
      <c r="AH508" t="str">
        <f t="shared" si="53"/>
        <v/>
      </c>
    </row>
    <row r="509" spans="1:34" x14ac:dyDescent="0.3">
      <c r="A509" t="s">
        <v>536</v>
      </c>
      <c r="B509">
        <v>0.12892249527410199</v>
      </c>
      <c r="C509">
        <v>0.18476582604220201</v>
      </c>
      <c r="D509">
        <v>0</v>
      </c>
      <c r="E509">
        <v>0</v>
      </c>
      <c r="F509">
        <v>0</v>
      </c>
      <c r="G509">
        <v>0.99367152897189504</v>
      </c>
      <c r="H509">
        <v>7</v>
      </c>
      <c r="I509">
        <v>7</v>
      </c>
      <c r="J509">
        <v>0.10586326988216201</v>
      </c>
      <c r="K509">
        <v>1.7944535073409401E-2</v>
      </c>
      <c r="L509">
        <v>4.3200428857777702E-2</v>
      </c>
      <c r="M509">
        <v>4.0404040404040404E-3</v>
      </c>
      <c r="N509">
        <v>2.3012499091635701E-2</v>
      </c>
      <c r="O509">
        <v>1177</v>
      </c>
      <c r="P509">
        <v>8.7507014590347904E-2</v>
      </c>
      <c r="Q509">
        <v>8.7660857673831402E-2</v>
      </c>
      <c r="R509">
        <v>0</v>
      </c>
      <c r="S509">
        <v>0</v>
      </c>
      <c r="T509" t="s">
        <v>28</v>
      </c>
      <c r="U509">
        <v>2.4905660377358401E-2</v>
      </c>
      <c r="V509">
        <v>0</v>
      </c>
      <c r="W509">
        <v>0</v>
      </c>
      <c r="X509">
        <v>0</v>
      </c>
      <c r="Y509">
        <v>4.9676618132812003E-2</v>
      </c>
      <c r="Z509">
        <v>6.1709208390863003E-2</v>
      </c>
      <c r="AA509">
        <v>0</v>
      </c>
      <c r="AB509">
        <f t="shared" si="49"/>
        <v>3.1188031426629004E-2</v>
      </c>
      <c r="AC509">
        <f t="shared" si="54"/>
        <v>0.25</v>
      </c>
      <c r="AD509">
        <f t="shared" si="50"/>
        <v>0</v>
      </c>
      <c r="AE509">
        <f t="shared" si="55"/>
        <v>3.8985039283286255E-2</v>
      </c>
      <c r="AF509" t="str">
        <f t="shared" si="51"/>
        <v>Very Low</v>
      </c>
      <c r="AG509" t="str">
        <f t="shared" si="52"/>
        <v>NO ACTION</v>
      </c>
      <c r="AH509" t="str">
        <f t="shared" si="53"/>
        <v/>
      </c>
    </row>
    <row r="510" spans="1:34" x14ac:dyDescent="0.3">
      <c r="A510" t="s">
        <v>537</v>
      </c>
      <c r="B510">
        <v>0.247258979206049</v>
      </c>
      <c r="C510">
        <v>0.67841069258048803</v>
      </c>
      <c r="D510">
        <v>0.36091165373860501</v>
      </c>
      <c r="E510">
        <v>0</v>
      </c>
      <c r="F510">
        <v>0</v>
      </c>
      <c r="G510">
        <v>0.44970392982644197</v>
      </c>
      <c r="H510">
        <v>7</v>
      </c>
      <c r="I510">
        <v>14</v>
      </c>
      <c r="J510">
        <v>7.3517484852821904E-2</v>
      </c>
      <c r="K510">
        <v>1.0603588907014599E-2</v>
      </c>
      <c r="L510">
        <v>3.6722650803718303E-2</v>
      </c>
      <c r="M510">
        <v>2.3088023088023001E-3</v>
      </c>
      <c r="N510">
        <v>1.8916946213194501E-2</v>
      </c>
      <c r="O510">
        <v>901</v>
      </c>
      <c r="P510">
        <v>5.97292368125701E-2</v>
      </c>
      <c r="Q510">
        <v>5.9889897962761597E-2</v>
      </c>
      <c r="R510">
        <v>0.69321533923303802</v>
      </c>
      <c r="S510">
        <v>1</v>
      </c>
      <c r="T510" t="s">
        <v>53</v>
      </c>
      <c r="U510">
        <v>2.4528301886792399E-2</v>
      </c>
      <c r="V510">
        <v>0</v>
      </c>
      <c r="W510">
        <v>0</v>
      </c>
      <c r="X510">
        <v>0.10827349612158101</v>
      </c>
      <c r="Y510">
        <v>3.8739906236381898E-2</v>
      </c>
      <c r="Z510">
        <v>4.3404320572819899E-2</v>
      </c>
      <c r="AA510">
        <v>0.69321533923303802</v>
      </c>
      <c r="AB510">
        <f t="shared" si="49"/>
        <v>0.23442443787128014</v>
      </c>
      <c r="AC510">
        <f t="shared" si="54"/>
        <v>0.1</v>
      </c>
      <c r="AD510">
        <f t="shared" si="50"/>
        <v>0</v>
      </c>
      <c r="AE510">
        <f t="shared" si="55"/>
        <v>0.25786688165840815</v>
      </c>
      <c r="AF510" t="str">
        <f t="shared" si="51"/>
        <v>Low</v>
      </c>
      <c r="AG510" t="str">
        <f t="shared" si="52"/>
        <v>NO ACTION</v>
      </c>
      <c r="AH510" t="str">
        <f t="shared" si="53"/>
        <v/>
      </c>
    </row>
    <row r="511" spans="1:34" x14ac:dyDescent="0.3">
      <c r="A511" t="s">
        <v>538</v>
      </c>
      <c r="B511">
        <v>0.12892249527410199</v>
      </c>
      <c r="C511">
        <v>0.18476582604220201</v>
      </c>
      <c r="D511">
        <v>0</v>
      </c>
      <c r="E511">
        <v>0</v>
      </c>
      <c r="F511">
        <v>0</v>
      </c>
      <c r="G511">
        <v>0.99366320577255896</v>
      </c>
      <c r="H511">
        <v>7</v>
      </c>
      <c r="I511">
        <v>7</v>
      </c>
      <c r="J511">
        <v>0.106626592242736</v>
      </c>
      <c r="K511">
        <v>4.0783034257748704E-3</v>
      </c>
      <c r="L511">
        <v>9.7481487195310006E-3</v>
      </c>
      <c r="M511">
        <v>1.1544011544011501E-3</v>
      </c>
      <c r="N511">
        <v>6.5280354566068797E-3</v>
      </c>
      <c r="O511">
        <v>400</v>
      </c>
      <c r="P511">
        <v>8.0702861952861901E-2</v>
      </c>
      <c r="Q511">
        <v>8.0858375118342096E-2</v>
      </c>
      <c r="R511">
        <v>0</v>
      </c>
      <c r="S511">
        <v>0</v>
      </c>
      <c r="T511" t="s">
        <v>28</v>
      </c>
      <c r="U511">
        <v>1.6981132075471601E-2</v>
      </c>
      <c r="V511">
        <v>0</v>
      </c>
      <c r="W511">
        <v>0</v>
      </c>
      <c r="X511">
        <v>0</v>
      </c>
      <c r="Y511">
        <v>2.81578034452948E-2</v>
      </c>
      <c r="Z511">
        <v>5.1032931354359899E-2</v>
      </c>
      <c r="AA511">
        <v>0</v>
      </c>
      <c r="AB511">
        <f t="shared" si="49"/>
        <v>2.2173405743903318E-2</v>
      </c>
      <c r="AC511">
        <f t="shared" si="54"/>
        <v>0.25</v>
      </c>
      <c r="AD511">
        <f t="shared" si="50"/>
        <v>0</v>
      </c>
      <c r="AE511">
        <f t="shared" si="55"/>
        <v>2.7716757179879148E-2</v>
      </c>
      <c r="AF511" t="str">
        <f t="shared" si="51"/>
        <v>Very Low</v>
      </c>
      <c r="AG511" t="str">
        <f t="shared" si="52"/>
        <v>NO ACTION</v>
      </c>
      <c r="AH511" t="str">
        <f t="shared" si="53"/>
        <v/>
      </c>
    </row>
    <row r="512" spans="1:34" x14ac:dyDescent="0.3">
      <c r="A512" t="s">
        <v>539</v>
      </c>
      <c r="B512">
        <v>0.26086956521739102</v>
      </c>
      <c r="C512">
        <v>0.61712850830810595</v>
      </c>
      <c r="D512">
        <v>0.54042617501998202</v>
      </c>
      <c r="E512">
        <v>0.525136087095741</v>
      </c>
      <c r="F512">
        <v>7.34870317002881E-2</v>
      </c>
      <c r="G512">
        <v>0.41863568616614</v>
      </c>
      <c r="H512">
        <v>0</v>
      </c>
      <c r="I512">
        <v>23</v>
      </c>
      <c r="J512">
        <v>8.9833500310099706E-2</v>
      </c>
      <c r="K512">
        <v>1.1419249592169599E-2</v>
      </c>
      <c r="L512">
        <v>3.2383680492001299E-2</v>
      </c>
      <c r="M512">
        <v>1.7316017316017301E-3</v>
      </c>
      <c r="N512">
        <v>1.16176902193851E-2</v>
      </c>
      <c r="O512">
        <v>1043</v>
      </c>
      <c r="P512">
        <v>7.1794332210998804E-2</v>
      </c>
      <c r="Q512">
        <v>7.1952031978680803E-2</v>
      </c>
      <c r="R512">
        <v>8.9970501474926204E-2</v>
      </c>
      <c r="S512">
        <v>1</v>
      </c>
      <c r="T512" t="s">
        <v>53</v>
      </c>
      <c r="U512">
        <v>3.3962264150943298E-2</v>
      </c>
      <c r="V512">
        <v>0</v>
      </c>
      <c r="W512">
        <v>7.7660688839383304E-2</v>
      </c>
      <c r="X512">
        <v>0.349063491314832</v>
      </c>
      <c r="Y512">
        <v>3.7643847373836102E-2</v>
      </c>
      <c r="Z512">
        <v>4.7723675414353302E-2</v>
      </c>
      <c r="AA512">
        <v>8.9970501474926204E-2</v>
      </c>
      <c r="AB512">
        <f t="shared" si="49"/>
        <v>0.10494480540404549</v>
      </c>
      <c r="AC512">
        <f t="shared" si="54"/>
        <v>0.1</v>
      </c>
      <c r="AD512">
        <f t="shared" si="50"/>
        <v>0.05</v>
      </c>
      <c r="AE512">
        <f t="shared" si="55"/>
        <v>0.12068652621465233</v>
      </c>
      <c r="AF512" t="str">
        <f t="shared" si="51"/>
        <v>Very Low</v>
      </c>
      <c r="AG512" t="str">
        <f t="shared" si="52"/>
        <v>NO ACTION</v>
      </c>
      <c r="AH512" t="str">
        <f t="shared" si="53"/>
        <v/>
      </c>
    </row>
    <row r="513" spans="1:34" x14ac:dyDescent="0.3">
      <c r="A513" t="s">
        <v>540</v>
      </c>
      <c r="B513">
        <v>0.27183364839319402</v>
      </c>
      <c r="C513">
        <v>0.63045268720071101</v>
      </c>
      <c r="D513">
        <v>0.38361326653390798</v>
      </c>
      <c r="E513">
        <v>0</v>
      </c>
      <c r="F513">
        <v>0</v>
      </c>
      <c r="G513">
        <v>0.396002715089948</v>
      </c>
      <c r="H513">
        <v>7</v>
      </c>
      <c r="I513">
        <v>15</v>
      </c>
      <c r="J513">
        <v>8.2486522589571107E-2</v>
      </c>
      <c r="K513">
        <v>8.9722675367047301E-3</v>
      </c>
      <c r="L513">
        <v>2.7704081251354502E-2</v>
      </c>
      <c r="M513">
        <v>5.7720057720057698E-4</v>
      </c>
      <c r="N513">
        <v>4.2164934898498898E-3</v>
      </c>
      <c r="O513">
        <v>867</v>
      </c>
      <c r="P513">
        <v>6.4779741863075196E-2</v>
      </c>
      <c r="Q513">
        <v>6.4939163364774302E-2</v>
      </c>
      <c r="R513">
        <v>0</v>
      </c>
      <c r="S513">
        <v>0</v>
      </c>
      <c r="T513" t="s">
        <v>53</v>
      </c>
      <c r="U513">
        <v>6.2264150943396199E-2</v>
      </c>
      <c r="V513">
        <v>0</v>
      </c>
      <c r="W513">
        <v>0</v>
      </c>
      <c r="X513">
        <v>0.115083979960172</v>
      </c>
      <c r="Y513">
        <v>3.16142931905464E-2</v>
      </c>
      <c r="Z513">
        <v>4.0554442513784997E-2</v>
      </c>
      <c r="AA513">
        <v>0</v>
      </c>
      <c r="AB513">
        <f t="shared" si="49"/>
        <v>3.8620682790840313E-2</v>
      </c>
      <c r="AC513">
        <f t="shared" si="54"/>
        <v>0.1</v>
      </c>
      <c r="AD513">
        <f t="shared" si="50"/>
        <v>0</v>
      </c>
      <c r="AE513">
        <f t="shared" si="55"/>
        <v>4.248275106992435E-2</v>
      </c>
      <c r="AF513" t="str">
        <f t="shared" si="51"/>
        <v>Very Low</v>
      </c>
      <c r="AG513" t="str">
        <f t="shared" si="52"/>
        <v>NO ACTION</v>
      </c>
      <c r="AH513" t="str">
        <f t="shared" si="53"/>
        <v/>
      </c>
    </row>
    <row r="514" spans="1:34" x14ac:dyDescent="0.3">
      <c r="A514" t="s">
        <v>541</v>
      </c>
      <c r="B514">
        <v>0.12892249527410199</v>
      </c>
      <c r="C514">
        <v>0.36953165208440503</v>
      </c>
      <c r="D514">
        <v>0</v>
      </c>
      <c r="E514">
        <v>0</v>
      </c>
      <c r="F514">
        <v>0</v>
      </c>
      <c r="G514">
        <v>0.99369050372536505</v>
      </c>
      <c r="H514">
        <v>8</v>
      </c>
      <c r="I514">
        <v>8</v>
      </c>
      <c r="J514">
        <v>9.6560278612661601E-2</v>
      </c>
      <c r="K514">
        <v>9.7879282218597003E-3</v>
      </c>
      <c r="L514">
        <v>2.58285103579096E-2</v>
      </c>
      <c r="M514">
        <v>2.3088023088023001E-3</v>
      </c>
      <c r="N514">
        <v>1.44137993324784E-2</v>
      </c>
      <c r="O514">
        <v>1115</v>
      </c>
      <c r="P514">
        <v>7.6318742985409596E-2</v>
      </c>
      <c r="Q514">
        <v>7.64753322346505E-2</v>
      </c>
      <c r="R514">
        <v>0.116519174041297</v>
      </c>
      <c r="S514">
        <v>1</v>
      </c>
      <c r="T514" t="s">
        <v>28</v>
      </c>
      <c r="U514">
        <v>2.26415094339622E-2</v>
      </c>
      <c r="V514">
        <v>0</v>
      </c>
      <c r="W514">
        <v>0</v>
      </c>
      <c r="X514">
        <v>0</v>
      </c>
      <c r="Y514">
        <v>3.6550450701230697E-2</v>
      </c>
      <c r="Z514">
        <v>5.1556765524237103E-2</v>
      </c>
      <c r="AA514">
        <v>0.116519174041297</v>
      </c>
      <c r="AB514">
        <f t="shared" si="49"/>
        <v>5.7295389274694145E-2</v>
      </c>
      <c r="AC514">
        <f t="shared" si="54"/>
        <v>0.25</v>
      </c>
      <c r="AD514">
        <f t="shared" si="50"/>
        <v>0</v>
      </c>
      <c r="AE514">
        <f t="shared" si="55"/>
        <v>7.1619236593367677E-2</v>
      </c>
      <c r="AF514" t="str">
        <f t="shared" si="51"/>
        <v>Very Low</v>
      </c>
      <c r="AG514" t="str">
        <f t="shared" si="52"/>
        <v>NO ACTION</v>
      </c>
      <c r="AH514" t="str">
        <f t="shared" si="53"/>
        <v/>
      </c>
    </row>
    <row r="515" spans="1:34" x14ac:dyDescent="0.3">
      <c r="A515" t="s">
        <v>542</v>
      </c>
      <c r="B515">
        <v>0.12892249527410199</v>
      </c>
      <c r="C515">
        <v>0.18476582604220201</v>
      </c>
      <c r="D515">
        <v>0</v>
      </c>
      <c r="E515">
        <v>0</v>
      </c>
      <c r="F515">
        <v>0</v>
      </c>
      <c r="G515">
        <v>0.99367051198933998</v>
      </c>
      <c r="H515">
        <v>7</v>
      </c>
      <c r="I515">
        <v>7</v>
      </c>
      <c r="J515">
        <v>0.105147655169123</v>
      </c>
      <c r="K515">
        <v>8.1566068515497494E-3</v>
      </c>
      <c r="L515">
        <v>1.9769898715934299E-2</v>
      </c>
      <c r="M515">
        <v>3.7518037518037501E-3</v>
      </c>
      <c r="N515">
        <v>2.1513851572701699E-2</v>
      </c>
      <c r="O515">
        <v>1214</v>
      </c>
      <c r="P515">
        <v>8.2631874298540894E-2</v>
      </c>
      <c r="Q515">
        <v>8.2786913987166394E-2</v>
      </c>
      <c r="R515">
        <v>0</v>
      </c>
      <c r="S515">
        <v>0</v>
      </c>
      <c r="T515" t="s">
        <v>28</v>
      </c>
      <c r="U515">
        <v>1.21293800539083E-2</v>
      </c>
      <c r="V515">
        <v>0</v>
      </c>
      <c r="W515">
        <v>0</v>
      </c>
      <c r="X515">
        <v>0</v>
      </c>
      <c r="Y515">
        <v>3.7368635863602402E-2</v>
      </c>
      <c r="Z515">
        <v>5.81846652082052E-2</v>
      </c>
      <c r="AA515">
        <v>0</v>
      </c>
      <c r="AB515">
        <f t="shared" ref="AB515:AB578" si="56">0.16*X515 + 0.28*Y515 + 0.28*Z515 + 0.28*AA515</f>
        <v>2.675492430010613E-2</v>
      </c>
      <c r="AC515">
        <f t="shared" si="54"/>
        <v>0.25</v>
      </c>
      <c r="AD515">
        <f t="shared" ref="AD515:AD578" si="57">IF(V515&gt;0.7, 0.1,
 IF(F515&gt;0.5, 0.08,
 IF(E515&gt;0.5, 0.05,
 0)))</f>
        <v>0</v>
      </c>
      <c r="AE515">
        <f t="shared" si="55"/>
        <v>3.3443655375132664E-2</v>
      </c>
      <c r="AF515" t="str">
        <f t="shared" ref="AF515:AF578" si="58">IF(MAX(X515, Y515, Z515, AA515)&gt;0.9,
 "Critical",
 IF(AE515&lt;=0.2,"Very Low",
 IF(AE515&lt;=0.4,"Low",
 IF(AE515&lt;=0.6,"Medium",
 IF(AE515&lt;=0.8,"High","Critical")))))</f>
        <v>Very Low</v>
      </c>
      <c r="AG515" t="str">
        <f t="shared" ref="AG515:AG578" si="59">IF(MAX(X515:AA515)&gt;0.9,"CRITICAL ALERT",
 IF(AE515&gt;0.8,"CRITICAL ALERT",
 IF(AE515&gt;0.6,"ALERT",
 IF(AE515&gt;=0.4,"REVIEW","NO ACTION"))))</f>
        <v>NO ACTION</v>
      </c>
      <c r="AH515" t="str">
        <f t="shared" ref="AH515:AH578" si="60">IF(AG515="NO ACTION","",
 IF(_xlfn.TEXTJOIN(", ", TRUE,
  IF(X515&gt;0.7,"Login anomaly",""),
  IF(Y515&gt;0.7,"File anomaly",""),
  IF(Z515&gt;0.7,"Network anomaly",""),
  IF(AA515&gt;0.7,"USB anomaly","")
 )="",
 "General anomaly detected",
 _xlfn.TEXTJOIN(", ", TRUE,
  IF(X515&gt;0.7,"Login anomaly",""),
  IF(Y515&gt;0.7,"File anomaly",""),
  IF(Z515&gt;0.7,"Network anomaly",""),
  IF(AA515&gt;0.7,"USB anomaly","")
 )))</f>
        <v/>
      </c>
    </row>
    <row r="516" spans="1:34" x14ac:dyDescent="0.3">
      <c r="A516" t="s">
        <v>543</v>
      </c>
      <c r="B516">
        <v>0.12892249527410199</v>
      </c>
      <c r="C516">
        <v>0.36953165208440503</v>
      </c>
      <c r="D516">
        <v>0</v>
      </c>
      <c r="E516">
        <v>0</v>
      </c>
      <c r="F516">
        <v>0</v>
      </c>
      <c r="G516">
        <v>0.99366754132976898</v>
      </c>
      <c r="H516">
        <v>8</v>
      </c>
      <c r="I516">
        <v>8</v>
      </c>
      <c r="J516">
        <v>0.115881875864701</v>
      </c>
      <c r="K516">
        <v>1.8760195758564399E-2</v>
      </c>
      <c r="L516">
        <v>4.1267429912098398E-2</v>
      </c>
      <c r="M516">
        <v>4.9062049062049001E-3</v>
      </c>
      <c r="N516">
        <v>2.55328256149948E-2</v>
      </c>
      <c r="O516">
        <v>1175</v>
      </c>
      <c r="P516">
        <v>9.5643939393939406E-2</v>
      </c>
      <c r="Q516">
        <v>9.5795785265962996E-2</v>
      </c>
      <c r="R516">
        <v>0</v>
      </c>
      <c r="S516">
        <v>0</v>
      </c>
      <c r="T516" t="s">
        <v>28</v>
      </c>
      <c r="U516">
        <v>2.1698113207547099E-2</v>
      </c>
      <c r="V516">
        <v>0</v>
      </c>
      <c r="W516">
        <v>0</v>
      </c>
      <c r="X516">
        <v>0</v>
      </c>
      <c r="Y516">
        <v>5.1469937813487798E-2</v>
      </c>
      <c r="Z516">
        <v>6.75994938823615E-2</v>
      </c>
      <c r="AA516">
        <v>0</v>
      </c>
      <c r="AB516">
        <f t="shared" si="56"/>
        <v>3.3339440874837804E-2</v>
      </c>
      <c r="AC516">
        <f t="shared" ref="AC516:AC579" si="61">IF(T516="IT_Admin", 0.25, IF(AND(T516="HR", AA516&gt;0.6), 0.25, IF(AND(T516="General", Z516&gt;0.7), 0.2, 0.1)))</f>
        <v>0.25</v>
      </c>
      <c r="AD516">
        <f t="shared" si="57"/>
        <v>0</v>
      </c>
      <c r="AE516">
        <f t="shared" ref="AE516:AE579" si="62">MIN(1,AB516*(1+AC516+AD516))</f>
        <v>4.1674301093547257E-2</v>
      </c>
      <c r="AF516" t="str">
        <f t="shared" si="58"/>
        <v>Very Low</v>
      </c>
      <c r="AG516" t="str">
        <f t="shared" si="59"/>
        <v>NO ACTION</v>
      </c>
      <c r="AH516" t="str">
        <f t="shared" si="60"/>
        <v/>
      </c>
    </row>
    <row r="517" spans="1:34" x14ac:dyDescent="0.3">
      <c r="A517" t="s">
        <v>544</v>
      </c>
      <c r="B517">
        <v>0.12892249527410199</v>
      </c>
      <c r="C517">
        <v>0.18476582604220201</v>
      </c>
      <c r="D517">
        <v>0</v>
      </c>
      <c r="E517">
        <v>0</v>
      </c>
      <c r="F517">
        <v>0</v>
      </c>
      <c r="G517">
        <v>0.99366762161786604</v>
      </c>
      <c r="H517">
        <v>7</v>
      </c>
      <c r="I517">
        <v>7</v>
      </c>
      <c r="J517">
        <v>7.0511903058060196E-2</v>
      </c>
      <c r="K517">
        <v>1.30505709624796E-2</v>
      </c>
      <c r="L517">
        <v>4.7117147688198399E-2</v>
      </c>
      <c r="M517">
        <v>5.7720057720057698E-4</v>
      </c>
      <c r="N517">
        <v>4.9301414102492901E-3</v>
      </c>
      <c r="O517">
        <v>799</v>
      </c>
      <c r="P517">
        <v>5.7730078563411898E-2</v>
      </c>
      <c r="Q517">
        <v>5.7891230407798297E-2</v>
      </c>
      <c r="R517">
        <v>0</v>
      </c>
      <c r="S517">
        <v>0</v>
      </c>
      <c r="T517" t="s">
        <v>53</v>
      </c>
      <c r="U517">
        <v>9.0566037735848995E-2</v>
      </c>
      <c r="V517">
        <v>0</v>
      </c>
      <c r="W517">
        <v>0</v>
      </c>
      <c r="X517">
        <v>0</v>
      </c>
      <c r="Y517">
        <v>3.9139996878785999E-2</v>
      </c>
      <c r="Z517">
        <v>3.6610103702146797E-2</v>
      </c>
      <c r="AA517">
        <v>0</v>
      </c>
      <c r="AB517">
        <f t="shared" si="56"/>
        <v>2.1210028162661182E-2</v>
      </c>
      <c r="AC517">
        <f t="shared" si="61"/>
        <v>0.1</v>
      </c>
      <c r="AD517">
        <f t="shared" si="57"/>
        <v>0</v>
      </c>
      <c r="AE517">
        <f t="shared" si="62"/>
        <v>2.3331030978927303E-2</v>
      </c>
      <c r="AF517" t="str">
        <f t="shared" si="58"/>
        <v>Very Low</v>
      </c>
      <c r="AG517" t="str">
        <f t="shared" si="59"/>
        <v>NO ACTION</v>
      </c>
      <c r="AH517" t="str">
        <f t="shared" si="60"/>
        <v/>
      </c>
    </row>
    <row r="518" spans="1:34" x14ac:dyDescent="0.3">
      <c r="A518" t="s">
        <v>545</v>
      </c>
      <c r="B518">
        <v>0.12892249527410199</v>
      </c>
      <c r="C518">
        <v>0.18476582604220201</v>
      </c>
      <c r="D518">
        <v>0</v>
      </c>
      <c r="E518">
        <v>0</v>
      </c>
      <c r="F518">
        <v>0</v>
      </c>
      <c r="G518">
        <v>0.99367939720535103</v>
      </c>
      <c r="H518">
        <v>7</v>
      </c>
      <c r="I518">
        <v>7</v>
      </c>
      <c r="J518">
        <v>9.8802538046848895E-2</v>
      </c>
      <c r="K518">
        <v>1.5497553017944501E-2</v>
      </c>
      <c r="L518">
        <v>3.9969288006092403E-2</v>
      </c>
      <c r="M518">
        <v>5.7720057720057698E-4</v>
      </c>
      <c r="N518">
        <v>3.5218688397879098E-3</v>
      </c>
      <c r="O518">
        <v>836</v>
      </c>
      <c r="P518">
        <v>7.9580527497194103E-2</v>
      </c>
      <c r="Q518">
        <v>7.97363161401171E-2</v>
      </c>
      <c r="R518">
        <v>0</v>
      </c>
      <c r="S518">
        <v>0</v>
      </c>
      <c r="T518" t="s">
        <v>28</v>
      </c>
      <c r="U518">
        <v>0.10754716981132</v>
      </c>
      <c r="V518">
        <v>0</v>
      </c>
      <c r="W518">
        <v>0</v>
      </c>
      <c r="X518">
        <v>0</v>
      </c>
      <c r="Y518">
        <v>4.0801712264352301E-2</v>
      </c>
      <c r="Z518">
        <v>4.9157064034231597E-2</v>
      </c>
      <c r="AA518">
        <v>0</v>
      </c>
      <c r="AB518">
        <f t="shared" si="56"/>
        <v>2.5188457363603492E-2</v>
      </c>
      <c r="AC518">
        <f t="shared" si="61"/>
        <v>0.25</v>
      </c>
      <c r="AD518">
        <f t="shared" si="57"/>
        <v>0</v>
      </c>
      <c r="AE518">
        <f t="shared" si="62"/>
        <v>3.1485571704504361E-2</v>
      </c>
      <c r="AF518" t="str">
        <f t="shared" si="58"/>
        <v>Very Low</v>
      </c>
      <c r="AG518" t="str">
        <f t="shared" si="59"/>
        <v>NO ACTION</v>
      </c>
      <c r="AH518" t="str">
        <f t="shared" si="60"/>
        <v/>
      </c>
    </row>
    <row r="519" spans="1:34" x14ac:dyDescent="0.3">
      <c r="A519" t="s">
        <v>546</v>
      </c>
      <c r="B519">
        <v>0.12892249527410199</v>
      </c>
      <c r="C519">
        <v>0.36953165208440503</v>
      </c>
      <c r="D519">
        <v>0</v>
      </c>
      <c r="E519">
        <v>0</v>
      </c>
      <c r="F519">
        <v>0</v>
      </c>
      <c r="G519">
        <v>0.99369419697780403</v>
      </c>
      <c r="H519">
        <v>8</v>
      </c>
      <c r="I519">
        <v>8</v>
      </c>
      <c r="J519">
        <v>0.11163589523400599</v>
      </c>
      <c r="K519">
        <v>2.36541598694942E-2</v>
      </c>
      <c r="L519">
        <v>5.4007653801341898E-2</v>
      </c>
      <c r="M519">
        <v>2.8860028860028799E-3</v>
      </c>
      <c r="N519">
        <v>1.55893384038373E-2</v>
      </c>
      <c r="O519">
        <v>1246</v>
      </c>
      <c r="P519">
        <v>9.36447811447811E-2</v>
      </c>
      <c r="Q519">
        <v>9.3797117710999606E-2</v>
      </c>
      <c r="R519">
        <v>0</v>
      </c>
      <c r="S519">
        <v>0</v>
      </c>
      <c r="T519" t="s">
        <v>28</v>
      </c>
      <c r="U519">
        <v>4.4768439108061699E-2</v>
      </c>
      <c r="V519">
        <v>0</v>
      </c>
      <c r="W519">
        <v>0</v>
      </c>
      <c r="X519">
        <v>0</v>
      </c>
      <c r="Y519">
        <v>5.4007807468623298E-2</v>
      </c>
      <c r="Z519">
        <v>6.24226040484036E-2</v>
      </c>
      <c r="AA519">
        <v>0</v>
      </c>
      <c r="AB519">
        <f t="shared" si="56"/>
        <v>3.2600515224767534E-2</v>
      </c>
      <c r="AC519">
        <f t="shared" si="61"/>
        <v>0.25</v>
      </c>
      <c r="AD519">
        <f t="shared" si="57"/>
        <v>0</v>
      </c>
      <c r="AE519">
        <f t="shared" si="62"/>
        <v>4.0750644030959418E-2</v>
      </c>
      <c r="AF519" t="str">
        <f t="shared" si="58"/>
        <v>Very Low</v>
      </c>
      <c r="AG519" t="str">
        <f t="shared" si="59"/>
        <v>NO ACTION</v>
      </c>
      <c r="AH519" t="str">
        <f t="shared" si="60"/>
        <v/>
      </c>
    </row>
    <row r="520" spans="1:34" x14ac:dyDescent="0.3">
      <c r="A520" t="s">
        <v>547</v>
      </c>
      <c r="B520">
        <v>0.12892249527410199</v>
      </c>
      <c r="C520">
        <v>0.18476582604220201</v>
      </c>
      <c r="D520">
        <v>0</v>
      </c>
      <c r="E520">
        <v>0</v>
      </c>
      <c r="F520">
        <v>0</v>
      </c>
      <c r="G520">
        <v>0.99367642654578103</v>
      </c>
      <c r="H520">
        <v>7</v>
      </c>
      <c r="I520">
        <v>7</v>
      </c>
      <c r="J520">
        <v>0.107246791660703</v>
      </c>
      <c r="K520">
        <v>1.8760195758564399E-2</v>
      </c>
      <c r="L520">
        <v>4.4582744964956698E-2</v>
      </c>
      <c r="M520">
        <v>4.0404040404040404E-3</v>
      </c>
      <c r="N520">
        <v>2.2716288495249801E-2</v>
      </c>
      <c r="O520">
        <v>1253</v>
      </c>
      <c r="P520">
        <v>8.8874859708193005E-2</v>
      </c>
      <c r="Q520">
        <v>8.9028367053543195E-2</v>
      </c>
      <c r="R520">
        <v>0</v>
      </c>
      <c r="S520">
        <v>0</v>
      </c>
      <c r="T520" t="s">
        <v>28</v>
      </c>
      <c r="U520">
        <v>2.6037735849056599E-2</v>
      </c>
      <c r="V520">
        <v>0</v>
      </c>
      <c r="W520">
        <v>0</v>
      </c>
      <c r="X520">
        <v>0</v>
      </c>
      <c r="Y520">
        <v>5.0555617363193903E-2</v>
      </c>
      <c r="Z520">
        <v>6.24114312230157E-2</v>
      </c>
      <c r="AA520">
        <v>0</v>
      </c>
      <c r="AB520">
        <f t="shared" si="56"/>
        <v>3.1630773604138691E-2</v>
      </c>
      <c r="AC520">
        <f t="shared" si="61"/>
        <v>0.25</v>
      </c>
      <c r="AD520">
        <f t="shared" si="57"/>
        <v>0</v>
      </c>
      <c r="AE520">
        <f t="shared" si="62"/>
        <v>3.9538467005173362E-2</v>
      </c>
      <c r="AF520" t="str">
        <f t="shared" si="58"/>
        <v>Very Low</v>
      </c>
      <c r="AG520" t="str">
        <f t="shared" si="59"/>
        <v>NO ACTION</v>
      </c>
      <c r="AH520" t="str">
        <f t="shared" si="60"/>
        <v/>
      </c>
    </row>
    <row r="521" spans="1:34" x14ac:dyDescent="0.3">
      <c r="A521" t="s">
        <v>548</v>
      </c>
      <c r="B521">
        <v>0.28128544423440399</v>
      </c>
      <c r="C521">
        <v>0.72720667362064795</v>
      </c>
      <c r="D521">
        <v>0.37872429342152403</v>
      </c>
      <c r="E521">
        <v>0</v>
      </c>
      <c r="F521">
        <v>0</v>
      </c>
      <c r="G521">
        <v>0.37763658943761802</v>
      </c>
      <c r="H521">
        <v>7</v>
      </c>
      <c r="I521">
        <v>16</v>
      </c>
      <c r="J521">
        <v>7.5330375459186097E-2</v>
      </c>
      <c r="K521">
        <v>1.7944535073409401E-2</v>
      </c>
      <c r="L521">
        <v>6.0655147588192897E-2</v>
      </c>
      <c r="M521">
        <v>2.0202020202020202E-3</v>
      </c>
      <c r="N521">
        <v>1.61552392612998E-2</v>
      </c>
      <c r="O521">
        <v>607</v>
      </c>
      <c r="P521">
        <v>6.4078282828282804E-2</v>
      </c>
      <c r="Q521">
        <v>6.4237876503383695E-2</v>
      </c>
      <c r="R521">
        <v>0</v>
      </c>
      <c r="S521">
        <v>0</v>
      </c>
      <c r="T521" t="s">
        <v>53</v>
      </c>
      <c r="U521">
        <v>4.6698113207547097E-2</v>
      </c>
      <c r="V521">
        <v>0</v>
      </c>
      <c r="W521">
        <v>0</v>
      </c>
      <c r="X521">
        <v>0.113617288026457</v>
      </c>
      <c r="Y521">
        <v>5.0240220664323598E-2</v>
      </c>
      <c r="Z521">
        <v>4.4909065401489603E-2</v>
      </c>
      <c r="AA521">
        <v>0</v>
      </c>
      <c r="AB521">
        <f t="shared" si="56"/>
        <v>4.4820566182660816E-2</v>
      </c>
      <c r="AC521">
        <f t="shared" si="61"/>
        <v>0.1</v>
      </c>
      <c r="AD521">
        <f t="shared" si="57"/>
        <v>0</v>
      </c>
      <c r="AE521">
        <f t="shared" si="62"/>
        <v>4.9302622800926899E-2</v>
      </c>
      <c r="AF521" t="str">
        <f t="shared" si="58"/>
        <v>Very Low</v>
      </c>
      <c r="AG521" t="str">
        <f t="shared" si="59"/>
        <v>NO ACTION</v>
      </c>
      <c r="AH521" t="str">
        <f t="shared" si="60"/>
        <v/>
      </c>
    </row>
    <row r="522" spans="1:34" x14ac:dyDescent="0.3">
      <c r="A522" t="s">
        <v>549</v>
      </c>
      <c r="B522">
        <v>0.93270321361058595</v>
      </c>
      <c r="C522">
        <v>0.93646588642353101</v>
      </c>
      <c r="D522">
        <v>0.97010880253098797</v>
      </c>
      <c r="E522">
        <v>0</v>
      </c>
      <c r="F522">
        <v>0.378389316066369</v>
      </c>
      <c r="G522">
        <v>1.0785071021511701E-2</v>
      </c>
      <c r="H522">
        <v>0</v>
      </c>
      <c r="I522">
        <v>23</v>
      </c>
      <c r="J522">
        <v>4.60378798721435E-2</v>
      </c>
      <c r="K522">
        <v>8.9722675367047301E-3</v>
      </c>
      <c r="L522">
        <v>4.9524615350359499E-2</v>
      </c>
      <c r="M522">
        <v>1.1544011544011501E-3</v>
      </c>
      <c r="N522">
        <v>1.50750509513396E-2</v>
      </c>
      <c r="O522">
        <v>591</v>
      </c>
      <c r="P522">
        <v>3.8264590347923601E-2</v>
      </c>
      <c r="Q522">
        <v>3.8430520004207699E-2</v>
      </c>
      <c r="R522">
        <v>0</v>
      </c>
      <c r="S522">
        <v>0</v>
      </c>
      <c r="T522" t="s">
        <v>53</v>
      </c>
      <c r="U522">
        <v>3.7358490566037697E-2</v>
      </c>
      <c r="V522">
        <v>0</v>
      </c>
      <c r="W522">
        <v>0</v>
      </c>
      <c r="X522">
        <v>0.44238836718584401</v>
      </c>
      <c r="Y522">
        <v>3.8492398935010302E-2</v>
      </c>
      <c r="Z522">
        <v>2.8988774589290001E-2</v>
      </c>
      <c r="AA522">
        <v>0</v>
      </c>
      <c r="AB522">
        <f t="shared" si="56"/>
        <v>8.9676867336539137E-2</v>
      </c>
      <c r="AC522">
        <f t="shared" si="61"/>
        <v>0.1</v>
      </c>
      <c r="AD522">
        <f t="shared" si="57"/>
        <v>0</v>
      </c>
      <c r="AE522">
        <f t="shared" si="62"/>
        <v>9.8644554070193055E-2</v>
      </c>
      <c r="AF522" t="str">
        <f t="shared" si="58"/>
        <v>Very Low</v>
      </c>
      <c r="AG522" t="str">
        <f t="shared" si="59"/>
        <v>NO ACTION</v>
      </c>
      <c r="AH522" t="str">
        <f t="shared" si="60"/>
        <v/>
      </c>
    </row>
    <row r="523" spans="1:34" x14ac:dyDescent="0.3">
      <c r="A523" t="s">
        <v>550</v>
      </c>
      <c r="B523">
        <v>0.12892249527410199</v>
      </c>
      <c r="C523">
        <v>0.28277204681241402</v>
      </c>
      <c r="D523">
        <v>7.4993488433305694E-2</v>
      </c>
      <c r="E523">
        <v>0</v>
      </c>
      <c r="F523">
        <v>0</v>
      </c>
      <c r="G523">
        <v>0.99367061904013498</v>
      </c>
      <c r="H523">
        <v>7</v>
      </c>
      <c r="I523">
        <v>8</v>
      </c>
      <c r="J523">
        <v>8.7686656170984201E-2</v>
      </c>
      <c r="K523">
        <v>1.8760195758564399E-2</v>
      </c>
      <c r="L523">
        <v>5.4500772873601402E-2</v>
      </c>
      <c r="M523">
        <v>2.59740259740259E-3</v>
      </c>
      <c r="N523">
        <v>1.7852034021323199E-2</v>
      </c>
      <c r="O523">
        <v>1019</v>
      </c>
      <c r="P523">
        <v>7.3793490460157096E-2</v>
      </c>
      <c r="Q523">
        <v>7.3950699533644207E-2</v>
      </c>
      <c r="R523">
        <v>0</v>
      </c>
      <c r="S523">
        <v>0</v>
      </c>
      <c r="T523" t="s">
        <v>53</v>
      </c>
      <c r="U523">
        <v>3.90566037735849E-2</v>
      </c>
      <c r="V523">
        <v>0</v>
      </c>
      <c r="W523">
        <v>0</v>
      </c>
      <c r="X523">
        <v>2.2498046529991701E-2</v>
      </c>
      <c r="Y523">
        <v>5.0143327877394499E-2</v>
      </c>
      <c r="Z523">
        <v>5.1416907884623497E-2</v>
      </c>
      <c r="AA523">
        <v>0</v>
      </c>
      <c r="AB523">
        <f t="shared" si="56"/>
        <v>3.2036553458163711E-2</v>
      </c>
      <c r="AC523">
        <f t="shared" si="61"/>
        <v>0.1</v>
      </c>
      <c r="AD523">
        <f t="shared" si="57"/>
        <v>0</v>
      </c>
      <c r="AE523">
        <f t="shared" si="62"/>
        <v>3.5240208803980086E-2</v>
      </c>
      <c r="AF523" t="str">
        <f t="shared" si="58"/>
        <v>Very Low</v>
      </c>
      <c r="AG523" t="str">
        <f t="shared" si="59"/>
        <v>NO ACTION</v>
      </c>
      <c r="AH523" t="str">
        <f t="shared" si="60"/>
        <v/>
      </c>
    </row>
    <row r="524" spans="1:34" x14ac:dyDescent="0.3">
      <c r="A524" t="s">
        <v>551</v>
      </c>
      <c r="B524">
        <v>0.12892249527410199</v>
      </c>
      <c r="C524">
        <v>0.36953165208440503</v>
      </c>
      <c r="D524">
        <v>0</v>
      </c>
      <c r="E524">
        <v>0</v>
      </c>
      <c r="F524">
        <v>0</v>
      </c>
      <c r="G524">
        <v>0.99369625770561398</v>
      </c>
      <c r="H524">
        <v>8</v>
      </c>
      <c r="I524">
        <v>8</v>
      </c>
      <c r="J524">
        <v>9.1932636801679304E-2</v>
      </c>
      <c r="K524">
        <v>1.7944535073409401E-2</v>
      </c>
      <c r="L524">
        <v>4.9729686221375503E-2</v>
      </c>
      <c r="M524">
        <v>1.44300144300144E-3</v>
      </c>
      <c r="N524">
        <v>9.4609209516041803E-3</v>
      </c>
      <c r="O524">
        <v>1092</v>
      </c>
      <c r="P524">
        <v>7.6003086419752994E-2</v>
      </c>
      <c r="Q524">
        <v>7.6159753147024695E-2</v>
      </c>
      <c r="R524">
        <v>0</v>
      </c>
      <c r="S524">
        <v>0</v>
      </c>
      <c r="T524" t="s">
        <v>53</v>
      </c>
      <c r="U524">
        <v>6.2264150943396199E-2</v>
      </c>
      <c r="V524">
        <v>0</v>
      </c>
      <c r="W524">
        <v>0</v>
      </c>
      <c r="X524">
        <v>0</v>
      </c>
      <c r="Y524">
        <v>4.6089646756504898E-2</v>
      </c>
      <c r="Z524">
        <v>4.9386220232493498E-2</v>
      </c>
      <c r="AA524">
        <v>0</v>
      </c>
      <c r="AB524">
        <f t="shared" si="56"/>
        <v>2.6733242756919552E-2</v>
      </c>
      <c r="AC524">
        <f t="shared" si="61"/>
        <v>0.1</v>
      </c>
      <c r="AD524">
        <f t="shared" si="57"/>
        <v>0</v>
      </c>
      <c r="AE524">
        <f t="shared" si="62"/>
        <v>2.9406567032611509E-2</v>
      </c>
      <c r="AF524" t="str">
        <f t="shared" si="58"/>
        <v>Very Low</v>
      </c>
      <c r="AG524" t="str">
        <f t="shared" si="59"/>
        <v>NO ACTION</v>
      </c>
      <c r="AH524" t="str">
        <f t="shared" si="60"/>
        <v/>
      </c>
    </row>
    <row r="525" spans="1:34" x14ac:dyDescent="0.3">
      <c r="A525" t="s">
        <v>552</v>
      </c>
      <c r="B525">
        <v>0.12892249527410199</v>
      </c>
      <c r="C525">
        <v>0.27366764379004499</v>
      </c>
      <c r="D525">
        <v>7.5079446679057096E-2</v>
      </c>
      <c r="E525">
        <v>0</v>
      </c>
      <c r="F525">
        <v>0</v>
      </c>
      <c r="G525">
        <v>0.99365565869148897</v>
      </c>
      <c r="H525">
        <v>7</v>
      </c>
      <c r="I525">
        <v>8</v>
      </c>
      <c r="J525">
        <v>0.139640284337579</v>
      </c>
      <c r="K525">
        <v>1.8760195758564399E-2</v>
      </c>
      <c r="L525">
        <v>3.4258159756496397E-2</v>
      </c>
      <c r="M525">
        <v>4.9062049062049001E-3</v>
      </c>
      <c r="N525">
        <v>2.1196076925954099E-2</v>
      </c>
      <c r="O525">
        <v>1540</v>
      </c>
      <c r="P525">
        <v>0.11311026936026899</v>
      </c>
      <c r="Q525">
        <v>0.11325782811459</v>
      </c>
      <c r="R525">
        <v>0</v>
      </c>
      <c r="S525">
        <v>0</v>
      </c>
      <c r="T525" t="s">
        <v>28</v>
      </c>
      <c r="U525">
        <v>2.1698113207547099E-2</v>
      </c>
      <c r="V525">
        <v>0</v>
      </c>
      <c r="W525">
        <v>0</v>
      </c>
      <c r="X525">
        <v>2.2523834003717099E-2</v>
      </c>
      <c r="Y525">
        <v>5.1415959823550302E-2</v>
      </c>
      <c r="Z525">
        <v>7.6344592386543203E-2</v>
      </c>
      <c r="AA525">
        <v>0</v>
      </c>
      <c r="AB525">
        <f t="shared" si="56"/>
        <v>3.9376768059420919E-2</v>
      </c>
      <c r="AC525">
        <f t="shared" si="61"/>
        <v>0.25</v>
      </c>
      <c r="AD525">
        <f t="shared" si="57"/>
        <v>0</v>
      </c>
      <c r="AE525">
        <f t="shared" si="62"/>
        <v>4.9220960074276149E-2</v>
      </c>
      <c r="AF525" t="str">
        <f t="shared" si="58"/>
        <v>Very Low</v>
      </c>
      <c r="AG525" t="str">
        <f t="shared" si="59"/>
        <v>NO ACTION</v>
      </c>
      <c r="AH525" t="str">
        <f t="shared" si="60"/>
        <v/>
      </c>
    </row>
    <row r="526" spans="1:34" x14ac:dyDescent="0.3">
      <c r="A526" t="s">
        <v>553</v>
      </c>
      <c r="B526">
        <v>0.12892249527410199</v>
      </c>
      <c r="C526">
        <v>0.18476582604220201</v>
      </c>
      <c r="D526">
        <v>0</v>
      </c>
      <c r="E526">
        <v>0</v>
      </c>
      <c r="F526">
        <v>0</v>
      </c>
      <c r="G526">
        <v>0.993669013278205</v>
      </c>
      <c r="H526">
        <v>7</v>
      </c>
      <c r="I526">
        <v>7</v>
      </c>
      <c r="J526">
        <v>6.7744859500978E-2</v>
      </c>
      <c r="K526">
        <v>1.4681892332789499E-2</v>
      </c>
      <c r="L526">
        <v>5.5164260543366997E-2</v>
      </c>
      <c r="M526">
        <v>4.6176046176046098E-3</v>
      </c>
      <c r="N526">
        <v>4.1046454520138699E-2</v>
      </c>
      <c r="O526">
        <v>796</v>
      </c>
      <c r="P526">
        <v>5.8361391694724998E-2</v>
      </c>
      <c r="Q526">
        <v>5.8522388583049798E-2</v>
      </c>
      <c r="R526">
        <v>0</v>
      </c>
      <c r="S526">
        <v>0</v>
      </c>
      <c r="T526" t="s">
        <v>53</v>
      </c>
      <c r="U526">
        <v>1.7980022197558201E-2</v>
      </c>
      <c r="V526">
        <v>0</v>
      </c>
      <c r="W526">
        <v>0</v>
      </c>
      <c r="X526">
        <v>0</v>
      </c>
      <c r="Y526">
        <v>5.34450385279207E-2</v>
      </c>
      <c r="Z526">
        <v>5.1435416824890501E-2</v>
      </c>
      <c r="AA526">
        <v>0</v>
      </c>
      <c r="AB526">
        <f t="shared" si="56"/>
        <v>2.936652749878714E-2</v>
      </c>
      <c r="AC526">
        <f t="shared" si="61"/>
        <v>0.1</v>
      </c>
      <c r="AD526">
        <f t="shared" si="57"/>
        <v>0</v>
      </c>
      <c r="AE526">
        <f t="shared" si="62"/>
        <v>3.230318024866586E-2</v>
      </c>
      <c r="AF526" t="str">
        <f t="shared" si="58"/>
        <v>Very Low</v>
      </c>
      <c r="AG526" t="str">
        <f t="shared" si="59"/>
        <v>NO ACTION</v>
      </c>
      <c r="AH526" t="str">
        <f t="shared" si="60"/>
        <v/>
      </c>
    </row>
    <row r="527" spans="1:34" x14ac:dyDescent="0.3">
      <c r="A527" t="s">
        <v>554</v>
      </c>
      <c r="B527">
        <v>0.26011342155009398</v>
      </c>
      <c r="C527">
        <v>0.791128818732726</v>
      </c>
      <c r="D527">
        <v>0.41696559118731302</v>
      </c>
      <c r="E527">
        <v>0.13166345536287699</v>
      </c>
      <c r="F527">
        <v>1.1560693641618399E-2</v>
      </c>
      <c r="G527">
        <v>0.42033435742626302</v>
      </c>
      <c r="H527">
        <v>0</v>
      </c>
      <c r="I527">
        <v>20</v>
      </c>
      <c r="J527">
        <v>0.10676971518534401</v>
      </c>
      <c r="K527">
        <v>1.7944535073409401E-2</v>
      </c>
      <c r="L527">
        <v>4.2834486749753702E-2</v>
      </c>
      <c r="M527">
        <v>3.1746031746031698E-3</v>
      </c>
      <c r="N527">
        <v>1.7928086675300201E-2</v>
      </c>
      <c r="O527">
        <v>1180</v>
      </c>
      <c r="P527">
        <v>8.7752525252525193E-2</v>
      </c>
      <c r="Q527">
        <v>8.7906308075318199E-2</v>
      </c>
      <c r="R527">
        <v>0.199115044247787</v>
      </c>
      <c r="S527">
        <v>1</v>
      </c>
      <c r="T527" t="s">
        <v>28</v>
      </c>
      <c r="U527">
        <v>3.1132075471698099E-2</v>
      </c>
      <c r="V527">
        <v>0</v>
      </c>
      <c r="W527">
        <v>1.6160016012663501E-2</v>
      </c>
      <c r="X527">
        <v>0.16921299142170401</v>
      </c>
      <c r="Y527">
        <v>4.8149612414535699E-2</v>
      </c>
      <c r="Z527">
        <v>5.9822749821635199E-2</v>
      </c>
      <c r="AA527">
        <v>0.199115044247787</v>
      </c>
      <c r="AB527">
        <f t="shared" si="56"/>
        <v>0.11305855244298085</v>
      </c>
      <c r="AC527">
        <f t="shared" si="61"/>
        <v>0.25</v>
      </c>
      <c r="AD527">
        <f t="shared" si="57"/>
        <v>0</v>
      </c>
      <c r="AE527">
        <f t="shared" si="62"/>
        <v>0.14132319055372605</v>
      </c>
      <c r="AF527" t="str">
        <f t="shared" si="58"/>
        <v>Very Low</v>
      </c>
      <c r="AG527" t="str">
        <f t="shared" si="59"/>
        <v>NO ACTION</v>
      </c>
      <c r="AH527" t="str">
        <f t="shared" si="60"/>
        <v/>
      </c>
    </row>
    <row r="528" spans="1:34" x14ac:dyDescent="0.3">
      <c r="A528" t="s">
        <v>555</v>
      </c>
      <c r="B528">
        <v>0.12892249527410199</v>
      </c>
      <c r="C528">
        <v>0.26991877195730402</v>
      </c>
      <c r="D528">
        <v>7.4902366299490403E-2</v>
      </c>
      <c r="E528">
        <v>0</v>
      </c>
      <c r="F528">
        <v>0</v>
      </c>
      <c r="G528">
        <v>0.99366189440031605</v>
      </c>
      <c r="H528">
        <v>7</v>
      </c>
      <c r="I528">
        <v>8</v>
      </c>
      <c r="J528">
        <v>9.4127188588330704E-2</v>
      </c>
      <c r="K528">
        <v>8.9722675367047301E-3</v>
      </c>
      <c r="L528">
        <v>2.42865909453229E-2</v>
      </c>
      <c r="M528">
        <v>1.7316017316017301E-3</v>
      </c>
      <c r="N528">
        <v>1.108907944095E-2</v>
      </c>
      <c r="O528">
        <v>882</v>
      </c>
      <c r="P528">
        <v>7.3898709315375996E-2</v>
      </c>
      <c r="Q528">
        <v>7.4055892562852804E-2</v>
      </c>
      <c r="R528">
        <v>0</v>
      </c>
      <c r="S528">
        <v>0</v>
      </c>
      <c r="T528" t="s">
        <v>53</v>
      </c>
      <c r="U528">
        <v>2.6684636118598299E-2</v>
      </c>
      <c r="V528">
        <v>0</v>
      </c>
      <c r="W528">
        <v>0</v>
      </c>
      <c r="X528">
        <v>2.2470709889847101E-2</v>
      </c>
      <c r="Y528">
        <v>3.4295457022612601E-2</v>
      </c>
      <c r="Z528">
        <v>4.8774857365605599E-2</v>
      </c>
      <c r="AA528">
        <v>0</v>
      </c>
      <c r="AB528">
        <f t="shared" si="56"/>
        <v>2.6855001611076634E-2</v>
      </c>
      <c r="AC528">
        <f t="shared" si="61"/>
        <v>0.1</v>
      </c>
      <c r="AD528">
        <f t="shared" si="57"/>
        <v>0</v>
      </c>
      <c r="AE528">
        <f t="shared" si="62"/>
        <v>2.9540501772184299E-2</v>
      </c>
      <c r="AF528" t="str">
        <f t="shared" si="58"/>
        <v>Very Low</v>
      </c>
      <c r="AG528" t="str">
        <f t="shared" si="59"/>
        <v>NO ACTION</v>
      </c>
      <c r="AH528" t="str">
        <f t="shared" si="60"/>
        <v/>
      </c>
    </row>
    <row r="529" spans="1:34" x14ac:dyDescent="0.3">
      <c r="A529" t="s">
        <v>556</v>
      </c>
      <c r="B529">
        <v>0.17164461247637</v>
      </c>
      <c r="C529">
        <v>0.37275900275763102</v>
      </c>
      <c r="D529">
        <v>0.318094835963318</v>
      </c>
      <c r="E529">
        <v>0</v>
      </c>
      <c r="F529">
        <v>0</v>
      </c>
      <c r="G529">
        <v>0.71182092497066296</v>
      </c>
      <c r="H529">
        <v>7</v>
      </c>
      <c r="I529">
        <v>15</v>
      </c>
      <c r="J529">
        <v>7.3899146033109098E-2</v>
      </c>
      <c r="K529">
        <v>1.5497553017944501E-2</v>
      </c>
      <c r="L529">
        <v>5.3395265058332003E-2</v>
      </c>
      <c r="M529">
        <v>2.8860028860028799E-3</v>
      </c>
      <c r="N529">
        <v>2.35244520958806E-2</v>
      </c>
      <c r="O529">
        <v>913</v>
      </c>
      <c r="P529">
        <v>6.23947811447811E-2</v>
      </c>
      <c r="Q529">
        <v>6.2554788036046097E-2</v>
      </c>
      <c r="R529">
        <v>0</v>
      </c>
      <c r="S529">
        <v>0</v>
      </c>
      <c r="T529" t="s">
        <v>53</v>
      </c>
      <c r="U529">
        <v>2.93310463121783E-2</v>
      </c>
      <c r="V529">
        <v>0</v>
      </c>
      <c r="W529">
        <v>0</v>
      </c>
      <c r="X529">
        <v>9.5428450788995506E-2</v>
      </c>
      <c r="Y529">
        <v>4.8534797364551997E-2</v>
      </c>
      <c r="Z529">
        <v>4.6846649525220899E-2</v>
      </c>
      <c r="AA529">
        <v>0</v>
      </c>
      <c r="AB529">
        <f t="shared" si="56"/>
        <v>4.1975357255375698E-2</v>
      </c>
      <c r="AC529">
        <f t="shared" si="61"/>
        <v>0.1</v>
      </c>
      <c r="AD529">
        <f t="shared" si="57"/>
        <v>0</v>
      </c>
      <c r="AE529">
        <f t="shared" si="62"/>
        <v>4.6172892980913274E-2</v>
      </c>
      <c r="AF529" t="str">
        <f t="shared" si="58"/>
        <v>Very Low</v>
      </c>
      <c r="AG529" t="str">
        <f t="shared" si="59"/>
        <v>NO ACTION</v>
      </c>
      <c r="AH529" t="str">
        <f t="shared" si="60"/>
        <v/>
      </c>
    </row>
    <row r="530" spans="1:34" x14ac:dyDescent="0.3">
      <c r="A530" t="s">
        <v>557</v>
      </c>
      <c r="B530">
        <v>0.17240075614366701</v>
      </c>
      <c r="C530">
        <v>0.36149835529996099</v>
      </c>
      <c r="D530">
        <v>0.289541309166925</v>
      </c>
      <c r="E530">
        <v>0</v>
      </c>
      <c r="F530">
        <v>0</v>
      </c>
      <c r="G530">
        <v>0.707596735063999</v>
      </c>
      <c r="H530">
        <v>7</v>
      </c>
      <c r="I530">
        <v>14</v>
      </c>
      <c r="J530">
        <v>5.7630838223367203E-2</v>
      </c>
      <c r="K530">
        <v>8.9722675367047301E-3</v>
      </c>
      <c r="L530">
        <v>3.9603360997402103E-2</v>
      </c>
      <c r="M530">
        <v>2.3088023088023001E-3</v>
      </c>
      <c r="N530">
        <v>2.4110139196701401E-2</v>
      </c>
      <c r="O530">
        <v>729</v>
      </c>
      <c r="P530">
        <v>4.7348484848484799E-2</v>
      </c>
      <c r="Q530">
        <v>4.75121848592166E-2</v>
      </c>
      <c r="R530">
        <v>0</v>
      </c>
      <c r="S530">
        <v>0</v>
      </c>
      <c r="T530" t="s">
        <v>53</v>
      </c>
      <c r="U530">
        <v>2.0754716981132001E-2</v>
      </c>
      <c r="V530">
        <v>0</v>
      </c>
      <c r="W530">
        <v>0</v>
      </c>
      <c r="X530">
        <v>8.6862392750077705E-2</v>
      </c>
      <c r="Y530">
        <v>3.8560889902384897E-2</v>
      </c>
      <c r="Z530">
        <v>3.8053146587771397E-2</v>
      </c>
      <c r="AA530">
        <v>0</v>
      </c>
      <c r="AB530">
        <f t="shared" si="56"/>
        <v>3.5349913057256196E-2</v>
      </c>
      <c r="AC530">
        <f t="shared" si="61"/>
        <v>0.1</v>
      </c>
      <c r="AD530">
        <f t="shared" si="57"/>
        <v>0</v>
      </c>
      <c r="AE530">
        <f t="shared" si="62"/>
        <v>3.8884904362981816E-2</v>
      </c>
      <c r="AF530" t="str">
        <f t="shared" si="58"/>
        <v>Very Low</v>
      </c>
      <c r="AG530" t="str">
        <f t="shared" si="59"/>
        <v>NO ACTION</v>
      </c>
      <c r="AH530" t="str">
        <f t="shared" si="60"/>
        <v/>
      </c>
    </row>
    <row r="531" spans="1:34" x14ac:dyDescent="0.3">
      <c r="A531" t="s">
        <v>558</v>
      </c>
      <c r="B531">
        <v>0.22722117202268399</v>
      </c>
      <c r="C531">
        <v>0.65263565330939999</v>
      </c>
      <c r="D531">
        <v>0.36645455204285599</v>
      </c>
      <c r="E531">
        <v>0</v>
      </c>
      <c r="F531">
        <v>0</v>
      </c>
      <c r="G531">
        <v>0.50196678468489198</v>
      </c>
      <c r="H531">
        <v>7</v>
      </c>
      <c r="I531">
        <v>14</v>
      </c>
      <c r="J531">
        <v>0.114689184676303</v>
      </c>
      <c r="K531">
        <v>1.30505709624796E-2</v>
      </c>
      <c r="L531">
        <v>2.9005699469322601E-2</v>
      </c>
      <c r="M531">
        <v>3.4632034632034602E-3</v>
      </c>
      <c r="N531">
        <v>1.8210210987296901E-2</v>
      </c>
      <c r="O531">
        <v>1221</v>
      </c>
      <c r="P531">
        <v>9.1610549943883193E-2</v>
      </c>
      <c r="Q531">
        <v>9.1763385812966794E-2</v>
      </c>
      <c r="R531">
        <v>0</v>
      </c>
      <c r="S531">
        <v>0</v>
      </c>
      <c r="T531" t="s">
        <v>28</v>
      </c>
      <c r="U531">
        <v>2.0899854862119E-2</v>
      </c>
      <c r="V531">
        <v>0</v>
      </c>
      <c r="W531">
        <v>0</v>
      </c>
      <c r="X531">
        <v>0.109936365612857</v>
      </c>
      <c r="Y531">
        <v>4.2903749966111099E-2</v>
      </c>
      <c r="Z531">
        <v>6.2250414361248702E-2</v>
      </c>
      <c r="AA531">
        <v>0</v>
      </c>
      <c r="AB531">
        <f t="shared" si="56"/>
        <v>4.7032984509717865E-2</v>
      </c>
      <c r="AC531">
        <f t="shared" si="61"/>
        <v>0.25</v>
      </c>
      <c r="AD531">
        <f t="shared" si="57"/>
        <v>0</v>
      </c>
      <c r="AE531">
        <f t="shared" si="62"/>
        <v>5.8791230637147335E-2</v>
      </c>
      <c r="AF531" t="str">
        <f t="shared" si="58"/>
        <v>Very Low</v>
      </c>
      <c r="AG531" t="str">
        <f t="shared" si="59"/>
        <v>NO ACTION</v>
      </c>
      <c r="AH531" t="str">
        <f t="shared" si="60"/>
        <v/>
      </c>
    </row>
    <row r="532" spans="1:34" x14ac:dyDescent="0.3">
      <c r="A532" t="s">
        <v>559</v>
      </c>
      <c r="B532">
        <v>0.12892249527410199</v>
      </c>
      <c r="C532">
        <v>0.36953165208440503</v>
      </c>
      <c r="D532">
        <v>0</v>
      </c>
      <c r="E532">
        <v>0</v>
      </c>
      <c r="F532">
        <v>0</v>
      </c>
      <c r="G532">
        <v>0.99365680948753898</v>
      </c>
      <c r="H532">
        <v>8</v>
      </c>
      <c r="I532">
        <v>8</v>
      </c>
      <c r="J532">
        <v>8.9976623252707402E-2</v>
      </c>
      <c r="K532">
        <v>6.5252854812398002E-3</v>
      </c>
      <c r="L532">
        <v>1.8475602861342699E-2</v>
      </c>
      <c r="M532">
        <v>9.23520923520923E-3</v>
      </c>
      <c r="N532">
        <v>6.1862715696665897E-2</v>
      </c>
      <c r="O532">
        <v>618</v>
      </c>
      <c r="P532">
        <v>7.3442760942760907E-2</v>
      </c>
      <c r="Q532">
        <v>7.3600056102948896E-2</v>
      </c>
      <c r="R532">
        <v>0</v>
      </c>
      <c r="S532">
        <v>0</v>
      </c>
      <c r="T532" t="s">
        <v>53</v>
      </c>
      <c r="U532">
        <v>4.11663807890223E-3</v>
      </c>
      <c r="V532">
        <v>0</v>
      </c>
      <c r="W532">
        <v>0</v>
      </c>
      <c r="X532">
        <v>0</v>
      </c>
      <c r="Y532">
        <v>4.57919407902126E-2</v>
      </c>
      <c r="Z532">
        <v>6.8810742844322897E-2</v>
      </c>
      <c r="AA532">
        <v>0</v>
      </c>
      <c r="AB532">
        <f t="shared" si="56"/>
        <v>3.2088751417669939E-2</v>
      </c>
      <c r="AC532">
        <f t="shared" si="61"/>
        <v>0.1</v>
      </c>
      <c r="AD532">
        <f t="shared" si="57"/>
        <v>0</v>
      </c>
      <c r="AE532">
        <f t="shared" si="62"/>
        <v>3.5297626559436933E-2</v>
      </c>
      <c r="AF532" t="str">
        <f t="shared" si="58"/>
        <v>Very Low</v>
      </c>
      <c r="AG532" t="str">
        <f t="shared" si="59"/>
        <v>NO ACTION</v>
      </c>
      <c r="AH532" t="str">
        <f t="shared" si="60"/>
        <v/>
      </c>
    </row>
    <row r="533" spans="1:34" x14ac:dyDescent="0.3">
      <c r="A533" t="s">
        <v>560</v>
      </c>
      <c r="B533">
        <v>0.275992438563327</v>
      </c>
      <c r="C533">
        <v>0.733777088437358</v>
      </c>
      <c r="D533">
        <v>0.38677604146639</v>
      </c>
      <c r="E533">
        <v>0</v>
      </c>
      <c r="F533">
        <v>0</v>
      </c>
      <c r="G533">
        <v>0.38770383892092902</v>
      </c>
      <c r="H533">
        <v>7</v>
      </c>
      <c r="I533">
        <v>17</v>
      </c>
      <c r="J533">
        <v>9.13124373837126E-2</v>
      </c>
      <c r="K533">
        <v>1.2234910277324601E-2</v>
      </c>
      <c r="L533">
        <v>3.4136299841192402E-2</v>
      </c>
      <c r="M533">
        <v>1.1544011544011501E-3</v>
      </c>
      <c r="N533">
        <v>7.6200101213128799E-3</v>
      </c>
      <c r="O533">
        <v>615</v>
      </c>
      <c r="P533">
        <v>7.29517396184063E-2</v>
      </c>
      <c r="Q533">
        <v>7.3109155299975401E-2</v>
      </c>
      <c r="R533">
        <v>0</v>
      </c>
      <c r="S533">
        <v>0</v>
      </c>
      <c r="T533" t="s">
        <v>53</v>
      </c>
      <c r="U533">
        <v>5.0943396226415097E-2</v>
      </c>
      <c r="V533">
        <v>0</v>
      </c>
      <c r="W533">
        <v>0</v>
      </c>
      <c r="X533">
        <v>0.116032812439917</v>
      </c>
      <c r="Y533">
        <v>3.7616640433732598E-2</v>
      </c>
      <c r="Z533">
        <v>4.6819047819568901E-2</v>
      </c>
      <c r="AA533">
        <v>0</v>
      </c>
      <c r="AB533">
        <f t="shared" si="56"/>
        <v>4.220724270131114E-2</v>
      </c>
      <c r="AC533">
        <f t="shared" si="61"/>
        <v>0.1</v>
      </c>
      <c r="AD533">
        <f t="shared" si="57"/>
        <v>0</v>
      </c>
      <c r="AE533">
        <f t="shared" si="62"/>
        <v>4.6427966971442261E-2</v>
      </c>
      <c r="AF533" t="str">
        <f t="shared" si="58"/>
        <v>Very Low</v>
      </c>
      <c r="AG533" t="str">
        <f t="shared" si="59"/>
        <v>NO ACTION</v>
      </c>
      <c r="AH533" t="str">
        <f t="shared" si="60"/>
        <v/>
      </c>
    </row>
    <row r="534" spans="1:34" x14ac:dyDescent="0.3">
      <c r="A534" t="s">
        <v>561</v>
      </c>
      <c r="B534">
        <v>0.2351606805293</v>
      </c>
      <c r="C534">
        <v>0.740834222629279</v>
      </c>
      <c r="D534">
        <v>0.34415284999038898</v>
      </c>
      <c r="E534">
        <v>0</v>
      </c>
      <c r="F534">
        <v>0</v>
      </c>
      <c r="G534">
        <v>0.48033798575439501</v>
      </c>
      <c r="H534">
        <v>8</v>
      </c>
      <c r="I534">
        <v>14</v>
      </c>
      <c r="J534">
        <v>0.102523734554649</v>
      </c>
      <c r="K534">
        <v>1.38662316476345E-2</v>
      </c>
      <c r="L534">
        <v>3.4466991944265599E-2</v>
      </c>
      <c r="M534">
        <v>4.0404040404040404E-3</v>
      </c>
      <c r="N534">
        <v>2.3760351894056599E-2</v>
      </c>
      <c r="O534">
        <v>1133</v>
      </c>
      <c r="P534">
        <v>8.32982603815937E-2</v>
      </c>
      <c r="Q534">
        <v>8.3453136505487496E-2</v>
      </c>
      <c r="R534">
        <v>0.86578171091445399</v>
      </c>
      <c r="S534">
        <v>1</v>
      </c>
      <c r="T534" t="s">
        <v>28</v>
      </c>
      <c r="U534">
        <v>1.9245283018867899E-2</v>
      </c>
      <c r="V534">
        <v>0</v>
      </c>
      <c r="W534">
        <v>0</v>
      </c>
      <c r="X534">
        <v>0.103245854997116</v>
      </c>
      <c r="Y534">
        <v>4.4866348451279597E-2</v>
      </c>
      <c r="Z534">
        <v>5.9483096986578797E-2</v>
      </c>
      <c r="AA534">
        <v>0.86578171091445399</v>
      </c>
      <c r="AB534">
        <f t="shared" si="56"/>
        <v>0.28815606057818605</v>
      </c>
      <c r="AC534">
        <f t="shared" si="61"/>
        <v>0.25</v>
      </c>
      <c r="AD534">
        <f t="shared" si="57"/>
        <v>0</v>
      </c>
      <c r="AE534">
        <f t="shared" si="62"/>
        <v>0.36019507572273257</v>
      </c>
      <c r="AF534" t="str">
        <f t="shared" si="58"/>
        <v>Low</v>
      </c>
      <c r="AG534" t="str">
        <f t="shared" si="59"/>
        <v>NO ACTION</v>
      </c>
      <c r="AH534" t="str">
        <f t="shared" si="60"/>
        <v/>
      </c>
    </row>
    <row r="535" spans="1:34" x14ac:dyDescent="0.3">
      <c r="A535" t="s">
        <v>562</v>
      </c>
      <c r="B535">
        <v>0.238941398865784</v>
      </c>
      <c r="C535">
        <v>0.60194149616264703</v>
      </c>
      <c r="D535">
        <v>0.38172274225291702</v>
      </c>
      <c r="E535">
        <v>0</v>
      </c>
      <c r="F535">
        <v>0</v>
      </c>
      <c r="G535">
        <v>0.47050151088657999</v>
      </c>
      <c r="H535">
        <v>7</v>
      </c>
      <c r="I535">
        <v>16</v>
      </c>
      <c r="J535">
        <v>9.1646390916463899E-2</v>
      </c>
      <c r="K535">
        <v>1.5497553017944501E-2</v>
      </c>
      <c r="L535">
        <v>4.3082160903763198E-2</v>
      </c>
      <c r="M535">
        <v>3.7518037518037501E-3</v>
      </c>
      <c r="N535">
        <v>2.46750249865514E-2</v>
      </c>
      <c r="O535">
        <v>1038</v>
      </c>
      <c r="P535">
        <v>7.5862794612794604E-2</v>
      </c>
      <c r="Q535">
        <v>7.6019495774746607E-2</v>
      </c>
      <c r="R535">
        <v>0.20796460176991099</v>
      </c>
      <c r="S535">
        <v>1</v>
      </c>
      <c r="T535" t="s">
        <v>53</v>
      </c>
      <c r="U535">
        <v>2.3045822102425801E-2</v>
      </c>
      <c r="V535">
        <v>0</v>
      </c>
      <c r="W535">
        <v>0</v>
      </c>
      <c r="X535">
        <v>0.114516822675875</v>
      </c>
      <c r="Y535">
        <v>4.7272866131139797E-2</v>
      </c>
      <c r="Z535">
        <v>5.53876867622973E-2</v>
      </c>
      <c r="AA535">
        <v>0.20796460176991099</v>
      </c>
      <c r="AB535">
        <f t="shared" si="56"/>
        <v>0.10529773493387748</v>
      </c>
      <c r="AC535">
        <f t="shared" si="61"/>
        <v>0.1</v>
      </c>
      <c r="AD535">
        <f t="shared" si="57"/>
        <v>0</v>
      </c>
      <c r="AE535">
        <f t="shared" si="62"/>
        <v>0.11582750842726523</v>
      </c>
      <c r="AF535" t="str">
        <f t="shared" si="58"/>
        <v>Very Low</v>
      </c>
      <c r="AG535" t="str">
        <f t="shared" si="59"/>
        <v>NO ACTION</v>
      </c>
      <c r="AH535" t="str">
        <f t="shared" si="60"/>
        <v/>
      </c>
    </row>
    <row r="536" spans="1:34" x14ac:dyDescent="0.3">
      <c r="A536" t="s">
        <v>563</v>
      </c>
      <c r="B536">
        <v>0.257088846880907</v>
      </c>
      <c r="C536">
        <v>0.64316875995100098</v>
      </c>
      <c r="D536">
        <v>0.40127326119988699</v>
      </c>
      <c r="E536">
        <v>0</v>
      </c>
      <c r="F536">
        <v>0</v>
      </c>
      <c r="G536">
        <v>0.42698591131831798</v>
      </c>
      <c r="H536">
        <v>7</v>
      </c>
      <c r="I536">
        <v>17</v>
      </c>
      <c r="J536">
        <v>9.4699680358761501E-2</v>
      </c>
      <c r="K536">
        <v>1.9575856443719401E-2</v>
      </c>
      <c r="L536">
        <v>5.2669394488641899E-2</v>
      </c>
      <c r="M536">
        <v>3.1746031746031698E-3</v>
      </c>
      <c r="N536">
        <v>2.0207386137034301E-2</v>
      </c>
      <c r="O536">
        <v>1135</v>
      </c>
      <c r="P536">
        <v>7.9580527497194103E-2</v>
      </c>
      <c r="Q536">
        <v>7.97363161401171E-2</v>
      </c>
      <c r="R536">
        <v>0.19469026548672499</v>
      </c>
      <c r="S536">
        <v>1</v>
      </c>
      <c r="T536" t="s">
        <v>53</v>
      </c>
      <c r="U536">
        <v>3.3962264150943298E-2</v>
      </c>
      <c r="V536">
        <v>0</v>
      </c>
      <c r="W536">
        <v>0</v>
      </c>
      <c r="X536">
        <v>0.120381978359966</v>
      </c>
      <c r="Y536">
        <v>5.1336849157183499E-2</v>
      </c>
      <c r="Z536">
        <v>5.5831270953130202E-2</v>
      </c>
      <c r="AA536">
        <v>0.19469026548672499</v>
      </c>
      <c r="AB536">
        <f t="shared" si="56"/>
        <v>0.1037814645047654</v>
      </c>
      <c r="AC536">
        <f t="shared" si="61"/>
        <v>0.1</v>
      </c>
      <c r="AD536">
        <f t="shared" si="57"/>
        <v>0</v>
      </c>
      <c r="AE536">
        <f t="shared" si="62"/>
        <v>0.11415961095524195</v>
      </c>
      <c r="AF536" t="str">
        <f t="shared" si="58"/>
        <v>Very Low</v>
      </c>
      <c r="AG536" t="str">
        <f t="shared" si="59"/>
        <v>NO ACTION</v>
      </c>
      <c r="AH536" t="str">
        <f t="shared" si="60"/>
        <v/>
      </c>
    </row>
    <row r="537" spans="1:34" x14ac:dyDescent="0.3">
      <c r="A537" t="s">
        <v>564</v>
      </c>
      <c r="B537">
        <v>0.12892249527410199</v>
      </c>
      <c r="C537">
        <v>0.18476582604220201</v>
      </c>
      <c r="D537">
        <v>0</v>
      </c>
      <c r="E537">
        <v>0</v>
      </c>
      <c r="F537">
        <v>0</v>
      </c>
      <c r="G537">
        <v>0.99365790675819099</v>
      </c>
      <c r="H537">
        <v>7</v>
      </c>
      <c r="I537">
        <v>7</v>
      </c>
      <c r="J537">
        <v>7.8574495491627303E-2</v>
      </c>
      <c r="K537">
        <v>4.8939641109298502E-3</v>
      </c>
      <c r="L537">
        <v>1.5861394526694501E-2</v>
      </c>
      <c r="M537">
        <v>2.0202020202020202E-3</v>
      </c>
      <c r="N537">
        <v>1.54902536258468E-2</v>
      </c>
      <c r="O537">
        <v>822</v>
      </c>
      <c r="P537">
        <v>6.0851571268237897E-2</v>
      </c>
      <c r="Q537">
        <v>6.1011956940986697E-2</v>
      </c>
      <c r="R537">
        <v>0</v>
      </c>
      <c r="S537">
        <v>0</v>
      </c>
      <c r="T537" t="s">
        <v>53</v>
      </c>
      <c r="U537">
        <v>1.27358490566037E-2</v>
      </c>
      <c r="V537">
        <v>0</v>
      </c>
      <c r="W537">
        <v>0</v>
      </c>
      <c r="X537">
        <v>0</v>
      </c>
      <c r="Y537">
        <v>2.8292672449426699E-2</v>
      </c>
      <c r="Z537">
        <v>4.2707044211281499E-2</v>
      </c>
      <c r="AA537">
        <v>0</v>
      </c>
      <c r="AB537">
        <f t="shared" si="56"/>
        <v>1.9879920664998298E-2</v>
      </c>
      <c r="AC537">
        <f t="shared" si="61"/>
        <v>0.1</v>
      </c>
      <c r="AD537">
        <f t="shared" si="57"/>
        <v>0</v>
      </c>
      <c r="AE537">
        <f t="shared" si="62"/>
        <v>2.1867912731498129E-2</v>
      </c>
      <c r="AF537" t="str">
        <f t="shared" si="58"/>
        <v>Very Low</v>
      </c>
      <c r="AG537" t="str">
        <f t="shared" si="59"/>
        <v>NO ACTION</v>
      </c>
      <c r="AH537" t="str">
        <f t="shared" si="60"/>
        <v/>
      </c>
    </row>
    <row r="538" spans="1:34" x14ac:dyDescent="0.3">
      <c r="A538" t="s">
        <v>565</v>
      </c>
      <c r="B538">
        <v>0.12892249527410199</v>
      </c>
      <c r="C538">
        <v>0.36953165208440503</v>
      </c>
      <c r="D538">
        <v>0</v>
      </c>
      <c r="E538">
        <v>0</v>
      </c>
      <c r="F538">
        <v>0</v>
      </c>
      <c r="G538">
        <v>0.99365046672791602</v>
      </c>
      <c r="H538">
        <v>8</v>
      </c>
      <c r="I538">
        <v>8</v>
      </c>
      <c r="J538">
        <v>0.120461810028147</v>
      </c>
      <c r="K538">
        <v>1.38662316476345E-2</v>
      </c>
      <c r="L538">
        <v>2.93446247620348E-2</v>
      </c>
      <c r="M538">
        <v>4.0404040404040404E-3</v>
      </c>
      <c r="N538">
        <v>2.02291691619754E-2</v>
      </c>
      <c r="O538">
        <v>1348</v>
      </c>
      <c r="P538">
        <v>9.6485690235690202E-2</v>
      </c>
      <c r="Q538">
        <v>9.6637329499631802E-2</v>
      </c>
      <c r="R538">
        <v>0</v>
      </c>
      <c r="S538">
        <v>0</v>
      </c>
      <c r="T538" t="s">
        <v>28</v>
      </c>
      <c r="U538">
        <v>1.9245283018867899E-2</v>
      </c>
      <c r="V538">
        <v>0</v>
      </c>
      <c r="W538">
        <v>0</v>
      </c>
      <c r="X538">
        <v>0</v>
      </c>
      <c r="Y538">
        <v>4.4833425135239503E-2</v>
      </c>
      <c r="Z538">
        <v>6.5983081806204297E-2</v>
      </c>
      <c r="AA538">
        <v>0</v>
      </c>
      <c r="AB538">
        <f t="shared" si="56"/>
        <v>3.1028621943604263E-2</v>
      </c>
      <c r="AC538">
        <f t="shared" si="61"/>
        <v>0.25</v>
      </c>
      <c r="AD538">
        <f t="shared" si="57"/>
        <v>0</v>
      </c>
      <c r="AE538">
        <f t="shared" si="62"/>
        <v>3.8785777429505328E-2</v>
      </c>
      <c r="AF538" t="str">
        <f t="shared" si="58"/>
        <v>Very Low</v>
      </c>
      <c r="AG538" t="str">
        <f t="shared" si="59"/>
        <v>NO ACTION</v>
      </c>
      <c r="AH538" t="str">
        <f t="shared" si="60"/>
        <v/>
      </c>
    </row>
    <row r="539" spans="1:34" x14ac:dyDescent="0.3">
      <c r="A539" t="s">
        <v>566</v>
      </c>
      <c r="B539">
        <v>0.12892249527410199</v>
      </c>
      <c r="C539">
        <v>0.55429747812660801</v>
      </c>
      <c r="D539">
        <v>0</v>
      </c>
      <c r="E539">
        <v>0</v>
      </c>
      <c r="F539">
        <v>0</v>
      </c>
      <c r="G539">
        <v>0.99366887946471105</v>
      </c>
      <c r="H539">
        <v>9</v>
      </c>
      <c r="I539">
        <v>9</v>
      </c>
      <c r="J539">
        <v>0.11798101235628</v>
      </c>
      <c r="K539">
        <v>2.0391517128874301E-2</v>
      </c>
      <c r="L539">
        <v>4.4059429240818099E-2</v>
      </c>
      <c r="M539">
        <v>2.59740259740259E-3</v>
      </c>
      <c r="N539">
        <v>1.32773602507258E-2</v>
      </c>
      <c r="O539">
        <v>1323</v>
      </c>
      <c r="P539">
        <v>9.6766273849607107E-2</v>
      </c>
      <c r="Q539">
        <v>9.6917844244188006E-2</v>
      </c>
      <c r="R539">
        <v>0</v>
      </c>
      <c r="S539">
        <v>0</v>
      </c>
      <c r="T539" t="s">
        <v>28</v>
      </c>
      <c r="U539">
        <v>4.2452830188679201E-2</v>
      </c>
      <c r="V539">
        <v>0</v>
      </c>
      <c r="W539">
        <v>0</v>
      </c>
      <c r="X539">
        <v>0</v>
      </c>
      <c r="Y539">
        <v>4.96091251668829E-2</v>
      </c>
      <c r="Z539">
        <v>6.3370708410054599E-2</v>
      </c>
      <c r="AA539">
        <v>0</v>
      </c>
      <c r="AB539">
        <f t="shared" si="56"/>
        <v>3.1634353401542505E-2</v>
      </c>
      <c r="AC539">
        <f t="shared" si="61"/>
        <v>0.25</v>
      </c>
      <c r="AD539">
        <f t="shared" si="57"/>
        <v>0</v>
      </c>
      <c r="AE539">
        <f t="shared" si="62"/>
        <v>3.9542941751928129E-2</v>
      </c>
      <c r="AF539" t="str">
        <f t="shared" si="58"/>
        <v>Very Low</v>
      </c>
      <c r="AG539" t="str">
        <f t="shared" si="59"/>
        <v>NO ACTION</v>
      </c>
      <c r="AH539" t="str">
        <f t="shared" si="60"/>
        <v/>
      </c>
    </row>
    <row r="540" spans="1:34" x14ac:dyDescent="0.3">
      <c r="A540" t="s">
        <v>567</v>
      </c>
      <c r="B540">
        <v>0.12892249527410199</v>
      </c>
      <c r="C540">
        <v>0.28277204681241402</v>
      </c>
      <c r="D540">
        <v>7.4993488433305694E-2</v>
      </c>
      <c r="E540">
        <v>0</v>
      </c>
      <c r="F540">
        <v>0</v>
      </c>
      <c r="G540">
        <v>0.99369205596189703</v>
      </c>
      <c r="H540">
        <v>7</v>
      </c>
      <c r="I540">
        <v>8</v>
      </c>
      <c r="J540">
        <v>0.100424598063069</v>
      </c>
      <c r="K540">
        <v>1.71288743882544E-2</v>
      </c>
      <c r="L540">
        <v>4.3464731352297503E-2</v>
      </c>
      <c r="M540">
        <v>4.9062049062049001E-3</v>
      </c>
      <c r="N540">
        <v>2.94535059463969E-2</v>
      </c>
      <c r="O540">
        <v>1205</v>
      </c>
      <c r="P540">
        <v>8.3578843995510604E-2</v>
      </c>
      <c r="Q540">
        <v>8.3733651250043797E-2</v>
      </c>
      <c r="R540">
        <v>0</v>
      </c>
      <c r="S540">
        <v>0</v>
      </c>
      <c r="T540" t="s">
        <v>28</v>
      </c>
      <c r="U540">
        <v>1.98113207547169E-2</v>
      </c>
      <c r="V540">
        <v>0</v>
      </c>
      <c r="W540">
        <v>0</v>
      </c>
      <c r="X540">
        <v>2.2498046529991701E-2</v>
      </c>
      <c r="Y540">
        <v>5.0653337072681701E-2</v>
      </c>
      <c r="Z540">
        <v>6.19287087758651E-2</v>
      </c>
      <c r="AA540">
        <v>0</v>
      </c>
      <c r="AB540">
        <f t="shared" si="56"/>
        <v>3.5122660282391777E-2</v>
      </c>
      <c r="AC540">
        <f t="shared" si="61"/>
        <v>0.25</v>
      </c>
      <c r="AD540">
        <f t="shared" si="57"/>
        <v>0</v>
      </c>
      <c r="AE540">
        <f t="shared" si="62"/>
        <v>4.3903325352989721E-2</v>
      </c>
      <c r="AF540" t="str">
        <f t="shared" si="58"/>
        <v>Very Low</v>
      </c>
      <c r="AG540" t="str">
        <f t="shared" si="59"/>
        <v>NO ACTION</v>
      </c>
      <c r="AH540" t="str">
        <f t="shared" si="60"/>
        <v/>
      </c>
    </row>
    <row r="541" spans="1:34" x14ac:dyDescent="0.3">
      <c r="A541" t="s">
        <v>568</v>
      </c>
      <c r="B541">
        <v>0.12892249527410199</v>
      </c>
      <c r="C541">
        <v>0.28009428121759899</v>
      </c>
      <c r="D541">
        <v>7.50946055673926E-2</v>
      </c>
      <c r="E541">
        <v>0</v>
      </c>
      <c r="F541">
        <v>0</v>
      </c>
      <c r="G541">
        <v>0.99367920986645897</v>
      </c>
      <c r="H541">
        <v>7</v>
      </c>
      <c r="I541">
        <v>8</v>
      </c>
      <c r="J541">
        <v>9.2982205047469096E-2</v>
      </c>
      <c r="K541">
        <v>9.7879282218597003E-3</v>
      </c>
      <c r="L541">
        <v>2.6819881021596E-2</v>
      </c>
      <c r="M541">
        <v>1.1544011544011501E-3</v>
      </c>
      <c r="N541">
        <v>7.4835206872054302E-3</v>
      </c>
      <c r="O541">
        <v>926</v>
      </c>
      <c r="P541">
        <v>7.3127104377104304E-2</v>
      </c>
      <c r="Q541">
        <v>7.3284477015323105E-2</v>
      </c>
      <c r="R541">
        <v>0</v>
      </c>
      <c r="S541">
        <v>0</v>
      </c>
      <c r="T541" t="s">
        <v>53</v>
      </c>
      <c r="U541">
        <v>4.0754716981131998E-2</v>
      </c>
      <c r="V541">
        <v>0</v>
      </c>
      <c r="W541">
        <v>0</v>
      </c>
      <c r="X541">
        <v>2.2528381670217701E-2</v>
      </c>
      <c r="Y541">
        <v>3.42514377264534E-2</v>
      </c>
      <c r="Z541">
        <v>4.68696709011448E-2</v>
      </c>
      <c r="AA541">
        <v>0</v>
      </c>
      <c r="AB541">
        <f t="shared" si="56"/>
        <v>2.631845148296233E-2</v>
      </c>
      <c r="AC541">
        <f t="shared" si="61"/>
        <v>0.1</v>
      </c>
      <c r="AD541">
        <f t="shared" si="57"/>
        <v>0</v>
      </c>
      <c r="AE541">
        <f t="shared" si="62"/>
        <v>2.8950296631258563E-2</v>
      </c>
      <c r="AF541" t="str">
        <f t="shared" si="58"/>
        <v>Very Low</v>
      </c>
      <c r="AG541" t="str">
        <f t="shared" si="59"/>
        <v>NO ACTION</v>
      </c>
      <c r="AH541" t="str">
        <f t="shared" si="60"/>
        <v/>
      </c>
    </row>
    <row r="542" spans="1:34" x14ac:dyDescent="0.3">
      <c r="A542" t="s">
        <v>569</v>
      </c>
      <c r="B542">
        <v>0.12892249527410199</v>
      </c>
      <c r="C542">
        <v>0.46164678854602498</v>
      </c>
      <c r="D542">
        <v>7.5132489407342906E-2</v>
      </c>
      <c r="E542">
        <v>0</v>
      </c>
      <c r="F542">
        <v>0</v>
      </c>
      <c r="G542">
        <v>0.99366095770585705</v>
      </c>
      <c r="H542">
        <v>8</v>
      </c>
      <c r="I542">
        <v>9</v>
      </c>
      <c r="J542">
        <v>7.5902867229616894E-2</v>
      </c>
      <c r="K542">
        <v>2.0391517128874301E-2</v>
      </c>
      <c r="L542">
        <v>6.8408061189691199E-2</v>
      </c>
      <c r="M542">
        <v>1.7316017316017301E-3</v>
      </c>
      <c r="N542">
        <v>1.3743232540224999E-2</v>
      </c>
      <c r="O542">
        <v>919</v>
      </c>
      <c r="P542">
        <v>6.5411054994388304E-2</v>
      </c>
      <c r="Q542">
        <v>6.55703215400259E-2</v>
      </c>
      <c r="R542">
        <v>0</v>
      </c>
      <c r="S542">
        <v>0</v>
      </c>
      <c r="T542" t="s">
        <v>53</v>
      </c>
      <c r="U542">
        <v>6.0646900269541698E-2</v>
      </c>
      <c r="V542">
        <v>0</v>
      </c>
      <c r="W542">
        <v>0</v>
      </c>
      <c r="X542">
        <v>2.2539746822202798E-2</v>
      </c>
      <c r="Y542">
        <v>5.3507573802836501E-2</v>
      </c>
      <c r="Z542">
        <v>4.4743926012723E-2</v>
      </c>
      <c r="AA542">
        <v>0</v>
      </c>
      <c r="AB542">
        <f t="shared" si="56"/>
        <v>3.111677943990911E-2</v>
      </c>
      <c r="AC542">
        <f t="shared" si="61"/>
        <v>0.1</v>
      </c>
      <c r="AD542">
        <f t="shared" si="57"/>
        <v>0</v>
      </c>
      <c r="AE542">
        <f t="shared" si="62"/>
        <v>3.4228457383900027E-2</v>
      </c>
      <c r="AF542" t="str">
        <f t="shared" si="58"/>
        <v>Very Low</v>
      </c>
      <c r="AG542" t="str">
        <f t="shared" si="59"/>
        <v>NO ACTION</v>
      </c>
      <c r="AH542" t="str">
        <f t="shared" si="60"/>
        <v/>
      </c>
    </row>
    <row r="543" spans="1:34" x14ac:dyDescent="0.3">
      <c r="A543" t="s">
        <v>570</v>
      </c>
      <c r="B543">
        <v>6.8431001890359097E-2</v>
      </c>
      <c r="C543">
        <v>0.27165570099177899</v>
      </c>
      <c r="D543">
        <v>7.5094332461340702E-2</v>
      </c>
      <c r="E543">
        <v>0</v>
      </c>
      <c r="F543">
        <v>0</v>
      </c>
      <c r="G543">
        <v>0.98400933130637902</v>
      </c>
      <c r="H543">
        <v>7</v>
      </c>
      <c r="I543">
        <v>8</v>
      </c>
      <c r="J543">
        <v>2.2374886694337098E-2</v>
      </c>
      <c r="K543">
        <v>8.1566068515497503E-4</v>
      </c>
      <c r="L543">
        <v>9.2134401399786708E-3</v>
      </c>
      <c r="M543">
        <v>5.7720057720057698E-4</v>
      </c>
      <c r="N543">
        <v>1.5424893905906499E-2</v>
      </c>
      <c r="O543">
        <v>311</v>
      </c>
      <c r="P543">
        <v>1.70805274971941E-2</v>
      </c>
      <c r="Q543">
        <v>1.7251656790209999E-2</v>
      </c>
      <c r="R543">
        <v>0</v>
      </c>
      <c r="S543">
        <v>0</v>
      </c>
      <c r="T543" t="s">
        <v>53</v>
      </c>
      <c r="U543">
        <v>5.6603773584905596E-3</v>
      </c>
      <c r="V543">
        <v>0</v>
      </c>
      <c r="W543">
        <v>0</v>
      </c>
      <c r="X543">
        <v>2.2528299738402199E-2</v>
      </c>
      <c r="Y543">
        <v>1.37091655806287E-2</v>
      </c>
      <c r="Z543">
        <v>1.6418274060679101E-2</v>
      </c>
      <c r="AA543">
        <v>0</v>
      </c>
      <c r="AB543">
        <f t="shared" si="56"/>
        <v>1.2040211057710536E-2</v>
      </c>
      <c r="AC543">
        <f t="shared" si="61"/>
        <v>0.1</v>
      </c>
      <c r="AD543">
        <f t="shared" si="57"/>
        <v>0</v>
      </c>
      <c r="AE543">
        <f t="shared" si="62"/>
        <v>1.3244232163481591E-2</v>
      </c>
      <c r="AF543" t="str">
        <f t="shared" si="58"/>
        <v>Very Low</v>
      </c>
      <c r="AG543" t="str">
        <f t="shared" si="59"/>
        <v>NO ACTION</v>
      </c>
      <c r="AH543" t="str">
        <f t="shared" si="60"/>
        <v/>
      </c>
    </row>
    <row r="544" spans="1:34" x14ac:dyDescent="0.3">
      <c r="A544" t="s">
        <v>571</v>
      </c>
      <c r="B544">
        <v>0.12892249527410199</v>
      </c>
      <c r="C544">
        <v>0</v>
      </c>
      <c r="D544">
        <v>0</v>
      </c>
      <c r="E544">
        <v>0</v>
      </c>
      <c r="F544">
        <v>1</v>
      </c>
      <c r="G544">
        <v>0.99366317900986001</v>
      </c>
      <c r="H544">
        <v>6</v>
      </c>
      <c r="I544">
        <v>6</v>
      </c>
      <c r="J544">
        <v>0.102953103382472</v>
      </c>
      <c r="K544">
        <v>1.6313213703099499E-2</v>
      </c>
      <c r="L544">
        <v>4.0380680779934203E-2</v>
      </c>
      <c r="M544">
        <v>2.8860028860028799E-3</v>
      </c>
      <c r="N544">
        <v>1.6901062670826798E-2</v>
      </c>
      <c r="O544">
        <v>1239</v>
      </c>
      <c r="P544">
        <v>8.4104938271604895E-2</v>
      </c>
      <c r="Q544">
        <v>8.4259616396086798E-2</v>
      </c>
      <c r="R544">
        <v>0</v>
      </c>
      <c r="S544">
        <v>0</v>
      </c>
      <c r="T544" t="s">
        <v>28</v>
      </c>
      <c r="U544">
        <v>3.08747855917667E-2</v>
      </c>
      <c r="V544">
        <v>0</v>
      </c>
      <c r="W544">
        <v>0</v>
      </c>
      <c r="X544">
        <v>0.4</v>
      </c>
      <c r="Y544">
        <v>4.58512798677096E-2</v>
      </c>
      <c r="Z544">
        <v>5.7223388031293697E-2</v>
      </c>
      <c r="AA544">
        <v>0</v>
      </c>
      <c r="AB544">
        <f t="shared" si="56"/>
        <v>9.2860907011720922E-2</v>
      </c>
      <c r="AC544">
        <f t="shared" si="61"/>
        <v>0.25</v>
      </c>
      <c r="AD544">
        <f t="shared" si="57"/>
        <v>0.08</v>
      </c>
      <c r="AE544">
        <f t="shared" si="62"/>
        <v>0.12350500632558883</v>
      </c>
      <c r="AF544" t="str">
        <f t="shared" si="58"/>
        <v>Very Low</v>
      </c>
      <c r="AG544" t="str">
        <f t="shared" si="59"/>
        <v>NO ACTION</v>
      </c>
      <c r="AH544" t="str">
        <f t="shared" si="60"/>
        <v/>
      </c>
    </row>
    <row r="545" spans="1:34" x14ac:dyDescent="0.3">
      <c r="A545" t="s">
        <v>572</v>
      </c>
      <c r="B545">
        <v>0.12892249527410199</v>
      </c>
      <c r="C545">
        <v>0.27580985626589599</v>
      </c>
      <c r="D545">
        <v>7.5124914167671697E-2</v>
      </c>
      <c r="E545">
        <v>0</v>
      </c>
      <c r="F545">
        <v>0</v>
      </c>
      <c r="G545">
        <v>0.99369786346754396</v>
      </c>
      <c r="H545">
        <v>7</v>
      </c>
      <c r="I545">
        <v>8</v>
      </c>
      <c r="J545">
        <v>7.5378083106722005E-2</v>
      </c>
      <c r="K545">
        <v>1.4681892332789499E-2</v>
      </c>
      <c r="L545">
        <v>4.9595628564225898E-2</v>
      </c>
      <c r="M545">
        <v>1.1544011544011501E-3</v>
      </c>
      <c r="N545">
        <v>9.2257409607567308E-3</v>
      </c>
      <c r="O545">
        <v>785</v>
      </c>
      <c r="P545">
        <v>6.22895622895622E-2</v>
      </c>
      <c r="Q545">
        <v>6.2449595006837499E-2</v>
      </c>
      <c r="R545">
        <v>0</v>
      </c>
      <c r="S545">
        <v>0</v>
      </c>
      <c r="T545" t="s">
        <v>53</v>
      </c>
      <c r="U545">
        <v>6.1132075471698098E-2</v>
      </c>
      <c r="V545">
        <v>0</v>
      </c>
      <c r="W545">
        <v>0</v>
      </c>
      <c r="X545">
        <v>2.25374742503015E-2</v>
      </c>
      <c r="Y545">
        <v>4.2641153191684301E-2</v>
      </c>
      <c r="Z545">
        <v>4.1064033758039999E-2</v>
      </c>
      <c r="AA545">
        <v>0</v>
      </c>
      <c r="AB545">
        <f t="shared" si="56"/>
        <v>2.7043448225971045E-2</v>
      </c>
      <c r="AC545">
        <f t="shared" si="61"/>
        <v>0.1</v>
      </c>
      <c r="AD545">
        <f t="shared" si="57"/>
        <v>0</v>
      </c>
      <c r="AE545">
        <f t="shared" si="62"/>
        <v>2.9747793048568151E-2</v>
      </c>
      <c r="AF545" t="str">
        <f t="shared" si="58"/>
        <v>Very Low</v>
      </c>
      <c r="AG545" t="str">
        <f t="shared" si="59"/>
        <v>NO ACTION</v>
      </c>
      <c r="AH545" t="str">
        <f t="shared" si="60"/>
        <v/>
      </c>
    </row>
    <row r="546" spans="1:34" x14ac:dyDescent="0.3">
      <c r="A546" t="s">
        <v>573</v>
      </c>
      <c r="B546">
        <v>0.28052930056710701</v>
      </c>
      <c r="C546">
        <v>0.52680551205330395</v>
      </c>
      <c r="D546">
        <v>0.37761772864746501</v>
      </c>
      <c r="E546">
        <v>0</v>
      </c>
      <c r="F546">
        <v>0.25737265415549598</v>
      </c>
      <c r="G546">
        <v>0.37902138845509498</v>
      </c>
      <c r="H546">
        <v>6</v>
      </c>
      <c r="I546">
        <v>15</v>
      </c>
      <c r="J546">
        <v>8.1246123753637697E-2</v>
      </c>
      <c r="K546">
        <v>6.5252854812398002E-3</v>
      </c>
      <c r="L546">
        <v>2.0455131739343699E-2</v>
      </c>
      <c r="M546">
        <v>5.7720057720057698E-4</v>
      </c>
      <c r="N546">
        <v>4.2806789879389403E-3</v>
      </c>
      <c r="O546">
        <v>308</v>
      </c>
      <c r="P546">
        <v>6.2815656565656505E-2</v>
      </c>
      <c r="Q546">
        <v>6.29755601528805E-2</v>
      </c>
      <c r="R546">
        <v>0</v>
      </c>
      <c r="S546">
        <v>0</v>
      </c>
      <c r="T546" t="s">
        <v>53</v>
      </c>
      <c r="U546">
        <v>4.5283018867924497E-2</v>
      </c>
      <c r="V546">
        <v>0</v>
      </c>
      <c r="W546">
        <v>0</v>
      </c>
      <c r="X546">
        <v>0.21623438025643801</v>
      </c>
      <c r="Y546">
        <v>2.7760994316781099E-2</v>
      </c>
      <c r="Z546">
        <v>3.9401665534569502E-2</v>
      </c>
      <c r="AA546">
        <v>0</v>
      </c>
      <c r="AB546">
        <f t="shared" si="56"/>
        <v>5.3403045599408255E-2</v>
      </c>
      <c r="AC546">
        <f t="shared" si="61"/>
        <v>0.1</v>
      </c>
      <c r="AD546">
        <f t="shared" si="57"/>
        <v>0</v>
      </c>
      <c r="AE546">
        <f t="shared" si="62"/>
        <v>5.8743350159349082E-2</v>
      </c>
      <c r="AF546" t="str">
        <f t="shared" si="58"/>
        <v>Very Low</v>
      </c>
      <c r="AG546" t="str">
        <f t="shared" si="59"/>
        <v>NO ACTION</v>
      </c>
      <c r="AH546" t="str">
        <f t="shared" si="60"/>
        <v/>
      </c>
    </row>
    <row r="547" spans="1:34" x14ac:dyDescent="0.3">
      <c r="A547" t="s">
        <v>574</v>
      </c>
      <c r="B547">
        <v>0.277126654064272</v>
      </c>
      <c r="C547">
        <v>0.71825521249784297</v>
      </c>
      <c r="D547">
        <v>0.37940259624499201</v>
      </c>
      <c r="E547">
        <v>0</v>
      </c>
      <c r="F547">
        <v>0</v>
      </c>
      <c r="G547">
        <v>0.38547191255976798</v>
      </c>
      <c r="H547">
        <v>7</v>
      </c>
      <c r="I547">
        <v>16</v>
      </c>
      <c r="J547">
        <v>8.9070177949525306E-2</v>
      </c>
      <c r="K547">
        <v>6.5252854812398002E-3</v>
      </c>
      <c r="L547">
        <v>1.86631223348286E-2</v>
      </c>
      <c r="M547">
        <v>3.8095238095238099E-2</v>
      </c>
      <c r="N547">
        <v>0.25777370777370701</v>
      </c>
      <c r="O547">
        <v>341</v>
      </c>
      <c r="P547">
        <v>8.6805555555555497E-2</v>
      </c>
      <c r="Q547">
        <v>8.6959570812440795E-2</v>
      </c>
      <c r="R547">
        <v>0</v>
      </c>
      <c r="S547">
        <v>0</v>
      </c>
      <c r="T547" t="s">
        <v>53</v>
      </c>
      <c r="U547">
        <v>1.02142147822386E-3</v>
      </c>
      <c r="V547">
        <v>0</v>
      </c>
      <c r="W547">
        <v>0</v>
      </c>
      <c r="X547">
        <v>0.11382077887349699</v>
      </c>
      <c r="Y547">
        <v>0.10447770908943101</v>
      </c>
      <c r="Z547">
        <v>0.15519281644281599</v>
      </c>
      <c r="AA547">
        <v>0</v>
      </c>
      <c r="AB547">
        <f t="shared" si="56"/>
        <v>9.091907176878869E-2</v>
      </c>
      <c r="AC547">
        <f t="shared" si="61"/>
        <v>0.1</v>
      </c>
      <c r="AD547">
        <f t="shared" si="57"/>
        <v>0</v>
      </c>
      <c r="AE547">
        <f t="shared" si="62"/>
        <v>0.10001097894566757</v>
      </c>
      <c r="AF547" t="str">
        <f t="shared" si="58"/>
        <v>Very Low</v>
      </c>
      <c r="AG547" t="str">
        <f t="shared" si="59"/>
        <v>NO ACTION</v>
      </c>
      <c r="AH547" t="str">
        <f t="shared" si="60"/>
        <v/>
      </c>
    </row>
    <row r="548" spans="1:34" x14ac:dyDescent="0.3">
      <c r="A548" t="s">
        <v>575</v>
      </c>
      <c r="B548">
        <v>0.22759924385633201</v>
      </c>
      <c r="C548">
        <v>0.560090466071825</v>
      </c>
      <c r="D548">
        <v>0.35947337350970299</v>
      </c>
      <c r="E548">
        <v>0</v>
      </c>
      <c r="F548">
        <v>0</v>
      </c>
      <c r="G548">
        <v>0.50119743927498295</v>
      </c>
      <c r="H548">
        <v>7</v>
      </c>
      <c r="I548">
        <v>13</v>
      </c>
      <c r="J548">
        <v>7.6379943704975903E-2</v>
      </c>
      <c r="K548">
        <v>1.30505709624796E-2</v>
      </c>
      <c r="L548">
        <v>4.35085492039839E-2</v>
      </c>
      <c r="M548">
        <v>1.7316017316017301E-3</v>
      </c>
      <c r="N548">
        <v>1.36576582404726E-2</v>
      </c>
      <c r="O548">
        <v>929</v>
      </c>
      <c r="P548">
        <v>6.2605218855218803E-2</v>
      </c>
      <c r="Q548">
        <v>6.2765174094463305E-2</v>
      </c>
      <c r="R548">
        <v>0</v>
      </c>
      <c r="S548">
        <v>0</v>
      </c>
      <c r="T548" t="s">
        <v>53</v>
      </c>
      <c r="U548">
        <v>3.8814016172506703E-2</v>
      </c>
      <c r="V548">
        <v>0</v>
      </c>
      <c r="W548">
        <v>0</v>
      </c>
      <c r="X548">
        <v>0.107842012052911</v>
      </c>
      <c r="Y548">
        <v>4.1127560815128902E-2</v>
      </c>
      <c r="Z548">
        <v>4.3026194609320299E-2</v>
      </c>
      <c r="AA548">
        <v>0</v>
      </c>
      <c r="AB548">
        <f t="shared" si="56"/>
        <v>4.0817773447311537E-2</v>
      </c>
      <c r="AC548">
        <f t="shared" si="61"/>
        <v>0.1</v>
      </c>
      <c r="AD548">
        <f t="shared" si="57"/>
        <v>0</v>
      </c>
      <c r="AE548">
        <f t="shared" si="62"/>
        <v>4.4899550792042692E-2</v>
      </c>
      <c r="AF548" t="str">
        <f t="shared" si="58"/>
        <v>Very Low</v>
      </c>
      <c r="AG548" t="str">
        <f t="shared" si="59"/>
        <v>NO ACTION</v>
      </c>
      <c r="AH548" t="str">
        <f t="shared" si="60"/>
        <v/>
      </c>
    </row>
    <row r="549" spans="1:34" x14ac:dyDescent="0.3">
      <c r="A549" t="s">
        <v>576</v>
      </c>
      <c r="B549">
        <v>0.234026465028355</v>
      </c>
      <c r="C549">
        <v>0.59018297564042199</v>
      </c>
      <c r="D549">
        <v>0.381908757349253</v>
      </c>
      <c r="E549">
        <v>0</v>
      </c>
      <c r="F549">
        <v>0</v>
      </c>
      <c r="G549">
        <v>0.483351835323799</v>
      </c>
      <c r="H549">
        <v>7</v>
      </c>
      <c r="I549">
        <v>16</v>
      </c>
      <c r="J549">
        <v>9.9184199227136102E-2</v>
      </c>
      <c r="K549">
        <v>8.1566068515497494E-3</v>
      </c>
      <c r="L549">
        <v>2.0955713178262399E-2</v>
      </c>
      <c r="M549">
        <v>3.1746031746031698E-3</v>
      </c>
      <c r="N549">
        <v>1.9295920543521299E-2</v>
      </c>
      <c r="O549">
        <v>1111</v>
      </c>
      <c r="P549">
        <v>7.7967171717171699E-2</v>
      </c>
      <c r="Q549">
        <v>7.8123356358918594E-2</v>
      </c>
      <c r="R549">
        <v>0.76548672566371601</v>
      </c>
      <c r="S549">
        <v>1</v>
      </c>
      <c r="T549" t="s">
        <v>28</v>
      </c>
      <c r="U549">
        <v>1.41509433962264E-2</v>
      </c>
      <c r="V549">
        <v>0</v>
      </c>
      <c r="W549">
        <v>0</v>
      </c>
      <c r="X549">
        <v>0.114572627204776</v>
      </c>
      <c r="Y549">
        <v>3.6103472597614802E-2</v>
      </c>
      <c r="Z549">
        <v>5.4498671247711503E-2</v>
      </c>
      <c r="AA549">
        <v>0.76548672566371601</v>
      </c>
      <c r="AB549">
        <f t="shared" si="56"/>
        <v>0.25803650381529603</v>
      </c>
      <c r="AC549">
        <f t="shared" si="61"/>
        <v>0.25</v>
      </c>
      <c r="AD549">
        <f t="shared" si="57"/>
        <v>0</v>
      </c>
      <c r="AE549">
        <f t="shared" si="62"/>
        <v>0.32254562976912005</v>
      </c>
      <c r="AF549" t="str">
        <f t="shared" si="58"/>
        <v>Low</v>
      </c>
      <c r="AG549" t="str">
        <f t="shared" si="59"/>
        <v>NO ACTION</v>
      </c>
      <c r="AH549" t="str">
        <f t="shared" si="60"/>
        <v/>
      </c>
    </row>
    <row r="550" spans="1:34" x14ac:dyDescent="0.3">
      <c r="A550" t="s">
        <v>577</v>
      </c>
      <c r="B550">
        <v>0.12892249527410199</v>
      </c>
      <c r="C550">
        <v>0.27902317497967399</v>
      </c>
      <c r="D550">
        <v>7.51173381640724E-2</v>
      </c>
      <c r="E550">
        <v>0</v>
      </c>
      <c r="F550">
        <v>0</v>
      </c>
      <c r="G550">
        <v>0.99364811161041899</v>
      </c>
      <c r="H550">
        <v>7</v>
      </c>
      <c r="I550">
        <v>8</v>
      </c>
      <c r="J550">
        <v>8.0816754925814596E-2</v>
      </c>
      <c r="K550">
        <v>6.5252854812398002E-3</v>
      </c>
      <c r="L550">
        <v>2.05634873518535E-2</v>
      </c>
      <c r="M550">
        <v>2.7128427128427099E-2</v>
      </c>
      <c r="N550">
        <v>0.202257673005171</v>
      </c>
      <c r="O550">
        <v>289</v>
      </c>
      <c r="P550">
        <v>7.5406846240179501E-2</v>
      </c>
      <c r="Q550">
        <v>7.5563659314842699E-2</v>
      </c>
      <c r="R550">
        <v>0</v>
      </c>
      <c r="S550">
        <v>0</v>
      </c>
      <c r="T550" t="s">
        <v>53</v>
      </c>
      <c r="U550">
        <v>1.4299900695133999E-3</v>
      </c>
      <c r="V550">
        <v>0</v>
      </c>
      <c r="W550">
        <v>0</v>
      </c>
      <c r="X550">
        <v>2.2535201449221699E-2</v>
      </c>
      <c r="Y550">
        <v>8.7122396562641105E-2</v>
      </c>
      <c r="Z550">
        <v>0.126147176946176</v>
      </c>
      <c r="AA550">
        <v>0</v>
      </c>
      <c r="AB550">
        <f t="shared" si="56"/>
        <v>6.3321112814344271E-2</v>
      </c>
      <c r="AC550">
        <f t="shared" si="61"/>
        <v>0.1</v>
      </c>
      <c r="AD550">
        <f t="shared" si="57"/>
        <v>0</v>
      </c>
      <c r="AE550">
        <f t="shared" si="62"/>
        <v>6.9653224095778704E-2</v>
      </c>
      <c r="AF550" t="str">
        <f t="shared" si="58"/>
        <v>Very Low</v>
      </c>
      <c r="AG550" t="str">
        <f t="shared" si="59"/>
        <v>NO ACTION</v>
      </c>
      <c r="AH550" t="str">
        <f t="shared" si="60"/>
        <v/>
      </c>
    </row>
    <row r="551" spans="1:34" x14ac:dyDescent="0.3">
      <c r="A551" t="s">
        <v>578</v>
      </c>
      <c r="B551">
        <v>0.15085066162570801</v>
      </c>
      <c r="C551">
        <v>0.47498113096705202</v>
      </c>
      <c r="D551">
        <v>0.41253673185137402</v>
      </c>
      <c r="E551">
        <v>0.452164323132065</v>
      </c>
      <c r="F551">
        <v>4.7146401985111601E-2</v>
      </c>
      <c r="G551">
        <v>0.828875419738202</v>
      </c>
      <c r="H551">
        <v>1</v>
      </c>
      <c r="I551">
        <v>23</v>
      </c>
      <c r="J551">
        <v>8.4967320261437898E-2</v>
      </c>
      <c r="K551">
        <v>1.0603588907014599E-2</v>
      </c>
      <c r="L551">
        <v>3.1787916093252197E-2</v>
      </c>
      <c r="M551">
        <v>1.7316017316017301E-3</v>
      </c>
      <c r="N551">
        <v>1.22811865253074E-2</v>
      </c>
      <c r="O551">
        <v>338</v>
      </c>
      <c r="P551">
        <v>6.7866161616161602E-2</v>
      </c>
      <c r="Q551">
        <v>6.8024825554893198E-2</v>
      </c>
      <c r="R551">
        <v>4.1297935103244802E-2</v>
      </c>
      <c r="S551">
        <v>1</v>
      </c>
      <c r="T551" t="s">
        <v>53</v>
      </c>
      <c r="U551">
        <v>3.15363881401617E-2</v>
      </c>
      <c r="V551">
        <v>0</v>
      </c>
      <c r="W551">
        <v>4.8907440986600201E-2</v>
      </c>
      <c r="X551">
        <v>0.27826887728907601</v>
      </c>
      <c r="Y551">
        <v>3.6571778056505903E-2</v>
      </c>
      <c r="Z551">
        <v>4.56321715798199E-2</v>
      </c>
      <c r="AA551">
        <v>4.1297935103244802E-2</v>
      </c>
      <c r="AB551">
        <f t="shared" si="56"/>
        <v>7.9103548093331935E-2</v>
      </c>
      <c r="AC551">
        <f t="shared" si="61"/>
        <v>0.1</v>
      </c>
      <c r="AD551">
        <f t="shared" si="57"/>
        <v>0</v>
      </c>
      <c r="AE551">
        <f t="shared" si="62"/>
        <v>8.7013902902665141E-2</v>
      </c>
      <c r="AF551" t="str">
        <f t="shared" si="58"/>
        <v>Very Low</v>
      </c>
      <c r="AG551" t="str">
        <f t="shared" si="59"/>
        <v>NO ACTION</v>
      </c>
      <c r="AH551" t="str">
        <f t="shared" si="60"/>
        <v/>
      </c>
    </row>
    <row r="552" spans="1:34" x14ac:dyDescent="0.3">
      <c r="A552" t="s">
        <v>579</v>
      </c>
      <c r="B552">
        <v>0.12892249527410199</v>
      </c>
      <c r="C552">
        <v>0.27741651562278502</v>
      </c>
      <c r="D552">
        <v>7.5132489407342906E-2</v>
      </c>
      <c r="E552">
        <v>0</v>
      </c>
      <c r="F552">
        <v>0</v>
      </c>
      <c r="G552">
        <v>0.99366018158759095</v>
      </c>
      <c r="H552">
        <v>7</v>
      </c>
      <c r="I552">
        <v>8</v>
      </c>
      <c r="J552">
        <v>0.107676160488526</v>
      </c>
      <c r="K552">
        <v>2.1207177814029299E-2</v>
      </c>
      <c r="L552">
        <v>5.0197363521263097E-2</v>
      </c>
      <c r="M552">
        <v>4.3290043290043203E-3</v>
      </c>
      <c r="N552">
        <v>2.4242041483420702E-2</v>
      </c>
      <c r="O552">
        <v>1315</v>
      </c>
      <c r="P552">
        <v>9.0382996632996607E-2</v>
      </c>
      <c r="Q552">
        <v>9.0536133805533103E-2</v>
      </c>
      <c r="R552">
        <v>0.18141592920353899</v>
      </c>
      <c r="S552">
        <v>1</v>
      </c>
      <c r="T552" t="s">
        <v>28</v>
      </c>
      <c r="U552">
        <v>2.75943396226415E-2</v>
      </c>
      <c r="V552">
        <v>0</v>
      </c>
      <c r="W552">
        <v>0</v>
      </c>
      <c r="X552">
        <v>2.2539746822202798E-2</v>
      </c>
      <c r="Y552">
        <v>5.3906526303362998E-2</v>
      </c>
      <c r="Z552">
        <v>6.3926614573166299E-2</v>
      </c>
      <c r="AA552">
        <v>0.18141592920353899</v>
      </c>
      <c r="AB552">
        <f t="shared" si="56"/>
        <v>8.7396099113971573E-2</v>
      </c>
      <c r="AC552">
        <f t="shared" si="61"/>
        <v>0.25</v>
      </c>
      <c r="AD552">
        <f t="shared" si="57"/>
        <v>0</v>
      </c>
      <c r="AE552">
        <f t="shared" si="62"/>
        <v>0.10924512389246446</v>
      </c>
      <c r="AF552" t="str">
        <f t="shared" si="58"/>
        <v>Very Low</v>
      </c>
      <c r="AG552" t="str">
        <f t="shared" si="59"/>
        <v>NO ACTION</v>
      </c>
      <c r="AH552" t="str">
        <f t="shared" si="60"/>
        <v/>
      </c>
    </row>
    <row r="553" spans="1:34" x14ac:dyDescent="0.3">
      <c r="A553" t="s">
        <v>580</v>
      </c>
      <c r="B553">
        <v>0.12892249527410199</v>
      </c>
      <c r="C553">
        <v>0.27688096250382199</v>
      </c>
      <c r="D553">
        <v>7.5132489407342906E-2</v>
      </c>
      <c r="E553">
        <v>0</v>
      </c>
      <c r="F553">
        <v>0</v>
      </c>
      <c r="G553">
        <v>0.99368151145855899</v>
      </c>
      <c r="H553">
        <v>7</v>
      </c>
      <c r="I553">
        <v>8</v>
      </c>
      <c r="J553">
        <v>9.8516292161633504E-2</v>
      </c>
      <c r="K553">
        <v>8.1566068515497494E-3</v>
      </c>
      <c r="L553">
        <v>2.1097442639371401E-2</v>
      </c>
      <c r="M553">
        <v>3.1746031746031698E-3</v>
      </c>
      <c r="N553">
        <v>1.9426424353960501E-2</v>
      </c>
      <c r="O553">
        <v>1104</v>
      </c>
      <c r="P553">
        <v>7.7476150392816995E-2</v>
      </c>
      <c r="Q553">
        <v>7.7632455555945099E-2</v>
      </c>
      <c r="R553">
        <v>0</v>
      </c>
      <c r="S553">
        <v>0</v>
      </c>
      <c r="T553" t="s">
        <v>28</v>
      </c>
      <c r="U553">
        <v>1.41509433962264E-2</v>
      </c>
      <c r="V553">
        <v>0</v>
      </c>
      <c r="W553">
        <v>0</v>
      </c>
      <c r="X553">
        <v>2.2539746822202798E-2</v>
      </c>
      <c r="Y553">
        <v>3.6079907058200598E-2</v>
      </c>
      <c r="Z553">
        <v>5.4256259977274401E-2</v>
      </c>
      <c r="AA553">
        <v>0</v>
      </c>
      <c r="AB553">
        <f t="shared" si="56"/>
        <v>2.8900486261485451E-2</v>
      </c>
      <c r="AC553">
        <f t="shared" si="61"/>
        <v>0.25</v>
      </c>
      <c r="AD553">
        <f t="shared" si="57"/>
        <v>0</v>
      </c>
      <c r="AE553">
        <f t="shared" si="62"/>
        <v>3.6125607826856816E-2</v>
      </c>
      <c r="AF553" t="str">
        <f t="shared" si="58"/>
        <v>Very Low</v>
      </c>
      <c r="AG553" t="str">
        <f t="shared" si="59"/>
        <v>NO ACTION</v>
      </c>
      <c r="AH553" t="str">
        <f t="shared" si="60"/>
        <v/>
      </c>
    </row>
    <row r="554" spans="1:34" x14ac:dyDescent="0.3">
      <c r="A554" t="s">
        <v>581</v>
      </c>
      <c r="B554">
        <v>0.12892249527410199</v>
      </c>
      <c r="C554">
        <v>0.27473875002797099</v>
      </c>
      <c r="D554">
        <v>7.5107235637207503E-2</v>
      </c>
      <c r="E554">
        <v>0</v>
      </c>
      <c r="F554">
        <v>0</v>
      </c>
      <c r="G554">
        <v>0.99366392836542705</v>
      </c>
      <c r="H554">
        <v>7</v>
      </c>
      <c r="I554">
        <v>8</v>
      </c>
      <c r="J554">
        <v>9.0119746195315098E-2</v>
      </c>
      <c r="K554">
        <v>1.71288743882544E-2</v>
      </c>
      <c r="L554">
        <v>4.8421638412538402E-2</v>
      </c>
      <c r="M554">
        <v>2.0202020202020202E-3</v>
      </c>
      <c r="N554">
        <v>1.35110343135686E-2</v>
      </c>
      <c r="O554">
        <v>1073</v>
      </c>
      <c r="P554">
        <v>7.4600168350168305E-2</v>
      </c>
      <c r="Q554">
        <v>7.4757179424243397E-2</v>
      </c>
      <c r="R554">
        <v>0</v>
      </c>
      <c r="S554">
        <v>0</v>
      </c>
      <c r="T554" t="s">
        <v>53</v>
      </c>
      <c r="U554">
        <v>4.4575471698113198E-2</v>
      </c>
      <c r="V554">
        <v>0</v>
      </c>
      <c r="W554">
        <v>0</v>
      </c>
      <c r="X554">
        <v>2.2532170691162201E-2</v>
      </c>
      <c r="Y554">
        <v>4.6288078739402799E-2</v>
      </c>
      <c r="Z554">
        <v>5.0164514735528402E-2</v>
      </c>
      <c r="AA554">
        <v>0</v>
      </c>
      <c r="AB554">
        <f t="shared" si="56"/>
        <v>3.0611873483566691E-2</v>
      </c>
      <c r="AC554">
        <f t="shared" si="61"/>
        <v>0.1</v>
      </c>
      <c r="AD554">
        <f t="shared" si="57"/>
        <v>0</v>
      </c>
      <c r="AE554">
        <f t="shared" si="62"/>
        <v>3.3673060831923361E-2</v>
      </c>
      <c r="AF554" t="str">
        <f t="shared" si="58"/>
        <v>Very Low</v>
      </c>
      <c r="AG554" t="str">
        <f t="shared" si="59"/>
        <v>NO ACTION</v>
      </c>
      <c r="AH554" t="str">
        <f t="shared" si="60"/>
        <v/>
      </c>
    </row>
    <row r="555" spans="1:34" x14ac:dyDescent="0.3">
      <c r="A555" t="s">
        <v>582</v>
      </c>
      <c r="B555">
        <v>0.12892249527410199</v>
      </c>
      <c r="C555">
        <v>0.45522015111846997</v>
      </c>
      <c r="D555">
        <v>7.4935284296444499E-2</v>
      </c>
      <c r="E555">
        <v>0</v>
      </c>
      <c r="F555">
        <v>0</v>
      </c>
      <c r="G555">
        <v>0.99367827317199997</v>
      </c>
      <c r="H555">
        <v>8</v>
      </c>
      <c r="I555">
        <v>9</v>
      </c>
      <c r="J555">
        <v>8.8068317351271394E-2</v>
      </c>
      <c r="K555">
        <v>2.4469820554649201E-2</v>
      </c>
      <c r="L555">
        <v>7.0780723279576796E-2</v>
      </c>
      <c r="M555">
        <v>1.44300144300144E-3</v>
      </c>
      <c r="N555">
        <v>9.8749320791460104E-3</v>
      </c>
      <c r="O555">
        <v>914</v>
      </c>
      <c r="P555">
        <v>7.5968013468013407E-2</v>
      </c>
      <c r="Q555">
        <v>7.6124688803955204E-2</v>
      </c>
      <c r="R555">
        <v>0</v>
      </c>
      <c r="S555">
        <v>0</v>
      </c>
      <c r="T555" t="s">
        <v>53</v>
      </c>
      <c r="U555">
        <v>8.4905660377358402E-2</v>
      </c>
      <c r="V555">
        <v>0</v>
      </c>
      <c r="W555">
        <v>0</v>
      </c>
      <c r="X555">
        <v>2.2480585288933298E-2</v>
      </c>
      <c r="Y555">
        <v>5.5966504733786497E-2</v>
      </c>
      <c r="Z555">
        <v>4.9530780912466398E-2</v>
      </c>
      <c r="AA555">
        <v>0</v>
      </c>
      <c r="AB555">
        <f t="shared" si="56"/>
        <v>3.3136133627180139E-2</v>
      </c>
      <c r="AC555">
        <f t="shared" si="61"/>
        <v>0.1</v>
      </c>
      <c r="AD555">
        <f t="shared" si="57"/>
        <v>0</v>
      </c>
      <c r="AE555">
        <f t="shared" si="62"/>
        <v>3.6449746989898155E-2</v>
      </c>
      <c r="AF555" t="str">
        <f t="shared" si="58"/>
        <v>Very Low</v>
      </c>
      <c r="AG555" t="str">
        <f t="shared" si="59"/>
        <v>NO ACTION</v>
      </c>
      <c r="AH555" t="str">
        <f t="shared" si="60"/>
        <v/>
      </c>
    </row>
    <row r="556" spans="1:34" x14ac:dyDescent="0.3">
      <c r="A556" t="s">
        <v>583</v>
      </c>
      <c r="B556">
        <v>0.22873345935727701</v>
      </c>
      <c r="C556">
        <v>0.75301934357429701</v>
      </c>
      <c r="D556">
        <v>0.364328643814331</v>
      </c>
      <c r="E556">
        <v>0</v>
      </c>
      <c r="F556">
        <v>0</v>
      </c>
      <c r="G556">
        <v>0.497915902266927</v>
      </c>
      <c r="H556">
        <v>8</v>
      </c>
      <c r="I556">
        <v>14</v>
      </c>
      <c r="J556">
        <v>8.2581937884642895E-2</v>
      </c>
      <c r="K556">
        <v>1.30505709624796E-2</v>
      </c>
      <c r="L556">
        <v>4.0250420519353798E-2</v>
      </c>
      <c r="M556">
        <v>8.6580086580086504E-4</v>
      </c>
      <c r="N556">
        <v>6.3174536676840797E-3</v>
      </c>
      <c r="O556">
        <v>984</v>
      </c>
      <c r="P556">
        <v>6.6743827160493804E-2</v>
      </c>
      <c r="Q556">
        <v>6.6902766576668105E-2</v>
      </c>
      <c r="R556">
        <v>0</v>
      </c>
      <c r="S556">
        <v>0</v>
      </c>
      <c r="T556" t="s">
        <v>53</v>
      </c>
      <c r="U556">
        <v>6.7924528301886694E-2</v>
      </c>
      <c r="V556">
        <v>0</v>
      </c>
      <c r="W556">
        <v>0</v>
      </c>
      <c r="X556">
        <v>0.109298593144299</v>
      </c>
      <c r="Y556">
        <v>3.8536833936910701E-2</v>
      </c>
      <c r="Z556">
        <v>4.2573277763369902E-2</v>
      </c>
      <c r="AA556">
        <v>0</v>
      </c>
      <c r="AB556">
        <f t="shared" si="56"/>
        <v>4.0198606179166416E-2</v>
      </c>
      <c r="AC556">
        <f t="shared" si="61"/>
        <v>0.1</v>
      </c>
      <c r="AD556">
        <f t="shared" si="57"/>
        <v>0</v>
      </c>
      <c r="AE556">
        <f t="shared" si="62"/>
        <v>4.4218466797083064E-2</v>
      </c>
      <c r="AF556" t="str">
        <f t="shared" si="58"/>
        <v>Very Low</v>
      </c>
      <c r="AG556" t="str">
        <f t="shared" si="59"/>
        <v>NO ACTION</v>
      </c>
      <c r="AH556" t="str">
        <f t="shared" si="60"/>
        <v/>
      </c>
    </row>
    <row r="557" spans="1:34" x14ac:dyDescent="0.3">
      <c r="A557" t="s">
        <v>584</v>
      </c>
      <c r="B557">
        <v>0.12892249527410199</v>
      </c>
      <c r="C557">
        <v>0.36953165208440503</v>
      </c>
      <c r="D557">
        <v>0</v>
      </c>
      <c r="E557">
        <v>0</v>
      </c>
      <c r="F557">
        <v>0</v>
      </c>
      <c r="G557">
        <v>0.99369866634850801</v>
      </c>
      <c r="H557">
        <v>8</v>
      </c>
      <c r="I557">
        <v>8</v>
      </c>
      <c r="J557">
        <v>7.2706454844711596E-2</v>
      </c>
      <c r="K557">
        <v>1.2234910277324601E-2</v>
      </c>
      <c r="L557">
        <v>4.2843400520110098E-2</v>
      </c>
      <c r="M557">
        <v>2.0202020202020202E-3</v>
      </c>
      <c r="N557">
        <v>1.6736362975735102E-2</v>
      </c>
      <c r="O557">
        <v>866</v>
      </c>
      <c r="P557">
        <v>5.9694163860830499E-2</v>
      </c>
      <c r="Q557">
        <v>5.9854833619692099E-2</v>
      </c>
      <c r="R557">
        <v>0</v>
      </c>
      <c r="S557">
        <v>0</v>
      </c>
      <c r="T557" t="s">
        <v>53</v>
      </c>
      <c r="U557">
        <v>3.1839622641509399E-2</v>
      </c>
      <c r="V557">
        <v>0</v>
      </c>
      <c r="W557">
        <v>0</v>
      </c>
      <c r="X557">
        <v>0</v>
      </c>
      <c r="Y557">
        <v>4.0983900121717903E-2</v>
      </c>
      <c r="Z557">
        <v>4.2511043506792301E-2</v>
      </c>
      <c r="AA557">
        <v>0</v>
      </c>
      <c r="AB557">
        <f t="shared" si="56"/>
        <v>2.3378584215982857E-2</v>
      </c>
      <c r="AC557">
        <f t="shared" si="61"/>
        <v>0.1</v>
      </c>
      <c r="AD557">
        <f t="shared" si="57"/>
        <v>0</v>
      </c>
      <c r="AE557">
        <f t="shared" si="62"/>
        <v>2.5716442637581147E-2</v>
      </c>
      <c r="AF557" t="str">
        <f t="shared" si="58"/>
        <v>Very Low</v>
      </c>
      <c r="AG557" t="str">
        <f t="shared" si="59"/>
        <v>NO ACTION</v>
      </c>
      <c r="AH557" t="str">
        <f t="shared" si="60"/>
        <v/>
      </c>
    </row>
    <row r="558" spans="1:34" x14ac:dyDescent="0.3">
      <c r="A558" t="s">
        <v>585</v>
      </c>
      <c r="B558">
        <v>0.12892249527410199</v>
      </c>
      <c r="C558">
        <v>0.45896902295121</v>
      </c>
      <c r="D558">
        <v>7.50946055673926E-2</v>
      </c>
      <c r="E558">
        <v>0</v>
      </c>
      <c r="F558">
        <v>0</v>
      </c>
      <c r="G558">
        <v>0.99364899477947999</v>
      </c>
      <c r="H558">
        <v>8</v>
      </c>
      <c r="I558">
        <v>9</v>
      </c>
      <c r="J558">
        <v>9.6226325079910302E-2</v>
      </c>
      <c r="K558">
        <v>0.37765089722675299</v>
      </c>
      <c r="L558">
        <v>1</v>
      </c>
      <c r="M558">
        <v>3.4632034632034602E-3</v>
      </c>
      <c r="N558">
        <v>2.1695548105043601E-2</v>
      </c>
      <c r="O558">
        <v>343</v>
      </c>
      <c r="P558">
        <v>0.23481341189674501</v>
      </c>
      <c r="Q558">
        <v>0.234931098565868</v>
      </c>
      <c r="R558">
        <v>0</v>
      </c>
      <c r="S558">
        <v>0</v>
      </c>
      <c r="T558" t="s">
        <v>28</v>
      </c>
      <c r="U558">
        <v>0.60478955007256796</v>
      </c>
      <c r="V558">
        <v>0</v>
      </c>
      <c r="W558">
        <v>0</v>
      </c>
      <c r="X558">
        <v>2.2528381670217701E-2</v>
      </c>
      <c r="Y558">
        <v>0.52575392944749499</v>
      </c>
      <c r="Z558">
        <v>0.14956626638006401</v>
      </c>
      <c r="AA558">
        <v>0</v>
      </c>
      <c r="AB558">
        <f t="shared" si="56"/>
        <v>0.1926941958989514</v>
      </c>
      <c r="AC558">
        <f t="shared" si="61"/>
        <v>0.25</v>
      </c>
      <c r="AD558">
        <f t="shared" si="57"/>
        <v>0</v>
      </c>
      <c r="AE558">
        <f t="shared" si="62"/>
        <v>0.24086774487368925</v>
      </c>
      <c r="AF558" t="str">
        <f t="shared" si="58"/>
        <v>Low</v>
      </c>
      <c r="AG558" t="str">
        <f t="shared" si="59"/>
        <v>NO ACTION</v>
      </c>
      <c r="AH558" t="str">
        <f t="shared" si="60"/>
        <v/>
      </c>
    </row>
    <row r="559" spans="1:34" x14ac:dyDescent="0.3">
      <c r="A559" t="s">
        <v>586</v>
      </c>
      <c r="B559">
        <v>0.12892249527410199</v>
      </c>
      <c r="C559">
        <v>0.27152543131419299</v>
      </c>
      <c r="D559">
        <v>7.4993488433305694E-2</v>
      </c>
      <c r="E559">
        <v>0</v>
      </c>
      <c r="F559">
        <v>0</v>
      </c>
      <c r="G559">
        <v>0.99367072609092999</v>
      </c>
      <c r="H559">
        <v>7</v>
      </c>
      <c r="I559">
        <v>8</v>
      </c>
      <c r="J559">
        <v>9.8897953341920697E-2</v>
      </c>
      <c r="K559">
        <v>1.2234910277324601E-2</v>
      </c>
      <c r="L559">
        <v>3.1524330796558399E-2</v>
      </c>
      <c r="M559">
        <v>2.0202020202020202E-3</v>
      </c>
      <c r="N559">
        <v>1.2314677088498E-2</v>
      </c>
      <c r="O559">
        <v>1147</v>
      </c>
      <c r="P559">
        <v>7.8949214365880996E-2</v>
      </c>
      <c r="Q559">
        <v>7.9105157964865502E-2</v>
      </c>
      <c r="R559">
        <v>0</v>
      </c>
      <c r="S559">
        <v>0</v>
      </c>
      <c r="T559" t="s">
        <v>28</v>
      </c>
      <c r="U559">
        <v>3.1839622641509399E-2</v>
      </c>
      <c r="V559">
        <v>0</v>
      </c>
      <c r="W559">
        <v>0</v>
      </c>
      <c r="X559">
        <v>2.2498046529991701E-2</v>
      </c>
      <c r="Y559">
        <v>3.9236159193212702E-2</v>
      </c>
      <c r="Z559">
        <v>5.2295399454927803E-2</v>
      </c>
      <c r="AA559">
        <v>0</v>
      </c>
      <c r="AB559">
        <f t="shared" si="56"/>
        <v>2.9228523866278017E-2</v>
      </c>
      <c r="AC559">
        <f t="shared" si="61"/>
        <v>0.25</v>
      </c>
      <c r="AD559">
        <f t="shared" si="57"/>
        <v>0</v>
      </c>
      <c r="AE559">
        <f t="shared" si="62"/>
        <v>3.6535654832847521E-2</v>
      </c>
      <c r="AF559" t="str">
        <f t="shared" si="58"/>
        <v>Very Low</v>
      </c>
      <c r="AG559" t="str">
        <f t="shared" si="59"/>
        <v>NO ACTION</v>
      </c>
      <c r="AH559" t="str">
        <f t="shared" si="60"/>
        <v/>
      </c>
    </row>
    <row r="560" spans="1:34" x14ac:dyDescent="0.3">
      <c r="A560" t="s">
        <v>587</v>
      </c>
      <c r="B560">
        <v>0.12892249527410199</v>
      </c>
      <c r="C560">
        <v>0.18476582604220201</v>
      </c>
      <c r="D560">
        <v>0</v>
      </c>
      <c r="E560">
        <v>0</v>
      </c>
      <c r="F560">
        <v>0</v>
      </c>
      <c r="G560">
        <v>0.99366556089005598</v>
      </c>
      <c r="H560">
        <v>7</v>
      </c>
      <c r="I560">
        <v>7</v>
      </c>
      <c r="J560">
        <v>7.2181670721816693E-2</v>
      </c>
      <c r="K560">
        <v>4.07830342577487E-2</v>
      </c>
      <c r="L560">
        <v>0.14384619981389599</v>
      </c>
      <c r="M560">
        <v>3.4632034632034602E-3</v>
      </c>
      <c r="N560">
        <v>2.8898813088536399E-2</v>
      </c>
      <c r="O560">
        <v>693</v>
      </c>
      <c r="P560">
        <v>7.2285353535353494E-2</v>
      </c>
      <c r="Q560">
        <v>7.2442932781654298E-2</v>
      </c>
      <c r="R560">
        <v>0</v>
      </c>
      <c r="S560">
        <v>0</v>
      </c>
      <c r="T560" t="s">
        <v>53</v>
      </c>
      <c r="U560">
        <v>6.5312046444121905E-2</v>
      </c>
      <c r="V560">
        <v>0</v>
      </c>
      <c r="W560">
        <v>0</v>
      </c>
      <c r="X560">
        <v>0</v>
      </c>
      <c r="Y560">
        <v>9.5029077977872398E-2</v>
      </c>
      <c r="Z560">
        <v>5.4930737356626597E-2</v>
      </c>
      <c r="AA560">
        <v>0</v>
      </c>
      <c r="AB560">
        <f t="shared" si="56"/>
        <v>4.1988748293659721E-2</v>
      </c>
      <c r="AC560">
        <f t="shared" si="61"/>
        <v>0.1</v>
      </c>
      <c r="AD560">
        <f t="shared" si="57"/>
        <v>0</v>
      </c>
      <c r="AE560">
        <f t="shared" si="62"/>
        <v>4.6187623123025698E-2</v>
      </c>
      <c r="AF560" t="str">
        <f t="shared" si="58"/>
        <v>Very Low</v>
      </c>
      <c r="AG560" t="str">
        <f t="shared" si="59"/>
        <v>NO ACTION</v>
      </c>
      <c r="AH560" t="str">
        <f t="shared" si="60"/>
        <v/>
      </c>
    </row>
    <row r="561" spans="1:34" x14ac:dyDescent="0.3">
      <c r="A561" t="s">
        <v>588</v>
      </c>
      <c r="B561">
        <v>0.12892249527410199</v>
      </c>
      <c r="C561">
        <v>0.46271789478395098</v>
      </c>
      <c r="D561">
        <v>7.5129964412319103E-2</v>
      </c>
      <c r="E561">
        <v>0</v>
      </c>
      <c r="F561">
        <v>0</v>
      </c>
      <c r="G561">
        <v>0.99368343837287398</v>
      </c>
      <c r="H561">
        <v>8</v>
      </c>
      <c r="I561">
        <v>9</v>
      </c>
      <c r="J561">
        <v>8.2295691999427503E-2</v>
      </c>
      <c r="K561">
        <v>4.0783034257748704E-3</v>
      </c>
      <c r="L561">
        <v>1.26218804229765E-2</v>
      </c>
      <c r="M561">
        <v>0</v>
      </c>
      <c r="N561">
        <v>0</v>
      </c>
      <c r="O561">
        <v>313</v>
      </c>
      <c r="P561">
        <v>6.2254489337822599E-2</v>
      </c>
      <c r="Q561">
        <v>6.2414530663768002E-2</v>
      </c>
      <c r="R561">
        <v>0</v>
      </c>
      <c r="S561">
        <v>0</v>
      </c>
      <c r="T561" t="s">
        <v>53</v>
      </c>
      <c r="U561">
        <v>8.4905660377358402E-2</v>
      </c>
      <c r="V561">
        <v>0</v>
      </c>
      <c r="W561">
        <v>0</v>
      </c>
      <c r="X561">
        <v>2.2538989323695701E-2</v>
      </c>
      <c r="Y561">
        <v>2.2770078611373701E-2</v>
      </c>
      <c r="Z561">
        <v>3.7352693602693603E-2</v>
      </c>
      <c r="AA561">
        <v>0</v>
      </c>
      <c r="AB561">
        <f t="shared" si="56"/>
        <v>2.0440614511730158E-2</v>
      </c>
      <c r="AC561">
        <f t="shared" si="61"/>
        <v>0.1</v>
      </c>
      <c r="AD561">
        <f t="shared" si="57"/>
        <v>0</v>
      </c>
      <c r="AE561">
        <f t="shared" si="62"/>
        <v>2.2484675962903176E-2</v>
      </c>
      <c r="AF561" t="str">
        <f t="shared" si="58"/>
        <v>Very Low</v>
      </c>
      <c r="AG561" t="str">
        <f t="shared" si="59"/>
        <v>NO ACTION</v>
      </c>
      <c r="AH561" t="str">
        <f t="shared" si="60"/>
        <v/>
      </c>
    </row>
    <row r="562" spans="1:34" x14ac:dyDescent="0.3">
      <c r="A562" t="s">
        <v>589</v>
      </c>
      <c r="B562">
        <v>0.12892249527410199</v>
      </c>
      <c r="C562">
        <v>0.18476582604220201</v>
      </c>
      <c r="D562">
        <v>0</v>
      </c>
      <c r="E562">
        <v>0</v>
      </c>
      <c r="F562">
        <v>0</v>
      </c>
      <c r="G562">
        <v>0.993655043149416</v>
      </c>
      <c r="H562">
        <v>7</v>
      </c>
      <c r="I562">
        <v>7</v>
      </c>
      <c r="J562">
        <v>0.12742712656838801</v>
      </c>
      <c r="K562">
        <v>8.9722675367047301E-3</v>
      </c>
      <c r="L562">
        <v>1.7951747716684899E-2</v>
      </c>
      <c r="M562">
        <v>1.7316017316017301E-3</v>
      </c>
      <c r="N562">
        <v>8.1966364477575205E-3</v>
      </c>
      <c r="O562">
        <v>1050</v>
      </c>
      <c r="P562">
        <v>9.8379629629629595E-2</v>
      </c>
      <c r="Q562">
        <v>9.8530804025386498E-2</v>
      </c>
      <c r="R562">
        <v>0</v>
      </c>
      <c r="S562">
        <v>0</v>
      </c>
      <c r="T562" t="s">
        <v>28</v>
      </c>
      <c r="U562">
        <v>2.6684636118598299E-2</v>
      </c>
      <c r="V562">
        <v>0</v>
      </c>
      <c r="W562">
        <v>0</v>
      </c>
      <c r="X562">
        <v>0</v>
      </c>
      <c r="Y562">
        <v>3.6920290106347398E-2</v>
      </c>
      <c r="Z562">
        <v>6.23064323568807E-2</v>
      </c>
      <c r="AA562">
        <v>0</v>
      </c>
      <c r="AB562">
        <f t="shared" si="56"/>
        <v>2.778348228970387E-2</v>
      </c>
      <c r="AC562">
        <f t="shared" si="61"/>
        <v>0.25</v>
      </c>
      <c r="AD562">
        <f t="shared" si="57"/>
        <v>0</v>
      </c>
      <c r="AE562">
        <f t="shared" si="62"/>
        <v>3.4729352862129838E-2</v>
      </c>
      <c r="AF562" t="str">
        <f t="shared" si="58"/>
        <v>Very Low</v>
      </c>
      <c r="AG562" t="str">
        <f t="shared" si="59"/>
        <v>NO ACTION</v>
      </c>
      <c r="AH562" t="str">
        <f t="shared" si="60"/>
        <v/>
      </c>
    </row>
    <row r="563" spans="1:34" x14ac:dyDescent="0.3">
      <c r="A563" t="s">
        <v>590</v>
      </c>
      <c r="B563">
        <v>0.12892249527410199</v>
      </c>
      <c r="C563">
        <v>0.18476582604220201</v>
      </c>
      <c r="D563">
        <v>0</v>
      </c>
      <c r="E563">
        <v>0</v>
      </c>
      <c r="F563">
        <v>0</v>
      </c>
      <c r="G563">
        <v>0.99365844201216702</v>
      </c>
      <c r="H563">
        <v>7</v>
      </c>
      <c r="I563">
        <v>7</v>
      </c>
      <c r="J563">
        <v>8.2009446114212098E-2</v>
      </c>
      <c r="K563">
        <v>1.0603588907014599E-2</v>
      </c>
      <c r="L563">
        <v>3.2931101010759002E-2</v>
      </c>
      <c r="M563">
        <v>2.0202020202020202E-3</v>
      </c>
      <c r="N563">
        <v>1.4843328880451799E-2</v>
      </c>
      <c r="O563">
        <v>943</v>
      </c>
      <c r="P563">
        <v>6.5831930415263695E-2</v>
      </c>
      <c r="Q563">
        <v>6.5991093656860303E-2</v>
      </c>
      <c r="R563">
        <v>0</v>
      </c>
      <c r="S563">
        <v>0</v>
      </c>
      <c r="T563" t="s">
        <v>53</v>
      </c>
      <c r="U563">
        <v>2.75943396226415E-2</v>
      </c>
      <c r="V563">
        <v>0</v>
      </c>
      <c r="W563">
        <v>0</v>
      </c>
      <c r="X563">
        <v>0</v>
      </c>
      <c r="Y563">
        <v>3.7320438392357498E-2</v>
      </c>
      <c r="Z563">
        <v>4.5436489801338902E-2</v>
      </c>
      <c r="AA563">
        <v>0</v>
      </c>
      <c r="AB563">
        <f t="shared" si="56"/>
        <v>2.3171939894234994E-2</v>
      </c>
      <c r="AC563">
        <f t="shared" si="61"/>
        <v>0.1</v>
      </c>
      <c r="AD563">
        <f t="shared" si="57"/>
        <v>0</v>
      </c>
      <c r="AE563">
        <f t="shared" si="62"/>
        <v>2.5489133883658494E-2</v>
      </c>
      <c r="AF563" t="str">
        <f t="shared" si="58"/>
        <v>Very Low</v>
      </c>
      <c r="AG563" t="str">
        <f t="shared" si="59"/>
        <v>NO ACTION</v>
      </c>
      <c r="AH563" t="str">
        <f t="shared" si="60"/>
        <v/>
      </c>
    </row>
    <row r="564" spans="1:34" x14ac:dyDescent="0.3">
      <c r="A564" t="s">
        <v>591</v>
      </c>
      <c r="B564">
        <v>0.28090737240075597</v>
      </c>
      <c r="C564">
        <v>0.86125114629042798</v>
      </c>
      <c r="D564">
        <v>0.423805135692983</v>
      </c>
      <c r="E564">
        <v>0</v>
      </c>
      <c r="F564">
        <v>0</v>
      </c>
      <c r="G564">
        <v>0.37855950963885199</v>
      </c>
      <c r="H564">
        <v>8</v>
      </c>
      <c r="I564">
        <v>19</v>
      </c>
      <c r="J564">
        <v>0.107199084013167</v>
      </c>
      <c r="K564">
        <v>1.8760195758564399E-2</v>
      </c>
      <c r="L564">
        <v>4.4602541920980197E-2</v>
      </c>
      <c r="M564">
        <v>2.0202020202020202E-3</v>
      </c>
      <c r="N564">
        <v>1.1363187828551899E-2</v>
      </c>
      <c r="O564">
        <v>1204</v>
      </c>
      <c r="P564">
        <v>8.7857744107744107E-2</v>
      </c>
      <c r="Q564">
        <v>8.8011501104526796E-2</v>
      </c>
      <c r="R564">
        <v>0.29351032448377501</v>
      </c>
      <c r="S564">
        <v>1</v>
      </c>
      <c r="T564" t="s">
        <v>28</v>
      </c>
      <c r="U564">
        <v>4.88207547169811E-2</v>
      </c>
      <c r="V564">
        <v>0</v>
      </c>
      <c r="W564">
        <v>0</v>
      </c>
      <c r="X564">
        <v>0.12714154070789499</v>
      </c>
      <c r="Y564">
        <v>4.7150044111689098E-2</v>
      </c>
      <c r="Z564">
        <v>5.7259921596067201E-2</v>
      </c>
      <c r="AA564">
        <v>0.29351032448377501</v>
      </c>
      <c r="AB564">
        <f t="shared" si="56"/>
        <v>0.13176032776689198</v>
      </c>
      <c r="AC564">
        <f t="shared" si="61"/>
        <v>0.25</v>
      </c>
      <c r="AD564">
        <f t="shared" si="57"/>
        <v>0</v>
      </c>
      <c r="AE564">
        <f t="shared" si="62"/>
        <v>0.16470040970861496</v>
      </c>
      <c r="AF564" t="str">
        <f t="shared" si="58"/>
        <v>Very Low</v>
      </c>
      <c r="AG564" t="str">
        <f t="shared" si="59"/>
        <v>NO ACTION</v>
      </c>
      <c r="AH564" t="str">
        <f t="shared" si="60"/>
        <v/>
      </c>
    </row>
    <row r="565" spans="1:34" x14ac:dyDescent="0.3">
      <c r="A565" t="s">
        <v>592</v>
      </c>
      <c r="B565">
        <v>0.12892249527410199</v>
      </c>
      <c r="C565">
        <v>0.18476582604220201</v>
      </c>
      <c r="D565">
        <v>0</v>
      </c>
      <c r="E565">
        <v>0</v>
      </c>
      <c r="F565">
        <v>0</v>
      </c>
      <c r="G565">
        <v>0.99366521297497101</v>
      </c>
      <c r="H565">
        <v>7</v>
      </c>
      <c r="I565">
        <v>7</v>
      </c>
      <c r="J565">
        <v>8.0816754925814596E-2</v>
      </c>
      <c r="K565">
        <v>1.1419249592169599E-2</v>
      </c>
      <c r="L565">
        <v>3.5986102865743601E-2</v>
      </c>
      <c r="M565">
        <v>1.1544011544011501E-3</v>
      </c>
      <c r="N565">
        <v>8.6067094895817594E-3</v>
      </c>
      <c r="O565">
        <v>977</v>
      </c>
      <c r="P565">
        <v>6.4884960718293999E-2</v>
      </c>
      <c r="Q565">
        <v>6.5044356393982899E-2</v>
      </c>
      <c r="R565">
        <v>0</v>
      </c>
      <c r="S565">
        <v>0</v>
      </c>
      <c r="T565" t="s">
        <v>53</v>
      </c>
      <c r="U565">
        <v>4.7547169811320698E-2</v>
      </c>
      <c r="V565">
        <v>0</v>
      </c>
      <c r="W565">
        <v>0</v>
      </c>
      <c r="X565">
        <v>0</v>
      </c>
      <c r="Y565">
        <v>3.6738415264909202E-2</v>
      </c>
      <c r="Z565">
        <v>4.23736602268091E-2</v>
      </c>
      <c r="AA565">
        <v>0</v>
      </c>
      <c r="AB565">
        <f t="shared" si="56"/>
        <v>2.2151381137681128E-2</v>
      </c>
      <c r="AC565">
        <f t="shared" si="61"/>
        <v>0.1</v>
      </c>
      <c r="AD565">
        <f t="shared" si="57"/>
        <v>0</v>
      </c>
      <c r="AE565">
        <f t="shared" si="62"/>
        <v>2.4366519251449243E-2</v>
      </c>
      <c r="AF565" t="str">
        <f t="shared" si="58"/>
        <v>Very Low</v>
      </c>
      <c r="AG565" t="str">
        <f t="shared" si="59"/>
        <v>NO ACTION</v>
      </c>
      <c r="AH565" t="str">
        <f t="shared" si="60"/>
        <v/>
      </c>
    </row>
    <row r="566" spans="1:34" x14ac:dyDescent="0.3">
      <c r="A566" t="s">
        <v>593</v>
      </c>
      <c r="B566">
        <v>0.12892249527410199</v>
      </c>
      <c r="C566">
        <v>0.18476582604220201</v>
      </c>
      <c r="D566">
        <v>0</v>
      </c>
      <c r="E566">
        <v>0</v>
      </c>
      <c r="F566">
        <v>0</v>
      </c>
      <c r="G566">
        <v>0.99367166278538899</v>
      </c>
      <c r="H566">
        <v>7</v>
      </c>
      <c r="I566">
        <v>7</v>
      </c>
      <c r="J566">
        <v>9.5081341539048694E-2</v>
      </c>
      <c r="K566">
        <v>1.2234910277324601E-2</v>
      </c>
      <c r="L566">
        <v>3.2786566263887998E-2</v>
      </c>
      <c r="M566">
        <v>2.0202020202020202E-3</v>
      </c>
      <c r="N566">
        <v>1.2807757252201599E-2</v>
      </c>
      <c r="O566">
        <v>1128</v>
      </c>
      <c r="P566">
        <v>7.6143378226711494E-2</v>
      </c>
      <c r="Q566">
        <v>7.6300010519302894E-2</v>
      </c>
      <c r="R566">
        <v>0</v>
      </c>
      <c r="S566">
        <v>0</v>
      </c>
      <c r="T566" t="s">
        <v>53</v>
      </c>
      <c r="U566">
        <v>3.1839622641509399E-2</v>
      </c>
      <c r="V566">
        <v>0</v>
      </c>
      <c r="W566">
        <v>0</v>
      </c>
      <c r="X566">
        <v>0</v>
      </c>
      <c r="Y566">
        <v>3.9251878615414203E-2</v>
      </c>
      <c r="Z566">
        <v>5.08091298369076E-2</v>
      </c>
      <c r="AA566">
        <v>0</v>
      </c>
      <c r="AB566">
        <f t="shared" si="56"/>
        <v>2.5217082366650108E-2</v>
      </c>
      <c r="AC566">
        <f t="shared" si="61"/>
        <v>0.1</v>
      </c>
      <c r="AD566">
        <f t="shared" si="57"/>
        <v>0</v>
      </c>
      <c r="AE566">
        <f t="shared" si="62"/>
        <v>2.7738790603315119E-2</v>
      </c>
      <c r="AF566" t="str">
        <f t="shared" si="58"/>
        <v>Very Low</v>
      </c>
      <c r="AG566" t="str">
        <f t="shared" si="59"/>
        <v>NO ACTION</v>
      </c>
      <c r="AH566" t="str">
        <f t="shared" si="60"/>
        <v/>
      </c>
    </row>
    <row r="567" spans="1:34" x14ac:dyDescent="0.3">
      <c r="A567" t="s">
        <v>594</v>
      </c>
      <c r="B567">
        <v>0.12892249527410199</v>
      </c>
      <c r="C567">
        <v>0.28009428121759899</v>
      </c>
      <c r="D567">
        <v>7.50946055673926E-2</v>
      </c>
      <c r="E567">
        <v>0</v>
      </c>
      <c r="F567">
        <v>0</v>
      </c>
      <c r="G567">
        <v>0.99364738901755001</v>
      </c>
      <c r="H567">
        <v>7</v>
      </c>
      <c r="I567">
        <v>8</v>
      </c>
      <c r="J567">
        <v>0.100138352177854</v>
      </c>
      <c r="K567">
        <v>1.6313213703099499E-2</v>
      </c>
      <c r="L567">
        <v>4.1513028767584503E-2</v>
      </c>
      <c r="M567">
        <v>3.4632034632034602E-3</v>
      </c>
      <c r="N567">
        <v>2.0849999176995301E-2</v>
      </c>
      <c r="O567">
        <v>905</v>
      </c>
      <c r="P567">
        <v>8.2316217732884403E-2</v>
      </c>
      <c r="Q567">
        <v>8.2471334899540602E-2</v>
      </c>
      <c r="R567">
        <v>0</v>
      </c>
      <c r="S567">
        <v>0</v>
      </c>
      <c r="T567" t="s">
        <v>28</v>
      </c>
      <c r="U567">
        <v>2.6124818577648701E-2</v>
      </c>
      <c r="V567">
        <v>0</v>
      </c>
      <c r="W567">
        <v>0</v>
      </c>
      <c r="X567">
        <v>2.2528381670217701E-2</v>
      </c>
      <c r="Y567">
        <v>4.7039184572461701E-2</v>
      </c>
      <c r="Z567">
        <v>5.7729730310528797E-2</v>
      </c>
      <c r="AA567">
        <v>0</v>
      </c>
      <c r="AB567">
        <f t="shared" si="56"/>
        <v>3.2939837234472177E-2</v>
      </c>
      <c r="AC567">
        <f t="shared" si="61"/>
        <v>0.25</v>
      </c>
      <c r="AD567">
        <f t="shared" si="57"/>
        <v>0</v>
      </c>
      <c r="AE567">
        <f t="shared" si="62"/>
        <v>4.1174796543090225E-2</v>
      </c>
      <c r="AF567" t="str">
        <f t="shared" si="58"/>
        <v>Very Low</v>
      </c>
      <c r="AG567" t="str">
        <f t="shared" si="59"/>
        <v>NO ACTION</v>
      </c>
      <c r="AH567" t="str">
        <f t="shared" si="60"/>
        <v/>
      </c>
    </row>
    <row r="568" spans="1:34" x14ac:dyDescent="0.3">
      <c r="A568" t="s">
        <v>595</v>
      </c>
      <c r="B568">
        <v>0.12892249527410199</v>
      </c>
      <c r="C568">
        <v>0.55429747812660801</v>
      </c>
      <c r="D568">
        <v>0</v>
      </c>
      <c r="E568">
        <v>0</v>
      </c>
      <c r="F568">
        <v>0</v>
      </c>
      <c r="G568">
        <v>0.99366101123125505</v>
      </c>
      <c r="H568">
        <v>9</v>
      </c>
      <c r="I568">
        <v>9</v>
      </c>
      <c r="J568">
        <v>0.10509994752158699</v>
      </c>
      <c r="K568">
        <v>1.38662316476345E-2</v>
      </c>
      <c r="L568">
        <v>3.3624049206498197E-2</v>
      </c>
      <c r="M568">
        <v>4.9062049062049001E-3</v>
      </c>
      <c r="N568">
        <v>2.81462398310224E-2</v>
      </c>
      <c r="O568">
        <v>1172</v>
      </c>
      <c r="P568">
        <v>8.5613075196408497E-2</v>
      </c>
      <c r="Q568">
        <v>8.5767383148076706E-2</v>
      </c>
      <c r="R568">
        <v>0</v>
      </c>
      <c r="S568">
        <v>0</v>
      </c>
      <c r="T568" t="s">
        <v>28</v>
      </c>
      <c r="U568">
        <v>1.60377358490566E-2</v>
      </c>
      <c r="V568">
        <v>0</v>
      </c>
      <c r="W568">
        <v>0</v>
      </c>
      <c r="X568">
        <v>0</v>
      </c>
      <c r="Y568">
        <v>4.6275886056873397E-2</v>
      </c>
      <c r="Z568">
        <v>6.2626341050254095E-2</v>
      </c>
      <c r="AA568">
        <v>0</v>
      </c>
      <c r="AB568">
        <f t="shared" si="56"/>
        <v>3.0492623589995702E-2</v>
      </c>
      <c r="AC568">
        <f t="shared" si="61"/>
        <v>0.25</v>
      </c>
      <c r="AD568">
        <f t="shared" si="57"/>
        <v>0</v>
      </c>
      <c r="AE568">
        <f t="shared" si="62"/>
        <v>3.811577948749463E-2</v>
      </c>
      <c r="AF568" t="str">
        <f t="shared" si="58"/>
        <v>Very Low</v>
      </c>
      <c r="AG568" t="str">
        <f t="shared" si="59"/>
        <v>NO ACTION</v>
      </c>
      <c r="AH568" t="str">
        <f t="shared" si="60"/>
        <v/>
      </c>
    </row>
    <row r="569" spans="1:34" x14ac:dyDescent="0.3">
      <c r="A569" t="s">
        <v>596</v>
      </c>
      <c r="B569">
        <v>0.23591682419659701</v>
      </c>
      <c r="C569">
        <v>0.66904058665600097</v>
      </c>
      <c r="D569">
        <v>0.36860373780190597</v>
      </c>
      <c r="E569">
        <v>0</v>
      </c>
      <c r="F569">
        <v>0</v>
      </c>
      <c r="G569">
        <v>0.47832485998228003</v>
      </c>
      <c r="H569">
        <v>7</v>
      </c>
      <c r="I569">
        <v>14</v>
      </c>
      <c r="J569">
        <v>7.5473498401793807E-2</v>
      </c>
      <c r="K569">
        <v>2.6101141924959201E-2</v>
      </c>
      <c r="L569">
        <v>8.8058891016506893E-2</v>
      </c>
      <c r="M569">
        <v>1.3564213564213499E-2</v>
      </c>
      <c r="N569">
        <v>0.108265843237487</v>
      </c>
      <c r="O569">
        <v>568</v>
      </c>
      <c r="P569">
        <v>7.3302469135802406E-2</v>
      </c>
      <c r="Q569">
        <v>7.3459798730670697E-2</v>
      </c>
      <c r="R569">
        <v>0.49705014749262499</v>
      </c>
      <c r="S569">
        <v>1</v>
      </c>
      <c r="T569" t="s">
        <v>53</v>
      </c>
      <c r="U569">
        <v>1.13207547169811E-2</v>
      </c>
      <c r="V569">
        <v>0</v>
      </c>
      <c r="W569">
        <v>0</v>
      </c>
      <c r="X569">
        <v>0.11058112134057101</v>
      </c>
      <c r="Y569">
        <v>9.1603898159858504E-2</v>
      </c>
      <c r="Z569">
        <v>8.7287818776476594E-2</v>
      </c>
      <c r="AA569">
        <v>0.49705014749262499</v>
      </c>
      <c r="AB569">
        <f t="shared" si="56"/>
        <v>0.20695670145460021</v>
      </c>
      <c r="AC569">
        <f t="shared" si="61"/>
        <v>0.1</v>
      </c>
      <c r="AD569">
        <f t="shared" si="57"/>
        <v>0</v>
      </c>
      <c r="AE569">
        <f t="shared" si="62"/>
        <v>0.22765237160006024</v>
      </c>
      <c r="AF569" t="str">
        <f t="shared" si="58"/>
        <v>Low</v>
      </c>
      <c r="AG569" t="str">
        <f t="shared" si="59"/>
        <v>NO ACTION</v>
      </c>
      <c r="AH569" t="str">
        <f t="shared" si="60"/>
        <v/>
      </c>
    </row>
    <row r="570" spans="1:34" x14ac:dyDescent="0.3">
      <c r="A570" t="s">
        <v>597</v>
      </c>
      <c r="B570">
        <v>0.12892249527410199</v>
      </c>
      <c r="C570">
        <v>0.55429747812660801</v>
      </c>
      <c r="D570">
        <v>0</v>
      </c>
      <c r="E570">
        <v>0</v>
      </c>
      <c r="F570">
        <v>0</v>
      </c>
      <c r="G570">
        <v>0.99368335808477803</v>
      </c>
      <c r="H570">
        <v>9</v>
      </c>
      <c r="I570">
        <v>9</v>
      </c>
      <c r="J570">
        <v>0.112112971709365</v>
      </c>
      <c r="K570">
        <v>1.71288743882544E-2</v>
      </c>
      <c r="L570">
        <v>3.8942922782737803E-2</v>
      </c>
      <c r="M570">
        <v>1.7316017316017301E-3</v>
      </c>
      <c r="N570">
        <v>9.3138849826747902E-3</v>
      </c>
      <c r="O570">
        <v>1054</v>
      </c>
      <c r="P570">
        <v>9.0628507295173896E-2</v>
      </c>
      <c r="Q570">
        <v>9.0781584207019803E-2</v>
      </c>
      <c r="R570">
        <v>0</v>
      </c>
      <c r="S570">
        <v>0</v>
      </c>
      <c r="T570" t="s">
        <v>28</v>
      </c>
      <c r="U570">
        <v>5.0943396226415097E-2</v>
      </c>
      <c r="V570">
        <v>0</v>
      </c>
      <c r="W570">
        <v>0</v>
      </c>
      <c r="X570">
        <v>0</v>
      </c>
      <c r="Y570">
        <v>4.4688221228044299E-2</v>
      </c>
      <c r="Z570">
        <v>5.8102658370174302E-2</v>
      </c>
      <c r="AA570">
        <v>0</v>
      </c>
      <c r="AB570">
        <f t="shared" si="56"/>
        <v>2.8781446287501213E-2</v>
      </c>
      <c r="AC570">
        <f t="shared" si="61"/>
        <v>0.25</v>
      </c>
      <c r="AD570">
        <f t="shared" si="57"/>
        <v>0</v>
      </c>
      <c r="AE570">
        <f t="shared" si="62"/>
        <v>3.5976807859376514E-2</v>
      </c>
      <c r="AF570" t="str">
        <f t="shared" si="58"/>
        <v>Very Low</v>
      </c>
      <c r="AG570" t="str">
        <f t="shared" si="59"/>
        <v>NO ACTION</v>
      </c>
      <c r="AH570" t="str">
        <f t="shared" si="60"/>
        <v/>
      </c>
    </row>
    <row r="571" spans="1:34" x14ac:dyDescent="0.3">
      <c r="A571" t="s">
        <v>598</v>
      </c>
      <c r="B571">
        <v>0.25595463137996199</v>
      </c>
      <c r="C571">
        <v>0.71708675217260098</v>
      </c>
      <c r="D571">
        <v>0.40218267001823299</v>
      </c>
      <c r="E571">
        <v>0</v>
      </c>
      <c r="F571">
        <v>0</v>
      </c>
      <c r="G571">
        <v>0.42944382358460798</v>
      </c>
      <c r="H571">
        <v>7</v>
      </c>
      <c r="I571">
        <v>18</v>
      </c>
      <c r="J571">
        <v>0.128142741281427</v>
      </c>
      <c r="K571">
        <v>1.1419249592169599E-2</v>
      </c>
      <c r="L571">
        <v>2.2720322842400002E-2</v>
      </c>
      <c r="M571">
        <v>8.0808080808080808E-3</v>
      </c>
      <c r="N571">
        <v>3.8037753979782901E-2</v>
      </c>
      <c r="O571">
        <v>1201</v>
      </c>
      <c r="P571">
        <v>0.103044332210998</v>
      </c>
      <c r="Q571">
        <v>0.10319436165363401</v>
      </c>
      <c r="R571">
        <v>0.76696165191740395</v>
      </c>
      <c r="S571">
        <v>1</v>
      </c>
      <c r="T571" t="s">
        <v>28</v>
      </c>
      <c r="U571">
        <v>8.1977878985035699E-3</v>
      </c>
      <c r="V571">
        <v>0</v>
      </c>
      <c r="W571">
        <v>0</v>
      </c>
      <c r="X571">
        <v>0.12065480100547001</v>
      </c>
      <c r="Y571">
        <v>4.8400035871420298E-2</v>
      </c>
      <c r="Z571">
        <v>7.7041700918512507E-2</v>
      </c>
      <c r="AA571">
        <v>0.76696165191740395</v>
      </c>
      <c r="AB571">
        <f t="shared" si="56"/>
        <v>0.26917771699892951</v>
      </c>
      <c r="AC571">
        <f t="shared" si="61"/>
        <v>0.25</v>
      </c>
      <c r="AD571">
        <f t="shared" si="57"/>
        <v>0</v>
      </c>
      <c r="AE571">
        <f t="shared" si="62"/>
        <v>0.3364721462486619</v>
      </c>
      <c r="AF571" t="str">
        <f t="shared" si="58"/>
        <v>Low</v>
      </c>
      <c r="AG571" t="str">
        <f t="shared" si="59"/>
        <v>NO ACTION</v>
      </c>
      <c r="AH571" t="str">
        <f t="shared" si="60"/>
        <v/>
      </c>
    </row>
    <row r="572" spans="1:34" x14ac:dyDescent="0.3">
      <c r="A572" t="s">
        <v>599</v>
      </c>
      <c r="B572">
        <v>0.12892249527410199</v>
      </c>
      <c r="C572">
        <v>0</v>
      </c>
      <c r="D572">
        <v>0</v>
      </c>
      <c r="E572">
        <v>0</v>
      </c>
      <c r="F572">
        <v>1</v>
      </c>
      <c r="G572">
        <v>0.993685686439576</v>
      </c>
      <c r="H572">
        <v>6</v>
      </c>
      <c r="I572">
        <v>6</v>
      </c>
      <c r="J572">
        <v>6.9414627164734496E-2</v>
      </c>
      <c r="K572">
        <v>4.8939641109298502E-3</v>
      </c>
      <c r="L572">
        <v>1.7947276546643302E-2</v>
      </c>
      <c r="M572">
        <v>1.1544011544011501E-3</v>
      </c>
      <c r="N572">
        <v>1.0015616043013299E-2</v>
      </c>
      <c r="O572">
        <v>839</v>
      </c>
      <c r="P572">
        <v>5.3696689113355699E-2</v>
      </c>
      <c r="Q572">
        <v>5.3858830954801998E-2</v>
      </c>
      <c r="R572">
        <v>0</v>
      </c>
      <c r="S572">
        <v>0</v>
      </c>
      <c r="T572" t="s">
        <v>53</v>
      </c>
      <c r="U572">
        <v>2.0377358490565999E-2</v>
      </c>
      <c r="V572">
        <v>0</v>
      </c>
      <c r="W572">
        <v>0</v>
      </c>
      <c r="X572">
        <v>0.4</v>
      </c>
      <c r="Y572">
        <v>2.58612485191725E-2</v>
      </c>
      <c r="Z572">
        <v>3.6224259885218699E-2</v>
      </c>
      <c r="AA572">
        <v>0</v>
      </c>
      <c r="AB572">
        <f t="shared" si="56"/>
        <v>8.138394235322953E-2</v>
      </c>
      <c r="AC572">
        <f t="shared" si="61"/>
        <v>0.1</v>
      </c>
      <c r="AD572">
        <f t="shared" si="57"/>
        <v>0.08</v>
      </c>
      <c r="AE572">
        <f t="shared" si="62"/>
        <v>9.6033051976810863E-2</v>
      </c>
      <c r="AF572" t="str">
        <f t="shared" si="58"/>
        <v>Very Low</v>
      </c>
      <c r="AG572" t="str">
        <f t="shared" si="59"/>
        <v>NO ACTION</v>
      </c>
      <c r="AH572" t="str">
        <f t="shared" si="60"/>
        <v/>
      </c>
    </row>
    <row r="573" spans="1:34" x14ac:dyDescent="0.3">
      <c r="A573" t="s">
        <v>600</v>
      </c>
      <c r="B573">
        <v>0.12892249527410199</v>
      </c>
      <c r="C573">
        <v>0.36953165208440503</v>
      </c>
      <c r="D573">
        <v>0</v>
      </c>
      <c r="E573">
        <v>0</v>
      </c>
      <c r="F573">
        <v>0</v>
      </c>
      <c r="G573">
        <v>0.99368033389981003</v>
      </c>
      <c r="H573">
        <v>8</v>
      </c>
      <c r="I573">
        <v>8</v>
      </c>
      <c r="J573">
        <v>0.11397356996326501</v>
      </c>
      <c r="K573">
        <v>1.7944535073409401E-2</v>
      </c>
      <c r="L573">
        <v>4.0132729231285497E-2</v>
      </c>
      <c r="M573">
        <v>2.8860028860028799E-3</v>
      </c>
      <c r="N573">
        <v>1.52702583780277E-2</v>
      </c>
      <c r="O573">
        <v>1023</v>
      </c>
      <c r="P573">
        <v>9.2908249158249107E-2</v>
      </c>
      <c r="Q573">
        <v>9.3060766506539494E-2</v>
      </c>
      <c r="R573">
        <v>0</v>
      </c>
      <c r="S573">
        <v>0</v>
      </c>
      <c r="T573" t="s">
        <v>28</v>
      </c>
      <c r="U573">
        <v>3.3962264150943298E-2</v>
      </c>
      <c r="V573">
        <v>0</v>
      </c>
      <c r="W573">
        <v>0</v>
      </c>
      <c r="X573">
        <v>0</v>
      </c>
      <c r="Y573">
        <v>4.7442156121704097E-2</v>
      </c>
      <c r="Z573">
        <v>6.1853052846160599E-2</v>
      </c>
      <c r="AA573">
        <v>0</v>
      </c>
      <c r="AB573">
        <f t="shared" si="56"/>
        <v>3.0602658511002117E-2</v>
      </c>
      <c r="AC573">
        <f t="shared" si="61"/>
        <v>0.25</v>
      </c>
      <c r="AD573">
        <f t="shared" si="57"/>
        <v>0</v>
      </c>
      <c r="AE573">
        <f t="shared" si="62"/>
        <v>3.8253323138752647E-2</v>
      </c>
      <c r="AF573" t="str">
        <f t="shared" si="58"/>
        <v>Very Low</v>
      </c>
      <c r="AG573" t="str">
        <f t="shared" si="59"/>
        <v>NO ACTION</v>
      </c>
      <c r="AH573" t="str">
        <f t="shared" si="60"/>
        <v/>
      </c>
    </row>
    <row r="574" spans="1:34" x14ac:dyDescent="0.3">
      <c r="A574" t="s">
        <v>601</v>
      </c>
      <c r="B574">
        <v>0.25406427221172001</v>
      </c>
      <c r="C574">
        <v>0.71309769252086797</v>
      </c>
      <c r="D574">
        <v>0.39642758779390902</v>
      </c>
      <c r="E574">
        <v>0</v>
      </c>
      <c r="F574">
        <v>0</v>
      </c>
      <c r="G574">
        <v>0.43380952088582803</v>
      </c>
      <c r="H574">
        <v>7</v>
      </c>
      <c r="I574">
        <v>17</v>
      </c>
      <c r="J574">
        <v>0.11096798816850301</v>
      </c>
      <c r="K574">
        <v>1.6313213703099499E-2</v>
      </c>
      <c r="L574">
        <v>3.7470361444443497E-2</v>
      </c>
      <c r="M574">
        <v>1.44300144300144E-3</v>
      </c>
      <c r="N574">
        <v>7.8414840319602202E-3</v>
      </c>
      <c r="O574">
        <v>978</v>
      </c>
      <c r="P574">
        <v>8.9295735129068396E-2</v>
      </c>
      <c r="Q574">
        <v>8.9449139170377598E-2</v>
      </c>
      <c r="R574">
        <v>0</v>
      </c>
      <c r="S574">
        <v>0</v>
      </c>
      <c r="T574" t="s">
        <v>28</v>
      </c>
      <c r="U574">
        <v>5.6603773584905599E-2</v>
      </c>
      <c r="V574">
        <v>0</v>
      </c>
      <c r="W574">
        <v>0</v>
      </c>
      <c r="X574">
        <v>0.118928276338172</v>
      </c>
      <c r="Y574">
        <v>4.32812235655105E-2</v>
      </c>
      <c r="Z574">
        <v>5.6714034690225103E-2</v>
      </c>
      <c r="AA574">
        <v>0</v>
      </c>
      <c r="AB574">
        <f t="shared" si="56"/>
        <v>4.7027196525713494E-2</v>
      </c>
      <c r="AC574">
        <f t="shared" si="61"/>
        <v>0.25</v>
      </c>
      <c r="AD574">
        <f t="shared" si="57"/>
        <v>0</v>
      </c>
      <c r="AE574">
        <f t="shared" si="62"/>
        <v>5.8783995657141867E-2</v>
      </c>
      <c r="AF574" t="str">
        <f t="shared" si="58"/>
        <v>Very Low</v>
      </c>
      <c r="AG574" t="str">
        <f t="shared" si="59"/>
        <v>NO ACTION</v>
      </c>
      <c r="AH574" t="str">
        <f t="shared" si="60"/>
        <v/>
      </c>
    </row>
    <row r="575" spans="1:34" x14ac:dyDescent="0.3">
      <c r="A575" t="s">
        <v>602</v>
      </c>
      <c r="B575">
        <v>0.241209829867674</v>
      </c>
      <c r="C575">
        <v>0.74712162679993499</v>
      </c>
      <c r="D575">
        <v>0.34265263705601201</v>
      </c>
      <c r="E575">
        <v>0</v>
      </c>
      <c r="F575">
        <v>0</v>
      </c>
      <c r="G575">
        <v>0.46469865040525399</v>
      </c>
      <c r="H575">
        <v>8</v>
      </c>
      <c r="I575">
        <v>14</v>
      </c>
      <c r="J575">
        <v>8.1055293163494094E-2</v>
      </c>
      <c r="K575">
        <v>1.4681892332789499E-2</v>
      </c>
      <c r="L575">
        <v>4.6132084081160797E-2</v>
      </c>
      <c r="M575">
        <v>2.59740259740259E-3</v>
      </c>
      <c r="N575">
        <v>1.9308273885738601E-2</v>
      </c>
      <c r="O575">
        <v>965</v>
      </c>
      <c r="P575">
        <v>6.7164702581369196E-2</v>
      </c>
      <c r="Q575">
        <v>6.7323538693502494E-2</v>
      </c>
      <c r="R575">
        <v>0</v>
      </c>
      <c r="S575">
        <v>0</v>
      </c>
      <c r="T575" t="s">
        <v>53</v>
      </c>
      <c r="U575">
        <v>3.0566037735849001E-2</v>
      </c>
      <c r="V575">
        <v>0</v>
      </c>
      <c r="W575">
        <v>0</v>
      </c>
      <c r="X575">
        <v>0.102795791116803</v>
      </c>
      <c r="Y575">
        <v>4.5069582839000803E-2</v>
      </c>
      <c r="Z575">
        <v>4.8022131103116997E-2</v>
      </c>
      <c r="AA575">
        <v>0</v>
      </c>
      <c r="AB575">
        <f t="shared" si="56"/>
        <v>4.2513006482481464E-2</v>
      </c>
      <c r="AC575">
        <f t="shared" si="61"/>
        <v>0.1</v>
      </c>
      <c r="AD575">
        <f t="shared" si="57"/>
        <v>0</v>
      </c>
      <c r="AE575">
        <f t="shared" si="62"/>
        <v>4.6764307130729613E-2</v>
      </c>
      <c r="AF575" t="str">
        <f t="shared" si="58"/>
        <v>Very Low</v>
      </c>
      <c r="AG575" t="str">
        <f t="shared" si="59"/>
        <v>NO ACTION</v>
      </c>
      <c r="AH575" t="str">
        <f t="shared" si="60"/>
        <v/>
      </c>
    </row>
    <row r="576" spans="1:34" x14ac:dyDescent="0.3">
      <c r="A576" t="s">
        <v>603</v>
      </c>
      <c r="B576">
        <v>9.6786389413988594E-2</v>
      </c>
      <c r="C576">
        <v>0.18476582604220201</v>
      </c>
      <c r="D576">
        <v>0</v>
      </c>
      <c r="E576">
        <v>0</v>
      </c>
      <c r="F576">
        <v>0</v>
      </c>
      <c r="G576">
        <v>1</v>
      </c>
      <c r="H576">
        <v>7</v>
      </c>
      <c r="I576">
        <v>7</v>
      </c>
      <c r="J576">
        <v>2.7479604980678401E-2</v>
      </c>
      <c r="K576">
        <v>8.1566068515497503E-4</v>
      </c>
      <c r="L576">
        <v>7.5166447957829398E-3</v>
      </c>
      <c r="M576">
        <v>2.88600288600288E-4</v>
      </c>
      <c r="N576">
        <v>6.2920823678138602E-3</v>
      </c>
      <c r="O576">
        <v>138</v>
      </c>
      <c r="P576">
        <v>2.06930415263748E-2</v>
      </c>
      <c r="Q576">
        <v>2.0863284126371801E-2</v>
      </c>
      <c r="R576">
        <v>0</v>
      </c>
      <c r="S576">
        <v>0</v>
      </c>
      <c r="T576" t="s">
        <v>53</v>
      </c>
      <c r="U576">
        <v>8.4905660377358402E-3</v>
      </c>
      <c r="V576">
        <v>0</v>
      </c>
      <c r="W576">
        <v>0</v>
      </c>
      <c r="X576">
        <v>0</v>
      </c>
      <c r="Y576">
        <v>1.1141868104371301E-2</v>
      </c>
      <c r="Z576">
        <v>1.4932657862950401E-2</v>
      </c>
      <c r="AA576">
        <v>0</v>
      </c>
      <c r="AB576">
        <f t="shared" si="56"/>
        <v>7.3008672708500776E-3</v>
      </c>
      <c r="AC576">
        <f t="shared" si="61"/>
        <v>0.1</v>
      </c>
      <c r="AD576">
        <f t="shared" si="57"/>
        <v>0</v>
      </c>
      <c r="AE576">
        <f t="shared" si="62"/>
        <v>8.0309539979350857E-3</v>
      </c>
      <c r="AF576" t="str">
        <f t="shared" si="58"/>
        <v>Very Low</v>
      </c>
      <c r="AG576" t="str">
        <f t="shared" si="59"/>
        <v>NO ACTION</v>
      </c>
      <c r="AH576" t="str">
        <f t="shared" si="60"/>
        <v/>
      </c>
    </row>
    <row r="577" spans="1:34" x14ac:dyDescent="0.3">
      <c r="A577" t="s">
        <v>604</v>
      </c>
      <c r="B577">
        <v>0.12892249527410199</v>
      </c>
      <c r="C577">
        <v>0.36953165208440503</v>
      </c>
      <c r="D577">
        <v>0</v>
      </c>
      <c r="E577">
        <v>0</v>
      </c>
      <c r="F577">
        <v>0</v>
      </c>
      <c r="G577">
        <v>0.99367953101884499</v>
      </c>
      <c r="H577">
        <v>8</v>
      </c>
      <c r="I577">
        <v>8</v>
      </c>
      <c r="J577">
        <v>8.9642669719956103E-2</v>
      </c>
      <c r="K577">
        <v>1.4681892332789499E-2</v>
      </c>
      <c r="L577">
        <v>4.1724560124362001E-2</v>
      </c>
      <c r="M577">
        <v>1.1544011544011501E-3</v>
      </c>
      <c r="N577">
        <v>7.7615708188956498E-3</v>
      </c>
      <c r="O577">
        <v>1074</v>
      </c>
      <c r="P577">
        <v>7.2776374859708198E-2</v>
      </c>
      <c r="Q577">
        <v>7.2933833584627794E-2</v>
      </c>
      <c r="R577">
        <v>0</v>
      </c>
      <c r="S577">
        <v>0</v>
      </c>
      <c r="T577" t="s">
        <v>53</v>
      </c>
      <c r="U577">
        <v>6.1132075471698098E-2</v>
      </c>
      <c r="V577">
        <v>0</v>
      </c>
      <c r="W577">
        <v>0</v>
      </c>
      <c r="X577">
        <v>0</v>
      </c>
      <c r="Y577">
        <v>4.1119285251840901E-2</v>
      </c>
      <c r="Z577">
        <v>4.6770453243383102E-2</v>
      </c>
      <c r="AA577">
        <v>0</v>
      </c>
      <c r="AB577">
        <f t="shared" si="56"/>
        <v>2.4609126778662723E-2</v>
      </c>
      <c r="AC577">
        <f t="shared" si="61"/>
        <v>0.1</v>
      </c>
      <c r="AD577">
        <f t="shared" si="57"/>
        <v>0</v>
      </c>
      <c r="AE577">
        <f t="shared" si="62"/>
        <v>2.7070039456528999E-2</v>
      </c>
      <c r="AF577" t="str">
        <f t="shared" si="58"/>
        <v>Very Low</v>
      </c>
      <c r="AG577" t="str">
        <f t="shared" si="59"/>
        <v>NO ACTION</v>
      </c>
      <c r="AH577" t="str">
        <f t="shared" si="60"/>
        <v/>
      </c>
    </row>
    <row r="578" spans="1:34" x14ac:dyDescent="0.3">
      <c r="A578" t="s">
        <v>605</v>
      </c>
      <c r="B578">
        <v>0.12892249527410199</v>
      </c>
      <c r="C578">
        <v>0.36953165208440503</v>
      </c>
      <c r="D578">
        <v>0</v>
      </c>
      <c r="E578">
        <v>0</v>
      </c>
      <c r="F578">
        <v>0</v>
      </c>
      <c r="G578">
        <v>0.99366489182258499</v>
      </c>
      <c r="H578">
        <v>8</v>
      </c>
      <c r="I578">
        <v>8</v>
      </c>
      <c r="J578">
        <v>5.7726253518438998E-2</v>
      </c>
      <c r="K578">
        <v>8.9722675367047301E-3</v>
      </c>
      <c r="L578">
        <v>3.9538170279710898E-2</v>
      </c>
      <c r="M578">
        <v>4.9062049062049001E-3</v>
      </c>
      <c r="N578">
        <v>5.1149709915141998E-2</v>
      </c>
      <c r="O578">
        <v>531</v>
      </c>
      <c r="P578">
        <v>4.86812570145903E-2</v>
      </c>
      <c r="Q578">
        <v>4.8844629895858901E-2</v>
      </c>
      <c r="R578">
        <v>0</v>
      </c>
      <c r="S578">
        <v>0</v>
      </c>
      <c r="T578" t="s">
        <v>53</v>
      </c>
      <c r="U578">
        <v>1.0377358490566001E-2</v>
      </c>
      <c r="V578">
        <v>0</v>
      </c>
      <c r="W578">
        <v>0</v>
      </c>
      <c r="X578">
        <v>0</v>
      </c>
      <c r="Y578">
        <v>4.6659248818085801E-2</v>
      </c>
      <c r="Z578">
        <v>4.9668638174811E-2</v>
      </c>
      <c r="AA578">
        <v>0</v>
      </c>
      <c r="AB578">
        <f t="shared" si="56"/>
        <v>2.6971808358011107E-2</v>
      </c>
      <c r="AC578">
        <f t="shared" si="61"/>
        <v>0.1</v>
      </c>
      <c r="AD578">
        <f t="shared" si="57"/>
        <v>0</v>
      </c>
      <c r="AE578">
        <f t="shared" si="62"/>
        <v>2.966898919381222E-2</v>
      </c>
      <c r="AF578" t="str">
        <f t="shared" si="58"/>
        <v>Very Low</v>
      </c>
      <c r="AG578" t="str">
        <f t="shared" si="59"/>
        <v>NO ACTION</v>
      </c>
      <c r="AH578" t="str">
        <f t="shared" si="60"/>
        <v/>
      </c>
    </row>
    <row r="579" spans="1:34" x14ac:dyDescent="0.3">
      <c r="A579" t="s">
        <v>606</v>
      </c>
      <c r="B579">
        <v>0.12892249527410199</v>
      </c>
      <c r="C579">
        <v>0.26938321883834099</v>
      </c>
      <c r="D579">
        <v>7.4866899962459793E-2</v>
      </c>
      <c r="E579">
        <v>0</v>
      </c>
      <c r="F579">
        <v>0</v>
      </c>
      <c r="G579">
        <v>0.99369342085953805</v>
      </c>
      <c r="H579">
        <v>7</v>
      </c>
      <c r="I579">
        <v>8</v>
      </c>
      <c r="J579">
        <v>8.0482801393063297E-2</v>
      </c>
      <c r="K579">
        <v>2.0391517128874301E-2</v>
      </c>
      <c r="L579">
        <v>6.4526752753396699E-2</v>
      </c>
      <c r="M579">
        <v>2.3088023088023001E-3</v>
      </c>
      <c r="N579">
        <v>1.72846328874697E-2</v>
      </c>
      <c r="O579">
        <v>902</v>
      </c>
      <c r="P579">
        <v>6.9058641975308602E-2</v>
      </c>
      <c r="Q579">
        <v>6.9217013219257301E-2</v>
      </c>
      <c r="R579">
        <v>0</v>
      </c>
      <c r="S579">
        <v>0</v>
      </c>
      <c r="T579" t="s">
        <v>53</v>
      </c>
      <c r="U579">
        <v>4.71698113207547E-2</v>
      </c>
      <c r="V579">
        <v>0</v>
      </c>
      <c r="W579">
        <v>0</v>
      </c>
      <c r="X579">
        <v>2.24600699887379E-2</v>
      </c>
      <c r="Y579">
        <v>5.3545326521551903E-2</v>
      </c>
      <c r="Z579">
        <v>4.8349038340173102E-2</v>
      </c>
      <c r="AA579">
        <v>0</v>
      </c>
      <c r="AB579">
        <f t="shared" ref="AB579:AB642" si="63">0.16*X579 + 0.28*Y579 + 0.28*Z579 + 0.28*AA579</f>
        <v>3.2124033359481066E-2</v>
      </c>
      <c r="AC579">
        <f t="shared" si="61"/>
        <v>0.1</v>
      </c>
      <c r="AD579">
        <f t="shared" ref="AD579:AD642" si="64">IF(V579&gt;0.7, 0.1,
 IF(F579&gt;0.5, 0.08,
 IF(E579&gt;0.5, 0.05,
 0)))</f>
        <v>0</v>
      </c>
      <c r="AE579">
        <f t="shared" si="62"/>
        <v>3.5336436695429178E-2</v>
      </c>
      <c r="AF579" t="str">
        <f t="shared" ref="AF579:AF642" si="65">IF(MAX(X579, Y579, Z579, AA579)&gt;0.9,
 "Critical",
 IF(AE579&lt;=0.2,"Very Low",
 IF(AE579&lt;=0.4,"Low",
 IF(AE579&lt;=0.6,"Medium",
 IF(AE579&lt;=0.8,"High","Critical")))))</f>
        <v>Very Low</v>
      </c>
      <c r="AG579" t="str">
        <f t="shared" ref="AG579:AG642" si="66">IF(MAX(X579:AA579)&gt;0.9,"CRITICAL ALERT",
 IF(AE579&gt;0.8,"CRITICAL ALERT",
 IF(AE579&gt;0.6,"ALERT",
 IF(AE579&gt;=0.4,"REVIEW","NO ACTION"))))</f>
        <v>NO ACTION</v>
      </c>
      <c r="AH579" t="str">
        <f t="shared" ref="AH579:AH642" si="67">IF(AG579="NO ACTION","",
 IF(_xlfn.TEXTJOIN(", ", TRUE,
  IF(X579&gt;0.7,"Login anomaly",""),
  IF(Y579&gt;0.7,"File anomaly",""),
  IF(Z579&gt;0.7,"Network anomaly",""),
  IF(AA579&gt;0.7,"USB anomaly","")
 )="",
 "General anomaly detected",
 _xlfn.TEXTJOIN(", ", TRUE,
  IF(X579&gt;0.7,"Login anomaly",""),
  IF(Y579&gt;0.7,"File anomaly",""),
  IF(Z579&gt;0.7,"Network anomaly",""),
  IF(AA579&gt;0.7,"USB anomaly","")
 )))</f>
        <v/>
      </c>
    </row>
    <row r="580" spans="1:34" x14ac:dyDescent="0.3">
      <c r="A580" t="s">
        <v>607</v>
      </c>
      <c r="B580">
        <v>0.12892249527410199</v>
      </c>
      <c r="C580">
        <v>0.18476582604220201</v>
      </c>
      <c r="D580">
        <v>0</v>
      </c>
      <c r="E580">
        <v>0</v>
      </c>
      <c r="F580">
        <v>0</v>
      </c>
      <c r="G580">
        <v>0.99366408894161995</v>
      </c>
      <c r="H580">
        <v>7</v>
      </c>
      <c r="I580">
        <v>7</v>
      </c>
      <c r="J580">
        <v>7.7095558418014395E-2</v>
      </c>
      <c r="K580">
        <v>1.1419249592169599E-2</v>
      </c>
      <c r="L580">
        <v>3.7717698191794199E-2</v>
      </c>
      <c r="M580">
        <v>1.44300144300144E-3</v>
      </c>
      <c r="N580">
        <v>1.1276063712831101E-2</v>
      </c>
      <c r="O580">
        <v>909</v>
      </c>
      <c r="P580">
        <v>6.22895622895622E-2</v>
      </c>
      <c r="Q580">
        <v>6.2449595006837499E-2</v>
      </c>
      <c r="R580">
        <v>0</v>
      </c>
      <c r="S580">
        <v>0</v>
      </c>
      <c r="T580" t="s">
        <v>53</v>
      </c>
      <c r="U580">
        <v>3.9622641509433898E-2</v>
      </c>
      <c r="V580">
        <v>0</v>
      </c>
      <c r="W580">
        <v>0</v>
      </c>
      <c r="X580">
        <v>0</v>
      </c>
      <c r="Y580">
        <v>3.7660779893349303E-2</v>
      </c>
      <c r="Z580">
        <v>4.1884162858869797E-2</v>
      </c>
      <c r="AA580">
        <v>0</v>
      </c>
      <c r="AB580">
        <f t="shared" si="63"/>
        <v>2.2272583970621349E-2</v>
      </c>
      <c r="AC580">
        <f t="shared" ref="AC580:AC643" si="68">IF(T580="IT_Admin", 0.25, IF(AND(T580="HR", AA580&gt;0.6), 0.25, IF(AND(T580="General", Z580&gt;0.7), 0.2, 0.1)))</f>
        <v>0.1</v>
      </c>
      <c r="AD580">
        <f t="shared" si="64"/>
        <v>0</v>
      </c>
      <c r="AE580">
        <f t="shared" ref="AE580:AE643" si="69">MIN(1,AB580*(1+AC580+AD580))</f>
        <v>2.4499842367683485E-2</v>
      </c>
      <c r="AF580" t="str">
        <f t="shared" si="65"/>
        <v>Very Low</v>
      </c>
      <c r="AG580" t="str">
        <f t="shared" si="66"/>
        <v>NO ACTION</v>
      </c>
      <c r="AH580" t="str">
        <f t="shared" si="67"/>
        <v/>
      </c>
    </row>
    <row r="581" spans="1:34" x14ac:dyDescent="0.3">
      <c r="A581" t="s">
        <v>608</v>
      </c>
      <c r="B581">
        <v>0.25179584120982901</v>
      </c>
      <c r="C581">
        <v>0.69356127238229803</v>
      </c>
      <c r="D581">
        <v>0.37998230095309099</v>
      </c>
      <c r="E581">
        <v>0</v>
      </c>
      <c r="F581">
        <v>0</v>
      </c>
      <c r="G581">
        <v>0.43898258225471098</v>
      </c>
      <c r="H581">
        <v>7</v>
      </c>
      <c r="I581">
        <v>15</v>
      </c>
      <c r="J581">
        <v>7.99103096226325E-2</v>
      </c>
      <c r="K581">
        <v>9.7879282218597003E-3</v>
      </c>
      <c r="L581">
        <v>3.1194075902499199E-2</v>
      </c>
      <c r="M581">
        <v>1.1544011544011501E-3</v>
      </c>
      <c r="N581">
        <v>8.7040472754758395E-3</v>
      </c>
      <c r="O581">
        <v>851</v>
      </c>
      <c r="P581">
        <v>6.3517115600448898E-2</v>
      </c>
      <c r="Q581">
        <v>6.3676847014271107E-2</v>
      </c>
      <c r="R581">
        <v>0.38200589970501397</v>
      </c>
      <c r="S581">
        <v>1</v>
      </c>
      <c r="T581" t="s">
        <v>53</v>
      </c>
      <c r="U581">
        <v>4.0754716981131998E-2</v>
      </c>
      <c r="V581">
        <v>0</v>
      </c>
      <c r="W581">
        <v>0</v>
      </c>
      <c r="X581">
        <v>0.113994690285927</v>
      </c>
      <c r="Y581">
        <v>3.4190314058418797E-2</v>
      </c>
      <c r="Z581">
        <v>4.1591888270459697E-2</v>
      </c>
      <c r="AA581">
        <v>0.38200589970501397</v>
      </c>
      <c r="AB581">
        <f t="shared" si="63"/>
        <v>0.14641981901523821</v>
      </c>
      <c r="AC581">
        <f t="shared" si="68"/>
        <v>0.1</v>
      </c>
      <c r="AD581">
        <f t="shared" si="64"/>
        <v>0</v>
      </c>
      <c r="AE581">
        <f t="shared" si="69"/>
        <v>0.16106180091676203</v>
      </c>
      <c r="AF581" t="str">
        <f t="shared" si="65"/>
        <v>Very Low</v>
      </c>
      <c r="AG581" t="str">
        <f t="shared" si="66"/>
        <v>NO ACTION</v>
      </c>
      <c r="AH581" t="str">
        <f t="shared" si="67"/>
        <v/>
      </c>
    </row>
    <row r="582" spans="1:34" x14ac:dyDescent="0.3">
      <c r="A582" t="s">
        <v>609</v>
      </c>
      <c r="B582">
        <v>0.12892249527410199</v>
      </c>
      <c r="C582">
        <v>0.36953165208440503</v>
      </c>
      <c r="D582">
        <v>0</v>
      </c>
      <c r="E582">
        <v>0</v>
      </c>
      <c r="F582">
        <v>0</v>
      </c>
      <c r="G582">
        <v>0.99370522320972199</v>
      </c>
      <c r="H582">
        <v>8</v>
      </c>
      <c r="I582">
        <v>8</v>
      </c>
      <c r="J582">
        <v>8.2295691999427503E-2</v>
      </c>
      <c r="K582">
        <v>1.2234910277324601E-2</v>
      </c>
      <c r="L582">
        <v>3.7865641268929599E-2</v>
      </c>
      <c r="M582">
        <v>2.59740259740259E-3</v>
      </c>
      <c r="N582">
        <v>1.9018091734854699E-2</v>
      </c>
      <c r="O582">
        <v>958</v>
      </c>
      <c r="P582">
        <v>6.7024410774410695E-2</v>
      </c>
      <c r="Q582">
        <v>6.7183281321224406E-2</v>
      </c>
      <c r="R582">
        <v>0</v>
      </c>
      <c r="S582">
        <v>0</v>
      </c>
      <c r="T582" t="s">
        <v>53</v>
      </c>
      <c r="U582">
        <v>2.54716981132075E-2</v>
      </c>
      <c r="V582">
        <v>0</v>
      </c>
      <c r="W582">
        <v>0</v>
      </c>
      <c r="X582">
        <v>0</v>
      </c>
      <c r="Y582">
        <v>4.10973865548067E-2</v>
      </c>
      <c r="Z582">
        <v>4.7821883158588298E-2</v>
      </c>
      <c r="AA582">
        <v>0</v>
      </c>
      <c r="AB582">
        <f t="shared" si="63"/>
        <v>2.4897395519750603E-2</v>
      </c>
      <c r="AC582">
        <f t="shared" si="68"/>
        <v>0.1</v>
      </c>
      <c r="AD582">
        <f t="shared" si="64"/>
        <v>0</v>
      </c>
      <c r="AE582">
        <f t="shared" si="69"/>
        <v>2.7387135071725667E-2</v>
      </c>
      <c r="AF582" t="str">
        <f t="shared" si="65"/>
        <v>Very Low</v>
      </c>
      <c r="AG582" t="str">
        <f t="shared" si="66"/>
        <v>NO ACTION</v>
      </c>
      <c r="AH582" t="str">
        <f t="shared" si="67"/>
        <v/>
      </c>
    </row>
    <row r="583" spans="1:34" x14ac:dyDescent="0.3">
      <c r="A583" t="s">
        <v>610</v>
      </c>
      <c r="B583">
        <v>0.153497164461247</v>
      </c>
      <c r="C583">
        <v>0.30238504701053098</v>
      </c>
      <c r="D583">
        <v>0.55406682559057796</v>
      </c>
      <c r="E583">
        <v>1</v>
      </c>
      <c r="F583">
        <v>0.117073170731707</v>
      </c>
      <c r="G583">
        <v>0.812138589656339</v>
      </c>
      <c r="H583">
        <v>0</v>
      </c>
      <c r="I583">
        <v>23</v>
      </c>
      <c r="J583">
        <v>0.104909116931444</v>
      </c>
      <c r="K583">
        <v>3.0995106035889002E-2</v>
      </c>
      <c r="L583">
        <v>7.5296045281894597E-2</v>
      </c>
      <c r="M583">
        <v>2.3088023088023001E-3</v>
      </c>
      <c r="N583">
        <v>1.32693279698724E-2</v>
      </c>
      <c r="O583">
        <v>377</v>
      </c>
      <c r="P583">
        <v>9.1575476992143606E-2</v>
      </c>
      <c r="Q583">
        <v>9.1728321469897206E-2</v>
      </c>
      <c r="R583">
        <v>0.28466076696165099</v>
      </c>
      <c r="S583">
        <v>1</v>
      </c>
      <c r="T583" t="s">
        <v>28</v>
      </c>
      <c r="U583">
        <v>7.1698113207547098E-2</v>
      </c>
      <c r="V583">
        <v>0</v>
      </c>
      <c r="W583">
        <v>0.28766953682412699</v>
      </c>
      <c r="X583">
        <v>0.51304931596985603</v>
      </c>
      <c r="Y583">
        <v>6.2610644418197803E-2</v>
      </c>
      <c r="Z583">
        <v>6.0253017383235102E-2</v>
      </c>
      <c r="AA583">
        <v>0.28466076696165099</v>
      </c>
      <c r="AB583">
        <f t="shared" si="63"/>
        <v>0.19619473060884046</v>
      </c>
      <c r="AC583">
        <f t="shared" si="68"/>
        <v>0.25</v>
      </c>
      <c r="AD583">
        <f t="shared" si="64"/>
        <v>0.05</v>
      </c>
      <c r="AE583">
        <f t="shared" si="69"/>
        <v>0.25505314979149263</v>
      </c>
      <c r="AF583" t="str">
        <f t="shared" si="65"/>
        <v>Low</v>
      </c>
      <c r="AG583" t="str">
        <f t="shared" si="66"/>
        <v>NO ACTION</v>
      </c>
      <c r="AH583" t="str">
        <f t="shared" si="67"/>
        <v/>
      </c>
    </row>
    <row r="584" spans="1:34" x14ac:dyDescent="0.3">
      <c r="A584" t="s">
        <v>611</v>
      </c>
      <c r="B584">
        <v>0.12892249527410199</v>
      </c>
      <c r="C584">
        <v>0.36953165208440503</v>
      </c>
      <c r="D584">
        <v>0</v>
      </c>
      <c r="E584">
        <v>0</v>
      </c>
      <c r="F584">
        <v>0</v>
      </c>
      <c r="G584">
        <v>0.99368159174665505</v>
      </c>
      <c r="H584">
        <v>8</v>
      </c>
      <c r="I584">
        <v>8</v>
      </c>
      <c r="J584">
        <v>9.2600543867181903E-2</v>
      </c>
      <c r="K584">
        <v>1.5497553017944501E-2</v>
      </c>
      <c r="L584">
        <v>4.26393843271572E-2</v>
      </c>
      <c r="M584">
        <v>4.6176046176046098E-3</v>
      </c>
      <c r="N584">
        <v>3.0057141670707901E-2</v>
      </c>
      <c r="O584">
        <v>921</v>
      </c>
      <c r="P584">
        <v>7.6985129068462402E-2</v>
      </c>
      <c r="Q584">
        <v>7.71415547529717E-2</v>
      </c>
      <c r="R584">
        <v>0</v>
      </c>
      <c r="S584">
        <v>0</v>
      </c>
      <c r="T584" t="s">
        <v>53</v>
      </c>
      <c r="U584">
        <v>1.8978912319644801E-2</v>
      </c>
      <c r="V584">
        <v>0</v>
      </c>
      <c r="W584">
        <v>0</v>
      </c>
      <c r="X584">
        <v>0</v>
      </c>
      <c r="Y584">
        <v>4.8856943438227302E-2</v>
      </c>
      <c r="Z584">
        <v>5.8213934109360599E-2</v>
      </c>
      <c r="AA584">
        <v>0</v>
      </c>
      <c r="AB584">
        <f t="shared" si="63"/>
        <v>2.9979845713324613E-2</v>
      </c>
      <c r="AC584">
        <f t="shared" si="68"/>
        <v>0.1</v>
      </c>
      <c r="AD584">
        <f t="shared" si="64"/>
        <v>0</v>
      </c>
      <c r="AE584">
        <f t="shared" si="69"/>
        <v>3.2977830284657075E-2</v>
      </c>
      <c r="AF584" t="str">
        <f t="shared" si="65"/>
        <v>Very Low</v>
      </c>
      <c r="AG584" t="str">
        <f t="shared" si="66"/>
        <v>NO ACTION</v>
      </c>
      <c r="AH584" t="str">
        <f t="shared" si="67"/>
        <v/>
      </c>
    </row>
    <row r="585" spans="1:34" x14ac:dyDescent="0.3">
      <c r="A585" t="s">
        <v>612</v>
      </c>
      <c r="B585">
        <v>7.4858223062381796E-2</v>
      </c>
      <c r="C585">
        <v>0.83510494641847</v>
      </c>
      <c r="D585">
        <v>0.49803666830412402</v>
      </c>
      <c r="E585">
        <v>0</v>
      </c>
      <c r="F585">
        <v>4.95049504950495E-2</v>
      </c>
      <c r="G585">
        <v>0.41951092823959601</v>
      </c>
      <c r="H585">
        <v>1</v>
      </c>
      <c r="I585">
        <v>23</v>
      </c>
      <c r="J585">
        <v>9.3984065645723001E-3</v>
      </c>
      <c r="K585">
        <v>1.6313213703099501E-3</v>
      </c>
      <c r="L585">
        <v>4.3239313132177097E-2</v>
      </c>
      <c r="M585">
        <v>5.7720057720057698E-4</v>
      </c>
      <c r="N585">
        <v>3.6195048076236101E-2</v>
      </c>
      <c r="O585">
        <v>132</v>
      </c>
      <c r="P585">
        <v>7.8914141414141402E-3</v>
      </c>
      <c r="Q585">
        <v>8.0647989059924909E-3</v>
      </c>
      <c r="R585">
        <v>1.3274336283185801E-2</v>
      </c>
      <c r="S585">
        <v>1</v>
      </c>
      <c r="T585" t="s">
        <v>53</v>
      </c>
      <c r="U585">
        <v>1.13207547169811E-2</v>
      </c>
      <c r="V585">
        <v>0</v>
      </c>
      <c r="W585">
        <v>6.9854074617661494E-2</v>
      </c>
      <c r="X585">
        <v>0.169212980689257</v>
      </c>
      <c r="Y585">
        <v>3.4357852301873798E-2</v>
      </c>
      <c r="Z585">
        <v>1.9212867715342901E-2</v>
      </c>
      <c r="AA585">
        <v>1.3274336283185801E-2</v>
      </c>
      <c r="AB585">
        <f t="shared" si="63"/>
        <v>4.5790692674393819E-2</v>
      </c>
      <c r="AC585">
        <f t="shared" si="68"/>
        <v>0.1</v>
      </c>
      <c r="AD585">
        <f t="shared" si="64"/>
        <v>0</v>
      </c>
      <c r="AE585">
        <f t="shared" si="69"/>
        <v>5.0369761941833208E-2</v>
      </c>
      <c r="AF585" t="str">
        <f t="shared" si="65"/>
        <v>Very Low</v>
      </c>
      <c r="AG585" t="str">
        <f t="shared" si="66"/>
        <v>NO ACTION</v>
      </c>
      <c r="AH585" t="str">
        <f t="shared" si="67"/>
        <v/>
      </c>
    </row>
    <row r="586" spans="1:34" x14ac:dyDescent="0.3">
      <c r="A586" t="s">
        <v>613</v>
      </c>
      <c r="B586">
        <v>0.22873345935727701</v>
      </c>
      <c r="C586">
        <v>0.64804565587215901</v>
      </c>
      <c r="D586">
        <v>0.362683010334096</v>
      </c>
      <c r="E586">
        <v>0</v>
      </c>
      <c r="F586">
        <v>0</v>
      </c>
      <c r="G586">
        <v>0.49789000935580902</v>
      </c>
      <c r="H586">
        <v>7</v>
      </c>
      <c r="I586">
        <v>14</v>
      </c>
      <c r="J586">
        <v>5.6772100567721001E-2</v>
      </c>
      <c r="K586">
        <v>8.9722675367047301E-3</v>
      </c>
      <c r="L586">
        <v>4.0199896978952897E-2</v>
      </c>
      <c r="M586">
        <v>8.6580086580086504E-4</v>
      </c>
      <c r="N586">
        <v>9.1774891774891697E-3</v>
      </c>
      <c r="O586">
        <v>593</v>
      </c>
      <c r="P586">
        <v>4.6015712682379299E-2</v>
      </c>
      <c r="Q586">
        <v>4.6179739822574402E-2</v>
      </c>
      <c r="R586">
        <v>0</v>
      </c>
      <c r="S586">
        <v>0</v>
      </c>
      <c r="T586" t="s">
        <v>53</v>
      </c>
      <c r="U586">
        <v>4.6698113207547097E-2</v>
      </c>
      <c r="V586">
        <v>0</v>
      </c>
      <c r="W586">
        <v>0</v>
      </c>
      <c r="X586">
        <v>0.108804903100228</v>
      </c>
      <c r="Y586">
        <v>3.4207615356267401E-2</v>
      </c>
      <c r="Z586">
        <v>3.12804232804232E-2</v>
      </c>
      <c r="AA586">
        <v>0</v>
      </c>
      <c r="AB586">
        <f t="shared" si="63"/>
        <v>3.5745435314309848E-2</v>
      </c>
      <c r="AC586">
        <f t="shared" si="68"/>
        <v>0.1</v>
      </c>
      <c r="AD586">
        <f t="shared" si="64"/>
        <v>0</v>
      </c>
      <c r="AE586">
        <f t="shared" si="69"/>
        <v>3.9319978845740837E-2</v>
      </c>
      <c r="AF586" t="str">
        <f t="shared" si="65"/>
        <v>Very Low</v>
      </c>
      <c r="AG586" t="str">
        <f t="shared" si="66"/>
        <v>NO ACTION</v>
      </c>
      <c r="AH586" t="str">
        <f t="shared" si="67"/>
        <v/>
      </c>
    </row>
    <row r="587" spans="1:34" x14ac:dyDescent="0.3">
      <c r="A587" t="s">
        <v>614</v>
      </c>
      <c r="B587">
        <v>0.12892249527410199</v>
      </c>
      <c r="C587">
        <v>0.36953165208440503</v>
      </c>
      <c r="D587">
        <v>0</v>
      </c>
      <c r="E587">
        <v>0</v>
      </c>
      <c r="F587">
        <v>0</v>
      </c>
      <c r="G587">
        <v>0.99367926339185697</v>
      </c>
      <c r="H587">
        <v>8</v>
      </c>
      <c r="I587">
        <v>8</v>
      </c>
      <c r="J587">
        <v>7.8479080196555501E-2</v>
      </c>
      <c r="K587">
        <v>8.1566068515497494E-3</v>
      </c>
      <c r="L587">
        <v>2.6467700765756899E-2</v>
      </c>
      <c r="M587">
        <v>1.44300144300144E-3</v>
      </c>
      <c r="N587">
        <v>1.1077878350605599E-2</v>
      </c>
      <c r="O587">
        <v>936</v>
      </c>
      <c r="P587">
        <v>6.1903759820426403E-2</v>
      </c>
      <c r="Q587">
        <v>6.2063887233072601E-2</v>
      </c>
      <c r="R587">
        <v>0</v>
      </c>
      <c r="S587">
        <v>0</v>
      </c>
      <c r="T587" t="s">
        <v>53</v>
      </c>
      <c r="U587">
        <v>2.83018867924528E-2</v>
      </c>
      <c r="V587">
        <v>0</v>
      </c>
      <c r="W587">
        <v>0</v>
      </c>
      <c r="X587">
        <v>0</v>
      </c>
      <c r="Y587">
        <v>3.2253029927371203E-2</v>
      </c>
      <c r="Z587">
        <v>4.1573407232498097E-2</v>
      </c>
      <c r="AA587">
        <v>0</v>
      </c>
      <c r="AB587">
        <f t="shared" si="63"/>
        <v>2.0671402404763409E-2</v>
      </c>
      <c r="AC587">
        <f t="shared" si="68"/>
        <v>0.1</v>
      </c>
      <c r="AD587">
        <f t="shared" si="64"/>
        <v>0</v>
      </c>
      <c r="AE587">
        <f t="shared" si="69"/>
        <v>2.2738542645239751E-2</v>
      </c>
      <c r="AF587" t="str">
        <f t="shared" si="65"/>
        <v>Very Low</v>
      </c>
      <c r="AG587" t="str">
        <f t="shared" si="66"/>
        <v>NO ACTION</v>
      </c>
      <c r="AH587" t="str">
        <f t="shared" si="67"/>
        <v/>
      </c>
    </row>
    <row r="588" spans="1:34" x14ac:dyDescent="0.3">
      <c r="A588" t="s">
        <v>615</v>
      </c>
      <c r="B588">
        <v>0.12892249527410199</v>
      </c>
      <c r="C588">
        <v>0.28062983433656202</v>
      </c>
      <c r="D588">
        <v>7.5079446679057096E-2</v>
      </c>
      <c r="E588">
        <v>0</v>
      </c>
      <c r="F588">
        <v>0</v>
      </c>
      <c r="G588">
        <v>0.99365418674305295</v>
      </c>
      <c r="H588">
        <v>7</v>
      </c>
      <c r="I588">
        <v>8</v>
      </c>
      <c r="J588">
        <v>0.123085730642622</v>
      </c>
      <c r="K588">
        <v>3.7520391517128798E-2</v>
      </c>
      <c r="L588">
        <v>7.7713674588818102E-2</v>
      </c>
      <c r="M588">
        <v>3.1746031746031698E-3</v>
      </c>
      <c r="N588">
        <v>1.55561695987227E-2</v>
      </c>
      <c r="O588">
        <v>1061</v>
      </c>
      <c r="P588">
        <v>0.10816498316498301</v>
      </c>
      <c r="Q588">
        <v>0.10831375574178601</v>
      </c>
      <c r="R588">
        <v>0</v>
      </c>
      <c r="S588">
        <v>0</v>
      </c>
      <c r="T588" t="s">
        <v>28</v>
      </c>
      <c r="U588">
        <v>6.5094339622641495E-2</v>
      </c>
      <c r="V588">
        <v>0</v>
      </c>
      <c r="W588">
        <v>0</v>
      </c>
      <c r="X588">
        <v>2.2523834003717099E-2</v>
      </c>
      <c r="Y588">
        <v>6.8140834302550302E-2</v>
      </c>
      <c r="Z588">
        <v>7.1121457738478999E-2</v>
      </c>
      <c r="AA588">
        <v>0</v>
      </c>
      <c r="AB588">
        <f t="shared" si="63"/>
        <v>4.2597255212082949E-2</v>
      </c>
      <c r="AC588">
        <f t="shared" si="68"/>
        <v>0.25</v>
      </c>
      <c r="AD588">
        <f t="shared" si="64"/>
        <v>0</v>
      </c>
      <c r="AE588">
        <f t="shared" si="69"/>
        <v>5.324656901510369E-2</v>
      </c>
      <c r="AF588" t="str">
        <f t="shared" si="65"/>
        <v>Very Low</v>
      </c>
      <c r="AG588" t="str">
        <f t="shared" si="66"/>
        <v>NO ACTION</v>
      </c>
      <c r="AH588" t="str">
        <f t="shared" si="67"/>
        <v/>
      </c>
    </row>
    <row r="589" spans="1:34" x14ac:dyDescent="0.3">
      <c r="A589" t="s">
        <v>616</v>
      </c>
      <c r="B589">
        <v>3.8941398865784398E-2</v>
      </c>
      <c r="C589">
        <v>0.18476582604220201</v>
      </c>
      <c r="D589">
        <v>0</v>
      </c>
      <c r="E589">
        <v>0</v>
      </c>
      <c r="F589">
        <v>0</v>
      </c>
      <c r="G589">
        <v>0.977025332282355</v>
      </c>
      <c r="H589">
        <v>7</v>
      </c>
      <c r="I589">
        <v>7</v>
      </c>
      <c r="J589">
        <v>1.0018605982539E-2</v>
      </c>
      <c r="K589">
        <v>2.4469820554649199E-3</v>
      </c>
      <c r="L589">
        <v>6.0937264553719402E-2</v>
      </c>
      <c r="M589">
        <v>2.88600288600288E-4</v>
      </c>
      <c r="N589">
        <v>1.700325514279E-2</v>
      </c>
      <c r="O589">
        <v>137</v>
      </c>
      <c r="P589">
        <v>8.5578002244668903E-3</v>
      </c>
      <c r="Q589">
        <v>8.7310214243136106E-3</v>
      </c>
      <c r="R589">
        <v>0</v>
      </c>
      <c r="S589">
        <v>0</v>
      </c>
      <c r="T589" t="s">
        <v>53</v>
      </c>
      <c r="U589">
        <v>2.54716981132075E-2</v>
      </c>
      <c r="V589">
        <v>0</v>
      </c>
      <c r="W589">
        <v>0</v>
      </c>
      <c r="X589">
        <v>0</v>
      </c>
      <c r="Y589">
        <v>3.7573330016204498E-2</v>
      </c>
      <c r="Z589">
        <v>1.1935982191796099E-2</v>
      </c>
      <c r="AA589">
        <v>0</v>
      </c>
      <c r="AB589">
        <f t="shared" si="63"/>
        <v>1.3862607418240169E-2</v>
      </c>
      <c r="AC589">
        <f t="shared" si="68"/>
        <v>0.1</v>
      </c>
      <c r="AD589">
        <f t="shared" si="64"/>
        <v>0</v>
      </c>
      <c r="AE589">
        <f t="shared" si="69"/>
        <v>1.5248868160064186E-2</v>
      </c>
      <c r="AF589" t="str">
        <f t="shared" si="65"/>
        <v>Very Low</v>
      </c>
      <c r="AG589" t="str">
        <f t="shared" si="66"/>
        <v>NO ACTION</v>
      </c>
      <c r="AH589" t="str">
        <f t="shared" si="67"/>
        <v/>
      </c>
    </row>
    <row r="590" spans="1:34" x14ac:dyDescent="0.3">
      <c r="A590" t="s">
        <v>617</v>
      </c>
      <c r="B590">
        <v>0.12892249527410199</v>
      </c>
      <c r="C590">
        <v>0.18476582604220201</v>
      </c>
      <c r="D590">
        <v>0</v>
      </c>
      <c r="E590">
        <v>0</v>
      </c>
      <c r="F590">
        <v>0</v>
      </c>
      <c r="G590">
        <v>0.99366845126153003</v>
      </c>
      <c r="H590">
        <v>7</v>
      </c>
      <c r="I590">
        <v>7</v>
      </c>
      <c r="J590">
        <v>9.5987786842230804E-2</v>
      </c>
      <c r="K590">
        <v>9.7879282218597003E-3</v>
      </c>
      <c r="L590">
        <v>2.59821752683186E-2</v>
      </c>
      <c r="M590">
        <v>2.0202020202020202E-3</v>
      </c>
      <c r="N590">
        <v>1.26871090678725E-2</v>
      </c>
      <c r="O590">
        <v>357</v>
      </c>
      <c r="P590">
        <v>7.5757575757575704E-2</v>
      </c>
      <c r="Q590">
        <v>7.5914302745537995E-2</v>
      </c>
      <c r="R590">
        <v>0</v>
      </c>
      <c r="S590">
        <v>0</v>
      </c>
      <c r="T590" t="s">
        <v>28</v>
      </c>
      <c r="U590">
        <v>2.54716981132075E-2</v>
      </c>
      <c r="V590">
        <v>0</v>
      </c>
      <c r="W590">
        <v>0</v>
      </c>
      <c r="X590">
        <v>0</v>
      </c>
      <c r="Y590">
        <v>3.5994777722967199E-2</v>
      </c>
      <c r="Z590">
        <v>5.0529389081694402E-2</v>
      </c>
      <c r="AA590">
        <v>0</v>
      </c>
      <c r="AB590">
        <f t="shared" si="63"/>
        <v>2.4226766705305249E-2</v>
      </c>
      <c r="AC590">
        <f t="shared" si="68"/>
        <v>0.25</v>
      </c>
      <c r="AD590">
        <f t="shared" si="64"/>
        <v>0</v>
      </c>
      <c r="AE590">
        <f t="shared" si="69"/>
        <v>3.0283458381631559E-2</v>
      </c>
      <c r="AF590" t="str">
        <f t="shared" si="65"/>
        <v>Very Low</v>
      </c>
      <c r="AG590" t="str">
        <f t="shared" si="66"/>
        <v>NO ACTION</v>
      </c>
      <c r="AH590" t="str">
        <f t="shared" si="67"/>
        <v/>
      </c>
    </row>
    <row r="591" spans="1:34" x14ac:dyDescent="0.3">
      <c r="A591" t="s">
        <v>618</v>
      </c>
      <c r="B591">
        <v>0.12892249527410199</v>
      </c>
      <c r="C591">
        <v>0.36953165208440503</v>
      </c>
      <c r="D591">
        <v>0</v>
      </c>
      <c r="E591">
        <v>0</v>
      </c>
      <c r="F591">
        <v>0</v>
      </c>
      <c r="G591">
        <v>0.99367139515840097</v>
      </c>
      <c r="H591">
        <v>8</v>
      </c>
      <c r="I591">
        <v>8</v>
      </c>
      <c r="J591">
        <v>8.4776489671294294E-2</v>
      </c>
      <c r="K591">
        <v>9.7879282218597003E-3</v>
      </c>
      <c r="L591">
        <v>2.9408556406396499E-2</v>
      </c>
      <c r="M591">
        <v>2.59740259740259E-3</v>
      </c>
      <c r="N591">
        <v>1.84631305843427E-2</v>
      </c>
      <c r="O591">
        <v>441</v>
      </c>
      <c r="P591">
        <v>6.7796015712682303E-2</v>
      </c>
      <c r="Q591">
        <v>6.7954696868754105E-2</v>
      </c>
      <c r="R591">
        <v>0</v>
      </c>
      <c r="S591">
        <v>0</v>
      </c>
      <c r="T591" t="s">
        <v>53</v>
      </c>
      <c r="U591">
        <v>2.0377358490565999E-2</v>
      </c>
      <c r="V591">
        <v>0</v>
      </c>
      <c r="W591">
        <v>0</v>
      </c>
      <c r="X591">
        <v>0</v>
      </c>
      <c r="Y591">
        <v>3.7198515312759903E-2</v>
      </c>
      <c r="Z591">
        <v>4.8062861661346497E-2</v>
      </c>
      <c r="AA591">
        <v>0</v>
      </c>
      <c r="AB591">
        <f t="shared" si="63"/>
        <v>2.3873185552749795E-2</v>
      </c>
      <c r="AC591">
        <f t="shared" si="68"/>
        <v>0.1</v>
      </c>
      <c r="AD591">
        <f t="shared" si="64"/>
        <v>0</v>
      </c>
      <c r="AE591">
        <f t="shared" si="69"/>
        <v>2.6260504108024777E-2</v>
      </c>
      <c r="AF591" t="str">
        <f t="shared" si="65"/>
        <v>Very Low</v>
      </c>
      <c r="AG591" t="str">
        <f t="shared" si="66"/>
        <v>NO ACTION</v>
      </c>
      <c r="AH591" t="str">
        <f t="shared" si="67"/>
        <v/>
      </c>
    </row>
    <row r="592" spans="1:34" x14ac:dyDescent="0.3">
      <c r="A592" t="s">
        <v>619</v>
      </c>
      <c r="B592">
        <v>0.12892249527410199</v>
      </c>
      <c r="C592">
        <v>0.36953165208440503</v>
      </c>
      <c r="D592">
        <v>0</v>
      </c>
      <c r="E592">
        <v>0</v>
      </c>
      <c r="F592">
        <v>0</v>
      </c>
      <c r="G592">
        <v>0.99366291138287199</v>
      </c>
      <c r="H592">
        <v>8</v>
      </c>
      <c r="I592">
        <v>8</v>
      </c>
      <c r="J592">
        <v>8.4871904966366096E-2</v>
      </c>
      <c r="K592">
        <v>1.38662316476345E-2</v>
      </c>
      <c r="L592">
        <v>4.1615415161405898E-2</v>
      </c>
      <c r="M592">
        <v>4.6176046176046098E-3</v>
      </c>
      <c r="N592">
        <v>3.2786545791029999E-2</v>
      </c>
      <c r="O592">
        <v>901</v>
      </c>
      <c r="P592">
        <v>7.0601851851851805E-2</v>
      </c>
      <c r="Q592">
        <v>7.07598443143167E-2</v>
      </c>
      <c r="R592">
        <v>0</v>
      </c>
      <c r="S592">
        <v>0</v>
      </c>
      <c r="T592" t="s">
        <v>53</v>
      </c>
      <c r="U592">
        <v>1.6981132075471601E-2</v>
      </c>
      <c r="V592">
        <v>0</v>
      </c>
      <c r="W592">
        <v>0</v>
      </c>
      <c r="X592">
        <v>0</v>
      </c>
      <c r="Y592">
        <v>4.76180523112852E-2</v>
      </c>
      <c r="Z592">
        <v>5.5475729427523102E-2</v>
      </c>
      <c r="AA592">
        <v>0</v>
      </c>
      <c r="AB592">
        <f t="shared" si="63"/>
        <v>2.8866258886866329E-2</v>
      </c>
      <c r="AC592">
        <f t="shared" si="68"/>
        <v>0.1</v>
      </c>
      <c r="AD592">
        <f t="shared" si="64"/>
        <v>0</v>
      </c>
      <c r="AE592">
        <f t="shared" si="69"/>
        <v>3.1752884775552964E-2</v>
      </c>
      <c r="AF592" t="str">
        <f t="shared" si="65"/>
        <v>Very Low</v>
      </c>
      <c r="AG592" t="str">
        <f t="shared" si="66"/>
        <v>NO ACTION</v>
      </c>
      <c r="AH592" t="str">
        <f t="shared" si="67"/>
        <v/>
      </c>
    </row>
    <row r="593" spans="1:34" x14ac:dyDescent="0.3">
      <c r="A593" t="s">
        <v>620</v>
      </c>
      <c r="B593">
        <v>0.25973534971644602</v>
      </c>
      <c r="C593">
        <v>0.76072181633873603</v>
      </c>
      <c r="D593">
        <v>0.34545954394436101</v>
      </c>
      <c r="E593">
        <v>0</v>
      </c>
      <c r="F593">
        <v>0</v>
      </c>
      <c r="G593">
        <v>0.42114833213833902</v>
      </c>
      <c r="H593">
        <v>8</v>
      </c>
      <c r="I593">
        <v>15</v>
      </c>
      <c r="J593">
        <v>6.8126520681265207E-2</v>
      </c>
      <c r="K593">
        <v>1.6313213703099501E-3</v>
      </c>
      <c r="L593">
        <v>6.09514393070466E-3</v>
      </c>
      <c r="M593">
        <v>2.0202020202020202E-3</v>
      </c>
      <c r="N593">
        <v>1.78575708233768E-2</v>
      </c>
      <c r="O593">
        <v>278</v>
      </c>
      <c r="P593">
        <v>5.1767676767676699E-2</v>
      </c>
      <c r="Q593">
        <v>5.19302920859777E-2</v>
      </c>
      <c r="R593">
        <v>0.69174041297935096</v>
      </c>
      <c r="S593">
        <v>1</v>
      </c>
      <c r="T593" t="s">
        <v>53</v>
      </c>
      <c r="U593">
        <v>4.2452830188679201E-3</v>
      </c>
      <c r="V593">
        <v>0</v>
      </c>
      <c r="W593">
        <v>0</v>
      </c>
      <c r="X593">
        <v>0.103637863183308</v>
      </c>
      <c r="Y593">
        <v>2.2030147348618401E-2</v>
      </c>
      <c r="Z593">
        <v>3.8203634389956699E-2</v>
      </c>
      <c r="AA593">
        <v>0.69174041297935096</v>
      </c>
      <c r="AB593">
        <f t="shared" si="63"/>
        <v>0.22713483263034862</v>
      </c>
      <c r="AC593">
        <f t="shared" si="68"/>
        <v>0.1</v>
      </c>
      <c r="AD593">
        <f t="shared" si="64"/>
        <v>0</v>
      </c>
      <c r="AE593">
        <f t="shared" si="69"/>
        <v>0.24984831589338349</v>
      </c>
      <c r="AF593" t="str">
        <f t="shared" si="65"/>
        <v>Low</v>
      </c>
      <c r="AG593" t="str">
        <f t="shared" si="66"/>
        <v>NO ACTION</v>
      </c>
      <c r="AH593" t="str">
        <f t="shared" si="67"/>
        <v/>
      </c>
    </row>
    <row r="594" spans="1:34" x14ac:dyDescent="0.3">
      <c r="A594" t="s">
        <v>621</v>
      </c>
      <c r="B594">
        <v>0.229489603024574</v>
      </c>
      <c r="C594">
        <v>0.75176406471508295</v>
      </c>
      <c r="D594">
        <v>0.361623672602914</v>
      </c>
      <c r="E594">
        <v>0</v>
      </c>
      <c r="F594">
        <v>0</v>
      </c>
      <c r="G594">
        <v>0.49579106285909702</v>
      </c>
      <c r="H594">
        <v>8</v>
      </c>
      <c r="I594">
        <v>14</v>
      </c>
      <c r="J594">
        <v>9.9661275702495097E-2</v>
      </c>
      <c r="K594">
        <v>3.2626427406199001E-3</v>
      </c>
      <c r="L594">
        <v>8.3422552556826901E-3</v>
      </c>
      <c r="M594">
        <v>1.44300144300144E-3</v>
      </c>
      <c r="N594">
        <v>8.7289872390158892E-3</v>
      </c>
      <c r="O594">
        <v>356</v>
      </c>
      <c r="P594">
        <v>7.53717732884399E-2</v>
      </c>
      <c r="Q594">
        <v>7.5528594971773194E-2</v>
      </c>
      <c r="R594">
        <v>0</v>
      </c>
      <c r="S594">
        <v>0</v>
      </c>
      <c r="T594" t="s">
        <v>28</v>
      </c>
      <c r="U594">
        <v>1.13207547169811E-2</v>
      </c>
      <c r="V594">
        <v>0</v>
      </c>
      <c r="W594">
        <v>0</v>
      </c>
      <c r="X594">
        <v>0.10848710178087401</v>
      </c>
      <c r="Y594">
        <v>2.6722078940045101E-2</v>
      </c>
      <c r="Z594">
        <v>4.8714658868670303E-2</v>
      </c>
      <c r="AA594">
        <v>0</v>
      </c>
      <c r="AB594">
        <f t="shared" si="63"/>
        <v>3.8480222871380157E-2</v>
      </c>
      <c r="AC594">
        <f t="shared" si="68"/>
        <v>0.25</v>
      </c>
      <c r="AD594">
        <f t="shared" si="64"/>
        <v>0</v>
      </c>
      <c r="AE594">
        <f t="shared" si="69"/>
        <v>4.8100278589225193E-2</v>
      </c>
      <c r="AF594" t="str">
        <f t="shared" si="65"/>
        <v>Very Low</v>
      </c>
      <c r="AG594" t="str">
        <f t="shared" si="66"/>
        <v>NO ACTION</v>
      </c>
      <c r="AH594" t="str">
        <f t="shared" si="67"/>
        <v/>
      </c>
    </row>
    <row r="595" spans="1:34" x14ac:dyDescent="0.3">
      <c r="A595" t="s">
        <v>622</v>
      </c>
      <c r="B595">
        <v>0.277126654064272</v>
      </c>
      <c r="C595">
        <v>0.70872861631113504</v>
      </c>
      <c r="D595">
        <v>0.37483914519091899</v>
      </c>
      <c r="E595">
        <v>0</v>
      </c>
      <c r="F595">
        <v>0</v>
      </c>
      <c r="G595">
        <v>0.385457652695674</v>
      </c>
      <c r="H595">
        <v>7</v>
      </c>
      <c r="I595">
        <v>16</v>
      </c>
      <c r="J595">
        <v>8.9642669719956103E-2</v>
      </c>
      <c r="K595">
        <v>8.9722675367047301E-3</v>
      </c>
      <c r="L595">
        <v>2.5498342298221201E-2</v>
      </c>
      <c r="M595">
        <v>2.59740259740259E-3</v>
      </c>
      <c r="N595">
        <v>1.74635343425152E-2</v>
      </c>
      <c r="O595">
        <v>965</v>
      </c>
      <c r="P595">
        <v>7.1022727272727196E-2</v>
      </c>
      <c r="Q595">
        <v>7.1180616431151103E-2</v>
      </c>
      <c r="R595">
        <v>0.474926253687315</v>
      </c>
      <c r="S595">
        <v>1</v>
      </c>
      <c r="T595" t="s">
        <v>53</v>
      </c>
      <c r="U595">
        <v>1.86792452830188E-2</v>
      </c>
      <c r="V595">
        <v>0</v>
      </c>
      <c r="W595">
        <v>0</v>
      </c>
      <c r="X595">
        <v>0.112451743557275</v>
      </c>
      <c r="Y595">
        <v>3.59167653958564E-2</v>
      </c>
      <c r="Z595">
        <v>4.9599050100642403E-2</v>
      </c>
      <c r="AA595">
        <v>0.474926253687315</v>
      </c>
      <c r="AB595">
        <f t="shared" si="63"/>
        <v>0.17491605834063187</v>
      </c>
      <c r="AC595">
        <f t="shared" si="68"/>
        <v>0.1</v>
      </c>
      <c r="AD595">
        <f t="shared" si="64"/>
        <v>0</v>
      </c>
      <c r="AE595">
        <f t="shared" si="69"/>
        <v>0.19240766417469507</v>
      </c>
      <c r="AF595" t="str">
        <f t="shared" si="65"/>
        <v>Very Low</v>
      </c>
      <c r="AG595" t="str">
        <f t="shared" si="66"/>
        <v>NO ACTION</v>
      </c>
      <c r="AH595" t="str">
        <f t="shared" si="67"/>
        <v/>
      </c>
    </row>
    <row r="596" spans="1:34" x14ac:dyDescent="0.3">
      <c r="A596" t="s">
        <v>623</v>
      </c>
      <c r="B596">
        <v>0.12892249527410199</v>
      </c>
      <c r="C596">
        <v>0.36953165208440503</v>
      </c>
      <c r="D596">
        <v>0</v>
      </c>
      <c r="E596">
        <v>0</v>
      </c>
      <c r="F596">
        <v>0</v>
      </c>
      <c r="G596">
        <v>0.99368284959349995</v>
      </c>
      <c r="H596">
        <v>8</v>
      </c>
      <c r="I596">
        <v>8</v>
      </c>
      <c r="J596">
        <v>8.4013167310719894E-2</v>
      </c>
      <c r="K596">
        <v>8.1566068515497503E-4</v>
      </c>
      <c r="L596">
        <v>2.4729165494620001E-3</v>
      </c>
      <c r="M596">
        <v>2.88600288600288E-4</v>
      </c>
      <c r="N596">
        <v>2.0700452184030799E-3</v>
      </c>
      <c r="O596">
        <v>311</v>
      </c>
      <c r="P596">
        <v>6.2254489337822599E-2</v>
      </c>
      <c r="Q596">
        <v>6.2414530663768002E-2</v>
      </c>
      <c r="R596">
        <v>0</v>
      </c>
      <c r="S596">
        <v>0</v>
      </c>
      <c r="T596" t="s">
        <v>53</v>
      </c>
      <c r="U596">
        <v>8.4905660377358402E-3</v>
      </c>
      <c r="V596">
        <v>0</v>
      </c>
      <c r="W596">
        <v>0</v>
      </c>
      <c r="X596">
        <v>0</v>
      </c>
      <c r="Y596">
        <v>1.86601053023959E-2</v>
      </c>
      <c r="Z596">
        <v>3.8180711690054797E-2</v>
      </c>
      <c r="AA596">
        <v>0</v>
      </c>
      <c r="AB596">
        <f t="shared" si="63"/>
        <v>1.5915428757886197E-2</v>
      </c>
      <c r="AC596">
        <f t="shared" si="68"/>
        <v>0.1</v>
      </c>
      <c r="AD596">
        <f t="shared" si="64"/>
        <v>0</v>
      </c>
      <c r="AE596">
        <f t="shared" si="69"/>
        <v>1.7506971633674817E-2</v>
      </c>
      <c r="AF596" t="str">
        <f t="shared" si="65"/>
        <v>Very Low</v>
      </c>
      <c r="AG596" t="str">
        <f t="shared" si="66"/>
        <v>NO ACTION</v>
      </c>
      <c r="AH596" t="str">
        <f t="shared" si="67"/>
        <v/>
      </c>
    </row>
    <row r="597" spans="1:34" x14ac:dyDescent="0.3">
      <c r="A597" t="s">
        <v>624</v>
      </c>
      <c r="B597">
        <v>0.12892249527410199</v>
      </c>
      <c r="C597">
        <v>0</v>
      </c>
      <c r="D597">
        <v>0</v>
      </c>
      <c r="E597">
        <v>0</v>
      </c>
      <c r="F597">
        <v>1</v>
      </c>
      <c r="G597">
        <v>0.99368201994983596</v>
      </c>
      <c r="H597">
        <v>6</v>
      </c>
      <c r="I597">
        <v>6</v>
      </c>
      <c r="J597">
        <v>7.07027336482038E-2</v>
      </c>
      <c r="K597">
        <v>1.4681892332789499E-2</v>
      </c>
      <c r="L597">
        <v>5.2864203950435798E-2</v>
      </c>
      <c r="M597">
        <v>2.0202020202020202E-3</v>
      </c>
      <c r="N597">
        <v>1.7209078002621999E-2</v>
      </c>
      <c r="O597">
        <v>796</v>
      </c>
      <c r="P597">
        <v>5.92732884399551E-2</v>
      </c>
      <c r="Q597">
        <v>5.9434061502857703E-2</v>
      </c>
      <c r="R597">
        <v>0</v>
      </c>
      <c r="S597">
        <v>0</v>
      </c>
      <c r="T597" t="s">
        <v>53</v>
      </c>
      <c r="U597">
        <v>3.8207547169811298E-2</v>
      </c>
      <c r="V597">
        <v>0</v>
      </c>
      <c r="W597">
        <v>0</v>
      </c>
      <c r="X597">
        <v>0.4</v>
      </c>
      <c r="Y597">
        <v>4.5735372105645197E-2</v>
      </c>
      <c r="Z597">
        <v>4.2447604265021803E-2</v>
      </c>
      <c r="AA597">
        <v>0</v>
      </c>
      <c r="AB597">
        <f t="shared" si="63"/>
        <v>8.8691233383786774E-2</v>
      </c>
      <c r="AC597">
        <f t="shared" si="68"/>
        <v>0.1</v>
      </c>
      <c r="AD597">
        <f t="shared" si="64"/>
        <v>0.08</v>
      </c>
      <c r="AE597">
        <f t="shared" si="69"/>
        <v>0.1046556553928684</v>
      </c>
      <c r="AF597" t="str">
        <f t="shared" si="65"/>
        <v>Very Low</v>
      </c>
      <c r="AG597" t="str">
        <f t="shared" si="66"/>
        <v>NO ACTION</v>
      </c>
      <c r="AH597" t="str">
        <f t="shared" si="67"/>
        <v/>
      </c>
    </row>
    <row r="598" spans="1:34" x14ac:dyDescent="0.3">
      <c r="A598" t="s">
        <v>625</v>
      </c>
      <c r="B598">
        <v>0.12892249527410199</v>
      </c>
      <c r="C598">
        <v>0.55429747812660801</v>
      </c>
      <c r="D598">
        <v>0</v>
      </c>
      <c r="E598">
        <v>0</v>
      </c>
      <c r="F598">
        <v>0</v>
      </c>
      <c r="G598">
        <v>0.99368268901730705</v>
      </c>
      <c r="H598">
        <v>9</v>
      </c>
      <c r="I598">
        <v>9</v>
      </c>
      <c r="J598">
        <v>0.114927722913983</v>
      </c>
      <c r="K598">
        <v>9.7879282218597003E-3</v>
      </c>
      <c r="L598">
        <v>2.1709216038193299E-2</v>
      </c>
      <c r="M598">
        <v>3.1746031746031698E-3</v>
      </c>
      <c r="N598">
        <v>1.6658118646519601E-2</v>
      </c>
      <c r="O598">
        <v>1008</v>
      </c>
      <c r="P598">
        <v>9.0242704826038106E-2</v>
      </c>
      <c r="Q598">
        <v>9.0395876433255001E-2</v>
      </c>
      <c r="R598">
        <v>0</v>
      </c>
      <c r="S598">
        <v>0</v>
      </c>
      <c r="T598" t="s">
        <v>28</v>
      </c>
      <c r="U598">
        <v>1.6981132075471601E-2</v>
      </c>
      <c r="V598">
        <v>0</v>
      </c>
      <c r="W598">
        <v>0</v>
      </c>
      <c r="X598">
        <v>0</v>
      </c>
      <c r="Y598">
        <v>3.88375881958491E-2</v>
      </c>
      <c r="Z598">
        <v>6.0808870354230701E-2</v>
      </c>
      <c r="AA598">
        <v>0</v>
      </c>
      <c r="AB598">
        <f t="shared" si="63"/>
        <v>2.7901008394022347E-2</v>
      </c>
      <c r="AC598">
        <f t="shared" si="68"/>
        <v>0.25</v>
      </c>
      <c r="AD598">
        <f t="shared" si="64"/>
        <v>0</v>
      </c>
      <c r="AE598">
        <f t="shared" si="69"/>
        <v>3.4876260492527934E-2</v>
      </c>
      <c r="AF598" t="str">
        <f t="shared" si="65"/>
        <v>Very Low</v>
      </c>
      <c r="AG598" t="str">
        <f t="shared" si="66"/>
        <v>NO ACTION</v>
      </c>
      <c r="AH598" t="str">
        <f t="shared" si="67"/>
        <v/>
      </c>
    </row>
    <row r="599" spans="1:34" x14ac:dyDescent="0.3">
      <c r="A599" t="s">
        <v>626</v>
      </c>
      <c r="B599">
        <v>0.272589792060491</v>
      </c>
      <c r="C599">
        <v>0.71536230855236205</v>
      </c>
      <c r="D599">
        <v>0.38030886025838201</v>
      </c>
      <c r="E599">
        <v>0</v>
      </c>
      <c r="F599">
        <v>0</v>
      </c>
      <c r="G599">
        <v>0.394413740160376</v>
      </c>
      <c r="H599">
        <v>7</v>
      </c>
      <c r="I599">
        <v>16</v>
      </c>
      <c r="J599">
        <v>9.0501407375602305E-2</v>
      </c>
      <c r="K599">
        <v>8.9722675367047301E-3</v>
      </c>
      <c r="L599">
        <v>2.5257033065114998E-2</v>
      </c>
      <c r="M599">
        <v>2.59740259740259E-3</v>
      </c>
      <c r="N599">
        <v>1.72982643014188E-2</v>
      </c>
      <c r="O599">
        <v>1001</v>
      </c>
      <c r="P599">
        <v>7.1654040404040401E-2</v>
      </c>
      <c r="Q599">
        <v>7.1811774606402701E-2</v>
      </c>
      <c r="R599">
        <v>0.66519174041297902</v>
      </c>
      <c r="S599">
        <v>1</v>
      </c>
      <c r="T599" t="s">
        <v>53</v>
      </c>
      <c r="U599">
        <v>1.86792452830188E-2</v>
      </c>
      <c r="V599">
        <v>0</v>
      </c>
      <c r="W599">
        <v>0</v>
      </c>
      <c r="X599">
        <v>0.11409265807751399</v>
      </c>
      <c r="Y599">
        <v>3.5918277298103603E-2</v>
      </c>
      <c r="Z599">
        <v>4.9911729962991799E-2</v>
      </c>
      <c r="AA599">
        <v>0.66519174041297902</v>
      </c>
      <c r="AB599">
        <f t="shared" si="63"/>
        <v>0.22854091464114307</v>
      </c>
      <c r="AC599">
        <f t="shared" si="68"/>
        <v>0.1</v>
      </c>
      <c r="AD599">
        <f t="shared" si="64"/>
        <v>0</v>
      </c>
      <c r="AE599">
        <f t="shared" si="69"/>
        <v>0.25139500610525739</v>
      </c>
      <c r="AF599" t="str">
        <f t="shared" si="65"/>
        <v>Low</v>
      </c>
      <c r="AG599" t="str">
        <f t="shared" si="66"/>
        <v>NO ACTION</v>
      </c>
      <c r="AH599" t="str">
        <f t="shared" si="67"/>
        <v/>
      </c>
    </row>
    <row r="600" spans="1:34" x14ac:dyDescent="0.3">
      <c r="A600" t="s">
        <v>627</v>
      </c>
      <c r="B600">
        <v>0.12892249527410199</v>
      </c>
      <c r="C600">
        <v>0.28277204681241402</v>
      </c>
      <c r="D600">
        <v>7.4993488433305694E-2</v>
      </c>
      <c r="E600">
        <v>0</v>
      </c>
      <c r="F600">
        <v>0</v>
      </c>
      <c r="G600">
        <v>0.99368317074588597</v>
      </c>
      <c r="H600">
        <v>7</v>
      </c>
      <c r="I600">
        <v>8</v>
      </c>
      <c r="J600">
        <v>0.122942607700014</v>
      </c>
      <c r="K600">
        <v>1.9575856443719401E-2</v>
      </c>
      <c r="L600">
        <v>4.0593375303019902E-2</v>
      </c>
      <c r="M600">
        <v>1.1544011544011501E-3</v>
      </c>
      <c r="N600">
        <v>5.66336151154121E-3</v>
      </c>
      <c r="O600">
        <v>1134</v>
      </c>
      <c r="P600">
        <v>9.9361672278338906E-2</v>
      </c>
      <c r="Q600">
        <v>9.9512605631333503E-2</v>
      </c>
      <c r="R600">
        <v>0</v>
      </c>
      <c r="S600">
        <v>0</v>
      </c>
      <c r="T600" t="s">
        <v>28</v>
      </c>
      <c r="U600">
        <v>8.1509433962264094E-2</v>
      </c>
      <c r="V600">
        <v>0</v>
      </c>
      <c r="W600">
        <v>0</v>
      </c>
      <c r="X600">
        <v>2.2498046529991701E-2</v>
      </c>
      <c r="Y600">
        <v>4.6584217644975098E-2</v>
      </c>
      <c r="Z600">
        <v>6.1882347971619803E-2</v>
      </c>
      <c r="AA600">
        <v>0</v>
      </c>
      <c r="AB600">
        <f t="shared" si="63"/>
        <v>3.3970325817445246E-2</v>
      </c>
      <c r="AC600">
        <f t="shared" si="68"/>
        <v>0.25</v>
      </c>
      <c r="AD600">
        <f t="shared" si="64"/>
        <v>0</v>
      </c>
      <c r="AE600">
        <f t="shared" si="69"/>
        <v>4.2462907271806558E-2</v>
      </c>
      <c r="AF600" t="str">
        <f t="shared" si="65"/>
        <v>Very Low</v>
      </c>
      <c r="AG600" t="str">
        <f t="shared" si="66"/>
        <v>NO ACTION</v>
      </c>
      <c r="AH600" t="str">
        <f t="shared" si="67"/>
        <v/>
      </c>
    </row>
    <row r="601" spans="1:34" x14ac:dyDescent="0.3">
      <c r="A601" t="s">
        <v>628</v>
      </c>
      <c r="B601">
        <v>0.12892249527410199</v>
      </c>
      <c r="C601">
        <v>0.36953165208440503</v>
      </c>
      <c r="D601">
        <v>0</v>
      </c>
      <c r="E601">
        <v>0</v>
      </c>
      <c r="F601">
        <v>0</v>
      </c>
      <c r="G601">
        <v>0.99365086816839898</v>
      </c>
      <c r="H601">
        <v>8</v>
      </c>
      <c r="I601">
        <v>8</v>
      </c>
      <c r="J601">
        <v>8.4060874958255802E-2</v>
      </c>
      <c r="K601">
        <v>1.38662316476345E-2</v>
      </c>
      <c r="L601">
        <v>4.2015789840378098E-2</v>
      </c>
      <c r="M601">
        <v>2.59740259740259E-3</v>
      </c>
      <c r="N601">
        <v>1.8619863441595101E-2</v>
      </c>
      <c r="O601">
        <v>921</v>
      </c>
      <c r="P601">
        <v>6.9023569023569001E-2</v>
      </c>
      <c r="Q601">
        <v>6.9181948876187796E-2</v>
      </c>
      <c r="R601">
        <v>0</v>
      </c>
      <c r="S601">
        <v>0</v>
      </c>
      <c r="T601" t="s">
        <v>53</v>
      </c>
      <c r="U601">
        <v>2.8867924528301801E-2</v>
      </c>
      <c r="V601">
        <v>0</v>
      </c>
      <c r="W601">
        <v>0</v>
      </c>
      <c r="X601">
        <v>0</v>
      </c>
      <c r="Y601">
        <v>4.3406028944318699E-2</v>
      </c>
      <c r="Z601">
        <v>4.8862086790779399E-2</v>
      </c>
      <c r="AA601">
        <v>0</v>
      </c>
      <c r="AB601">
        <f t="shared" si="63"/>
        <v>2.5835072405827469E-2</v>
      </c>
      <c r="AC601">
        <f t="shared" si="68"/>
        <v>0.1</v>
      </c>
      <c r="AD601">
        <f t="shared" si="64"/>
        <v>0</v>
      </c>
      <c r="AE601">
        <f t="shared" si="69"/>
        <v>2.841857964641022E-2</v>
      </c>
      <c r="AF601" t="str">
        <f t="shared" si="65"/>
        <v>Very Low</v>
      </c>
      <c r="AG601" t="str">
        <f t="shared" si="66"/>
        <v>NO ACTION</v>
      </c>
      <c r="AH601" t="str">
        <f t="shared" si="67"/>
        <v/>
      </c>
    </row>
    <row r="602" spans="1:34" x14ac:dyDescent="0.3">
      <c r="A602" t="s">
        <v>629</v>
      </c>
      <c r="B602">
        <v>0.14858223062381801</v>
      </c>
      <c r="C602">
        <v>0.37837434904864198</v>
      </c>
      <c r="D602">
        <v>0.25077084660552101</v>
      </c>
      <c r="E602">
        <v>0</v>
      </c>
      <c r="F602">
        <v>0</v>
      </c>
      <c r="G602">
        <v>0.84367555807307704</v>
      </c>
      <c r="H602">
        <v>7</v>
      </c>
      <c r="I602">
        <v>15</v>
      </c>
      <c r="J602">
        <v>7.9099279614522205E-2</v>
      </c>
      <c r="K602">
        <v>1.1419249592169599E-2</v>
      </c>
      <c r="L602">
        <v>3.6765116517677901E-2</v>
      </c>
      <c r="M602">
        <v>2.59740259740259E-3</v>
      </c>
      <c r="N602">
        <v>1.97843046910996E-2</v>
      </c>
      <c r="O602">
        <v>908</v>
      </c>
      <c r="P602">
        <v>6.4323793490460093E-2</v>
      </c>
      <c r="Q602">
        <v>6.4483326904870394E-2</v>
      </c>
      <c r="R602">
        <v>0.20058997050147401</v>
      </c>
      <c r="S602">
        <v>1</v>
      </c>
      <c r="T602" t="s">
        <v>53</v>
      </c>
      <c r="U602">
        <v>2.3773584905660301E-2</v>
      </c>
      <c r="V602">
        <v>0</v>
      </c>
      <c r="W602">
        <v>0</v>
      </c>
      <c r="X602">
        <v>7.5231253981656296E-2</v>
      </c>
      <c r="Y602">
        <v>4.01377055890733E-2</v>
      </c>
      <c r="Z602">
        <v>4.6507997970715899E-2</v>
      </c>
      <c r="AA602">
        <v>0.20058997050147401</v>
      </c>
      <c r="AB602">
        <f t="shared" si="63"/>
        <v>9.2462989374218707E-2</v>
      </c>
      <c r="AC602">
        <f t="shared" si="68"/>
        <v>0.1</v>
      </c>
      <c r="AD602">
        <f t="shared" si="64"/>
        <v>0</v>
      </c>
      <c r="AE602">
        <f t="shared" si="69"/>
        <v>0.10170928831164058</v>
      </c>
      <c r="AF602" t="str">
        <f t="shared" si="65"/>
        <v>Very Low</v>
      </c>
      <c r="AG602" t="str">
        <f t="shared" si="66"/>
        <v>NO ACTION</v>
      </c>
      <c r="AH602" t="str">
        <f t="shared" si="67"/>
        <v/>
      </c>
    </row>
    <row r="603" spans="1:34" x14ac:dyDescent="0.3">
      <c r="A603" t="s">
        <v>630</v>
      </c>
      <c r="B603">
        <v>0.13837429111531099</v>
      </c>
      <c r="C603">
        <v>0.41047975407213699</v>
      </c>
      <c r="D603">
        <v>0.14399421599703799</v>
      </c>
      <c r="E603">
        <v>0</v>
      </c>
      <c r="F603">
        <v>0</v>
      </c>
      <c r="G603">
        <v>0.91629281141937502</v>
      </c>
      <c r="H603">
        <v>8</v>
      </c>
      <c r="I603">
        <v>15</v>
      </c>
      <c r="J603">
        <v>8.2820476122322406E-2</v>
      </c>
      <c r="K603">
        <v>1.7944535073409401E-2</v>
      </c>
      <c r="L603">
        <v>5.51853841353806E-2</v>
      </c>
      <c r="M603">
        <v>5.7720057720057703E-3</v>
      </c>
      <c r="N603">
        <v>4.1995403282020102E-2</v>
      </c>
      <c r="O603">
        <v>859</v>
      </c>
      <c r="P603">
        <v>7.1408529741863E-2</v>
      </c>
      <c r="Q603">
        <v>7.1566324204916001E-2</v>
      </c>
      <c r="R603">
        <v>0.38790560471976399</v>
      </c>
      <c r="S603">
        <v>1</v>
      </c>
      <c r="T603" t="s">
        <v>53</v>
      </c>
      <c r="U603">
        <v>1.77897574123989E-2</v>
      </c>
      <c r="V603">
        <v>0</v>
      </c>
      <c r="W603">
        <v>0</v>
      </c>
      <c r="X603">
        <v>4.3198264799111402E-2</v>
      </c>
      <c r="Y603">
        <v>5.6755408276760802E-2</v>
      </c>
      <c r="Z603">
        <v>5.9643279157925902E-2</v>
      </c>
      <c r="AA603">
        <v>0.38790560471976399</v>
      </c>
      <c r="AB603">
        <f t="shared" si="63"/>
        <v>0.14811692417110403</v>
      </c>
      <c r="AC603">
        <f t="shared" si="68"/>
        <v>0.1</v>
      </c>
      <c r="AD603">
        <f t="shared" si="64"/>
        <v>0</v>
      </c>
      <c r="AE603">
        <f t="shared" si="69"/>
        <v>0.16292861658821445</v>
      </c>
      <c r="AF603" t="str">
        <f t="shared" si="65"/>
        <v>Very Low</v>
      </c>
      <c r="AG603" t="str">
        <f t="shared" si="66"/>
        <v>NO ACTION</v>
      </c>
      <c r="AH603" t="str">
        <f t="shared" si="67"/>
        <v/>
      </c>
    </row>
    <row r="604" spans="1:34" x14ac:dyDescent="0.3">
      <c r="A604" t="s">
        <v>631</v>
      </c>
      <c r="B604">
        <v>0.12892249527410199</v>
      </c>
      <c r="C604">
        <v>0.46432455414083901</v>
      </c>
      <c r="D604">
        <v>7.5107235637207503E-2</v>
      </c>
      <c r="E604">
        <v>0</v>
      </c>
      <c r="F604">
        <v>0</v>
      </c>
      <c r="G604">
        <v>0.99367634625768397</v>
      </c>
      <c r="H604">
        <v>8</v>
      </c>
      <c r="I604">
        <v>9</v>
      </c>
      <c r="J604">
        <v>0.10142645866132299</v>
      </c>
      <c r="K604">
        <v>9.7879282218597003E-3</v>
      </c>
      <c r="L604">
        <v>2.45922325275451E-2</v>
      </c>
      <c r="M604">
        <v>1.7316017316017301E-3</v>
      </c>
      <c r="N604">
        <v>1.02929137185354E-2</v>
      </c>
      <c r="O604">
        <v>848</v>
      </c>
      <c r="P604">
        <v>7.9615600448933704E-2</v>
      </c>
      <c r="Q604">
        <v>7.9771380483186605E-2</v>
      </c>
      <c r="R604">
        <v>0</v>
      </c>
      <c r="S604">
        <v>0</v>
      </c>
      <c r="T604" t="s">
        <v>28</v>
      </c>
      <c r="U604">
        <v>2.9110512129380001E-2</v>
      </c>
      <c r="V604">
        <v>0</v>
      </c>
      <c r="W604">
        <v>0</v>
      </c>
      <c r="X604">
        <v>2.2532170691162201E-2</v>
      </c>
      <c r="Y604">
        <v>3.5669282111597901E-2</v>
      </c>
      <c r="Z604">
        <v>5.1886525756774403E-2</v>
      </c>
      <c r="AA604">
        <v>0</v>
      </c>
      <c r="AB604">
        <f t="shared" si="63"/>
        <v>2.8120773513730199E-2</v>
      </c>
      <c r="AC604">
        <f t="shared" si="68"/>
        <v>0.25</v>
      </c>
      <c r="AD604">
        <f t="shared" si="64"/>
        <v>0</v>
      </c>
      <c r="AE604">
        <f t="shared" si="69"/>
        <v>3.5150966892162752E-2</v>
      </c>
      <c r="AF604" t="str">
        <f t="shared" si="65"/>
        <v>Very Low</v>
      </c>
      <c r="AG604" t="str">
        <f t="shared" si="66"/>
        <v>NO ACTION</v>
      </c>
      <c r="AH604" t="str">
        <f t="shared" si="67"/>
        <v/>
      </c>
    </row>
    <row r="605" spans="1:34" x14ac:dyDescent="0.3">
      <c r="A605" t="s">
        <v>632</v>
      </c>
      <c r="B605">
        <v>0.12892249527410199</v>
      </c>
      <c r="C605">
        <v>0.27688096250382199</v>
      </c>
      <c r="D605">
        <v>7.5132489407342906E-2</v>
      </c>
      <c r="E605">
        <v>0</v>
      </c>
      <c r="F605">
        <v>0</v>
      </c>
      <c r="G605">
        <v>0.99368592730386596</v>
      </c>
      <c r="H605">
        <v>7</v>
      </c>
      <c r="I605">
        <v>8</v>
      </c>
      <c r="J605">
        <v>0.10886885167692301</v>
      </c>
      <c r="K605">
        <v>2.1207177814029299E-2</v>
      </c>
      <c r="L605">
        <v>4.9648638515565002E-2</v>
      </c>
      <c r="M605">
        <v>3.1746031746031698E-3</v>
      </c>
      <c r="N605">
        <v>1.75831650252288E-2</v>
      </c>
      <c r="O605">
        <v>1009</v>
      </c>
      <c r="P605">
        <v>9.0698653198653195E-2</v>
      </c>
      <c r="Q605">
        <v>9.0851712893158895E-2</v>
      </c>
      <c r="R605">
        <v>0</v>
      </c>
      <c r="S605">
        <v>0</v>
      </c>
      <c r="T605" t="s">
        <v>28</v>
      </c>
      <c r="U605">
        <v>3.6792452830188602E-2</v>
      </c>
      <c r="V605">
        <v>0</v>
      </c>
      <c r="W605">
        <v>0</v>
      </c>
      <c r="X605">
        <v>2.2539746822202798E-2</v>
      </c>
      <c r="Y605">
        <v>5.1873039100735902E-2</v>
      </c>
      <c r="Z605">
        <v>6.1452457929283402E-2</v>
      </c>
      <c r="AA605">
        <v>0</v>
      </c>
      <c r="AB605">
        <f t="shared" si="63"/>
        <v>3.5337498659957854E-2</v>
      </c>
      <c r="AC605">
        <f t="shared" si="68"/>
        <v>0.25</v>
      </c>
      <c r="AD605">
        <f t="shared" si="64"/>
        <v>0</v>
      </c>
      <c r="AE605">
        <f t="shared" si="69"/>
        <v>4.4171873324947319E-2</v>
      </c>
      <c r="AF605" t="str">
        <f t="shared" si="65"/>
        <v>Very Low</v>
      </c>
      <c r="AG605" t="str">
        <f t="shared" si="66"/>
        <v>NO ACTION</v>
      </c>
      <c r="AH605" t="str">
        <f t="shared" si="67"/>
        <v/>
      </c>
    </row>
    <row r="606" spans="1:34" x14ac:dyDescent="0.3">
      <c r="A606" t="s">
        <v>633</v>
      </c>
      <c r="B606">
        <v>0.12892249527410199</v>
      </c>
      <c r="C606">
        <v>0.460040129189136</v>
      </c>
      <c r="D606">
        <v>7.51173381640724E-2</v>
      </c>
      <c r="E606">
        <v>0</v>
      </c>
      <c r="F606">
        <v>0</v>
      </c>
      <c r="G606">
        <v>0.99365394587876399</v>
      </c>
      <c r="H606">
        <v>8</v>
      </c>
      <c r="I606">
        <v>9</v>
      </c>
      <c r="J606">
        <v>7.7858880778588796E-2</v>
      </c>
      <c r="K606">
        <v>4.4045676998368602E-2</v>
      </c>
      <c r="L606">
        <v>0.144060607100118</v>
      </c>
      <c r="M606">
        <v>1.1544011544011501E-3</v>
      </c>
      <c r="N606">
        <v>8.9326813822843097E-3</v>
      </c>
      <c r="O606">
        <v>807</v>
      </c>
      <c r="P606">
        <v>7.6739618406285001E-2</v>
      </c>
      <c r="Q606">
        <v>7.6896104351484904E-2</v>
      </c>
      <c r="R606">
        <v>0</v>
      </c>
      <c r="S606">
        <v>0</v>
      </c>
      <c r="T606" t="s">
        <v>53</v>
      </c>
      <c r="U606">
        <v>0.18339622641509401</v>
      </c>
      <c r="V606">
        <v>0</v>
      </c>
      <c r="W606">
        <v>0</v>
      </c>
      <c r="X606">
        <v>2.2535201449221699E-2</v>
      </c>
      <c r="Y606">
        <v>9.02818841204623E-2</v>
      </c>
      <c r="Z606">
        <v>4.9616843596684702E-2</v>
      </c>
      <c r="AA606">
        <v>0</v>
      </c>
      <c r="AB606">
        <f t="shared" si="63"/>
        <v>4.2777275992676639E-2</v>
      </c>
      <c r="AC606">
        <f t="shared" si="68"/>
        <v>0.1</v>
      </c>
      <c r="AD606">
        <f t="shared" si="64"/>
        <v>0</v>
      </c>
      <c r="AE606">
        <f t="shared" si="69"/>
        <v>4.7055003591944304E-2</v>
      </c>
      <c r="AF606" t="str">
        <f t="shared" si="65"/>
        <v>Very Low</v>
      </c>
      <c r="AG606" t="str">
        <f t="shared" si="66"/>
        <v>NO ACTION</v>
      </c>
      <c r="AH606" t="str">
        <f t="shared" si="67"/>
        <v/>
      </c>
    </row>
    <row r="607" spans="1:34" x14ac:dyDescent="0.3">
      <c r="A607" t="s">
        <v>634</v>
      </c>
      <c r="B607">
        <v>0.24083175803402601</v>
      </c>
      <c r="C607">
        <v>0.77509408147813197</v>
      </c>
      <c r="D607">
        <v>0.37289111778050199</v>
      </c>
      <c r="E607">
        <v>0</v>
      </c>
      <c r="F607">
        <v>0</v>
      </c>
      <c r="G607">
        <v>0.46561780191469399</v>
      </c>
      <c r="H607">
        <v>8</v>
      </c>
      <c r="I607">
        <v>15</v>
      </c>
      <c r="J607">
        <v>7.9385525499737597E-2</v>
      </c>
      <c r="K607">
        <v>2.0391517128874301E-2</v>
      </c>
      <c r="L607">
        <v>6.5415977027410005E-2</v>
      </c>
      <c r="M607">
        <v>2.8860028860028799E-3</v>
      </c>
      <c r="N607">
        <v>2.1903534186338201E-2</v>
      </c>
      <c r="O607">
        <v>854</v>
      </c>
      <c r="P607">
        <v>6.8532547699214297E-2</v>
      </c>
      <c r="Q607">
        <v>6.86910480732143E-2</v>
      </c>
      <c r="R607">
        <v>0</v>
      </c>
      <c r="S607">
        <v>0</v>
      </c>
      <c r="T607" t="s">
        <v>53</v>
      </c>
      <c r="U607">
        <v>3.8593481989708397E-2</v>
      </c>
      <c r="V607">
        <v>0</v>
      </c>
      <c r="W607">
        <v>0</v>
      </c>
      <c r="X607">
        <v>0.11186733533415</v>
      </c>
      <c r="Y607">
        <v>5.5156153869553998E-2</v>
      </c>
      <c r="Z607">
        <v>4.9880942294063903E-2</v>
      </c>
      <c r="AA607">
        <v>0</v>
      </c>
      <c r="AB607">
        <f t="shared" si="63"/>
        <v>4.7309160579277018E-2</v>
      </c>
      <c r="AC607">
        <f t="shared" si="68"/>
        <v>0.1</v>
      </c>
      <c r="AD607">
        <f t="shared" si="64"/>
        <v>0</v>
      </c>
      <c r="AE607">
        <f t="shared" si="69"/>
        <v>5.2040076637204724E-2</v>
      </c>
      <c r="AF607" t="str">
        <f t="shared" si="65"/>
        <v>Very Low</v>
      </c>
      <c r="AG607" t="str">
        <f t="shared" si="66"/>
        <v>NO ACTION</v>
      </c>
      <c r="AH607" t="str">
        <f t="shared" si="67"/>
        <v/>
      </c>
    </row>
    <row r="608" spans="1:34" x14ac:dyDescent="0.3">
      <c r="A608" t="s">
        <v>635</v>
      </c>
      <c r="B608">
        <v>0.12892249527410199</v>
      </c>
      <c r="C608">
        <v>0</v>
      </c>
      <c r="D608">
        <v>0</v>
      </c>
      <c r="E608">
        <v>0</v>
      </c>
      <c r="F608">
        <v>1</v>
      </c>
      <c r="G608">
        <v>0.99366628348292496</v>
      </c>
      <c r="H608">
        <v>6</v>
      </c>
      <c r="I608">
        <v>6</v>
      </c>
      <c r="J608">
        <v>0.101760412194074</v>
      </c>
      <c r="K608">
        <v>1.4681892332789499E-2</v>
      </c>
      <c r="L608">
        <v>3.6767573093684697E-2</v>
      </c>
      <c r="M608">
        <v>2.0202020202020202E-3</v>
      </c>
      <c r="N608">
        <v>1.1969082782927401E-2</v>
      </c>
      <c r="O608">
        <v>1178</v>
      </c>
      <c r="P608">
        <v>8.21057800224467E-2</v>
      </c>
      <c r="Q608">
        <v>8.2260948841123394E-2</v>
      </c>
      <c r="R608">
        <v>0</v>
      </c>
      <c r="S608">
        <v>0</v>
      </c>
      <c r="T608" t="s">
        <v>28</v>
      </c>
      <c r="U608">
        <v>3.8207547169811298E-2</v>
      </c>
      <c r="V608">
        <v>0</v>
      </c>
      <c r="W608">
        <v>0</v>
      </c>
      <c r="X608">
        <v>0.4</v>
      </c>
      <c r="Y608">
        <v>4.2326593820535503E-2</v>
      </c>
      <c r="Z608">
        <v>5.4051101126639002E-2</v>
      </c>
      <c r="AA608">
        <v>0</v>
      </c>
      <c r="AB608">
        <f t="shared" si="63"/>
        <v>9.0985754585208869E-2</v>
      </c>
      <c r="AC608">
        <f t="shared" si="68"/>
        <v>0.25</v>
      </c>
      <c r="AD608">
        <f t="shared" si="64"/>
        <v>0.08</v>
      </c>
      <c r="AE608">
        <f t="shared" si="69"/>
        <v>0.1210110535983278</v>
      </c>
      <c r="AF608" t="str">
        <f t="shared" si="65"/>
        <v>Very Low</v>
      </c>
      <c r="AG608" t="str">
        <f t="shared" si="66"/>
        <v>NO ACTION</v>
      </c>
      <c r="AH608" t="str">
        <f t="shared" si="67"/>
        <v/>
      </c>
    </row>
    <row r="609" spans="1:34" x14ac:dyDescent="0.3">
      <c r="A609" t="s">
        <v>636</v>
      </c>
      <c r="B609">
        <v>0.12892249527410199</v>
      </c>
      <c r="C609">
        <v>0.55429747812660801</v>
      </c>
      <c r="D609">
        <v>0</v>
      </c>
      <c r="E609">
        <v>0</v>
      </c>
      <c r="F609">
        <v>0</v>
      </c>
      <c r="G609">
        <v>0.99367350941160903</v>
      </c>
      <c r="H609">
        <v>9</v>
      </c>
      <c r="I609">
        <v>9</v>
      </c>
      <c r="J609">
        <v>7.5330375459186097E-2</v>
      </c>
      <c r="K609">
        <v>8.1566068515497494E-3</v>
      </c>
      <c r="L609">
        <v>2.75705216309967E-2</v>
      </c>
      <c r="M609">
        <v>2.3088023088023001E-3</v>
      </c>
      <c r="N609">
        <v>1.84631305843427E-2</v>
      </c>
      <c r="O609">
        <v>785</v>
      </c>
      <c r="P609">
        <v>6.0009820426486997E-2</v>
      </c>
      <c r="Q609">
        <v>6.0170412707317898E-2</v>
      </c>
      <c r="R609">
        <v>0</v>
      </c>
      <c r="S609">
        <v>0</v>
      </c>
      <c r="T609" t="s">
        <v>53</v>
      </c>
      <c r="U609">
        <v>1.8867924528301799E-2</v>
      </c>
      <c r="V609">
        <v>0</v>
      </c>
      <c r="W609">
        <v>0</v>
      </c>
      <c r="X609">
        <v>0</v>
      </c>
      <c r="Y609">
        <v>3.4390275082638401E-2</v>
      </c>
      <c r="Z609">
        <v>4.3391144489629302E-2</v>
      </c>
      <c r="AA609">
        <v>0</v>
      </c>
      <c r="AB609">
        <f t="shared" si="63"/>
        <v>2.1778797480234958E-2</v>
      </c>
      <c r="AC609">
        <f t="shared" si="68"/>
        <v>0.1</v>
      </c>
      <c r="AD609">
        <f t="shared" si="64"/>
        <v>0</v>
      </c>
      <c r="AE609">
        <f t="shared" si="69"/>
        <v>2.3956677228258456E-2</v>
      </c>
      <c r="AF609" t="str">
        <f t="shared" si="65"/>
        <v>Very Low</v>
      </c>
      <c r="AG609" t="str">
        <f t="shared" si="66"/>
        <v>NO ACTION</v>
      </c>
      <c r="AH609" t="str">
        <f t="shared" si="67"/>
        <v/>
      </c>
    </row>
    <row r="610" spans="1:34" x14ac:dyDescent="0.3">
      <c r="A610" t="s">
        <v>637</v>
      </c>
      <c r="B610">
        <v>0.140642722117202</v>
      </c>
      <c r="C610">
        <v>0.448155407847044</v>
      </c>
      <c r="D610">
        <v>0.39065567859452999</v>
      </c>
      <c r="E610">
        <v>0.36347517730496398</v>
      </c>
      <c r="F610">
        <v>7.9787234042553196E-2</v>
      </c>
      <c r="G610">
        <v>0.89923449917619003</v>
      </c>
      <c r="H610">
        <v>0</v>
      </c>
      <c r="I610">
        <v>23</v>
      </c>
      <c r="J610">
        <v>9.4174896235866598E-2</v>
      </c>
      <c r="K610">
        <v>1.4681892332789499E-2</v>
      </c>
      <c r="L610">
        <v>3.9721612569124799E-2</v>
      </c>
      <c r="M610">
        <v>8.6580086580086504E-4</v>
      </c>
      <c r="N610">
        <v>5.5417380328951797E-3</v>
      </c>
      <c r="O610">
        <v>934</v>
      </c>
      <c r="P610">
        <v>7.5968013468013407E-2</v>
      </c>
      <c r="Q610">
        <v>7.6124688803955204E-2</v>
      </c>
      <c r="R610">
        <v>6.4896755162241804E-2</v>
      </c>
      <c r="S610">
        <v>1</v>
      </c>
      <c r="T610" t="s">
        <v>53</v>
      </c>
      <c r="U610">
        <v>7.6415094339622597E-2</v>
      </c>
      <c r="V610">
        <v>0</v>
      </c>
      <c r="W610">
        <v>0.10342478045928299</v>
      </c>
      <c r="X610">
        <v>0.25815415038686901</v>
      </c>
      <c r="Y610">
        <v>4.0358306941604298E-2</v>
      </c>
      <c r="Z610">
        <v>4.77975032939661E-2</v>
      </c>
      <c r="AA610">
        <v>6.4896755162241804E-2</v>
      </c>
      <c r="AB610">
        <f t="shared" si="63"/>
        <v>8.4159382373286462E-2</v>
      </c>
      <c r="AC610">
        <f t="shared" si="68"/>
        <v>0.1</v>
      </c>
      <c r="AD610">
        <f t="shared" si="64"/>
        <v>0</v>
      </c>
      <c r="AE610">
        <f t="shared" si="69"/>
        <v>9.2575320610615117E-2</v>
      </c>
      <c r="AF610" t="str">
        <f t="shared" si="65"/>
        <v>Very Low</v>
      </c>
      <c r="AG610" t="str">
        <f t="shared" si="66"/>
        <v>NO ACTION</v>
      </c>
      <c r="AH610" t="str">
        <f t="shared" si="67"/>
        <v/>
      </c>
    </row>
    <row r="611" spans="1:34" x14ac:dyDescent="0.3">
      <c r="A611" t="s">
        <v>638</v>
      </c>
      <c r="B611">
        <v>0.230623818525519</v>
      </c>
      <c r="C611">
        <v>0.74809095039237095</v>
      </c>
      <c r="D611">
        <v>0.35609676649293898</v>
      </c>
      <c r="E611">
        <v>0</v>
      </c>
      <c r="F611">
        <v>0</v>
      </c>
      <c r="G611">
        <v>0.49241553888734702</v>
      </c>
      <c r="H611">
        <v>8</v>
      </c>
      <c r="I611">
        <v>14</v>
      </c>
      <c r="J611">
        <v>8.0387386097991495E-2</v>
      </c>
      <c r="K611">
        <v>1.4681892332789499E-2</v>
      </c>
      <c r="L611">
        <v>4.6514243357572801E-2</v>
      </c>
      <c r="M611">
        <v>2.2222222222222199E-2</v>
      </c>
      <c r="N611">
        <v>0.16656147271531799</v>
      </c>
      <c r="O611">
        <v>816</v>
      </c>
      <c r="P611">
        <v>7.6213524130190793E-2</v>
      </c>
      <c r="Q611">
        <v>7.6370139205441903E-2</v>
      </c>
      <c r="R611">
        <v>0</v>
      </c>
      <c r="S611">
        <v>0</v>
      </c>
      <c r="T611" t="s">
        <v>53</v>
      </c>
      <c r="U611">
        <v>3.9187227866473101E-3</v>
      </c>
      <c r="V611">
        <v>0</v>
      </c>
      <c r="W611">
        <v>0</v>
      </c>
      <c r="X611">
        <v>0.106829029947881</v>
      </c>
      <c r="Y611">
        <v>8.93030407129803E-2</v>
      </c>
      <c r="Z611">
        <v>0.112352703564242</v>
      </c>
      <c r="AA611">
        <v>0</v>
      </c>
      <c r="AB611">
        <f t="shared" si="63"/>
        <v>7.3556253189283216E-2</v>
      </c>
      <c r="AC611">
        <f t="shared" si="68"/>
        <v>0.1</v>
      </c>
      <c r="AD611">
        <f t="shared" si="64"/>
        <v>0</v>
      </c>
      <c r="AE611">
        <f t="shared" si="69"/>
        <v>8.0911878508211549E-2</v>
      </c>
      <c r="AF611" t="str">
        <f t="shared" si="65"/>
        <v>Very Low</v>
      </c>
      <c r="AG611" t="str">
        <f t="shared" si="66"/>
        <v>NO ACTION</v>
      </c>
      <c r="AH611" t="str">
        <f t="shared" si="67"/>
        <v/>
      </c>
    </row>
    <row r="612" spans="1:34" x14ac:dyDescent="0.3">
      <c r="A612" t="s">
        <v>639</v>
      </c>
      <c r="B612">
        <v>0.27939508506616201</v>
      </c>
      <c r="C612">
        <v>0.50331902006651097</v>
      </c>
      <c r="D612">
        <v>0.47807399942011303</v>
      </c>
      <c r="E612">
        <v>0</v>
      </c>
      <c r="F612">
        <v>0.48990578734858597</v>
      </c>
      <c r="G612">
        <v>0.38121408386716898</v>
      </c>
      <c r="H612">
        <v>0</v>
      </c>
      <c r="I612">
        <v>23</v>
      </c>
      <c r="J612">
        <v>7.6809312532799004E-2</v>
      </c>
      <c r="K612">
        <v>1.30505709624796E-2</v>
      </c>
      <c r="L612">
        <v>4.3266086700680002E-2</v>
      </c>
      <c r="M612">
        <v>5.7720057720057698E-4</v>
      </c>
      <c r="N612">
        <v>4.5271824838388304E-3</v>
      </c>
      <c r="O612">
        <v>804</v>
      </c>
      <c r="P612">
        <v>6.2359708193041499E-2</v>
      </c>
      <c r="Q612">
        <v>6.2519723692976606E-2</v>
      </c>
      <c r="R612">
        <v>1.7699115044247701E-2</v>
      </c>
      <c r="S612">
        <v>1</v>
      </c>
      <c r="T612" t="s">
        <v>53</v>
      </c>
      <c r="U612">
        <v>9.0566037735848995E-2</v>
      </c>
      <c r="V612">
        <v>0</v>
      </c>
      <c r="W612">
        <v>0.69171073040478204</v>
      </c>
      <c r="X612">
        <v>0.33938451476546799</v>
      </c>
      <c r="Y612">
        <v>3.8353060602051403E-2</v>
      </c>
      <c r="Z612">
        <v>3.9226697909360397E-2</v>
      </c>
      <c r="AA612">
        <v>1.7699115044247701E-2</v>
      </c>
      <c r="AB612">
        <f t="shared" si="63"/>
        <v>8.0979606958059558E-2</v>
      </c>
      <c r="AC612">
        <f t="shared" si="68"/>
        <v>0.1</v>
      </c>
      <c r="AD612">
        <f t="shared" si="64"/>
        <v>0</v>
      </c>
      <c r="AE612">
        <f t="shared" si="69"/>
        <v>8.9077567653865528E-2</v>
      </c>
      <c r="AF612" t="str">
        <f t="shared" si="65"/>
        <v>Very Low</v>
      </c>
      <c r="AG612" t="str">
        <f t="shared" si="66"/>
        <v>NO ACTION</v>
      </c>
      <c r="AH612" t="str">
        <f t="shared" si="67"/>
        <v/>
      </c>
    </row>
    <row r="613" spans="1:34" x14ac:dyDescent="0.3">
      <c r="A613" t="s">
        <v>640</v>
      </c>
      <c r="B613">
        <v>0.12892249527410199</v>
      </c>
      <c r="C613">
        <v>0.26831211260041599</v>
      </c>
      <c r="D613">
        <v>7.4788307505895393E-2</v>
      </c>
      <c r="E613">
        <v>0</v>
      </c>
      <c r="F613">
        <v>0</v>
      </c>
      <c r="G613">
        <v>0.99367599834260001</v>
      </c>
      <c r="H613">
        <v>7</v>
      </c>
      <c r="I613">
        <v>8</v>
      </c>
      <c r="J613">
        <v>7.1513763656314094E-2</v>
      </c>
      <c r="K613">
        <v>1.38662316476345E-2</v>
      </c>
      <c r="L613">
        <v>4.9362965856348501E-2</v>
      </c>
      <c r="M613">
        <v>3.1746031746031698E-3</v>
      </c>
      <c r="N613">
        <v>2.67371664978047E-2</v>
      </c>
      <c r="O613">
        <v>806</v>
      </c>
      <c r="P613">
        <v>6.0079966329966303E-2</v>
      </c>
      <c r="Q613">
        <v>6.0240541393456901E-2</v>
      </c>
      <c r="R613">
        <v>0</v>
      </c>
      <c r="S613">
        <v>0</v>
      </c>
      <c r="T613" t="s">
        <v>53</v>
      </c>
      <c r="U613">
        <v>2.40566037735849E-2</v>
      </c>
      <c r="V613">
        <v>0</v>
      </c>
      <c r="W613">
        <v>0</v>
      </c>
      <c r="X613">
        <v>2.2436492251768601E-2</v>
      </c>
      <c r="Y613">
        <v>4.7005385608778497E-2</v>
      </c>
      <c r="Z613">
        <v>4.6742846397101703E-2</v>
      </c>
      <c r="AA613">
        <v>0</v>
      </c>
      <c r="AB613">
        <f t="shared" si="63"/>
        <v>2.9839343721929437E-2</v>
      </c>
      <c r="AC613">
        <f t="shared" si="68"/>
        <v>0.1</v>
      </c>
      <c r="AD613">
        <f t="shared" si="64"/>
        <v>0</v>
      </c>
      <c r="AE613">
        <f t="shared" si="69"/>
        <v>3.2823278094122381E-2</v>
      </c>
      <c r="AF613" t="str">
        <f t="shared" si="65"/>
        <v>Very Low</v>
      </c>
      <c r="AG613" t="str">
        <f t="shared" si="66"/>
        <v>NO ACTION</v>
      </c>
      <c r="AH613" t="str">
        <f t="shared" si="67"/>
        <v/>
      </c>
    </row>
    <row r="614" spans="1:34" x14ac:dyDescent="0.3">
      <c r="A614" t="s">
        <v>641</v>
      </c>
      <c r="B614">
        <v>0.26086956521739102</v>
      </c>
      <c r="C614">
        <v>0.66877774498272702</v>
      </c>
      <c r="D614">
        <v>0.420382936425577</v>
      </c>
      <c r="E614">
        <v>0</v>
      </c>
      <c r="F614">
        <v>0</v>
      </c>
      <c r="G614">
        <v>0.418696158588861</v>
      </c>
      <c r="H614">
        <v>7</v>
      </c>
      <c r="I614">
        <v>17</v>
      </c>
      <c r="J614">
        <v>0.101712704546538</v>
      </c>
      <c r="K614">
        <v>9.7879282218597003E-3</v>
      </c>
      <c r="L614">
        <v>2.4523185548057401E-2</v>
      </c>
      <c r="M614">
        <v>1.44300144300144E-3</v>
      </c>
      <c r="N614">
        <v>8.55334547426264E-3</v>
      </c>
      <c r="O614">
        <v>968</v>
      </c>
      <c r="P614">
        <v>7.9685746352413003E-2</v>
      </c>
      <c r="Q614">
        <v>7.9841509169325697E-2</v>
      </c>
      <c r="R614">
        <v>0.68584070796460095</v>
      </c>
      <c r="S614">
        <v>1</v>
      </c>
      <c r="T614" t="s">
        <v>28</v>
      </c>
      <c r="U614">
        <v>3.3962264150943298E-2</v>
      </c>
      <c r="V614">
        <v>0</v>
      </c>
      <c r="W614">
        <v>0</v>
      </c>
      <c r="X614">
        <v>0.12611488092767301</v>
      </c>
      <c r="Y614">
        <v>3.5170137325615199E-2</v>
      </c>
      <c r="Z614">
        <v>5.1232786001152802E-2</v>
      </c>
      <c r="AA614">
        <v>0.68584070796460095</v>
      </c>
      <c r="AB614">
        <f t="shared" si="63"/>
        <v>0.23640659771001099</v>
      </c>
      <c r="AC614">
        <f t="shared" si="68"/>
        <v>0.25</v>
      </c>
      <c r="AD614">
        <f t="shared" si="64"/>
        <v>0</v>
      </c>
      <c r="AE614">
        <f t="shared" si="69"/>
        <v>0.29550824713751372</v>
      </c>
      <c r="AF614" t="str">
        <f t="shared" si="65"/>
        <v>Low</v>
      </c>
      <c r="AG614" t="str">
        <f t="shared" si="66"/>
        <v>NO ACTION</v>
      </c>
      <c r="AH614" t="str">
        <f t="shared" si="67"/>
        <v/>
      </c>
    </row>
    <row r="615" spans="1:34" x14ac:dyDescent="0.3">
      <c r="A615" t="s">
        <v>642</v>
      </c>
      <c r="B615">
        <v>0.12892249527410199</v>
      </c>
      <c r="C615">
        <v>0</v>
      </c>
      <c r="D615">
        <v>0</v>
      </c>
      <c r="E615">
        <v>0</v>
      </c>
      <c r="F615">
        <v>1</v>
      </c>
      <c r="G615">
        <v>0.99368646255784199</v>
      </c>
      <c r="H615">
        <v>6</v>
      </c>
      <c r="I615">
        <v>6</v>
      </c>
      <c r="J615">
        <v>8.9690377367491997E-2</v>
      </c>
      <c r="K615">
        <v>1.2234910277324601E-2</v>
      </c>
      <c r="L615">
        <v>3.4752020899336003E-2</v>
      </c>
      <c r="M615">
        <v>3.4632034632034602E-3</v>
      </c>
      <c r="N615">
        <v>2.3272359824083901E-2</v>
      </c>
      <c r="O615">
        <v>988</v>
      </c>
      <c r="P615">
        <v>7.2881593714927001E-2</v>
      </c>
      <c r="Q615">
        <v>7.3039026613836294E-2</v>
      </c>
      <c r="R615">
        <v>0</v>
      </c>
      <c r="S615">
        <v>0</v>
      </c>
      <c r="T615" t="s">
        <v>53</v>
      </c>
      <c r="U615">
        <v>1.9593613933236501E-2</v>
      </c>
      <c r="V615">
        <v>0</v>
      </c>
      <c r="W615">
        <v>0</v>
      </c>
      <c r="X615">
        <v>0.4</v>
      </c>
      <c r="Y615">
        <v>4.22957938703915E-2</v>
      </c>
      <c r="Z615">
        <v>5.30379001585898E-2</v>
      </c>
      <c r="AA615">
        <v>0</v>
      </c>
      <c r="AB615">
        <f t="shared" si="63"/>
        <v>9.0693434328114761E-2</v>
      </c>
      <c r="AC615">
        <f t="shared" si="68"/>
        <v>0.1</v>
      </c>
      <c r="AD615">
        <f t="shared" si="64"/>
        <v>0.08</v>
      </c>
      <c r="AE615">
        <f t="shared" si="69"/>
        <v>0.10701825250717543</v>
      </c>
      <c r="AF615" t="str">
        <f t="shared" si="65"/>
        <v>Very Low</v>
      </c>
      <c r="AG615" t="str">
        <f t="shared" si="66"/>
        <v>NO ACTION</v>
      </c>
      <c r="AH615" t="str">
        <f t="shared" si="67"/>
        <v/>
      </c>
    </row>
    <row r="616" spans="1:34" x14ac:dyDescent="0.3">
      <c r="A616" t="s">
        <v>643</v>
      </c>
      <c r="B616">
        <v>0.24650283553875199</v>
      </c>
      <c r="C616">
        <v>0.62499293900555997</v>
      </c>
      <c r="D616">
        <v>0.39350855936892498</v>
      </c>
      <c r="E616">
        <v>0</v>
      </c>
      <c r="F616">
        <v>0</v>
      </c>
      <c r="G616">
        <v>0.45155843005378399</v>
      </c>
      <c r="H616">
        <v>7</v>
      </c>
      <c r="I616">
        <v>15</v>
      </c>
      <c r="J616">
        <v>9.0501407375602305E-2</v>
      </c>
      <c r="K616">
        <v>1.6313213703099499E-2</v>
      </c>
      <c r="L616">
        <v>4.59218783002091E-2</v>
      </c>
      <c r="M616">
        <v>2.8860028860028799E-3</v>
      </c>
      <c r="N616">
        <v>1.9220293668243099E-2</v>
      </c>
      <c r="O616">
        <v>892</v>
      </c>
      <c r="P616">
        <v>7.4950897867564495E-2</v>
      </c>
      <c r="Q616">
        <v>7.5107822854938805E-2</v>
      </c>
      <c r="R616">
        <v>0</v>
      </c>
      <c r="S616">
        <v>0</v>
      </c>
      <c r="T616" t="s">
        <v>53</v>
      </c>
      <c r="U616">
        <v>3.08747855917667E-2</v>
      </c>
      <c r="V616">
        <v>0</v>
      </c>
      <c r="W616">
        <v>0</v>
      </c>
      <c r="X616">
        <v>0.11805256781067699</v>
      </c>
      <c r="Y616">
        <v>4.6827308725698E-2</v>
      </c>
      <c r="Z616">
        <v>5.2658656187836002E-2</v>
      </c>
      <c r="AA616">
        <v>0</v>
      </c>
      <c r="AB616">
        <f t="shared" si="63"/>
        <v>4.6744481025497844E-2</v>
      </c>
      <c r="AC616">
        <f t="shared" si="68"/>
        <v>0.1</v>
      </c>
      <c r="AD616">
        <f t="shared" si="64"/>
        <v>0</v>
      </c>
      <c r="AE616">
        <f t="shared" si="69"/>
        <v>5.141892912804763E-2</v>
      </c>
      <c r="AF616" t="str">
        <f t="shared" si="65"/>
        <v>Very Low</v>
      </c>
      <c r="AG616" t="str">
        <f t="shared" si="66"/>
        <v>NO ACTION</v>
      </c>
      <c r="AH616" t="str">
        <f t="shared" si="67"/>
        <v/>
      </c>
    </row>
    <row r="617" spans="1:34" x14ac:dyDescent="0.3">
      <c r="A617" t="s">
        <v>644</v>
      </c>
      <c r="B617">
        <v>0.12892249527410199</v>
      </c>
      <c r="C617">
        <v>0.27848762186071102</v>
      </c>
      <c r="D617">
        <v>7.5124914167671697E-2</v>
      </c>
      <c r="E617">
        <v>0</v>
      </c>
      <c r="F617">
        <v>0</v>
      </c>
      <c r="G617">
        <v>0.99366232260349796</v>
      </c>
      <c r="H617">
        <v>7</v>
      </c>
      <c r="I617">
        <v>8</v>
      </c>
      <c r="J617">
        <v>7.8717618434234998E-2</v>
      </c>
      <c r="K617">
        <v>1.38662316476345E-2</v>
      </c>
      <c r="L617">
        <v>4.4859154470059302E-2</v>
      </c>
      <c r="M617">
        <v>3.4632034632034602E-3</v>
      </c>
      <c r="N617">
        <v>2.6506585056433898E-2</v>
      </c>
      <c r="O617">
        <v>831</v>
      </c>
      <c r="P617">
        <v>6.5516273849607107E-2</v>
      </c>
      <c r="Q617">
        <v>6.5675514569234497E-2</v>
      </c>
      <c r="R617">
        <v>0</v>
      </c>
      <c r="S617">
        <v>0</v>
      </c>
      <c r="T617" t="s">
        <v>53</v>
      </c>
      <c r="U617">
        <v>2.2206095791001398E-2</v>
      </c>
      <c r="V617">
        <v>0</v>
      </c>
      <c r="W617">
        <v>0</v>
      </c>
      <c r="X617">
        <v>2.25374742503015E-2</v>
      </c>
      <c r="Y617">
        <v>4.6125076438806797E-2</v>
      </c>
      <c r="Z617">
        <v>4.9912398332337897E-2</v>
      </c>
      <c r="AA617">
        <v>0</v>
      </c>
      <c r="AB617">
        <f t="shared" si="63"/>
        <v>3.0496488815968753E-2</v>
      </c>
      <c r="AC617">
        <f t="shared" si="68"/>
        <v>0.1</v>
      </c>
      <c r="AD617">
        <f t="shared" si="64"/>
        <v>0</v>
      </c>
      <c r="AE617">
        <f t="shared" si="69"/>
        <v>3.3546137697565634E-2</v>
      </c>
      <c r="AF617" t="str">
        <f t="shared" si="65"/>
        <v>Very Low</v>
      </c>
      <c r="AG617" t="str">
        <f t="shared" si="66"/>
        <v>NO ACTION</v>
      </c>
      <c r="AH617" t="str">
        <f t="shared" si="67"/>
        <v/>
      </c>
    </row>
    <row r="618" spans="1:34" x14ac:dyDescent="0.3">
      <c r="A618" t="s">
        <v>645</v>
      </c>
      <c r="B618">
        <v>0.12892249527410199</v>
      </c>
      <c r="C618">
        <v>0.27795206874174799</v>
      </c>
      <c r="D618">
        <v>7.5129964412319103E-2</v>
      </c>
      <c r="E618">
        <v>0</v>
      </c>
      <c r="F618">
        <v>0</v>
      </c>
      <c r="G618">
        <v>0.99366754132976898</v>
      </c>
      <c r="H618">
        <v>7</v>
      </c>
      <c r="I618">
        <v>8</v>
      </c>
      <c r="J618">
        <v>0.102762272792328</v>
      </c>
      <c r="K618">
        <v>2.2022838499184301E-2</v>
      </c>
      <c r="L618">
        <v>5.46149175134076E-2</v>
      </c>
      <c r="M618">
        <v>1.1544011544011501E-3</v>
      </c>
      <c r="N618">
        <v>6.77295017267226E-3</v>
      </c>
      <c r="O618">
        <v>1129</v>
      </c>
      <c r="P618">
        <v>8.5578002244668896E-2</v>
      </c>
      <c r="Q618">
        <v>8.5732318805007104E-2</v>
      </c>
      <c r="R618">
        <v>0</v>
      </c>
      <c r="S618">
        <v>0</v>
      </c>
      <c r="T618" t="s">
        <v>28</v>
      </c>
      <c r="U618">
        <v>9.1698113207547102E-2</v>
      </c>
      <c r="V618">
        <v>0</v>
      </c>
      <c r="W618">
        <v>0</v>
      </c>
      <c r="X618">
        <v>2.2538989323695701E-2</v>
      </c>
      <c r="Y618">
        <v>4.9891798366971198E-2</v>
      </c>
      <c r="Z618">
        <v>5.4055981415870202E-2</v>
      </c>
      <c r="AA618">
        <v>0</v>
      </c>
      <c r="AB618">
        <f t="shared" si="63"/>
        <v>3.2711616630986907E-2</v>
      </c>
      <c r="AC618">
        <f t="shared" si="68"/>
        <v>0.25</v>
      </c>
      <c r="AD618">
        <f t="shared" si="64"/>
        <v>0</v>
      </c>
      <c r="AE618">
        <f t="shared" si="69"/>
        <v>4.0889520788733633E-2</v>
      </c>
      <c r="AF618" t="str">
        <f t="shared" si="65"/>
        <v>Very Low</v>
      </c>
      <c r="AG618" t="str">
        <f t="shared" si="66"/>
        <v>NO ACTION</v>
      </c>
      <c r="AH618" t="str">
        <f t="shared" si="67"/>
        <v/>
      </c>
    </row>
    <row r="619" spans="1:34" x14ac:dyDescent="0.3">
      <c r="A619" t="s">
        <v>646</v>
      </c>
      <c r="B619">
        <v>0.26086956521739102</v>
      </c>
      <c r="C619">
        <v>0.72175814755102496</v>
      </c>
      <c r="D619">
        <v>0.39600197378580998</v>
      </c>
      <c r="E619">
        <v>0</v>
      </c>
      <c r="F619">
        <v>0</v>
      </c>
      <c r="G619">
        <v>0.41841494588144701</v>
      </c>
      <c r="H619">
        <v>7</v>
      </c>
      <c r="I619">
        <v>17</v>
      </c>
      <c r="J619">
        <v>9.0358284432994596E-2</v>
      </c>
      <c r="K619">
        <v>1.30505709624796E-2</v>
      </c>
      <c r="L619">
        <v>3.6795539769140698E-2</v>
      </c>
      <c r="M619">
        <v>4.0404040404040404E-3</v>
      </c>
      <c r="N619">
        <v>2.6950920473827199E-2</v>
      </c>
      <c r="O619">
        <v>842</v>
      </c>
      <c r="P619">
        <v>7.4003928170594799E-2</v>
      </c>
      <c r="Q619">
        <v>7.4161085592061401E-2</v>
      </c>
      <c r="R619">
        <v>0</v>
      </c>
      <c r="S619">
        <v>0</v>
      </c>
      <c r="T619" t="s">
        <v>53</v>
      </c>
      <c r="U619">
        <v>1.8113207547169798E-2</v>
      </c>
      <c r="V619">
        <v>0</v>
      </c>
      <c r="W619">
        <v>0</v>
      </c>
      <c r="X619">
        <v>0.118800592135743</v>
      </c>
      <c r="Y619">
        <v>4.4554702913317402E-2</v>
      </c>
      <c r="Z619">
        <v>5.5182725091887798E-2</v>
      </c>
      <c r="AA619">
        <v>0</v>
      </c>
      <c r="AB619">
        <f t="shared" si="63"/>
        <v>4.693457458317634E-2</v>
      </c>
      <c r="AC619">
        <f t="shared" si="68"/>
        <v>0.1</v>
      </c>
      <c r="AD619">
        <f t="shared" si="64"/>
        <v>0</v>
      </c>
      <c r="AE619">
        <f t="shared" si="69"/>
        <v>5.1628032041493979E-2</v>
      </c>
      <c r="AF619" t="str">
        <f t="shared" si="65"/>
        <v>Very Low</v>
      </c>
      <c r="AG619" t="str">
        <f t="shared" si="66"/>
        <v>NO ACTION</v>
      </c>
      <c r="AH619" t="str">
        <f t="shared" si="67"/>
        <v/>
      </c>
    </row>
    <row r="620" spans="1:34" x14ac:dyDescent="0.3">
      <c r="A620" t="s">
        <v>647</v>
      </c>
      <c r="B620">
        <v>0.12892249527410199</v>
      </c>
      <c r="C620">
        <v>0.18476582604220201</v>
      </c>
      <c r="D620">
        <v>0</v>
      </c>
      <c r="E620">
        <v>0</v>
      </c>
      <c r="F620">
        <v>0</v>
      </c>
      <c r="G620">
        <v>0.99367899576486896</v>
      </c>
      <c r="H620">
        <v>7</v>
      </c>
      <c r="I620">
        <v>7</v>
      </c>
      <c r="J620">
        <v>9.9804398645102793E-2</v>
      </c>
      <c r="K620">
        <v>6.5252854812398002E-3</v>
      </c>
      <c r="L620">
        <v>1.6660641397615202E-2</v>
      </c>
      <c r="M620">
        <v>2.0202020202020202E-3</v>
      </c>
      <c r="N620">
        <v>1.22030991845011E-2</v>
      </c>
      <c r="O620">
        <v>935</v>
      </c>
      <c r="P620">
        <v>7.7160493827160503E-2</v>
      </c>
      <c r="Q620">
        <v>7.7316876468319307E-2</v>
      </c>
      <c r="R620">
        <v>0</v>
      </c>
      <c r="S620">
        <v>0</v>
      </c>
      <c r="T620" t="s">
        <v>28</v>
      </c>
      <c r="U620">
        <v>1.6981132075471601E-2</v>
      </c>
      <c r="V620">
        <v>0</v>
      </c>
      <c r="W620">
        <v>0</v>
      </c>
      <c r="X620">
        <v>0</v>
      </c>
      <c r="Y620">
        <v>3.1952130183178502E-2</v>
      </c>
      <c r="Z620">
        <v>5.1177535970096701E-2</v>
      </c>
      <c r="AA620">
        <v>0</v>
      </c>
      <c r="AB620">
        <f t="shared" si="63"/>
        <v>2.327630652291706E-2</v>
      </c>
      <c r="AC620">
        <f t="shared" si="68"/>
        <v>0.25</v>
      </c>
      <c r="AD620">
        <f t="shared" si="64"/>
        <v>0</v>
      </c>
      <c r="AE620">
        <f t="shared" si="69"/>
        <v>2.9095383153646327E-2</v>
      </c>
      <c r="AF620" t="str">
        <f t="shared" si="65"/>
        <v>Very Low</v>
      </c>
      <c r="AG620" t="str">
        <f t="shared" si="66"/>
        <v>NO ACTION</v>
      </c>
      <c r="AH620" t="str">
        <f t="shared" si="67"/>
        <v/>
      </c>
    </row>
    <row r="621" spans="1:34" x14ac:dyDescent="0.3">
      <c r="A621" t="s">
        <v>648</v>
      </c>
      <c r="B621">
        <v>0.248393194706994</v>
      </c>
      <c r="C621">
        <v>0.57693897874599998</v>
      </c>
      <c r="D621">
        <v>0.40503079147390503</v>
      </c>
      <c r="E621">
        <v>0.13783829214994101</v>
      </c>
      <c r="F621">
        <v>1.81543116490166E-2</v>
      </c>
      <c r="G621">
        <v>0.44693790389364801</v>
      </c>
      <c r="H621">
        <v>0</v>
      </c>
      <c r="I621">
        <v>22</v>
      </c>
      <c r="J621">
        <v>9.3506989170363999E-2</v>
      </c>
      <c r="K621">
        <v>2.8548123980424101E-2</v>
      </c>
      <c r="L621">
        <v>7.7786754158903904E-2</v>
      </c>
      <c r="M621">
        <v>8.3694083694083703E-3</v>
      </c>
      <c r="N621">
        <v>5.3951804486155601E-2</v>
      </c>
      <c r="O621">
        <v>824</v>
      </c>
      <c r="P621">
        <v>8.5086980920314206E-2</v>
      </c>
      <c r="Q621">
        <v>8.5241418002033706E-2</v>
      </c>
      <c r="R621">
        <v>1.4749262536873101E-2</v>
      </c>
      <c r="S621">
        <v>1</v>
      </c>
      <c r="T621" t="s">
        <v>53</v>
      </c>
      <c r="U621">
        <v>1.98113207547169E-2</v>
      </c>
      <c r="V621">
        <v>0</v>
      </c>
      <c r="W621">
        <v>4.6083957050717599E-2</v>
      </c>
      <c r="X621">
        <v>0.17012244974676</v>
      </c>
      <c r="Y621">
        <v>7.3780316259371398E-2</v>
      </c>
      <c r="Z621">
        <v>7.26329103466508E-2</v>
      </c>
      <c r="AA621">
        <v>1.4749262536873101E-2</v>
      </c>
      <c r="AB621">
        <f t="shared" si="63"/>
        <v>7.234508891949229E-2</v>
      </c>
      <c r="AC621">
        <f t="shared" si="68"/>
        <v>0.1</v>
      </c>
      <c r="AD621">
        <f t="shared" si="64"/>
        <v>0</v>
      </c>
      <c r="AE621">
        <f t="shared" si="69"/>
        <v>7.9579597811441527E-2</v>
      </c>
      <c r="AF621" t="str">
        <f t="shared" si="65"/>
        <v>Very Low</v>
      </c>
      <c r="AG621" t="str">
        <f t="shared" si="66"/>
        <v>NO ACTION</v>
      </c>
      <c r="AH621" t="str">
        <f t="shared" si="67"/>
        <v/>
      </c>
    </row>
    <row r="622" spans="1:34" x14ac:dyDescent="0.3">
      <c r="A622" t="s">
        <v>649</v>
      </c>
      <c r="B622">
        <v>0.12892249527410199</v>
      </c>
      <c r="C622">
        <v>0.18476582604220201</v>
      </c>
      <c r="D622">
        <v>0</v>
      </c>
      <c r="E622">
        <v>0</v>
      </c>
      <c r="F622">
        <v>0</v>
      </c>
      <c r="G622">
        <v>0.99369532101115499</v>
      </c>
      <c r="H622">
        <v>7</v>
      </c>
      <c r="I622">
        <v>7</v>
      </c>
      <c r="J622">
        <v>9.0453699728066397E-2</v>
      </c>
      <c r="K622">
        <v>8.1566068515497494E-3</v>
      </c>
      <c r="L622">
        <v>2.2973017497895199E-2</v>
      </c>
      <c r="M622">
        <v>3.7518037518037501E-3</v>
      </c>
      <c r="N622">
        <v>2.49995255781683E-2</v>
      </c>
      <c r="O622">
        <v>885</v>
      </c>
      <c r="P622">
        <v>7.1829405162738502E-2</v>
      </c>
      <c r="Q622">
        <v>7.1987096321750405E-2</v>
      </c>
      <c r="R622">
        <v>0</v>
      </c>
      <c r="S622">
        <v>0</v>
      </c>
      <c r="T622" t="s">
        <v>53</v>
      </c>
      <c r="U622">
        <v>1.21293800539083E-2</v>
      </c>
      <c r="V622">
        <v>0</v>
      </c>
      <c r="W622">
        <v>0</v>
      </c>
      <c r="X622">
        <v>0</v>
      </c>
      <c r="Y622">
        <v>3.7077106368011398E-2</v>
      </c>
      <c r="Z622">
        <v>5.3097453328910402E-2</v>
      </c>
      <c r="AA622">
        <v>0</v>
      </c>
      <c r="AB622">
        <f t="shared" si="63"/>
        <v>2.5248876715138105E-2</v>
      </c>
      <c r="AC622">
        <f t="shared" si="68"/>
        <v>0.1</v>
      </c>
      <c r="AD622">
        <f t="shared" si="64"/>
        <v>0</v>
      </c>
      <c r="AE622">
        <f t="shared" si="69"/>
        <v>2.7773764386651918E-2</v>
      </c>
      <c r="AF622" t="str">
        <f t="shared" si="65"/>
        <v>Very Low</v>
      </c>
      <c r="AG622" t="str">
        <f t="shared" si="66"/>
        <v>NO ACTION</v>
      </c>
      <c r="AH622" t="str">
        <f t="shared" si="67"/>
        <v/>
      </c>
    </row>
    <row r="623" spans="1:34" x14ac:dyDescent="0.3">
      <c r="A623" t="s">
        <v>650</v>
      </c>
      <c r="B623">
        <v>0.12892249527410199</v>
      </c>
      <c r="C623">
        <v>0.18476582604220201</v>
      </c>
      <c r="D623">
        <v>0</v>
      </c>
      <c r="E623">
        <v>0</v>
      </c>
      <c r="F623">
        <v>0</v>
      </c>
      <c r="G623">
        <v>0.99368726543880703</v>
      </c>
      <c r="H623">
        <v>7</v>
      </c>
      <c r="I623">
        <v>7</v>
      </c>
      <c r="J623">
        <v>9.4031773293258902E-2</v>
      </c>
      <c r="K623">
        <v>1.4681892332789499E-2</v>
      </c>
      <c r="L623">
        <v>3.9781918661082001E-2</v>
      </c>
      <c r="M623">
        <v>8.6580086580086504E-4</v>
      </c>
      <c r="N623">
        <v>5.5501516027831798E-3</v>
      </c>
      <c r="O623">
        <v>943</v>
      </c>
      <c r="P623">
        <v>7.5862794612794604E-2</v>
      </c>
      <c r="Q623">
        <v>7.6019495774746607E-2</v>
      </c>
      <c r="R623">
        <v>0</v>
      </c>
      <c r="S623">
        <v>0</v>
      </c>
      <c r="T623" t="s">
        <v>53</v>
      </c>
      <c r="U623">
        <v>7.6415094339622597E-2</v>
      </c>
      <c r="V623">
        <v>0</v>
      </c>
      <c r="W623">
        <v>0</v>
      </c>
      <c r="X623">
        <v>0</v>
      </c>
      <c r="Y623">
        <v>4.0362359470027698E-2</v>
      </c>
      <c r="Z623">
        <v>4.7737737408789997E-2</v>
      </c>
      <c r="AA623">
        <v>0</v>
      </c>
      <c r="AB623">
        <f t="shared" si="63"/>
        <v>2.4668027126068956E-2</v>
      </c>
      <c r="AC623">
        <f t="shared" si="68"/>
        <v>0.1</v>
      </c>
      <c r="AD623">
        <f t="shared" si="64"/>
        <v>0</v>
      </c>
      <c r="AE623">
        <f t="shared" si="69"/>
        <v>2.7134829838675854E-2</v>
      </c>
      <c r="AF623" t="str">
        <f t="shared" si="65"/>
        <v>Very Low</v>
      </c>
      <c r="AG623" t="str">
        <f t="shared" si="66"/>
        <v>NO ACTION</v>
      </c>
      <c r="AH623" t="str">
        <f t="shared" si="67"/>
        <v/>
      </c>
    </row>
    <row r="624" spans="1:34" x14ac:dyDescent="0.3">
      <c r="A624" t="s">
        <v>651</v>
      </c>
      <c r="B624">
        <v>0.12892249527410199</v>
      </c>
      <c r="C624">
        <v>0</v>
      </c>
      <c r="D624">
        <v>0</v>
      </c>
      <c r="E624">
        <v>0</v>
      </c>
      <c r="F624">
        <v>1</v>
      </c>
      <c r="G624">
        <v>0.99369344762223699</v>
      </c>
      <c r="H624">
        <v>6</v>
      </c>
      <c r="I624">
        <v>6</v>
      </c>
      <c r="J624">
        <v>8.9928915605171494E-2</v>
      </c>
      <c r="K624">
        <v>1.4681892332789499E-2</v>
      </c>
      <c r="L624">
        <v>4.1592101203332302E-2</v>
      </c>
      <c r="M624">
        <v>2.3088023088023001E-3</v>
      </c>
      <c r="N624">
        <v>1.54738618230681E-2</v>
      </c>
      <c r="O624">
        <v>812</v>
      </c>
      <c r="P624">
        <v>7.3547979797979807E-2</v>
      </c>
      <c r="Q624">
        <v>7.3705249132157494E-2</v>
      </c>
      <c r="R624">
        <v>0</v>
      </c>
      <c r="S624">
        <v>0</v>
      </c>
      <c r="T624" t="s">
        <v>53</v>
      </c>
      <c r="U624">
        <v>3.3962264150943298E-2</v>
      </c>
      <c r="V624">
        <v>0</v>
      </c>
      <c r="W624">
        <v>0</v>
      </c>
      <c r="X624">
        <v>0.4</v>
      </c>
      <c r="Y624">
        <v>4.3423992269620897E-2</v>
      </c>
      <c r="Z624">
        <v>5.0318332608015097E-2</v>
      </c>
      <c r="AA624">
        <v>0</v>
      </c>
      <c r="AB624">
        <f t="shared" si="63"/>
        <v>9.0247850965738091E-2</v>
      </c>
      <c r="AC624">
        <f t="shared" si="68"/>
        <v>0.1</v>
      </c>
      <c r="AD624">
        <f t="shared" si="64"/>
        <v>0.08</v>
      </c>
      <c r="AE624">
        <f t="shared" si="69"/>
        <v>0.10649246413957096</v>
      </c>
      <c r="AF624" t="str">
        <f t="shared" si="65"/>
        <v>Very Low</v>
      </c>
      <c r="AG624" t="str">
        <f t="shared" si="66"/>
        <v>NO ACTION</v>
      </c>
      <c r="AH624" t="str">
        <f t="shared" si="67"/>
        <v/>
      </c>
    </row>
    <row r="625" spans="1:34" x14ac:dyDescent="0.3">
      <c r="A625" t="s">
        <v>652</v>
      </c>
      <c r="B625">
        <v>0.18071833648393101</v>
      </c>
      <c r="C625">
        <v>0.79847970051018302</v>
      </c>
      <c r="D625">
        <v>0.36901176256186102</v>
      </c>
      <c r="E625">
        <v>0</v>
      </c>
      <c r="F625">
        <v>0</v>
      </c>
      <c r="G625">
        <v>0.412433160374161</v>
      </c>
      <c r="H625">
        <v>8</v>
      </c>
      <c r="I625">
        <v>16</v>
      </c>
      <c r="J625">
        <v>2.18978102189781E-2</v>
      </c>
      <c r="K625">
        <v>1.6313213703099501E-3</v>
      </c>
      <c r="L625">
        <v>1.8824011320473601E-2</v>
      </c>
      <c r="M625">
        <v>2.2799422799422799E-2</v>
      </c>
      <c r="N625">
        <v>0.62241441508682804</v>
      </c>
      <c r="O625">
        <v>184</v>
      </c>
      <c r="P625">
        <v>2.78829966329966E-2</v>
      </c>
      <c r="Q625">
        <v>2.8051474455625999E-2</v>
      </c>
      <c r="R625">
        <v>0</v>
      </c>
      <c r="S625">
        <v>0</v>
      </c>
      <c r="T625" t="s">
        <v>53</v>
      </c>
      <c r="U625">
        <v>4.2452830188679201E-4</v>
      </c>
      <c r="V625">
        <v>0</v>
      </c>
      <c r="W625">
        <v>0</v>
      </c>
      <c r="X625">
        <v>0.110703528768558</v>
      </c>
      <c r="Y625">
        <v>0.20051589223008101</v>
      </c>
      <c r="Z625">
        <v>0.26569556401452898</v>
      </c>
      <c r="AA625">
        <v>0</v>
      </c>
      <c r="AB625">
        <f t="shared" si="63"/>
        <v>0.14825177235146009</v>
      </c>
      <c r="AC625">
        <f t="shared" si="68"/>
        <v>0.1</v>
      </c>
      <c r="AD625">
        <f t="shared" si="64"/>
        <v>0</v>
      </c>
      <c r="AE625">
        <f t="shared" si="69"/>
        <v>0.1630769495866061</v>
      </c>
      <c r="AF625" t="str">
        <f t="shared" si="65"/>
        <v>Very Low</v>
      </c>
      <c r="AG625" t="str">
        <f t="shared" si="66"/>
        <v>NO ACTION</v>
      </c>
      <c r="AH625" t="str">
        <f t="shared" si="67"/>
        <v/>
      </c>
    </row>
    <row r="626" spans="1:34" x14ac:dyDescent="0.3">
      <c r="A626" t="s">
        <v>653</v>
      </c>
      <c r="B626">
        <v>0.12892249527410199</v>
      </c>
      <c r="C626">
        <v>0.18476582604220201</v>
      </c>
      <c r="D626">
        <v>0</v>
      </c>
      <c r="E626">
        <v>0</v>
      </c>
      <c r="F626">
        <v>0</v>
      </c>
      <c r="G626">
        <v>0.99369106574204102</v>
      </c>
      <c r="H626">
        <v>7</v>
      </c>
      <c r="I626">
        <v>7</v>
      </c>
      <c r="J626">
        <v>7.8335957253947805E-2</v>
      </c>
      <c r="K626">
        <v>1.8760195758564399E-2</v>
      </c>
      <c r="L626">
        <v>6.0986596482117399E-2</v>
      </c>
      <c r="M626">
        <v>3.1746031746031698E-3</v>
      </c>
      <c r="N626">
        <v>2.4415724597873899E-2</v>
      </c>
      <c r="O626">
        <v>795</v>
      </c>
      <c r="P626">
        <v>6.7199775533108796E-2</v>
      </c>
      <c r="Q626">
        <v>6.7358603036572096E-2</v>
      </c>
      <c r="R626">
        <v>0</v>
      </c>
      <c r="S626">
        <v>0</v>
      </c>
      <c r="T626" t="s">
        <v>53</v>
      </c>
      <c r="U626">
        <v>3.2547169811320699E-2</v>
      </c>
      <c r="V626">
        <v>0</v>
      </c>
      <c r="W626">
        <v>0</v>
      </c>
      <c r="X626">
        <v>0</v>
      </c>
      <c r="Y626">
        <v>5.3485207071210399E-2</v>
      </c>
      <c r="Z626">
        <v>5.0086155159014899E-2</v>
      </c>
      <c r="AA626">
        <v>0</v>
      </c>
      <c r="AB626">
        <f t="shared" si="63"/>
        <v>2.8999981424463084E-2</v>
      </c>
      <c r="AC626">
        <f t="shared" si="68"/>
        <v>0.1</v>
      </c>
      <c r="AD626">
        <f t="shared" si="64"/>
        <v>0</v>
      </c>
      <c r="AE626">
        <f t="shared" si="69"/>
        <v>3.1899979566909396E-2</v>
      </c>
      <c r="AF626" t="str">
        <f t="shared" si="65"/>
        <v>Very Low</v>
      </c>
      <c r="AG626" t="str">
        <f t="shared" si="66"/>
        <v>NO ACTION</v>
      </c>
      <c r="AH626" t="str">
        <f t="shared" si="67"/>
        <v/>
      </c>
    </row>
    <row r="627" spans="1:34" x14ac:dyDescent="0.3">
      <c r="A627" t="s">
        <v>654</v>
      </c>
      <c r="B627">
        <v>0.29187145557655902</v>
      </c>
      <c r="C627">
        <v>0.83644632330703295</v>
      </c>
      <c r="D627">
        <v>0.480981697979667</v>
      </c>
      <c r="E627">
        <v>0.17611683848797199</v>
      </c>
      <c r="F627">
        <v>3.8659793814432901E-2</v>
      </c>
      <c r="G627">
        <v>0.35863454246215498</v>
      </c>
      <c r="H627">
        <v>0</v>
      </c>
      <c r="I627">
        <v>23</v>
      </c>
      <c r="J627">
        <v>9.2695959162253705E-2</v>
      </c>
      <c r="K627">
        <v>1.6313213703099499E-2</v>
      </c>
      <c r="L627">
        <v>4.4837480763345899E-2</v>
      </c>
      <c r="M627">
        <v>4.0404040404040404E-3</v>
      </c>
      <c r="N627">
        <v>2.6272996909547201E-2</v>
      </c>
      <c r="O627">
        <v>872</v>
      </c>
      <c r="P627">
        <v>7.7125420875420805E-2</v>
      </c>
      <c r="Q627">
        <v>7.7281812125249802E-2</v>
      </c>
      <c r="R627">
        <v>0.72861356932153298</v>
      </c>
      <c r="S627">
        <v>1</v>
      </c>
      <c r="T627" t="s">
        <v>53</v>
      </c>
      <c r="U627">
        <v>2.26415094339622E-2</v>
      </c>
      <c r="V627">
        <v>0</v>
      </c>
      <c r="W627">
        <v>5.6567249664585803E-2</v>
      </c>
      <c r="X627">
        <v>0.21259347846606499</v>
      </c>
      <c r="Y627">
        <v>4.8839831286987802E-2</v>
      </c>
      <c r="Z627">
        <v>5.6784451289071398E-2</v>
      </c>
      <c r="AA627">
        <v>0.72861356932153298</v>
      </c>
      <c r="AB627">
        <f t="shared" si="63"/>
        <v>0.26760155508589623</v>
      </c>
      <c r="AC627">
        <f t="shared" si="68"/>
        <v>0.1</v>
      </c>
      <c r="AD627">
        <f t="shared" si="64"/>
        <v>0</v>
      </c>
      <c r="AE627">
        <f t="shared" si="69"/>
        <v>0.29436171059448585</v>
      </c>
      <c r="AF627" t="str">
        <f t="shared" si="65"/>
        <v>Low</v>
      </c>
      <c r="AG627" t="str">
        <f t="shared" si="66"/>
        <v>NO ACTION</v>
      </c>
      <c r="AH627" t="str">
        <f t="shared" si="67"/>
        <v/>
      </c>
    </row>
    <row r="628" spans="1:34" x14ac:dyDescent="0.3">
      <c r="A628" t="s">
        <v>655</v>
      </c>
      <c r="B628">
        <v>0.12892249527410199</v>
      </c>
      <c r="C628">
        <v>0.36953165208440503</v>
      </c>
      <c r="D628">
        <v>0</v>
      </c>
      <c r="E628">
        <v>0</v>
      </c>
      <c r="F628">
        <v>0</v>
      </c>
      <c r="G628">
        <v>0.99367594481720201</v>
      </c>
      <c r="H628">
        <v>8</v>
      </c>
      <c r="I628">
        <v>8</v>
      </c>
      <c r="J628">
        <v>0.12327656123276499</v>
      </c>
      <c r="K628">
        <v>1.9575856443719401E-2</v>
      </c>
      <c r="L628">
        <v>4.0483621101737102E-2</v>
      </c>
      <c r="M628">
        <v>8.6580086580086504E-4</v>
      </c>
      <c r="N628">
        <v>4.2360369127460596E-3</v>
      </c>
      <c r="O628">
        <v>1064</v>
      </c>
      <c r="P628">
        <v>9.9466891133557805E-2</v>
      </c>
      <c r="Q628">
        <v>9.9617798660542101E-2</v>
      </c>
      <c r="R628">
        <v>0</v>
      </c>
      <c r="S628">
        <v>0</v>
      </c>
      <c r="T628" t="s">
        <v>28</v>
      </c>
      <c r="U628">
        <v>0.10188679245283</v>
      </c>
      <c r="V628">
        <v>0</v>
      </c>
      <c r="W628">
        <v>0</v>
      </c>
      <c r="X628">
        <v>0</v>
      </c>
      <c r="Y628">
        <v>4.6167933871245501E-2</v>
      </c>
      <c r="Z628">
        <v>6.1374549445233101E-2</v>
      </c>
      <c r="AA628">
        <v>0</v>
      </c>
      <c r="AB628">
        <f t="shared" si="63"/>
        <v>3.0111895328614011E-2</v>
      </c>
      <c r="AC628">
        <f t="shared" si="68"/>
        <v>0.25</v>
      </c>
      <c r="AD628">
        <f t="shared" si="64"/>
        <v>0</v>
      </c>
      <c r="AE628">
        <f t="shared" si="69"/>
        <v>3.7639869160767517E-2</v>
      </c>
      <c r="AF628" t="str">
        <f t="shared" si="65"/>
        <v>Very Low</v>
      </c>
      <c r="AG628" t="str">
        <f t="shared" si="66"/>
        <v>NO ACTION</v>
      </c>
      <c r="AH628" t="str">
        <f t="shared" si="67"/>
        <v/>
      </c>
    </row>
    <row r="629" spans="1:34" x14ac:dyDescent="0.3">
      <c r="A629" t="s">
        <v>656</v>
      </c>
      <c r="B629">
        <v>0.25444234404536797</v>
      </c>
      <c r="C629">
        <v>0.58622894289313299</v>
      </c>
      <c r="D629">
        <v>0.36043889393936102</v>
      </c>
      <c r="E629">
        <v>0</v>
      </c>
      <c r="F629">
        <v>0</v>
      </c>
      <c r="G629">
        <v>0.43294694745950701</v>
      </c>
      <c r="H629">
        <v>7</v>
      </c>
      <c r="I629">
        <v>14</v>
      </c>
      <c r="J629">
        <v>5.7344592338151798E-2</v>
      </c>
      <c r="K629">
        <v>8.9722675367047301E-3</v>
      </c>
      <c r="L629">
        <v>3.9800229403354398E-2</v>
      </c>
      <c r="M629">
        <v>1.7316017316017301E-3</v>
      </c>
      <c r="N629">
        <v>1.8172493068930502E-2</v>
      </c>
      <c r="O629">
        <v>552</v>
      </c>
      <c r="P629">
        <v>4.6857463524130102E-2</v>
      </c>
      <c r="Q629">
        <v>4.7021284056243201E-2</v>
      </c>
      <c r="R629">
        <v>0.77286135693215297</v>
      </c>
      <c r="S629">
        <v>1</v>
      </c>
      <c r="T629" t="s">
        <v>53</v>
      </c>
      <c r="U629">
        <v>2.6684636118598299E-2</v>
      </c>
      <c r="V629">
        <v>0</v>
      </c>
      <c r="W629">
        <v>0</v>
      </c>
      <c r="X629">
        <v>0.108131668181808</v>
      </c>
      <c r="Y629">
        <v>3.6820781089986702E-2</v>
      </c>
      <c r="Z629">
        <v>3.5383475342050302E-2</v>
      </c>
      <c r="AA629">
        <v>0.77286135693215297</v>
      </c>
      <c r="AB629">
        <f t="shared" si="63"/>
        <v>0.25391943865106248</v>
      </c>
      <c r="AC629">
        <f t="shared" si="68"/>
        <v>0.1</v>
      </c>
      <c r="AD629">
        <f t="shared" si="64"/>
        <v>0</v>
      </c>
      <c r="AE629">
        <f t="shared" si="69"/>
        <v>0.27931138251616877</v>
      </c>
      <c r="AF629" t="str">
        <f t="shared" si="65"/>
        <v>Low</v>
      </c>
      <c r="AG629" t="str">
        <f t="shared" si="66"/>
        <v>NO ACTION</v>
      </c>
      <c r="AH629" t="str">
        <f t="shared" si="67"/>
        <v/>
      </c>
    </row>
    <row r="630" spans="1:34" x14ac:dyDescent="0.3">
      <c r="A630" t="s">
        <v>657</v>
      </c>
      <c r="B630">
        <v>0.26918714555765599</v>
      </c>
      <c r="C630">
        <v>0.70577448914165397</v>
      </c>
      <c r="D630">
        <v>0.36992104550631499</v>
      </c>
      <c r="E630">
        <v>0</v>
      </c>
      <c r="F630">
        <v>0</v>
      </c>
      <c r="G630">
        <v>0.40119966136391</v>
      </c>
      <c r="H630">
        <v>7</v>
      </c>
      <c r="I630">
        <v>15</v>
      </c>
      <c r="J630">
        <v>8.5205858499117396E-2</v>
      </c>
      <c r="K630">
        <v>1.4681892332789499E-2</v>
      </c>
      <c r="L630">
        <v>4.3891162073868201E-2</v>
      </c>
      <c r="M630">
        <v>2.3088023088023001E-3</v>
      </c>
      <c r="N630">
        <v>1.6329200918815599E-2</v>
      </c>
      <c r="O630">
        <v>842</v>
      </c>
      <c r="P630">
        <v>7.00757575757575E-2</v>
      </c>
      <c r="Q630">
        <v>7.02338791682737E-2</v>
      </c>
      <c r="R630">
        <v>0</v>
      </c>
      <c r="S630">
        <v>0</v>
      </c>
      <c r="T630" t="s">
        <v>53</v>
      </c>
      <c r="U630">
        <v>3.3962264150943298E-2</v>
      </c>
      <c r="V630">
        <v>0</v>
      </c>
      <c r="W630">
        <v>0</v>
      </c>
      <c r="X630">
        <v>0.110976313651894</v>
      </c>
      <c r="Y630">
        <v>4.3885513012402302E-2</v>
      </c>
      <c r="Z630">
        <v>4.8577134912980803E-2</v>
      </c>
      <c r="AA630">
        <v>0</v>
      </c>
      <c r="AB630">
        <f t="shared" si="63"/>
        <v>4.3645751603410311E-2</v>
      </c>
      <c r="AC630">
        <f t="shared" si="68"/>
        <v>0.1</v>
      </c>
      <c r="AD630">
        <f t="shared" si="64"/>
        <v>0</v>
      </c>
      <c r="AE630">
        <f t="shared" si="69"/>
        <v>4.8010326763751346E-2</v>
      </c>
      <c r="AF630" t="str">
        <f t="shared" si="65"/>
        <v>Very Low</v>
      </c>
      <c r="AG630" t="str">
        <f t="shared" si="66"/>
        <v>NO ACTION</v>
      </c>
      <c r="AH630" t="str">
        <f t="shared" si="67"/>
        <v/>
      </c>
    </row>
    <row r="631" spans="1:34" x14ac:dyDescent="0.3">
      <c r="A631" t="s">
        <v>658</v>
      </c>
      <c r="B631">
        <v>0.12892249527410199</v>
      </c>
      <c r="C631">
        <v>0.27902317497967399</v>
      </c>
      <c r="D631">
        <v>7.51173381640724E-2</v>
      </c>
      <c r="E631">
        <v>0</v>
      </c>
      <c r="F631">
        <v>0</v>
      </c>
      <c r="G631">
        <v>0.99365349091288402</v>
      </c>
      <c r="H631">
        <v>7</v>
      </c>
      <c r="I631">
        <v>8</v>
      </c>
      <c r="J631">
        <v>7.3088116024998803E-2</v>
      </c>
      <c r="K631">
        <v>1.2234910277324601E-2</v>
      </c>
      <c r="L631">
        <v>4.2620402989751699E-2</v>
      </c>
      <c r="M631">
        <v>5.7720057720057698E-4</v>
      </c>
      <c r="N631">
        <v>4.7569288948599202E-3</v>
      </c>
      <c r="O631">
        <v>739</v>
      </c>
      <c r="P631">
        <v>5.92732884399551E-2</v>
      </c>
      <c r="Q631">
        <v>5.9434061502857703E-2</v>
      </c>
      <c r="R631">
        <v>0</v>
      </c>
      <c r="S631">
        <v>0</v>
      </c>
      <c r="T631" t="s">
        <v>53</v>
      </c>
      <c r="U631">
        <v>8.4905660377358402E-2</v>
      </c>
      <c r="V631">
        <v>0</v>
      </c>
      <c r="W631">
        <v>0</v>
      </c>
      <c r="X631">
        <v>2.2535201449221699E-2</v>
      </c>
      <c r="Y631">
        <v>3.7354903368333497E-2</v>
      </c>
      <c r="Z631">
        <v>3.7466744621917E-2</v>
      </c>
      <c r="AA631">
        <v>0</v>
      </c>
      <c r="AB631">
        <f t="shared" si="63"/>
        <v>2.4555693669145614E-2</v>
      </c>
      <c r="AC631">
        <f t="shared" si="68"/>
        <v>0.1</v>
      </c>
      <c r="AD631">
        <f t="shared" si="64"/>
        <v>0</v>
      </c>
      <c r="AE631">
        <f t="shared" si="69"/>
        <v>2.7011263036060176E-2</v>
      </c>
      <c r="AF631" t="str">
        <f t="shared" si="65"/>
        <v>Very Low</v>
      </c>
      <c r="AG631" t="str">
        <f t="shared" si="66"/>
        <v>NO ACTION</v>
      </c>
      <c r="AH631" t="str">
        <f t="shared" si="67"/>
        <v/>
      </c>
    </row>
    <row r="632" spans="1:34" x14ac:dyDescent="0.3">
      <c r="A632" t="s">
        <v>659</v>
      </c>
      <c r="B632">
        <v>0.13156899810964001</v>
      </c>
      <c r="C632">
        <v>0.48396048753099602</v>
      </c>
      <c r="D632">
        <v>0.22863962071963001</v>
      </c>
      <c r="E632">
        <v>0</v>
      </c>
      <c r="F632">
        <v>1.7045454545454499E-2</v>
      </c>
      <c r="G632">
        <v>0.97088683830608102</v>
      </c>
      <c r="H632">
        <v>3</v>
      </c>
      <c r="I632">
        <v>23</v>
      </c>
      <c r="J632">
        <v>8.58260579170841E-2</v>
      </c>
      <c r="K632">
        <v>1.0603588907014599E-2</v>
      </c>
      <c r="L632">
        <v>3.1470741764162098E-2</v>
      </c>
      <c r="M632">
        <v>3.1746031746031698E-3</v>
      </c>
      <c r="N632">
        <v>2.22908527786576E-2</v>
      </c>
      <c r="O632">
        <v>820</v>
      </c>
      <c r="P632">
        <v>6.9198933782267102E-2</v>
      </c>
      <c r="Q632">
        <v>6.9357270591535403E-2</v>
      </c>
      <c r="R632">
        <v>0.38643067846607598</v>
      </c>
      <c r="S632">
        <v>1</v>
      </c>
      <c r="T632" t="s">
        <v>53</v>
      </c>
      <c r="U632">
        <v>1.8396226415094301E-2</v>
      </c>
      <c r="V632">
        <v>0</v>
      </c>
      <c r="W632">
        <v>1.7505716584241899E-2</v>
      </c>
      <c r="X632">
        <v>7.5410068034071007E-2</v>
      </c>
      <c r="Y632">
        <v>3.95878382990952E-2</v>
      </c>
      <c r="Z632">
        <v>5.0435701380823303E-2</v>
      </c>
      <c r="AA632">
        <v>0.38643067846607598</v>
      </c>
      <c r="AB632">
        <f t="shared" si="63"/>
        <v>0.14547279196632984</v>
      </c>
      <c r="AC632">
        <f t="shared" si="68"/>
        <v>0.1</v>
      </c>
      <c r="AD632">
        <f t="shared" si="64"/>
        <v>0</v>
      </c>
      <c r="AE632">
        <f t="shared" si="69"/>
        <v>0.16002007116296282</v>
      </c>
      <c r="AF632" t="str">
        <f t="shared" si="65"/>
        <v>Very Low</v>
      </c>
      <c r="AG632" t="str">
        <f t="shared" si="66"/>
        <v>NO ACTION</v>
      </c>
      <c r="AH632" t="str">
        <f t="shared" si="67"/>
        <v/>
      </c>
    </row>
    <row r="633" spans="1:34" x14ac:dyDescent="0.3">
      <c r="A633" t="s">
        <v>660</v>
      </c>
      <c r="B633">
        <v>0.235538752362948</v>
      </c>
      <c r="C633">
        <v>0.602920063927187</v>
      </c>
      <c r="D633">
        <v>0.383982766364244</v>
      </c>
      <c r="E633">
        <v>0</v>
      </c>
      <c r="F633">
        <v>0</v>
      </c>
      <c r="G633">
        <v>0.47936188280987901</v>
      </c>
      <c r="H633">
        <v>7</v>
      </c>
      <c r="I633">
        <v>13</v>
      </c>
      <c r="J633">
        <v>9.1741806211535701E-2</v>
      </c>
      <c r="K633">
        <v>2.0391517128874301E-2</v>
      </c>
      <c r="L633">
        <v>5.66282498230017E-2</v>
      </c>
      <c r="M633">
        <v>2.0202020202020202E-3</v>
      </c>
      <c r="N633">
        <v>1.3272769185632201E-2</v>
      </c>
      <c r="O633">
        <v>932</v>
      </c>
      <c r="P633">
        <v>7.7195566778900104E-2</v>
      </c>
      <c r="Q633">
        <v>7.7351940811388895E-2</v>
      </c>
      <c r="R633">
        <v>0.974926253687315</v>
      </c>
      <c r="S633">
        <v>1</v>
      </c>
      <c r="T633" t="s">
        <v>53</v>
      </c>
      <c r="U633">
        <v>5.3066037735849003E-2</v>
      </c>
      <c r="V633">
        <v>0</v>
      </c>
      <c r="W633">
        <v>0</v>
      </c>
      <c r="X633">
        <v>0.115194829909273</v>
      </c>
      <c r="Y633">
        <v>5.0644316909497597E-2</v>
      </c>
      <c r="Z633">
        <v>5.1626447741592897E-2</v>
      </c>
      <c r="AA633">
        <v>0.974926253687315</v>
      </c>
      <c r="AB633">
        <f t="shared" si="63"/>
        <v>0.32004633792023729</v>
      </c>
      <c r="AC633">
        <f t="shared" si="68"/>
        <v>0.1</v>
      </c>
      <c r="AD633">
        <f t="shared" si="64"/>
        <v>0</v>
      </c>
      <c r="AE633">
        <f t="shared" si="69"/>
        <v>0.35205097171226107</v>
      </c>
      <c r="AF633" t="str">
        <f t="shared" si="65"/>
        <v>Critical</v>
      </c>
      <c r="AG633" t="str">
        <f t="shared" si="66"/>
        <v>CRITICAL ALERT</v>
      </c>
      <c r="AH633" t="str">
        <f t="shared" si="67"/>
        <v>USB anomaly</v>
      </c>
    </row>
    <row r="634" spans="1:34" x14ac:dyDescent="0.3">
      <c r="A634" t="s">
        <v>661</v>
      </c>
      <c r="B634">
        <v>0.12892249527410199</v>
      </c>
      <c r="C634">
        <v>0.27848762186071102</v>
      </c>
      <c r="D634">
        <v>7.5124914167671697E-2</v>
      </c>
      <c r="E634">
        <v>0</v>
      </c>
      <c r="F634">
        <v>0</v>
      </c>
      <c r="G634">
        <v>0.99369210948729503</v>
      </c>
      <c r="H634">
        <v>7</v>
      </c>
      <c r="I634">
        <v>8</v>
      </c>
      <c r="J634">
        <v>9.0739945613281803E-2</v>
      </c>
      <c r="K634">
        <v>1.5497553017944501E-2</v>
      </c>
      <c r="L634">
        <v>4.3511401101545798E-2</v>
      </c>
      <c r="M634">
        <v>4.3290043290043203E-3</v>
      </c>
      <c r="N634">
        <v>2.8754849415572999E-2</v>
      </c>
      <c r="O634">
        <v>901</v>
      </c>
      <c r="P634">
        <v>7.54769921436588E-2</v>
      </c>
      <c r="Q634">
        <v>7.5633788000981805E-2</v>
      </c>
      <c r="R634">
        <v>0</v>
      </c>
      <c r="S634">
        <v>0</v>
      </c>
      <c r="T634" t="s">
        <v>53</v>
      </c>
      <c r="U634">
        <v>2.0165094339622599E-2</v>
      </c>
      <c r="V634">
        <v>0</v>
      </c>
      <c r="W634">
        <v>0</v>
      </c>
      <c r="X634">
        <v>2.25374742503015E-2</v>
      </c>
      <c r="Y634">
        <v>4.8530144498101203E-2</v>
      </c>
      <c r="Z634">
        <v>5.6788135052424499E-2</v>
      </c>
      <c r="AA634">
        <v>0</v>
      </c>
      <c r="AB634">
        <f t="shared" si="63"/>
        <v>3.3095114154195443E-2</v>
      </c>
      <c r="AC634">
        <f t="shared" si="68"/>
        <v>0.1</v>
      </c>
      <c r="AD634">
        <f t="shared" si="64"/>
        <v>0</v>
      </c>
      <c r="AE634">
        <f t="shared" si="69"/>
        <v>3.640462556961499E-2</v>
      </c>
      <c r="AF634" t="str">
        <f t="shared" si="65"/>
        <v>Very Low</v>
      </c>
      <c r="AG634" t="str">
        <f t="shared" si="66"/>
        <v>NO ACTION</v>
      </c>
      <c r="AH634" t="str">
        <f t="shared" si="67"/>
        <v/>
      </c>
    </row>
    <row r="635" spans="1:34" x14ac:dyDescent="0.3">
      <c r="A635" t="s">
        <v>662</v>
      </c>
      <c r="B635">
        <v>0.12892249527410199</v>
      </c>
      <c r="C635">
        <v>0.27795206874174799</v>
      </c>
      <c r="D635">
        <v>7.5129964412319103E-2</v>
      </c>
      <c r="E635">
        <v>0</v>
      </c>
      <c r="F635">
        <v>0</v>
      </c>
      <c r="G635">
        <v>0.99369786346754396</v>
      </c>
      <c r="H635">
        <v>7</v>
      </c>
      <c r="I635">
        <v>8</v>
      </c>
      <c r="J635">
        <v>8.2581937884642895E-2</v>
      </c>
      <c r="K635">
        <v>1.1419249592169599E-2</v>
      </c>
      <c r="L635">
        <v>3.5219117954434602E-2</v>
      </c>
      <c r="M635">
        <v>1.7316017316017301E-3</v>
      </c>
      <c r="N635">
        <v>1.26349073353681E-2</v>
      </c>
      <c r="O635">
        <v>820</v>
      </c>
      <c r="P635">
        <v>6.6463243546576803E-2</v>
      </c>
      <c r="Q635">
        <v>6.6622251832111901E-2</v>
      </c>
      <c r="R635">
        <v>0</v>
      </c>
      <c r="S635">
        <v>0</v>
      </c>
      <c r="T635" t="s">
        <v>53</v>
      </c>
      <c r="U635">
        <v>3.3962264150943298E-2</v>
      </c>
      <c r="V635">
        <v>0</v>
      </c>
      <c r="W635">
        <v>0</v>
      </c>
      <c r="X635">
        <v>2.2538989323695701E-2</v>
      </c>
      <c r="Y635">
        <v>3.7916418754756299E-2</v>
      </c>
      <c r="Z635">
        <v>4.4931909062093399E-2</v>
      </c>
      <c r="AA635">
        <v>0</v>
      </c>
      <c r="AB635">
        <f t="shared" si="63"/>
        <v>2.6803770080509229E-2</v>
      </c>
      <c r="AC635">
        <f t="shared" si="68"/>
        <v>0.1</v>
      </c>
      <c r="AD635">
        <f t="shared" si="64"/>
        <v>0</v>
      </c>
      <c r="AE635">
        <f t="shared" si="69"/>
        <v>2.9484147088560154E-2</v>
      </c>
      <c r="AF635" t="str">
        <f t="shared" si="65"/>
        <v>Very Low</v>
      </c>
      <c r="AG635" t="str">
        <f t="shared" si="66"/>
        <v>NO ACTION</v>
      </c>
      <c r="AH635" t="str">
        <f t="shared" si="67"/>
        <v/>
      </c>
    </row>
    <row r="636" spans="1:34" x14ac:dyDescent="0.3">
      <c r="A636" t="s">
        <v>663</v>
      </c>
      <c r="B636">
        <v>0.12892249527410199</v>
      </c>
      <c r="C636">
        <v>0.36953165208440503</v>
      </c>
      <c r="D636">
        <v>0</v>
      </c>
      <c r="E636">
        <v>0</v>
      </c>
      <c r="F636">
        <v>0</v>
      </c>
      <c r="G636">
        <v>0.99368020008631597</v>
      </c>
      <c r="H636">
        <v>8</v>
      </c>
      <c r="I636">
        <v>8</v>
      </c>
      <c r="J636">
        <v>8.1580077286388997E-2</v>
      </c>
      <c r="K636">
        <v>9.7879282218597003E-3</v>
      </c>
      <c r="L636">
        <v>3.0557462108570601E-2</v>
      </c>
      <c r="M636">
        <v>3.4632034632034602E-3</v>
      </c>
      <c r="N636">
        <v>2.5579240972826899E-2</v>
      </c>
      <c r="O636">
        <v>880</v>
      </c>
      <c r="P636">
        <v>6.5867003367003296E-2</v>
      </c>
      <c r="Q636">
        <v>6.6026157999929794E-2</v>
      </c>
      <c r="R636">
        <v>0</v>
      </c>
      <c r="S636">
        <v>0</v>
      </c>
      <c r="T636" t="s">
        <v>53</v>
      </c>
      <c r="U636">
        <v>1.5674891146589199E-2</v>
      </c>
      <c r="V636">
        <v>0</v>
      </c>
      <c r="W636">
        <v>0</v>
      </c>
      <c r="X636">
        <v>0</v>
      </c>
      <c r="Y636">
        <v>3.9268518803411201E-2</v>
      </c>
      <c r="Z636">
        <v>4.97518984093328E-2</v>
      </c>
      <c r="AA636">
        <v>0</v>
      </c>
      <c r="AB636">
        <f t="shared" si="63"/>
        <v>2.4925716819568323E-2</v>
      </c>
      <c r="AC636">
        <f t="shared" si="68"/>
        <v>0.1</v>
      </c>
      <c r="AD636">
        <f t="shared" si="64"/>
        <v>0</v>
      </c>
      <c r="AE636">
        <f t="shared" si="69"/>
        <v>2.7418288501525157E-2</v>
      </c>
      <c r="AF636" t="str">
        <f t="shared" si="65"/>
        <v>Very Low</v>
      </c>
      <c r="AG636" t="str">
        <f t="shared" si="66"/>
        <v>NO ACTION</v>
      </c>
      <c r="AH636" t="str">
        <f t="shared" si="67"/>
        <v/>
      </c>
    </row>
    <row r="637" spans="1:34" x14ac:dyDescent="0.3">
      <c r="A637" t="s">
        <v>664</v>
      </c>
      <c r="B637">
        <v>0.12892249527410199</v>
      </c>
      <c r="C637">
        <v>0.282236493693451</v>
      </c>
      <c r="D637">
        <v>7.5018780494472401E-2</v>
      </c>
      <c r="E637">
        <v>0</v>
      </c>
      <c r="F637">
        <v>0</v>
      </c>
      <c r="G637">
        <v>0.993693554673032</v>
      </c>
      <c r="H637">
        <v>7</v>
      </c>
      <c r="I637">
        <v>8</v>
      </c>
      <c r="J637">
        <v>8.6207719097371294E-2</v>
      </c>
      <c r="K637">
        <v>1.71288743882544E-2</v>
      </c>
      <c r="L637">
        <v>5.0612904610015302E-2</v>
      </c>
      <c r="M637">
        <v>2.0202020202020202E-3</v>
      </c>
      <c r="N637">
        <v>1.4122460811202499E-2</v>
      </c>
      <c r="O637">
        <v>929</v>
      </c>
      <c r="P637">
        <v>7.1724186307519602E-2</v>
      </c>
      <c r="Q637">
        <v>7.1881903292541793E-2</v>
      </c>
      <c r="R637">
        <v>0</v>
      </c>
      <c r="S637">
        <v>0</v>
      </c>
      <c r="T637" t="s">
        <v>53</v>
      </c>
      <c r="U637">
        <v>4.4575471698113198E-2</v>
      </c>
      <c r="V637">
        <v>0</v>
      </c>
      <c r="W637">
        <v>0</v>
      </c>
      <c r="X637">
        <v>2.25056341483417E-2</v>
      </c>
      <c r="Y637">
        <v>4.6784734367842598E-2</v>
      </c>
      <c r="Z637">
        <v>4.8683496108992801E-2</v>
      </c>
      <c r="AA637">
        <v>0</v>
      </c>
      <c r="AB637">
        <f t="shared" si="63"/>
        <v>3.0332005997248584E-2</v>
      </c>
      <c r="AC637">
        <f t="shared" si="68"/>
        <v>0.1</v>
      </c>
      <c r="AD637">
        <f t="shared" si="64"/>
        <v>0</v>
      </c>
      <c r="AE637">
        <f t="shared" si="69"/>
        <v>3.3365206596973444E-2</v>
      </c>
      <c r="AF637" t="str">
        <f t="shared" si="65"/>
        <v>Very Low</v>
      </c>
      <c r="AG637" t="str">
        <f t="shared" si="66"/>
        <v>NO ACTION</v>
      </c>
      <c r="AH637" t="str">
        <f t="shared" si="67"/>
        <v/>
      </c>
    </row>
    <row r="638" spans="1:34" x14ac:dyDescent="0.3">
      <c r="A638" t="s">
        <v>665</v>
      </c>
      <c r="B638">
        <v>0.27221172022684298</v>
      </c>
      <c r="C638">
        <v>0.73702169283132701</v>
      </c>
      <c r="D638">
        <v>0.39929268618487002</v>
      </c>
      <c r="E638">
        <v>0</v>
      </c>
      <c r="F638">
        <v>0</v>
      </c>
      <c r="G638">
        <v>0.39488495042257099</v>
      </c>
      <c r="H638">
        <v>7</v>
      </c>
      <c r="I638">
        <v>17</v>
      </c>
      <c r="J638">
        <v>9.0262869137922794E-2</v>
      </c>
      <c r="K638">
        <v>8.1566068515497494E-3</v>
      </c>
      <c r="L638">
        <v>2.30214582306267E-2</v>
      </c>
      <c r="M638">
        <v>2.8860028860028799E-3</v>
      </c>
      <c r="N638">
        <v>1.92709533774372E-2</v>
      </c>
      <c r="O638">
        <v>897</v>
      </c>
      <c r="P638">
        <v>7.1268237934904596E-2</v>
      </c>
      <c r="Q638">
        <v>7.1426066832637802E-2</v>
      </c>
      <c r="R638">
        <v>0.96607669616519098</v>
      </c>
      <c r="S638">
        <v>1</v>
      </c>
      <c r="T638" t="s">
        <v>53</v>
      </c>
      <c r="U638">
        <v>1.54373927958833E-2</v>
      </c>
      <c r="V638">
        <v>0</v>
      </c>
      <c r="W638">
        <v>0</v>
      </c>
      <c r="X638">
        <v>0.119787805855461</v>
      </c>
      <c r="Y638">
        <v>3.5344588956129103E-2</v>
      </c>
      <c r="Z638">
        <v>5.0469324111917603E-2</v>
      </c>
      <c r="AA638">
        <v>0.96607669616519098</v>
      </c>
      <c r="AB638">
        <f t="shared" si="63"/>
        <v>0.31369541952218033</v>
      </c>
      <c r="AC638">
        <f t="shared" si="68"/>
        <v>0.1</v>
      </c>
      <c r="AD638">
        <f t="shared" si="64"/>
        <v>0</v>
      </c>
      <c r="AE638">
        <f t="shared" si="69"/>
        <v>0.34506496147439841</v>
      </c>
      <c r="AF638" t="str">
        <f t="shared" si="65"/>
        <v>Critical</v>
      </c>
      <c r="AG638" t="str">
        <f t="shared" si="66"/>
        <v>CRITICAL ALERT</v>
      </c>
      <c r="AH638" t="str">
        <f t="shared" si="67"/>
        <v>USB anomaly</v>
      </c>
    </row>
    <row r="639" spans="1:34" x14ac:dyDescent="0.3">
      <c r="A639" t="s">
        <v>666</v>
      </c>
      <c r="B639">
        <v>0.23969754253308101</v>
      </c>
      <c r="C639">
        <v>0.59397289845228496</v>
      </c>
      <c r="D639">
        <v>0.37748289624452602</v>
      </c>
      <c r="E639">
        <v>0</v>
      </c>
      <c r="F639">
        <v>0</v>
      </c>
      <c r="G639">
        <v>0.46849822091883703</v>
      </c>
      <c r="H639">
        <v>7</v>
      </c>
      <c r="I639">
        <v>16</v>
      </c>
      <c r="J639">
        <v>0.102809980439864</v>
      </c>
      <c r="K639">
        <v>1.2234910277324601E-2</v>
      </c>
      <c r="L639">
        <v>3.03275737940964E-2</v>
      </c>
      <c r="M639">
        <v>3.7518037518037501E-3</v>
      </c>
      <c r="N639">
        <v>2.2001897279675001E-2</v>
      </c>
      <c r="O639">
        <v>994</v>
      </c>
      <c r="P639">
        <v>8.2666947250280495E-2</v>
      </c>
      <c r="Q639">
        <v>8.2821978330235899E-2</v>
      </c>
      <c r="R639">
        <v>0</v>
      </c>
      <c r="S639">
        <v>0</v>
      </c>
      <c r="T639" t="s">
        <v>28</v>
      </c>
      <c r="U639">
        <v>1.81940700808625E-2</v>
      </c>
      <c r="V639">
        <v>0</v>
      </c>
      <c r="W639">
        <v>0</v>
      </c>
      <c r="X639">
        <v>0.113244868873357</v>
      </c>
      <c r="Y639">
        <v>4.2326352168923602E-2</v>
      </c>
      <c r="Z639">
        <v>5.8400927262038299E-2</v>
      </c>
      <c r="AA639">
        <v>0</v>
      </c>
      <c r="AB639">
        <f t="shared" si="63"/>
        <v>4.6322817260406456E-2</v>
      </c>
      <c r="AC639">
        <f t="shared" si="68"/>
        <v>0.25</v>
      </c>
      <c r="AD639">
        <f t="shared" si="64"/>
        <v>0</v>
      </c>
      <c r="AE639">
        <f t="shared" si="69"/>
        <v>5.7903521575508071E-2</v>
      </c>
      <c r="AF639" t="str">
        <f t="shared" si="65"/>
        <v>Very Low</v>
      </c>
      <c r="AG639" t="str">
        <f t="shared" si="66"/>
        <v>NO ACTION</v>
      </c>
      <c r="AH639" t="str">
        <f t="shared" si="67"/>
        <v/>
      </c>
    </row>
    <row r="640" spans="1:34" x14ac:dyDescent="0.3">
      <c r="A640" t="s">
        <v>667</v>
      </c>
      <c r="B640">
        <v>0.23327032136105799</v>
      </c>
      <c r="C640">
        <v>0.76018789941679199</v>
      </c>
      <c r="D640">
        <v>0.36788008244583098</v>
      </c>
      <c r="E640">
        <v>0</v>
      </c>
      <c r="F640">
        <v>0</v>
      </c>
      <c r="G640">
        <v>0.48517136598854199</v>
      </c>
      <c r="H640">
        <v>8</v>
      </c>
      <c r="I640">
        <v>16</v>
      </c>
      <c r="J640">
        <v>8.7400410285768795E-2</v>
      </c>
      <c r="K640">
        <v>8.9722675367047301E-3</v>
      </c>
      <c r="L640">
        <v>2.6150722313472399E-2</v>
      </c>
      <c r="M640">
        <v>2.8860028860028799E-3</v>
      </c>
      <c r="N640">
        <v>1.9900380270548999E-2</v>
      </c>
      <c r="O640">
        <v>927</v>
      </c>
      <c r="P640">
        <v>6.9514590347923594E-2</v>
      </c>
      <c r="Q640">
        <v>6.9672849679161195E-2</v>
      </c>
      <c r="R640">
        <v>0.76843657817109101</v>
      </c>
      <c r="S640">
        <v>1</v>
      </c>
      <c r="T640" t="s">
        <v>53</v>
      </c>
      <c r="U640">
        <v>1.6981132075471601E-2</v>
      </c>
      <c r="V640">
        <v>0</v>
      </c>
      <c r="W640">
        <v>0</v>
      </c>
      <c r="X640">
        <v>0.110364024733749</v>
      </c>
      <c r="Y640">
        <v>3.6525557295054599E-2</v>
      </c>
      <c r="Z640">
        <v>4.96689063169738E-2</v>
      </c>
      <c r="AA640">
        <v>0.76843657817109101</v>
      </c>
      <c r="AB640">
        <f t="shared" si="63"/>
        <v>0.25695493565667332</v>
      </c>
      <c r="AC640">
        <f t="shared" si="68"/>
        <v>0.1</v>
      </c>
      <c r="AD640">
        <f t="shared" si="64"/>
        <v>0</v>
      </c>
      <c r="AE640">
        <f t="shared" si="69"/>
        <v>0.28265042922234068</v>
      </c>
      <c r="AF640" t="str">
        <f t="shared" si="65"/>
        <v>Low</v>
      </c>
      <c r="AG640" t="str">
        <f t="shared" si="66"/>
        <v>NO ACTION</v>
      </c>
      <c r="AH640" t="str">
        <f t="shared" si="67"/>
        <v/>
      </c>
    </row>
    <row r="641" spans="1:34" x14ac:dyDescent="0.3">
      <c r="A641" t="s">
        <v>668</v>
      </c>
      <c r="B641">
        <v>0.13988657844990501</v>
      </c>
      <c r="C641">
        <v>0.34038410198683799</v>
      </c>
      <c r="D641">
        <v>0.197112463470033</v>
      </c>
      <c r="E641">
        <v>0</v>
      </c>
      <c r="F641">
        <v>0</v>
      </c>
      <c r="G641">
        <v>0.90484703847385495</v>
      </c>
      <c r="H641">
        <v>7</v>
      </c>
      <c r="I641">
        <v>15</v>
      </c>
      <c r="J641">
        <v>7.5616621344401502E-2</v>
      </c>
      <c r="K641">
        <v>1.0603588907014599E-2</v>
      </c>
      <c r="L641">
        <v>3.57064265047475E-2</v>
      </c>
      <c r="M641">
        <v>2.0202020202020202E-3</v>
      </c>
      <c r="N641">
        <v>1.6094276094276001E-2</v>
      </c>
      <c r="O641">
        <v>804</v>
      </c>
      <c r="P641">
        <v>6.1132154882154802E-2</v>
      </c>
      <c r="Q641">
        <v>6.1292471685542901E-2</v>
      </c>
      <c r="R641">
        <v>0</v>
      </c>
      <c r="S641">
        <v>0</v>
      </c>
      <c r="T641" t="s">
        <v>53</v>
      </c>
      <c r="U641">
        <v>2.75943396226415E-2</v>
      </c>
      <c r="V641">
        <v>0</v>
      </c>
      <c r="W641">
        <v>0</v>
      </c>
      <c r="X641">
        <v>5.9133739041010103E-2</v>
      </c>
      <c r="Y641">
        <v>3.7804820349536902E-2</v>
      </c>
      <c r="Z641">
        <v>4.3117003367003297E-2</v>
      </c>
      <c r="AA641">
        <v>0</v>
      </c>
      <c r="AB641">
        <f t="shared" si="63"/>
        <v>3.2119508887192873E-2</v>
      </c>
      <c r="AC641">
        <f t="shared" si="68"/>
        <v>0.1</v>
      </c>
      <c r="AD641">
        <f t="shared" si="64"/>
        <v>0</v>
      </c>
      <c r="AE641">
        <f t="shared" si="69"/>
        <v>3.5331459775912163E-2</v>
      </c>
      <c r="AF641" t="str">
        <f t="shared" si="65"/>
        <v>Very Low</v>
      </c>
      <c r="AG641" t="str">
        <f t="shared" si="66"/>
        <v>NO ACTION</v>
      </c>
      <c r="AH641" t="str">
        <f t="shared" si="67"/>
        <v/>
      </c>
    </row>
    <row r="642" spans="1:34" x14ac:dyDescent="0.3">
      <c r="A642" t="s">
        <v>669</v>
      </c>
      <c r="B642">
        <v>2.1928166351606802E-2</v>
      </c>
      <c r="C642">
        <v>0.48277522288446501</v>
      </c>
      <c r="D642">
        <v>0.36487428095364699</v>
      </c>
      <c r="E642">
        <v>0</v>
      </c>
      <c r="F642">
        <v>0.27419354838709598</v>
      </c>
      <c r="G642">
        <v>0.44012000223551301</v>
      </c>
      <c r="H642">
        <v>6</v>
      </c>
      <c r="I642">
        <v>12</v>
      </c>
      <c r="J642">
        <v>6.2019941796669998E-4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4.55948372615039E-4</v>
      </c>
      <c r="Q642">
        <v>6.3115817525158597E-4</v>
      </c>
      <c r="R642">
        <v>0</v>
      </c>
      <c r="S642">
        <v>0</v>
      </c>
      <c r="T642" t="s">
        <v>53</v>
      </c>
      <c r="U642">
        <v>0</v>
      </c>
      <c r="V642">
        <v>0</v>
      </c>
      <c r="W642">
        <v>0</v>
      </c>
      <c r="X642">
        <v>0.21913970364093299</v>
      </c>
      <c r="Y642">
        <v>1.2403988359334001E-4</v>
      </c>
      <c r="Z642">
        <v>2.7356902356902302E-4</v>
      </c>
      <c r="AA642">
        <v>0</v>
      </c>
      <c r="AB642">
        <f t="shared" si="63"/>
        <v>3.5173683076554739E-2</v>
      </c>
      <c r="AC642">
        <f t="shared" si="68"/>
        <v>0.1</v>
      </c>
      <c r="AD642">
        <f t="shared" si="64"/>
        <v>0</v>
      </c>
      <c r="AE642">
        <f t="shared" si="69"/>
        <v>3.8691051384210216E-2</v>
      </c>
      <c r="AF642" t="str">
        <f t="shared" si="65"/>
        <v>Very Low</v>
      </c>
      <c r="AG642" t="str">
        <f t="shared" si="66"/>
        <v>NO ACTION</v>
      </c>
      <c r="AH642" t="str">
        <f t="shared" si="67"/>
        <v/>
      </c>
    </row>
    <row r="643" spans="1:34" x14ac:dyDescent="0.3">
      <c r="A643" t="s">
        <v>670</v>
      </c>
      <c r="B643">
        <v>0.12892249527410199</v>
      </c>
      <c r="C643">
        <v>0.18476582604220201</v>
      </c>
      <c r="D643">
        <v>0</v>
      </c>
      <c r="E643">
        <v>0</v>
      </c>
      <c r="F643">
        <v>0</v>
      </c>
      <c r="G643">
        <v>0.99367300092033095</v>
      </c>
      <c r="H643">
        <v>7</v>
      </c>
      <c r="I643">
        <v>7</v>
      </c>
      <c r="J643">
        <v>9.4508849768617897E-2</v>
      </c>
      <c r="K643">
        <v>1.4681892332789499E-2</v>
      </c>
      <c r="L643">
        <v>3.9581606885346399E-2</v>
      </c>
      <c r="M643">
        <v>2.3088023088023001E-3</v>
      </c>
      <c r="N643">
        <v>1.47258805869077E-2</v>
      </c>
      <c r="O643">
        <v>931</v>
      </c>
      <c r="P643">
        <v>7.6914983164983103E-2</v>
      </c>
      <c r="Q643">
        <v>7.7071426066832593E-2</v>
      </c>
      <c r="R643">
        <v>0</v>
      </c>
      <c r="S643">
        <v>0</v>
      </c>
      <c r="T643" t="s">
        <v>53</v>
      </c>
      <c r="U643">
        <v>3.3962264150943298E-2</v>
      </c>
      <c r="V643">
        <v>0</v>
      </c>
      <c r="W643">
        <v>0</v>
      </c>
      <c r="X643">
        <v>0</v>
      </c>
      <c r="Y643">
        <v>4.3110337572469098E-2</v>
      </c>
      <c r="Z643">
        <v>5.2039342133752997E-2</v>
      </c>
      <c r="AA643">
        <v>0</v>
      </c>
      <c r="AB643">
        <f t="shared" ref="AB643:AB706" si="70">0.16*X643 + 0.28*Y643 + 0.28*Z643 + 0.28*AA643</f>
        <v>2.6641910317742191E-2</v>
      </c>
      <c r="AC643">
        <f t="shared" si="68"/>
        <v>0.1</v>
      </c>
      <c r="AD643">
        <f t="shared" ref="AD643:AD706" si="71">IF(V643&gt;0.7, 0.1,
 IF(F643&gt;0.5, 0.08,
 IF(E643&gt;0.5, 0.05,
 0)))</f>
        <v>0</v>
      </c>
      <c r="AE643">
        <f t="shared" si="69"/>
        <v>2.9306101349516413E-2</v>
      </c>
      <c r="AF643" t="str">
        <f t="shared" ref="AF643:AF706" si="72">IF(MAX(X643, Y643, Z643, AA643)&gt;0.9,
 "Critical",
 IF(AE643&lt;=0.2,"Very Low",
 IF(AE643&lt;=0.4,"Low",
 IF(AE643&lt;=0.6,"Medium",
 IF(AE643&lt;=0.8,"High","Critical")))))</f>
        <v>Very Low</v>
      </c>
      <c r="AG643" t="str">
        <f t="shared" ref="AG643:AG706" si="73">IF(MAX(X643:AA643)&gt;0.9,"CRITICAL ALERT",
 IF(AE643&gt;0.8,"CRITICAL ALERT",
 IF(AE643&gt;0.6,"ALERT",
 IF(AE643&gt;=0.4,"REVIEW","NO ACTION"))))</f>
        <v>NO ACTION</v>
      </c>
      <c r="AH643" t="str">
        <f t="shared" ref="AH643:AH706" si="74">IF(AG643="NO ACTION","",
 IF(_xlfn.TEXTJOIN(", ", TRUE,
  IF(X643&gt;0.7,"Login anomaly",""),
  IF(Y643&gt;0.7,"File anomaly",""),
  IF(Z643&gt;0.7,"Network anomaly",""),
  IF(AA643&gt;0.7,"USB anomaly","")
 )="",
 "General anomaly detected",
 _xlfn.TEXTJOIN(", ", TRUE,
  IF(X643&gt;0.7,"Login anomaly",""),
  IF(Y643&gt;0.7,"File anomaly",""),
  IF(Z643&gt;0.7,"Network anomaly",""),
  IF(AA643&gt;0.7,"USB anomaly","")
 )))</f>
        <v/>
      </c>
    </row>
    <row r="644" spans="1:34" x14ac:dyDescent="0.3">
      <c r="A644" t="s">
        <v>671</v>
      </c>
      <c r="B644">
        <v>0.12892249527410199</v>
      </c>
      <c r="C644">
        <v>0.36953165208440503</v>
      </c>
      <c r="D644">
        <v>0</v>
      </c>
      <c r="E644">
        <v>0</v>
      </c>
      <c r="F644">
        <v>0</v>
      </c>
      <c r="G644">
        <v>0.99367990569662901</v>
      </c>
      <c r="H644">
        <v>8</v>
      </c>
      <c r="I644">
        <v>8</v>
      </c>
      <c r="J644">
        <v>9.7371308620771896E-2</v>
      </c>
      <c r="K644">
        <v>1.1419249592169599E-2</v>
      </c>
      <c r="L644">
        <v>2.9882887961338402E-2</v>
      </c>
      <c r="M644">
        <v>2.8860028860028799E-3</v>
      </c>
      <c r="N644">
        <v>1.7867545726783202E-2</v>
      </c>
      <c r="O644">
        <v>874</v>
      </c>
      <c r="P644">
        <v>7.7897025813692497E-2</v>
      </c>
      <c r="Q644">
        <v>7.8053227672779502E-2</v>
      </c>
      <c r="R644">
        <v>0</v>
      </c>
      <c r="S644">
        <v>0</v>
      </c>
      <c r="T644" t="s">
        <v>28</v>
      </c>
      <c r="U644">
        <v>2.16123499142367E-2</v>
      </c>
      <c r="V644">
        <v>0</v>
      </c>
      <c r="W644">
        <v>0</v>
      </c>
      <c r="X644">
        <v>0</v>
      </c>
      <c r="Y644">
        <v>3.97759694228585E-2</v>
      </c>
      <c r="Z644">
        <v>5.3885233778928801E-2</v>
      </c>
      <c r="AA644">
        <v>0</v>
      </c>
      <c r="AB644">
        <f t="shared" si="70"/>
        <v>2.6225136896500446E-2</v>
      </c>
      <c r="AC644">
        <f t="shared" ref="AC644:AC707" si="75">IF(T644="IT_Admin", 0.25, IF(AND(T644="HR", AA644&gt;0.6), 0.25, IF(AND(T644="General", Z644&gt;0.7), 0.2, 0.1)))</f>
        <v>0.25</v>
      </c>
      <c r="AD644">
        <f t="shared" si="71"/>
        <v>0</v>
      </c>
      <c r="AE644">
        <f t="shared" ref="AE644:AE707" si="76">MIN(1,AB644*(1+AC644+AD644))</f>
        <v>3.2781421120625556E-2</v>
      </c>
      <c r="AF644" t="str">
        <f t="shared" si="72"/>
        <v>Very Low</v>
      </c>
      <c r="AG644" t="str">
        <f t="shared" si="73"/>
        <v>NO ACTION</v>
      </c>
      <c r="AH644" t="str">
        <f t="shared" si="74"/>
        <v/>
      </c>
    </row>
    <row r="645" spans="1:34" x14ac:dyDescent="0.3">
      <c r="A645" t="s">
        <v>672</v>
      </c>
      <c r="B645">
        <v>0.12892249527410199</v>
      </c>
      <c r="C645">
        <v>0.27313209067108202</v>
      </c>
      <c r="D645">
        <v>7.5061757440099602E-2</v>
      </c>
      <c r="E645">
        <v>0</v>
      </c>
      <c r="F645">
        <v>0</v>
      </c>
      <c r="G645">
        <v>0.99369243063968105</v>
      </c>
      <c r="H645">
        <v>7</v>
      </c>
      <c r="I645">
        <v>8</v>
      </c>
      <c r="J645">
        <v>8.8593101474166297E-2</v>
      </c>
      <c r="K645">
        <v>2.2022838499184301E-2</v>
      </c>
      <c r="L645">
        <v>6.3326319501314204E-2</v>
      </c>
      <c r="M645">
        <v>1.7316017316017301E-3</v>
      </c>
      <c r="N645">
        <v>1.17799136059071E-2</v>
      </c>
      <c r="O645">
        <v>632</v>
      </c>
      <c r="P645">
        <v>7.5441919191919199E-2</v>
      </c>
      <c r="Q645">
        <v>7.5598723657912203E-2</v>
      </c>
      <c r="R645">
        <v>0</v>
      </c>
      <c r="S645">
        <v>0</v>
      </c>
      <c r="T645" t="s">
        <v>53</v>
      </c>
      <c r="U645">
        <v>6.5498652291105103E-2</v>
      </c>
      <c r="V645">
        <v>0</v>
      </c>
      <c r="W645">
        <v>0</v>
      </c>
      <c r="X645">
        <v>2.2518527232029802E-2</v>
      </c>
      <c r="Y645">
        <v>5.2915754127262501E-2</v>
      </c>
      <c r="Z645">
        <v>4.9977116957514299E-2</v>
      </c>
      <c r="AA645">
        <v>0</v>
      </c>
      <c r="AB645">
        <f t="shared" si="70"/>
        <v>3.2412968260862277E-2</v>
      </c>
      <c r="AC645">
        <f t="shared" si="75"/>
        <v>0.1</v>
      </c>
      <c r="AD645">
        <f t="shared" si="71"/>
        <v>0</v>
      </c>
      <c r="AE645">
        <f t="shared" si="76"/>
        <v>3.5654265086948508E-2</v>
      </c>
      <c r="AF645" t="str">
        <f t="shared" si="72"/>
        <v>Very Low</v>
      </c>
      <c r="AG645" t="str">
        <f t="shared" si="73"/>
        <v>NO ACTION</v>
      </c>
      <c r="AH645" t="str">
        <f t="shared" si="74"/>
        <v/>
      </c>
    </row>
    <row r="646" spans="1:34" x14ac:dyDescent="0.3">
      <c r="A646" t="s">
        <v>673</v>
      </c>
      <c r="B646">
        <v>0.25141776937618099</v>
      </c>
      <c r="C646">
        <v>0.631352284502952</v>
      </c>
      <c r="D646">
        <v>0.46235575629771702</v>
      </c>
      <c r="E646">
        <v>0.27238000332170698</v>
      </c>
      <c r="F646">
        <v>2.8400597907324299E-2</v>
      </c>
      <c r="G646">
        <v>0.43985370665141699</v>
      </c>
      <c r="H646">
        <v>0</v>
      </c>
      <c r="I646">
        <v>23</v>
      </c>
      <c r="J646">
        <v>6.9796288345021704E-2</v>
      </c>
      <c r="K646">
        <v>1.0603588907014599E-2</v>
      </c>
      <c r="L646">
        <v>3.8673854320537097E-2</v>
      </c>
      <c r="M646">
        <v>1.1544011544011501E-3</v>
      </c>
      <c r="N646">
        <v>9.9610350291549094E-3</v>
      </c>
      <c r="O646">
        <v>692</v>
      </c>
      <c r="P646">
        <v>5.6432379349045998E-2</v>
      </c>
      <c r="Q646">
        <v>5.6593849714225597E-2</v>
      </c>
      <c r="R646">
        <v>1</v>
      </c>
      <c r="S646">
        <v>1</v>
      </c>
      <c r="T646" t="s">
        <v>53</v>
      </c>
      <c r="U646">
        <v>4.4150943396226397E-2</v>
      </c>
      <c r="V646">
        <v>0</v>
      </c>
      <c r="W646">
        <v>3.5843405617430303E-2</v>
      </c>
      <c r="X646">
        <v>0.231780967048757</v>
      </c>
      <c r="Y646">
        <v>3.6284495338019397E-2</v>
      </c>
      <c r="Z646">
        <v>3.7843841621089502E-2</v>
      </c>
      <c r="AA646">
        <v>1</v>
      </c>
      <c r="AB646">
        <f t="shared" si="70"/>
        <v>0.33784088907635162</v>
      </c>
      <c r="AC646">
        <f t="shared" si="75"/>
        <v>0.1</v>
      </c>
      <c r="AD646">
        <f t="shared" si="71"/>
        <v>0</v>
      </c>
      <c r="AE646">
        <f t="shared" si="76"/>
        <v>0.3716249779839868</v>
      </c>
      <c r="AF646" t="str">
        <f t="shared" si="72"/>
        <v>Critical</v>
      </c>
      <c r="AG646" t="str">
        <f t="shared" si="73"/>
        <v>CRITICAL ALERT</v>
      </c>
      <c r="AH646" t="str">
        <f t="shared" si="74"/>
        <v>USB anomaly</v>
      </c>
    </row>
    <row r="647" spans="1:34" x14ac:dyDescent="0.3">
      <c r="A647" t="s">
        <v>674</v>
      </c>
      <c r="B647">
        <v>1.0586011342155E-2</v>
      </c>
      <c r="C647">
        <v>0.242505146680391</v>
      </c>
      <c r="D647">
        <v>0.16802876165045699</v>
      </c>
      <c r="E647">
        <v>0</v>
      </c>
      <c r="F647">
        <v>0</v>
      </c>
      <c r="G647">
        <v>0.83029242847213702</v>
      </c>
      <c r="H647">
        <v>7</v>
      </c>
      <c r="I647">
        <v>12</v>
      </c>
      <c r="J647">
        <v>7.1561471303850004E-4</v>
      </c>
      <c r="K647">
        <v>0</v>
      </c>
      <c r="L647">
        <v>0</v>
      </c>
      <c r="M647">
        <v>0</v>
      </c>
      <c r="N647">
        <v>0</v>
      </c>
      <c r="O647">
        <v>19</v>
      </c>
      <c r="P647">
        <v>5.2609427609427598E-4</v>
      </c>
      <c r="Q647">
        <v>7.0128686139065105E-4</v>
      </c>
      <c r="R647">
        <v>0</v>
      </c>
      <c r="S647">
        <v>0</v>
      </c>
      <c r="T647" t="s">
        <v>53</v>
      </c>
      <c r="U647">
        <v>0</v>
      </c>
      <c r="V647">
        <v>0</v>
      </c>
      <c r="W647">
        <v>0</v>
      </c>
      <c r="X647">
        <v>5.0408628495137303E-2</v>
      </c>
      <c r="Y647">
        <v>1.4312294260770001E-4</v>
      </c>
      <c r="Z647">
        <v>3.1565656565656498E-4</v>
      </c>
      <c r="AA647">
        <v>0</v>
      </c>
      <c r="AB647">
        <f t="shared" si="70"/>
        <v>8.1938388215359627E-3</v>
      </c>
      <c r="AC647">
        <f t="shared" si="75"/>
        <v>0.1</v>
      </c>
      <c r="AD647">
        <f t="shared" si="71"/>
        <v>0</v>
      </c>
      <c r="AE647">
        <f t="shared" si="76"/>
        <v>9.0132227036895593E-3</v>
      </c>
      <c r="AF647" t="str">
        <f t="shared" si="72"/>
        <v>Very Low</v>
      </c>
      <c r="AG647" t="str">
        <f t="shared" si="73"/>
        <v>NO ACTION</v>
      </c>
      <c r="AH647" t="str">
        <f t="shared" si="74"/>
        <v/>
      </c>
    </row>
    <row r="648" spans="1:34" x14ac:dyDescent="0.3">
      <c r="A648" t="s">
        <v>675</v>
      </c>
      <c r="B648">
        <v>0.12892249527410199</v>
      </c>
      <c r="C648">
        <v>0.26991877195730402</v>
      </c>
      <c r="D648">
        <v>7.4902366299490403E-2</v>
      </c>
      <c r="E648">
        <v>0</v>
      </c>
      <c r="F648">
        <v>0</v>
      </c>
      <c r="G648">
        <v>0.99368426801653797</v>
      </c>
      <c r="H648">
        <v>7</v>
      </c>
      <c r="I648">
        <v>8</v>
      </c>
      <c r="J648">
        <v>5.8155622346262099E-2</v>
      </c>
      <c r="K648">
        <v>5.7096247960848204E-3</v>
      </c>
      <c r="L648">
        <v>2.4975649006902901E-2</v>
      </c>
      <c r="M648">
        <v>8.6580086580086504E-4</v>
      </c>
      <c r="N648">
        <v>8.96004866593101E-3</v>
      </c>
      <c r="O648">
        <v>562</v>
      </c>
      <c r="P648">
        <v>4.5629910213243502E-2</v>
      </c>
      <c r="Q648">
        <v>4.5794032048809503E-2</v>
      </c>
      <c r="R648">
        <v>0</v>
      </c>
      <c r="S648">
        <v>0</v>
      </c>
      <c r="T648" t="s">
        <v>53</v>
      </c>
      <c r="U648">
        <v>2.9716981132075399E-2</v>
      </c>
      <c r="V648">
        <v>0</v>
      </c>
      <c r="W648">
        <v>0</v>
      </c>
      <c r="X648">
        <v>2.2470709889847101E-2</v>
      </c>
      <c r="Y648">
        <v>2.6806963572483199E-2</v>
      </c>
      <c r="Z648">
        <v>3.0961965594318502E-2</v>
      </c>
      <c r="AA648">
        <v>0</v>
      </c>
      <c r="AB648">
        <f t="shared" si="70"/>
        <v>1.9770613749080013E-2</v>
      </c>
      <c r="AC648">
        <f t="shared" si="75"/>
        <v>0.1</v>
      </c>
      <c r="AD648">
        <f t="shared" si="71"/>
        <v>0</v>
      </c>
      <c r="AE648">
        <f t="shared" si="76"/>
        <v>2.1747675123988015E-2</v>
      </c>
      <c r="AF648" t="str">
        <f t="shared" si="72"/>
        <v>Very Low</v>
      </c>
      <c r="AG648" t="str">
        <f t="shared" si="73"/>
        <v>NO ACTION</v>
      </c>
      <c r="AH648" t="str">
        <f t="shared" si="74"/>
        <v/>
      </c>
    </row>
    <row r="649" spans="1:34" x14ac:dyDescent="0.3">
      <c r="A649" t="s">
        <v>676</v>
      </c>
      <c r="B649">
        <v>0.12892249527410199</v>
      </c>
      <c r="C649">
        <v>0.36953165208440503</v>
      </c>
      <c r="D649">
        <v>0</v>
      </c>
      <c r="E649">
        <v>0</v>
      </c>
      <c r="F649">
        <v>0</v>
      </c>
      <c r="G649">
        <v>0.99366250994238903</v>
      </c>
      <c r="H649">
        <v>8</v>
      </c>
      <c r="I649">
        <v>8</v>
      </c>
      <c r="J649">
        <v>6.0874958255808402E-2</v>
      </c>
      <c r="K649">
        <v>1.1419249592169599E-2</v>
      </c>
      <c r="L649">
        <v>4.7728640725135399E-2</v>
      </c>
      <c r="M649">
        <v>2.59740259740259E-3</v>
      </c>
      <c r="N649">
        <v>2.56840739276336E-2</v>
      </c>
      <c r="O649">
        <v>666</v>
      </c>
      <c r="P649">
        <v>5.0925925925925902E-2</v>
      </c>
      <c r="Q649">
        <v>5.1088747852308901E-2</v>
      </c>
      <c r="R649">
        <v>0</v>
      </c>
      <c r="S649">
        <v>0</v>
      </c>
      <c r="T649" t="s">
        <v>53</v>
      </c>
      <c r="U649">
        <v>2.3773584905660301E-2</v>
      </c>
      <c r="V649">
        <v>0</v>
      </c>
      <c r="W649">
        <v>0</v>
      </c>
      <c r="X649">
        <v>0</v>
      </c>
      <c r="Y649">
        <v>4.3744534192019402E-2</v>
      </c>
      <c r="Z649">
        <v>4.0829185126608998E-2</v>
      </c>
      <c r="AA649">
        <v>0</v>
      </c>
      <c r="AB649">
        <f t="shared" si="70"/>
        <v>2.3680641409215955E-2</v>
      </c>
      <c r="AC649">
        <f t="shared" si="75"/>
        <v>0.1</v>
      </c>
      <c r="AD649">
        <f t="shared" si="71"/>
        <v>0</v>
      </c>
      <c r="AE649">
        <f t="shared" si="76"/>
        <v>2.6048705550137552E-2</v>
      </c>
      <c r="AF649" t="str">
        <f t="shared" si="72"/>
        <v>Very Low</v>
      </c>
      <c r="AG649" t="str">
        <f t="shared" si="73"/>
        <v>NO ACTION</v>
      </c>
      <c r="AH649" t="str">
        <f t="shared" si="74"/>
        <v/>
      </c>
    </row>
    <row r="650" spans="1:34" x14ac:dyDescent="0.3">
      <c r="A650" t="s">
        <v>677</v>
      </c>
      <c r="B650">
        <v>0.12892249527410199</v>
      </c>
      <c r="C650">
        <v>0.18476582604220201</v>
      </c>
      <c r="D650">
        <v>0</v>
      </c>
      <c r="E650">
        <v>0</v>
      </c>
      <c r="F650">
        <v>0</v>
      </c>
      <c r="G650">
        <v>0.99366762161786604</v>
      </c>
      <c r="H650">
        <v>7</v>
      </c>
      <c r="I650">
        <v>7</v>
      </c>
      <c r="J650">
        <v>8.3488383187825005E-2</v>
      </c>
      <c r="K650">
        <v>1.38662316476345E-2</v>
      </c>
      <c r="L650">
        <v>4.2303077292278099E-2</v>
      </c>
      <c r="M650">
        <v>1.1544011544011501E-3</v>
      </c>
      <c r="N650">
        <v>8.3320794431905494E-3</v>
      </c>
      <c r="O650">
        <v>758</v>
      </c>
      <c r="P650">
        <v>6.7901234567901203E-2</v>
      </c>
      <c r="Q650">
        <v>6.8059889897962703E-2</v>
      </c>
      <c r="R650">
        <v>0</v>
      </c>
      <c r="S650">
        <v>0</v>
      </c>
      <c r="T650" t="s">
        <v>53</v>
      </c>
      <c r="U650">
        <v>5.77358490566037E-2</v>
      </c>
      <c r="V650">
        <v>0</v>
      </c>
      <c r="W650">
        <v>0</v>
      </c>
      <c r="X650">
        <v>0</v>
      </c>
      <c r="Y650">
        <v>4.0348839116661199E-2</v>
      </c>
      <c r="Z650">
        <v>4.4073572518016899E-2</v>
      </c>
      <c r="AA650">
        <v>0</v>
      </c>
      <c r="AB650">
        <f t="shared" si="70"/>
        <v>2.3638275257709868E-2</v>
      </c>
      <c r="AC650">
        <f t="shared" si="75"/>
        <v>0.1</v>
      </c>
      <c r="AD650">
        <f t="shared" si="71"/>
        <v>0</v>
      </c>
      <c r="AE650">
        <f t="shared" si="76"/>
        <v>2.6002102783480856E-2</v>
      </c>
      <c r="AF650" t="str">
        <f t="shared" si="72"/>
        <v>Very Low</v>
      </c>
      <c r="AG650" t="str">
        <f t="shared" si="73"/>
        <v>NO ACTION</v>
      </c>
      <c r="AH650" t="str">
        <f t="shared" si="74"/>
        <v/>
      </c>
    </row>
    <row r="651" spans="1:34" x14ac:dyDescent="0.3">
      <c r="A651" t="s">
        <v>678</v>
      </c>
      <c r="B651">
        <v>0.12892249527410199</v>
      </c>
      <c r="C651">
        <v>0.27473875002797099</v>
      </c>
      <c r="D651">
        <v>7.5107235637207503E-2</v>
      </c>
      <c r="E651">
        <v>0</v>
      </c>
      <c r="F651">
        <v>0</v>
      </c>
      <c r="G651">
        <v>0.99368292988159601</v>
      </c>
      <c r="H651">
        <v>7</v>
      </c>
      <c r="I651">
        <v>8</v>
      </c>
      <c r="J651">
        <v>7.7858880778588796E-2</v>
      </c>
      <c r="K651">
        <v>1.5497553017944501E-2</v>
      </c>
      <c r="L651">
        <v>5.0687991387078697E-2</v>
      </c>
      <c r="M651">
        <v>2.0202020202020202E-3</v>
      </c>
      <c r="N651">
        <v>1.56321924189975E-2</v>
      </c>
      <c r="O651">
        <v>818</v>
      </c>
      <c r="P651">
        <v>6.4884960718293999E-2</v>
      </c>
      <c r="Q651">
        <v>6.5044356393982899E-2</v>
      </c>
      <c r="R651">
        <v>0</v>
      </c>
      <c r="S651">
        <v>0</v>
      </c>
      <c r="T651" t="s">
        <v>53</v>
      </c>
      <c r="U651">
        <v>4.0330188679245198E-2</v>
      </c>
      <c r="V651">
        <v>0</v>
      </c>
      <c r="W651">
        <v>0</v>
      </c>
      <c r="X651">
        <v>2.2532170691162201E-2</v>
      </c>
      <c r="Y651">
        <v>4.5605429574956398E-2</v>
      </c>
      <c r="Z651">
        <v>4.5183853398575398E-2</v>
      </c>
      <c r="AA651">
        <v>0</v>
      </c>
      <c r="AB651">
        <f t="shared" si="70"/>
        <v>2.9026146543174855E-2</v>
      </c>
      <c r="AC651">
        <f t="shared" si="75"/>
        <v>0.1</v>
      </c>
      <c r="AD651">
        <f t="shared" si="71"/>
        <v>0</v>
      </c>
      <c r="AE651">
        <f t="shared" si="76"/>
        <v>3.1928761197492342E-2</v>
      </c>
      <c r="AF651" t="str">
        <f t="shared" si="72"/>
        <v>Very Low</v>
      </c>
      <c r="AG651" t="str">
        <f t="shared" si="73"/>
        <v>NO ACTION</v>
      </c>
      <c r="AH651" t="str">
        <f t="shared" si="74"/>
        <v/>
      </c>
    </row>
    <row r="652" spans="1:34" x14ac:dyDescent="0.3">
      <c r="A652" t="s">
        <v>679</v>
      </c>
      <c r="B652">
        <v>0.24083175803402601</v>
      </c>
      <c r="C652">
        <v>0.73675733442101399</v>
      </c>
      <c r="D652">
        <v>0.34492103172851402</v>
      </c>
      <c r="E652">
        <v>0</v>
      </c>
      <c r="F652">
        <v>0</v>
      </c>
      <c r="G652">
        <v>0.46559595117470098</v>
      </c>
      <c r="H652">
        <v>8</v>
      </c>
      <c r="I652">
        <v>15</v>
      </c>
      <c r="J652">
        <v>7.6570774295119506E-2</v>
      </c>
      <c r="K652">
        <v>1.30505709624796E-2</v>
      </c>
      <c r="L652">
        <v>4.3400453429564098E-2</v>
      </c>
      <c r="M652">
        <v>5.7720057720057698E-4</v>
      </c>
      <c r="N652">
        <v>4.5412420567700002E-3</v>
      </c>
      <c r="O652">
        <v>908</v>
      </c>
      <c r="P652">
        <v>6.2184343434343398E-2</v>
      </c>
      <c r="Q652">
        <v>6.2344401977628902E-2</v>
      </c>
      <c r="R652">
        <v>0</v>
      </c>
      <c r="S652">
        <v>0</v>
      </c>
      <c r="T652" t="s">
        <v>53</v>
      </c>
      <c r="U652">
        <v>9.0566037735848995E-2</v>
      </c>
      <c r="V652">
        <v>0</v>
      </c>
      <c r="W652">
        <v>0</v>
      </c>
      <c r="X652">
        <v>0.10347630951855399</v>
      </c>
      <c r="Y652">
        <v>3.8376754190836901E-2</v>
      </c>
      <c r="Z652">
        <v>3.9127102883314002E-2</v>
      </c>
      <c r="AA652">
        <v>0</v>
      </c>
      <c r="AB652">
        <f t="shared" si="70"/>
        <v>3.8257289503730897E-2</v>
      </c>
      <c r="AC652">
        <f t="shared" si="75"/>
        <v>0.1</v>
      </c>
      <c r="AD652">
        <f t="shared" si="71"/>
        <v>0</v>
      </c>
      <c r="AE652">
        <f t="shared" si="76"/>
        <v>4.208301845410399E-2</v>
      </c>
      <c r="AF652" t="str">
        <f t="shared" si="72"/>
        <v>Very Low</v>
      </c>
      <c r="AG652" t="str">
        <f t="shared" si="73"/>
        <v>NO ACTION</v>
      </c>
      <c r="AH652" t="str">
        <f t="shared" si="74"/>
        <v/>
      </c>
    </row>
    <row r="653" spans="1:34" x14ac:dyDescent="0.3">
      <c r="A653" t="s">
        <v>680</v>
      </c>
      <c r="B653">
        <v>0.12892249527410199</v>
      </c>
      <c r="C653">
        <v>0.36953165208440503</v>
      </c>
      <c r="D653">
        <v>0</v>
      </c>
      <c r="E653">
        <v>0</v>
      </c>
      <c r="F653">
        <v>0</v>
      </c>
      <c r="G653">
        <v>0.993679798645833</v>
      </c>
      <c r="H653">
        <v>8</v>
      </c>
      <c r="I653">
        <v>8</v>
      </c>
      <c r="J653">
        <v>9.61309097848385E-2</v>
      </c>
      <c r="K653">
        <v>1.38662316476345E-2</v>
      </c>
      <c r="L653">
        <v>3.6753416162350498E-2</v>
      </c>
      <c r="M653">
        <v>2.0202020202020202E-3</v>
      </c>
      <c r="N653">
        <v>1.26682668266826E-2</v>
      </c>
      <c r="O653">
        <v>815</v>
      </c>
      <c r="P653">
        <v>7.7616442199775496E-2</v>
      </c>
      <c r="Q653">
        <v>7.77727129282232E-2</v>
      </c>
      <c r="R653">
        <v>0</v>
      </c>
      <c r="S653">
        <v>0</v>
      </c>
      <c r="T653" t="s">
        <v>28</v>
      </c>
      <c r="U653">
        <v>3.6084905660377302E-2</v>
      </c>
      <c r="V653">
        <v>0</v>
      </c>
      <c r="W653">
        <v>0</v>
      </c>
      <c r="X653">
        <v>0</v>
      </c>
      <c r="Y653">
        <v>4.1403370086147702E-2</v>
      </c>
      <c r="Z653">
        <v>5.1637172050538298E-2</v>
      </c>
      <c r="AA653">
        <v>0</v>
      </c>
      <c r="AB653">
        <f t="shared" si="70"/>
        <v>2.6051351798272081E-2</v>
      </c>
      <c r="AC653">
        <f t="shared" si="75"/>
        <v>0.25</v>
      </c>
      <c r="AD653">
        <f t="shared" si="71"/>
        <v>0</v>
      </c>
      <c r="AE653">
        <f t="shared" si="76"/>
        <v>3.2564189747840103E-2</v>
      </c>
      <c r="AF653" t="str">
        <f t="shared" si="72"/>
        <v>Very Low</v>
      </c>
      <c r="AG653" t="str">
        <f t="shared" si="73"/>
        <v>NO ACTION</v>
      </c>
      <c r="AH653" t="str">
        <f t="shared" si="74"/>
        <v/>
      </c>
    </row>
    <row r="654" spans="1:34" x14ac:dyDescent="0.3">
      <c r="A654" t="s">
        <v>681</v>
      </c>
      <c r="B654">
        <v>6.1247637051039597E-2</v>
      </c>
      <c r="C654">
        <v>0.18476582604220201</v>
      </c>
      <c r="D654">
        <v>0</v>
      </c>
      <c r="E654">
        <v>0</v>
      </c>
      <c r="F654">
        <v>0</v>
      </c>
      <c r="G654">
        <v>0.97947130066169996</v>
      </c>
      <c r="H654">
        <v>7</v>
      </c>
      <c r="I654">
        <v>7</v>
      </c>
      <c r="J654">
        <v>2.1277610801011398E-2</v>
      </c>
      <c r="K654">
        <v>2.4469820554649199E-3</v>
      </c>
      <c r="L654">
        <v>2.90499154746112E-2</v>
      </c>
      <c r="M654">
        <v>2.88600288600288E-4</v>
      </c>
      <c r="N654">
        <v>8.1057646467845995E-3</v>
      </c>
      <c r="O654">
        <v>243</v>
      </c>
      <c r="P654">
        <v>1.68350168350168E-2</v>
      </c>
      <c r="Q654">
        <v>1.7006206388723299E-2</v>
      </c>
      <c r="R654">
        <v>0</v>
      </c>
      <c r="S654">
        <v>0</v>
      </c>
      <c r="T654" t="s">
        <v>53</v>
      </c>
      <c r="U654">
        <v>2.54716981132075E-2</v>
      </c>
      <c r="V654">
        <v>0</v>
      </c>
      <c r="W654">
        <v>0</v>
      </c>
      <c r="X654">
        <v>0</v>
      </c>
      <c r="Y654">
        <v>2.1212209291543199E-2</v>
      </c>
      <c r="Z654">
        <v>1.3343315959723901E-2</v>
      </c>
      <c r="AA654">
        <v>0</v>
      </c>
      <c r="AB654">
        <f t="shared" si="70"/>
        <v>9.6755470703547876E-3</v>
      </c>
      <c r="AC654">
        <f t="shared" si="75"/>
        <v>0.1</v>
      </c>
      <c r="AD654">
        <f t="shared" si="71"/>
        <v>0</v>
      </c>
      <c r="AE654">
        <f t="shared" si="76"/>
        <v>1.0643101777390267E-2</v>
      </c>
      <c r="AF654" t="str">
        <f t="shared" si="72"/>
        <v>Very Low</v>
      </c>
      <c r="AG654" t="str">
        <f t="shared" si="73"/>
        <v>NO ACTION</v>
      </c>
      <c r="AH654" t="str">
        <f t="shared" si="74"/>
        <v/>
      </c>
    </row>
    <row r="655" spans="1:34" x14ac:dyDescent="0.3">
      <c r="A655" t="s">
        <v>682</v>
      </c>
      <c r="B655">
        <v>0.25217391304347803</v>
      </c>
      <c r="C655">
        <v>0.641586251383505</v>
      </c>
      <c r="D655">
        <v>0.56694353274547304</v>
      </c>
      <c r="E655">
        <v>0.33946017552574898</v>
      </c>
      <c r="F655">
        <v>7.0044709388971602E-2</v>
      </c>
      <c r="G655">
        <v>0.438802021283901</v>
      </c>
      <c r="H655">
        <v>0</v>
      </c>
      <c r="I655">
        <v>23</v>
      </c>
      <c r="J655">
        <v>0.10443204045608501</v>
      </c>
      <c r="K655">
        <v>1.5497553017944501E-2</v>
      </c>
      <c r="L655">
        <v>3.7819618003941603E-2</v>
      </c>
      <c r="M655">
        <v>4.9062049062049001E-3</v>
      </c>
      <c r="N655">
        <v>2.8325842090655199E-2</v>
      </c>
      <c r="O655">
        <v>1034</v>
      </c>
      <c r="P655">
        <v>8.58235129068462E-2</v>
      </c>
      <c r="Q655">
        <v>8.5977769206493901E-2</v>
      </c>
      <c r="R655">
        <v>0</v>
      </c>
      <c r="S655">
        <v>0</v>
      </c>
      <c r="T655" t="s">
        <v>28</v>
      </c>
      <c r="U655">
        <v>1.7924528301886698E-2</v>
      </c>
      <c r="V655">
        <v>0</v>
      </c>
      <c r="W655">
        <v>0</v>
      </c>
      <c r="X655">
        <v>0.29993899623695502</v>
      </c>
      <c r="Y655">
        <v>4.8293969720384397E-2</v>
      </c>
      <c r="Z655">
        <v>6.2824444580369801E-2</v>
      </c>
      <c r="AA655">
        <v>0</v>
      </c>
      <c r="AB655">
        <f t="shared" si="70"/>
        <v>7.910339540212398E-2</v>
      </c>
      <c r="AC655">
        <f t="shared" si="75"/>
        <v>0.25</v>
      </c>
      <c r="AD655">
        <f t="shared" si="71"/>
        <v>0</v>
      </c>
      <c r="AE655">
        <f t="shared" si="76"/>
        <v>9.8879244252654971E-2</v>
      </c>
      <c r="AF655" t="str">
        <f t="shared" si="72"/>
        <v>Very Low</v>
      </c>
      <c r="AG655" t="str">
        <f t="shared" si="73"/>
        <v>NO ACTION</v>
      </c>
      <c r="AH655" t="str">
        <f t="shared" si="74"/>
        <v/>
      </c>
    </row>
    <row r="656" spans="1:34" x14ac:dyDescent="0.3">
      <c r="A656" t="s">
        <v>683</v>
      </c>
      <c r="B656">
        <v>0.12892249527410199</v>
      </c>
      <c r="C656">
        <v>0.18476582604220201</v>
      </c>
      <c r="D656">
        <v>0</v>
      </c>
      <c r="E656">
        <v>0</v>
      </c>
      <c r="F656">
        <v>0</v>
      </c>
      <c r="G656">
        <v>0.99366079712966404</v>
      </c>
      <c r="H656">
        <v>7</v>
      </c>
      <c r="I656">
        <v>7</v>
      </c>
      <c r="J656">
        <v>0.10023376747292501</v>
      </c>
      <c r="K656">
        <v>2.1207177814029299E-2</v>
      </c>
      <c r="L656">
        <v>5.3915686745060303E-2</v>
      </c>
      <c r="M656">
        <v>1.7316017316017301E-3</v>
      </c>
      <c r="N656">
        <v>1.0415099303988099E-2</v>
      </c>
      <c r="O656">
        <v>923</v>
      </c>
      <c r="P656">
        <v>8.3648989898989903E-2</v>
      </c>
      <c r="Q656">
        <v>8.3803779936182807E-2</v>
      </c>
      <c r="R656">
        <v>0</v>
      </c>
      <c r="S656">
        <v>0</v>
      </c>
      <c r="T656" t="s">
        <v>28</v>
      </c>
      <c r="U656">
        <v>6.30727762803234E-2</v>
      </c>
      <c r="V656">
        <v>0</v>
      </c>
      <c r="W656">
        <v>0</v>
      </c>
      <c r="X656">
        <v>0</v>
      </c>
      <c r="Y656">
        <v>5.0129126658311797E-2</v>
      </c>
      <c r="Z656">
        <v>5.4355433660989202E-2</v>
      </c>
      <c r="AA656">
        <v>0</v>
      </c>
      <c r="AB656">
        <f t="shared" si="70"/>
        <v>2.9255676889404281E-2</v>
      </c>
      <c r="AC656">
        <f t="shared" si="75"/>
        <v>0.25</v>
      </c>
      <c r="AD656">
        <f t="shared" si="71"/>
        <v>0</v>
      </c>
      <c r="AE656">
        <f t="shared" si="76"/>
        <v>3.6569596111755351E-2</v>
      </c>
      <c r="AF656" t="str">
        <f t="shared" si="72"/>
        <v>Very Low</v>
      </c>
      <c r="AG656" t="str">
        <f t="shared" si="73"/>
        <v>NO ACTION</v>
      </c>
      <c r="AH656" t="str">
        <f t="shared" si="74"/>
        <v/>
      </c>
    </row>
    <row r="657" spans="1:34" x14ac:dyDescent="0.3">
      <c r="A657" t="s">
        <v>684</v>
      </c>
      <c r="B657">
        <v>0.12892249527410199</v>
      </c>
      <c r="C657">
        <v>0.36953165208440503</v>
      </c>
      <c r="D657">
        <v>0</v>
      </c>
      <c r="E657">
        <v>0</v>
      </c>
      <c r="F657">
        <v>0</v>
      </c>
      <c r="G657">
        <v>0.993684696219719</v>
      </c>
      <c r="H657">
        <v>8</v>
      </c>
      <c r="I657">
        <v>8</v>
      </c>
      <c r="J657">
        <v>0.11344878584037001</v>
      </c>
      <c r="K657">
        <v>1.7944535073409401E-2</v>
      </c>
      <c r="L657">
        <v>4.0317983121987998E-2</v>
      </c>
      <c r="M657">
        <v>1.1544011544011501E-3</v>
      </c>
      <c r="N657">
        <v>6.1362985408306399E-3</v>
      </c>
      <c r="O657">
        <v>1035</v>
      </c>
      <c r="P657">
        <v>9.1680695847362506E-2</v>
      </c>
      <c r="Q657">
        <v>9.1833514499105803E-2</v>
      </c>
      <c r="R657">
        <v>0</v>
      </c>
      <c r="S657">
        <v>0</v>
      </c>
      <c r="T657" t="s">
        <v>28</v>
      </c>
      <c r="U657">
        <v>7.4716981132075394E-2</v>
      </c>
      <c r="V657">
        <v>0</v>
      </c>
      <c r="W657">
        <v>0</v>
      </c>
      <c r="X657">
        <v>0</v>
      </c>
      <c r="Y657">
        <v>4.4689638291317203E-2</v>
      </c>
      <c r="Z657">
        <v>5.74629369247497E-2</v>
      </c>
      <c r="AA657">
        <v>0</v>
      </c>
      <c r="AB657">
        <f t="shared" si="70"/>
        <v>2.8602721060498736E-2</v>
      </c>
      <c r="AC657">
        <f t="shared" si="75"/>
        <v>0.25</v>
      </c>
      <c r="AD657">
        <f t="shared" si="71"/>
        <v>0</v>
      </c>
      <c r="AE657">
        <f t="shared" si="76"/>
        <v>3.5753401325623421E-2</v>
      </c>
      <c r="AF657" t="str">
        <f t="shared" si="72"/>
        <v>Very Low</v>
      </c>
      <c r="AG657" t="str">
        <f t="shared" si="73"/>
        <v>NO ACTION</v>
      </c>
      <c r="AH657" t="str">
        <f t="shared" si="74"/>
        <v/>
      </c>
    </row>
    <row r="658" spans="1:34" x14ac:dyDescent="0.3">
      <c r="A658" t="s">
        <v>685</v>
      </c>
      <c r="B658">
        <v>0.12892249527410199</v>
      </c>
      <c r="C658">
        <v>0.36953165208440503</v>
      </c>
      <c r="D658">
        <v>0</v>
      </c>
      <c r="E658">
        <v>0</v>
      </c>
      <c r="F658">
        <v>0</v>
      </c>
      <c r="G658">
        <v>0.99369703382387997</v>
      </c>
      <c r="H658">
        <v>8</v>
      </c>
      <c r="I658">
        <v>8</v>
      </c>
      <c r="J658">
        <v>9.5606125661943597E-2</v>
      </c>
      <c r="K658">
        <v>1.2234910277324601E-2</v>
      </c>
      <c r="L658">
        <v>3.2607047981706501E-2</v>
      </c>
      <c r="M658">
        <v>2.3088023088023001E-3</v>
      </c>
      <c r="N658">
        <v>1.4557291610551901E-2</v>
      </c>
      <c r="O658">
        <v>852</v>
      </c>
      <c r="P658">
        <v>7.6669472502805799E-2</v>
      </c>
      <c r="Q658">
        <v>7.6825975665345894E-2</v>
      </c>
      <c r="R658">
        <v>0</v>
      </c>
      <c r="S658">
        <v>0</v>
      </c>
      <c r="T658" t="s">
        <v>28</v>
      </c>
      <c r="U658">
        <v>2.83018867924528E-2</v>
      </c>
      <c r="V658">
        <v>0</v>
      </c>
      <c r="W658">
        <v>0</v>
      </c>
      <c r="X658">
        <v>0</v>
      </c>
      <c r="Y658">
        <v>3.9791936606407501E-2</v>
      </c>
      <c r="Z658">
        <v>5.1824600145904197E-2</v>
      </c>
      <c r="AA658">
        <v>0</v>
      </c>
      <c r="AB658">
        <f t="shared" si="70"/>
        <v>2.565263029064728E-2</v>
      </c>
      <c r="AC658">
        <f t="shared" si="75"/>
        <v>0.25</v>
      </c>
      <c r="AD658">
        <f t="shared" si="71"/>
        <v>0</v>
      </c>
      <c r="AE658">
        <f t="shared" si="76"/>
        <v>3.2065787863309103E-2</v>
      </c>
      <c r="AF658" t="str">
        <f t="shared" si="72"/>
        <v>Very Low</v>
      </c>
      <c r="AG658" t="str">
        <f t="shared" si="73"/>
        <v>NO ACTION</v>
      </c>
      <c r="AH658" t="str">
        <f t="shared" si="74"/>
        <v/>
      </c>
    </row>
    <row r="659" spans="1:34" x14ac:dyDescent="0.3">
      <c r="A659" t="s">
        <v>686</v>
      </c>
      <c r="B659">
        <v>0.12892249527410199</v>
      </c>
      <c r="C659">
        <v>0.18476582604220201</v>
      </c>
      <c r="D659">
        <v>0</v>
      </c>
      <c r="E659">
        <v>0</v>
      </c>
      <c r="F659">
        <v>0</v>
      </c>
      <c r="G659">
        <v>0.99367457991956198</v>
      </c>
      <c r="H659">
        <v>7</v>
      </c>
      <c r="I659">
        <v>7</v>
      </c>
      <c r="J659">
        <v>8.8688516769238099E-2</v>
      </c>
      <c r="K659">
        <v>1.30505709624796E-2</v>
      </c>
      <c r="L659">
        <v>3.7486443144634202E-2</v>
      </c>
      <c r="M659">
        <v>2.59740259740259E-3</v>
      </c>
      <c r="N659">
        <v>1.7650911320439201E-2</v>
      </c>
      <c r="O659">
        <v>891</v>
      </c>
      <c r="P659">
        <v>7.2074915824915806E-2</v>
      </c>
      <c r="Q659">
        <v>7.2232546723237104E-2</v>
      </c>
      <c r="R659">
        <v>0</v>
      </c>
      <c r="S659">
        <v>0</v>
      </c>
      <c r="T659" t="s">
        <v>53</v>
      </c>
      <c r="U659">
        <v>2.7169811320754699E-2</v>
      </c>
      <c r="V659">
        <v>0</v>
      </c>
      <c r="W659">
        <v>0</v>
      </c>
      <c r="X659">
        <v>0</v>
      </c>
      <c r="Y659">
        <v>4.1776198322296502E-2</v>
      </c>
      <c r="Z659">
        <v>5.0305314023125103E-2</v>
      </c>
      <c r="AA659">
        <v>0</v>
      </c>
      <c r="AB659">
        <f t="shared" si="70"/>
        <v>2.5782823456718049E-2</v>
      </c>
      <c r="AC659">
        <f t="shared" si="75"/>
        <v>0.1</v>
      </c>
      <c r="AD659">
        <f t="shared" si="71"/>
        <v>0</v>
      </c>
      <c r="AE659">
        <f t="shared" si="76"/>
        <v>2.8361105802389857E-2</v>
      </c>
      <c r="AF659" t="str">
        <f t="shared" si="72"/>
        <v>Very Low</v>
      </c>
      <c r="AG659" t="str">
        <f t="shared" si="73"/>
        <v>NO ACTION</v>
      </c>
      <c r="AH659" t="str">
        <f t="shared" si="74"/>
        <v/>
      </c>
    </row>
    <row r="660" spans="1:34" x14ac:dyDescent="0.3">
      <c r="A660" t="s">
        <v>687</v>
      </c>
      <c r="B660">
        <v>0.23856332703213601</v>
      </c>
      <c r="C660">
        <v>0.66282921531360195</v>
      </c>
      <c r="D660">
        <v>0.37042265350509501</v>
      </c>
      <c r="E660">
        <v>0</v>
      </c>
      <c r="F660">
        <v>0</v>
      </c>
      <c r="G660">
        <v>0.47141652884363</v>
      </c>
      <c r="H660">
        <v>7</v>
      </c>
      <c r="I660">
        <v>14</v>
      </c>
      <c r="J660">
        <v>6.7935690091121603E-2</v>
      </c>
      <c r="K660">
        <v>1.71288743882544E-2</v>
      </c>
      <c r="L660">
        <v>6.4178154760915096E-2</v>
      </c>
      <c r="M660">
        <v>3.7518037518037501E-3</v>
      </c>
      <c r="N660">
        <v>3.3256891619382799E-2</v>
      </c>
      <c r="O660">
        <v>694</v>
      </c>
      <c r="P660">
        <v>5.91329966329966E-2</v>
      </c>
      <c r="Q660">
        <v>5.9293804130579601E-2</v>
      </c>
      <c r="R660">
        <v>0</v>
      </c>
      <c r="S660">
        <v>0</v>
      </c>
      <c r="T660" t="s">
        <v>53</v>
      </c>
      <c r="U660">
        <v>2.54716981132075E-2</v>
      </c>
      <c r="V660">
        <v>0</v>
      </c>
      <c r="W660">
        <v>0</v>
      </c>
      <c r="X660">
        <v>0.111126796051528</v>
      </c>
      <c r="Y660">
        <v>5.5653282884496703E-2</v>
      </c>
      <c r="Z660">
        <v>4.87825546275511E-2</v>
      </c>
      <c r="AA660">
        <v>0</v>
      </c>
      <c r="AB660">
        <f t="shared" si="70"/>
        <v>4.7022321871617867E-2</v>
      </c>
      <c r="AC660">
        <f t="shared" si="75"/>
        <v>0.1</v>
      </c>
      <c r="AD660">
        <f t="shared" si="71"/>
        <v>0</v>
      </c>
      <c r="AE660">
        <f t="shared" si="76"/>
        <v>5.1724554058779661E-2</v>
      </c>
      <c r="AF660" t="str">
        <f t="shared" si="72"/>
        <v>Very Low</v>
      </c>
      <c r="AG660" t="str">
        <f t="shared" si="73"/>
        <v>NO ACTION</v>
      </c>
      <c r="AH660" t="str">
        <f t="shared" si="74"/>
        <v/>
      </c>
    </row>
    <row r="661" spans="1:34" x14ac:dyDescent="0.3">
      <c r="A661" t="s">
        <v>688</v>
      </c>
      <c r="B661">
        <v>0.26427221172022602</v>
      </c>
      <c r="C661">
        <v>0.62972819231453403</v>
      </c>
      <c r="D661">
        <v>0.49447846171910798</v>
      </c>
      <c r="E661">
        <v>0.32400821874505997</v>
      </c>
      <c r="F661">
        <v>5.5476529160739599E-2</v>
      </c>
      <c r="G661">
        <v>0.41134082905259101</v>
      </c>
      <c r="H661">
        <v>0</v>
      </c>
      <c r="I661">
        <v>23</v>
      </c>
      <c r="J661">
        <v>9.6417155670053906E-2</v>
      </c>
      <c r="K661">
        <v>1.4681892332789499E-2</v>
      </c>
      <c r="L661">
        <v>3.8800133896494497E-2</v>
      </c>
      <c r="M661">
        <v>1.1544011544011501E-3</v>
      </c>
      <c r="N661">
        <v>7.2175712846986196E-3</v>
      </c>
      <c r="O661">
        <v>996</v>
      </c>
      <c r="P661">
        <v>7.7756734006733996E-2</v>
      </c>
      <c r="Q661">
        <v>7.79129703005014E-2</v>
      </c>
      <c r="R661">
        <v>0.96460176991150404</v>
      </c>
      <c r="S661">
        <v>1</v>
      </c>
      <c r="T661" t="s">
        <v>28</v>
      </c>
      <c r="U661">
        <v>6.1132075471698098E-2</v>
      </c>
      <c r="V661">
        <v>0</v>
      </c>
      <c r="W661">
        <v>7.0243611633780095E-2</v>
      </c>
      <c r="X661">
        <v>0.26773661580354602</v>
      </c>
      <c r="Y661">
        <v>4.0848769467667599E-2</v>
      </c>
      <c r="Z661">
        <v>4.9541068917919803E-2</v>
      </c>
      <c r="AA661">
        <v>0.96460176991150404</v>
      </c>
      <c r="AB661">
        <f t="shared" si="70"/>
        <v>0.33823550885175296</v>
      </c>
      <c r="AC661">
        <f t="shared" si="75"/>
        <v>0.25</v>
      </c>
      <c r="AD661">
        <f t="shared" si="71"/>
        <v>0</v>
      </c>
      <c r="AE661">
        <f t="shared" si="76"/>
        <v>0.42279438606469122</v>
      </c>
      <c r="AF661" t="str">
        <f t="shared" si="72"/>
        <v>Critical</v>
      </c>
      <c r="AG661" t="str">
        <f t="shared" si="73"/>
        <v>CRITICAL ALERT</v>
      </c>
      <c r="AH661" t="str">
        <f t="shared" si="74"/>
        <v>USB anomaly</v>
      </c>
    </row>
    <row r="662" spans="1:34" x14ac:dyDescent="0.3">
      <c r="A662" t="s">
        <v>689</v>
      </c>
      <c r="B662">
        <v>0.12892249527410199</v>
      </c>
      <c r="C662">
        <v>0</v>
      </c>
      <c r="D662">
        <v>0</v>
      </c>
      <c r="E662">
        <v>0</v>
      </c>
      <c r="F662">
        <v>1</v>
      </c>
      <c r="G662">
        <v>0.99367832669739797</v>
      </c>
      <c r="H662">
        <v>6</v>
      </c>
      <c r="I662">
        <v>6</v>
      </c>
      <c r="J662">
        <v>8.5921473212155902E-2</v>
      </c>
      <c r="K662">
        <v>9.7879282218597003E-3</v>
      </c>
      <c r="L662">
        <v>2.9017745025580601E-2</v>
      </c>
      <c r="M662">
        <v>8.6580086580086504E-4</v>
      </c>
      <c r="N662">
        <v>6.0725911224250003E-3</v>
      </c>
      <c r="O662">
        <v>647</v>
      </c>
      <c r="P662">
        <v>6.7796015712682303E-2</v>
      </c>
      <c r="Q662">
        <v>6.7954696868754105E-2</v>
      </c>
      <c r="R662">
        <v>0</v>
      </c>
      <c r="S662">
        <v>0</v>
      </c>
      <c r="T662" t="s">
        <v>53</v>
      </c>
      <c r="U662">
        <v>5.0943396226415097E-2</v>
      </c>
      <c r="V662">
        <v>0</v>
      </c>
      <c r="W662">
        <v>0</v>
      </c>
      <c r="X662">
        <v>0.4</v>
      </c>
      <c r="Y662">
        <v>3.3514944491949E-2</v>
      </c>
      <c r="Z662">
        <v>4.3106645876579398E-2</v>
      </c>
      <c r="AA662">
        <v>0</v>
      </c>
      <c r="AB662">
        <f t="shared" si="70"/>
        <v>8.5454045303187953E-2</v>
      </c>
      <c r="AC662">
        <f t="shared" si="75"/>
        <v>0.1</v>
      </c>
      <c r="AD662">
        <f t="shared" si="71"/>
        <v>0.08</v>
      </c>
      <c r="AE662">
        <f t="shared" si="76"/>
        <v>0.1008357734577618</v>
      </c>
      <c r="AF662" t="str">
        <f t="shared" si="72"/>
        <v>Very Low</v>
      </c>
      <c r="AG662" t="str">
        <f t="shared" si="73"/>
        <v>NO ACTION</v>
      </c>
      <c r="AH662" t="str">
        <f t="shared" si="74"/>
        <v/>
      </c>
    </row>
    <row r="663" spans="1:34" x14ac:dyDescent="0.3">
      <c r="A663" t="s">
        <v>690</v>
      </c>
      <c r="B663">
        <v>0.12892249527410199</v>
      </c>
      <c r="C663">
        <v>0.18476582604220201</v>
      </c>
      <c r="D663">
        <v>0</v>
      </c>
      <c r="E663">
        <v>0</v>
      </c>
      <c r="F663">
        <v>0</v>
      </c>
      <c r="G663">
        <v>0.99367452639416398</v>
      </c>
      <c r="H663">
        <v>7</v>
      </c>
      <c r="I663">
        <v>7</v>
      </c>
      <c r="J663">
        <v>7.5664328991937396E-2</v>
      </c>
      <c r="K663">
        <v>1.38662316476345E-2</v>
      </c>
      <c r="L663">
        <v>4.6663671054649997E-2</v>
      </c>
      <c r="M663">
        <v>4.0404040404040404E-3</v>
      </c>
      <c r="N663">
        <v>3.2168320540413499E-2</v>
      </c>
      <c r="O663">
        <v>840</v>
      </c>
      <c r="P663">
        <v>6.3552188552188499E-2</v>
      </c>
      <c r="Q663">
        <v>6.3711911357340695E-2</v>
      </c>
      <c r="R663">
        <v>0</v>
      </c>
      <c r="S663">
        <v>0</v>
      </c>
      <c r="T663" t="s">
        <v>53</v>
      </c>
      <c r="U663">
        <v>1.9245283018867899E-2</v>
      </c>
      <c r="V663">
        <v>0</v>
      </c>
      <c r="W663">
        <v>0</v>
      </c>
      <c r="X663">
        <v>0</v>
      </c>
      <c r="Y663">
        <v>4.8115197487836499E-2</v>
      </c>
      <c r="Z663">
        <v>5.0998641347478502E-2</v>
      </c>
      <c r="AA663">
        <v>0</v>
      </c>
      <c r="AB663">
        <f t="shared" si="70"/>
        <v>2.7751874873888201E-2</v>
      </c>
      <c r="AC663">
        <f t="shared" si="75"/>
        <v>0.1</v>
      </c>
      <c r="AD663">
        <f t="shared" si="71"/>
        <v>0</v>
      </c>
      <c r="AE663">
        <f t="shared" si="76"/>
        <v>3.0527062361277023E-2</v>
      </c>
      <c r="AF663" t="str">
        <f t="shared" si="72"/>
        <v>Very Low</v>
      </c>
      <c r="AG663" t="str">
        <f t="shared" si="73"/>
        <v>NO ACTION</v>
      </c>
      <c r="AH663" t="str">
        <f t="shared" si="74"/>
        <v/>
      </c>
    </row>
    <row r="664" spans="1:34" x14ac:dyDescent="0.3">
      <c r="A664" t="s">
        <v>691</v>
      </c>
      <c r="B664">
        <v>0.28015122873345899</v>
      </c>
      <c r="C664">
        <v>0.72963900700155704</v>
      </c>
      <c r="D664">
        <v>0.37905391263302501</v>
      </c>
      <c r="E664">
        <v>0</v>
      </c>
      <c r="F664">
        <v>0</v>
      </c>
      <c r="G664">
        <v>0.379746482033402</v>
      </c>
      <c r="H664">
        <v>7</v>
      </c>
      <c r="I664">
        <v>15</v>
      </c>
      <c r="J664">
        <v>7.8240541958876003E-2</v>
      </c>
      <c r="K664">
        <v>9.7879282218597003E-3</v>
      </c>
      <c r="L664">
        <v>3.18577796451055E-2</v>
      </c>
      <c r="M664">
        <v>8.6580086580086504E-4</v>
      </c>
      <c r="N664">
        <v>6.6669298280240498E-3</v>
      </c>
      <c r="O664">
        <v>707</v>
      </c>
      <c r="P664">
        <v>6.2149270482603797E-2</v>
      </c>
      <c r="Q664">
        <v>6.2309337634559397E-2</v>
      </c>
      <c r="R664">
        <v>0</v>
      </c>
      <c r="S664">
        <v>0</v>
      </c>
      <c r="T664" t="s">
        <v>53</v>
      </c>
      <c r="U664">
        <v>5.0943396226415097E-2</v>
      </c>
      <c r="V664">
        <v>0</v>
      </c>
      <c r="W664">
        <v>0</v>
      </c>
      <c r="X664">
        <v>0.113716173789907</v>
      </c>
      <c r="Y664">
        <v>3.3577077162735197E-2</v>
      </c>
      <c r="Z664">
        <v>3.9956334220771897E-2</v>
      </c>
      <c r="AA664">
        <v>0</v>
      </c>
      <c r="AB664">
        <f t="shared" si="70"/>
        <v>3.8783942993767112E-2</v>
      </c>
      <c r="AC664">
        <f t="shared" si="75"/>
        <v>0.1</v>
      </c>
      <c r="AD664">
        <f t="shared" si="71"/>
        <v>0</v>
      </c>
      <c r="AE664">
        <f t="shared" si="76"/>
        <v>4.2662337293143823E-2</v>
      </c>
      <c r="AF664" t="str">
        <f t="shared" si="72"/>
        <v>Very Low</v>
      </c>
      <c r="AG664" t="str">
        <f t="shared" si="73"/>
        <v>NO ACTION</v>
      </c>
      <c r="AH664" t="str">
        <f t="shared" si="74"/>
        <v/>
      </c>
    </row>
    <row r="665" spans="1:34" x14ac:dyDescent="0.3">
      <c r="A665" t="s">
        <v>692</v>
      </c>
      <c r="B665">
        <v>0.2351606805293</v>
      </c>
      <c r="C665">
        <v>0.57436788734525002</v>
      </c>
      <c r="D665">
        <v>0.358641613989099</v>
      </c>
      <c r="E665">
        <v>0</v>
      </c>
      <c r="F665">
        <v>0</v>
      </c>
      <c r="G665">
        <v>0.48036918429562098</v>
      </c>
      <c r="H665">
        <v>7</v>
      </c>
      <c r="I665">
        <v>13</v>
      </c>
      <c r="J665">
        <v>7.8335957253947805E-2</v>
      </c>
      <c r="K665">
        <v>1.0603588907014599E-2</v>
      </c>
      <c r="L665">
        <v>3.4470684968153302E-2</v>
      </c>
      <c r="M665">
        <v>2.59740259740259E-3</v>
      </c>
      <c r="N665">
        <v>1.9976501943714999E-2</v>
      </c>
      <c r="O665">
        <v>840</v>
      </c>
      <c r="P665">
        <v>6.3411896745229998E-2</v>
      </c>
      <c r="Q665">
        <v>6.3571653985062496E-2</v>
      </c>
      <c r="R665">
        <v>0.67551622418878998</v>
      </c>
      <c r="S665">
        <v>1</v>
      </c>
      <c r="T665" t="s">
        <v>53</v>
      </c>
      <c r="U665">
        <v>2.2075471698113198E-2</v>
      </c>
      <c r="V665">
        <v>0</v>
      </c>
      <c r="W665">
        <v>0</v>
      </c>
      <c r="X665">
        <v>0.107592484196729</v>
      </c>
      <c r="Y665">
        <v>3.8895484517980701E-2</v>
      </c>
      <c r="Z665">
        <v>4.6037738824624003E-2</v>
      </c>
      <c r="AA665">
        <v>0.67551622418878998</v>
      </c>
      <c r="AB665">
        <f t="shared" si="70"/>
        <v>0.23014064278026719</v>
      </c>
      <c r="AC665">
        <f t="shared" si="75"/>
        <v>0.1</v>
      </c>
      <c r="AD665">
        <f t="shared" si="71"/>
        <v>0</v>
      </c>
      <c r="AE665">
        <f t="shared" si="76"/>
        <v>0.2531547070582939</v>
      </c>
      <c r="AF665" t="str">
        <f t="shared" si="72"/>
        <v>Low</v>
      </c>
      <c r="AG665" t="str">
        <f t="shared" si="73"/>
        <v>NO ACTION</v>
      </c>
      <c r="AH665" t="str">
        <f t="shared" si="74"/>
        <v/>
      </c>
    </row>
    <row r="666" spans="1:34" x14ac:dyDescent="0.3">
      <c r="A666" t="s">
        <v>693</v>
      </c>
      <c r="B666">
        <v>0.12892249527410199</v>
      </c>
      <c r="C666">
        <v>0.281165387455525</v>
      </c>
      <c r="D666">
        <v>7.5061757440099602E-2</v>
      </c>
      <c r="E666">
        <v>0</v>
      </c>
      <c r="F666">
        <v>0</v>
      </c>
      <c r="G666">
        <v>0.99367217127666696</v>
      </c>
      <c r="H666">
        <v>7</v>
      </c>
      <c r="I666">
        <v>8</v>
      </c>
      <c r="J666">
        <v>7.4901006631362996E-2</v>
      </c>
      <c r="K666">
        <v>7.34094616639478E-3</v>
      </c>
      <c r="L666">
        <v>2.4955260721999301E-2</v>
      </c>
      <c r="M666">
        <v>8.6580086580086504E-4</v>
      </c>
      <c r="N666">
        <v>6.9632378203806702E-3</v>
      </c>
      <c r="O666">
        <v>464</v>
      </c>
      <c r="P666">
        <v>5.8641975308641903E-2</v>
      </c>
      <c r="Q666">
        <v>5.8802903327606099E-2</v>
      </c>
      <c r="R666">
        <v>0</v>
      </c>
      <c r="S666">
        <v>0</v>
      </c>
      <c r="T666" t="s">
        <v>53</v>
      </c>
      <c r="U666">
        <v>3.8207547169811298E-2</v>
      </c>
      <c r="V666">
        <v>0</v>
      </c>
      <c r="W666">
        <v>0</v>
      </c>
      <c r="X666">
        <v>2.2518527232029802E-2</v>
      </c>
      <c r="Y666">
        <v>2.9546803033386498E-2</v>
      </c>
      <c r="Z666">
        <v>3.7970480313337399E-2</v>
      </c>
      <c r="AA666">
        <v>0</v>
      </c>
      <c r="AB666">
        <f t="shared" si="70"/>
        <v>2.2507803694207462E-2</v>
      </c>
      <c r="AC666">
        <f t="shared" si="75"/>
        <v>0.1</v>
      </c>
      <c r="AD666">
        <f t="shared" si="71"/>
        <v>0</v>
      </c>
      <c r="AE666">
        <f t="shared" si="76"/>
        <v>2.475858406362821E-2</v>
      </c>
      <c r="AF666" t="str">
        <f t="shared" si="72"/>
        <v>Very Low</v>
      </c>
      <c r="AG666" t="str">
        <f t="shared" si="73"/>
        <v>NO ACTION</v>
      </c>
      <c r="AH666" t="str">
        <f t="shared" si="74"/>
        <v/>
      </c>
    </row>
    <row r="667" spans="1:34" x14ac:dyDescent="0.3">
      <c r="A667" t="s">
        <v>694</v>
      </c>
      <c r="B667">
        <v>0.15463137996219201</v>
      </c>
      <c r="C667">
        <v>0.29660954640673198</v>
      </c>
      <c r="D667">
        <v>0.23384373092180499</v>
      </c>
      <c r="E667">
        <v>0</v>
      </c>
      <c r="F667">
        <v>0</v>
      </c>
      <c r="G667">
        <v>0.80513579472060903</v>
      </c>
      <c r="H667">
        <v>7</v>
      </c>
      <c r="I667">
        <v>14</v>
      </c>
      <c r="J667">
        <v>5.3909641715567003E-2</v>
      </c>
      <c r="K667">
        <v>1.1419249592169599E-2</v>
      </c>
      <c r="L667">
        <v>5.3868183937355402E-2</v>
      </c>
      <c r="M667">
        <v>2.0202020202020202E-3</v>
      </c>
      <c r="N667">
        <v>2.2546166510924202E-2</v>
      </c>
      <c r="O667">
        <v>611</v>
      </c>
      <c r="P667">
        <v>4.5524691358024602E-2</v>
      </c>
      <c r="Q667">
        <v>4.5688839019600899E-2</v>
      </c>
      <c r="R667">
        <v>0.396755162241887</v>
      </c>
      <c r="S667">
        <v>1</v>
      </c>
      <c r="T667" t="s">
        <v>53</v>
      </c>
      <c r="U667">
        <v>2.9716981132075399E-2</v>
      </c>
      <c r="V667">
        <v>0</v>
      </c>
      <c r="W667">
        <v>0</v>
      </c>
      <c r="X667">
        <v>7.0153119276541595E-2</v>
      </c>
      <c r="Y667">
        <v>4.4479870265068402E-2</v>
      </c>
      <c r="Z667">
        <v>3.6333281419184502E-2</v>
      </c>
      <c r="AA667">
        <v>0.396755162241887</v>
      </c>
      <c r="AB667">
        <f t="shared" si="70"/>
        <v>0.14494362698356583</v>
      </c>
      <c r="AC667">
        <f t="shared" si="75"/>
        <v>0.1</v>
      </c>
      <c r="AD667">
        <f t="shared" si="71"/>
        <v>0</v>
      </c>
      <c r="AE667">
        <f t="shared" si="76"/>
        <v>0.15943798968192244</v>
      </c>
      <c r="AF667" t="str">
        <f t="shared" si="72"/>
        <v>Very Low</v>
      </c>
      <c r="AG667" t="str">
        <f t="shared" si="73"/>
        <v>NO ACTION</v>
      </c>
      <c r="AH667" t="str">
        <f t="shared" si="74"/>
        <v/>
      </c>
    </row>
    <row r="668" spans="1:34" x14ac:dyDescent="0.3">
      <c r="A668" t="s">
        <v>695</v>
      </c>
      <c r="B668">
        <v>0.26616257088846801</v>
      </c>
      <c r="C668">
        <v>0.60805702638182502</v>
      </c>
      <c r="D668">
        <v>0.36580598040492801</v>
      </c>
      <c r="E668">
        <v>0</v>
      </c>
      <c r="F668">
        <v>0</v>
      </c>
      <c r="G668">
        <v>0.40752017360963999</v>
      </c>
      <c r="H668">
        <v>7</v>
      </c>
      <c r="I668">
        <v>16</v>
      </c>
      <c r="J668">
        <v>8.4013167310719894E-2</v>
      </c>
      <c r="K668">
        <v>1.1419249592169599E-2</v>
      </c>
      <c r="L668">
        <v>3.4620831692467997E-2</v>
      </c>
      <c r="M668">
        <v>1.44300144300144E-3</v>
      </c>
      <c r="N668">
        <v>1.0350226092015399E-2</v>
      </c>
      <c r="O668">
        <v>916</v>
      </c>
      <c r="P668">
        <v>6.7375140291806898E-2</v>
      </c>
      <c r="Q668">
        <v>6.7533924751919702E-2</v>
      </c>
      <c r="R668">
        <v>0</v>
      </c>
      <c r="S668">
        <v>0</v>
      </c>
      <c r="T668" t="s">
        <v>53</v>
      </c>
      <c r="U668">
        <v>3.9622641509433898E-2</v>
      </c>
      <c r="V668">
        <v>0</v>
      </c>
      <c r="W668">
        <v>0</v>
      </c>
      <c r="X668">
        <v>0.109741794121478</v>
      </c>
      <c r="Y668">
        <v>3.7218117135982602E-2</v>
      </c>
      <c r="Z668">
        <v>4.4565174611890301E-2</v>
      </c>
      <c r="AA668">
        <v>0</v>
      </c>
      <c r="AB668">
        <f t="shared" si="70"/>
        <v>4.0458008748840896E-2</v>
      </c>
      <c r="AC668">
        <f t="shared" si="75"/>
        <v>0.1</v>
      </c>
      <c r="AD668">
        <f t="shared" si="71"/>
        <v>0</v>
      </c>
      <c r="AE668">
        <f t="shared" si="76"/>
        <v>4.4503809623724987E-2</v>
      </c>
      <c r="AF668" t="str">
        <f t="shared" si="72"/>
        <v>Very Low</v>
      </c>
      <c r="AG668" t="str">
        <f t="shared" si="73"/>
        <v>NO ACTION</v>
      </c>
      <c r="AH668" t="str">
        <f t="shared" si="74"/>
        <v/>
      </c>
    </row>
    <row r="669" spans="1:34" x14ac:dyDescent="0.3">
      <c r="A669" t="s">
        <v>696</v>
      </c>
      <c r="B669">
        <v>9.8676748582230606E-2</v>
      </c>
      <c r="C669">
        <v>0.55429747812660801</v>
      </c>
      <c r="D669">
        <v>0</v>
      </c>
      <c r="E669">
        <v>0</v>
      </c>
      <c r="F669">
        <v>0</v>
      </c>
      <c r="G669">
        <v>0.99932981391920805</v>
      </c>
      <c r="H669">
        <v>9</v>
      </c>
      <c r="I669">
        <v>9</v>
      </c>
      <c r="J669">
        <v>3.94065168646534E-2</v>
      </c>
      <c r="K669">
        <v>8.9722675367047301E-3</v>
      </c>
      <c r="L669">
        <v>5.7808516112934701E-2</v>
      </c>
      <c r="M669">
        <v>3.7518037518037501E-3</v>
      </c>
      <c r="N669">
        <v>5.71890470807438E-2</v>
      </c>
      <c r="O669">
        <v>447</v>
      </c>
      <c r="P669">
        <v>3.4652076318742897E-2</v>
      </c>
      <c r="Q669">
        <v>3.4818892668045803E-2</v>
      </c>
      <c r="R669">
        <v>0</v>
      </c>
      <c r="S669">
        <v>0</v>
      </c>
      <c r="T669" t="s">
        <v>53</v>
      </c>
      <c r="U669">
        <v>1.3342318059299099E-2</v>
      </c>
      <c r="V669">
        <v>0</v>
      </c>
      <c r="W669">
        <v>0</v>
      </c>
      <c r="X669">
        <v>0</v>
      </c>
      <c r="Y669">
        <v>5.3942275553621202E-2</v>
      </c>
      <c r="Z669">
        <v>4.36668646235433E-2</v>
      </c>
      <c r="AA669">
        <v>0</v>
      </c>
      <c r="AB669">
        <f t="shared" si="70"/>
        <v>2.7330559249606062E-2</v>
      </c>
      <c r="AC669">
        <f t="shared" si="75"/>
        <v>0.1</v>
      </c>
      <c r="AD669">
        <f t="shared" si="71"/>
        <v>0</v>
      </c>
      <c r="AE669">
        <f t="shared" si="76"/>
        <v>3.0063615174566672E-2</v>
      </c>
      <c r="AF669" t="str">
        <f t="shared" si="72"/>
        <v>Very Low</v>
      </c>
      <c r="AG669" t="str">
        <f t="shared" si="73"/>
        <v>NO ACTION</v>
      </c>
      <c r="AH669" t="str">
        <f t="shared" si="74"/>
        <v/>
      </c>
    </row>
    <row r="670" spans="1:34" x14ac:dyDescent="0.3">
      <c r="A670" t="s">
        <v>697</v>
      </c>
      <c r="B670">
        <v>0.12892249527410199</v>
      </c>
      <c r="C670">
        <v>0.27098987819523002</v>
      </c>
      <c r="D670">
        <v>7.4965657310309297E-2</v>
      </c>
      <c r="E670">
        <v>0</v>
      </c>
      <c r="F670">
        <v>0</v>
      </c>
      <c r="G670">
        <v>0.99366855831232503</v>
      </c>
      <c r="H670">
        <v>7</v>
      </c>
      <c r="I670">
        <v>8</v>
      </c>
      <c r="J670">
        <v>8.2057153761748006E-2</v>
      </c>
      <c r="K670">
        <v>7.34094616639478E-3</v>
      </c>
      <c r="L670">
        <v>2.2785238050521101E-2</v>
      </c>
      <c r="M670">
        <v>1.44300144300144E-3</v>
      </c>
      <c r="N670">
        <v>1.05962314657966E-2</v>
      </c>
      <c r="O670">
        <v>744</v>
      </c>
      <c r="P670">
        <v>6.4183501683501606E-2</v>
      </c>
      <c r="Q670">
        <v>6.4343069532592306E-2</v>
      </c>
      <c r="R670">
        <v>0</v>
      </c>
      <c r="S670">
        <v>0</v>
      </c>
      <c r="T670" t="s">
        <v>53</v>
      </c>
      <c r="U670">
        <v>2.54716981132075E-2</v>
      </c>
      <c r="V670">
        <v>0</v>
      </c>
      <c r="W670">
        <v>0</v>
      </c>
      <c r="X670">
        <v>2.2489697193092802E-2</v>
      </c>
      <c r="Y670">
        <v>3.0982919217349102E-2</v>
      </c>
      <c r="Z670">
        <v>4.2748593596419603E-2</v>
      </c>
      <c r="AA670">
        <v>0</v>
      </c>
      <c r="AB670">
        <f t="shared" si="70"/>
        <v>2.4243175138750087E-2</v>
      </c>
      <c r="AC670">
        <f t="shared" si="75"/>
        <v>0.1</v>
      </c>
      <c r="AD670">
        <f t="shared" si="71"/>
        <v>0</v>
      </c>
      <c r="AE670">
        <f t="shared" si="76"/>
        <v>2.6667492652625097E-2</v>
      </c>
      <c r="AF670" t="str">
        <f t="shared" si="72"/>
        <v>Very Low</v>
      </c>
      <c r="AG670" t="str">
        <f t="shared" si="73"/>
        <v>NO ACTION</v>
      </c>
      <c r="AH670" t="str">
        <f t="shared" si="74"/>
        <v/>
      </c>
    </row>
    <row r="671" spans="1:34" x14ac:dyDescent="0.3">
      <c r="A671" t="s">
        <v>698</v>
      </c>
      <c r="B671">
        <v>0.12892249527410199</v>
      </c>
      <c r="C671">
        <v>0.18476582604220201</v>
      </c>
      <c r="D671">
        <v>0</v>
      </c>
      <c r="E671">
        <v>0</v>
      </c>
      <c r="F671">
        <v>0</v>
      </c>
      <c r="G671">
        <v>0.99367243890365498</v>
      </c>
      <c r="H671">
        <v>7</v>
      </c>
      <c r="I671">
        <v>7</v>
      </c>
      <c r="J671">
        <v>6.4405324173465006E-2</v>
      </c>
      <c r="K671">
        <v>9.7879282218597003E-3</v>
      </c>
      <c r="L671">
        <v>3.8676049827452902E-2</v>
      </c>
      <c r="M671">
        <v>8.6580086580086504E-4</v>
      </c>
      <c r="N671">
        <v>8.0938004185236601E-3</v>
      </c>
      <c r="O671">
        <v>672</v>
      </c>
      <c r="P671">
        <v>5.1978114478114401E-2</v>
      </c>
      <c r="Q671">
        <v>5.2140678144394902E-2</v>
      </c>
      <c r="R671">
        <v>0</v>
      </c>
      <c r="S671">
        <v>0</v>
      </c>
      <c r="T671" t="s">
        <v>53</v>
      </c>
      <c r="U671">
        <v>5.0943396226415097E-2</v>
      </c>
      <c r="V671">
        <v>0</v>
      </c>
      <c r="W671">
        <v>0</v>
      </c>
      <c r="X671">
        <v>0</v>
      </c>
      <c r="Y671">
        <v>3.4647229873976497E-2</v>
      </c>
      <c r="Z671">
        <v>3.44243888542781E-2</v>
      </c>
      <c r="AA671">
        <v>0</v>
      </c>
      <c r="AB671">
        <f t="shared" si="70"/>
        <v>1.934005324391129E-2</v>
      </c>
      <c r="AC671">
        <f t="shared" si="75"/>
        <v>0.1</v>
      </c>
      <c r="AD671">
        <f t="shared" si="71"/>
        <v>0</v>
      </c>
      <c r="AE671">
        <f t="shared" si="76"/>
        <v>2.1274058568302421E-2</v>
      </c>
      <c r="AF671" t="str">
        <f t="shared" si="72"/>
        <v>Very Low</v>
      </c>
      <c r="AG671" t="str">
        <f t="shared" si="73"/>
        <v>NO ACTION</v>
      </c>
      <c r="AH671" t="str">
        <f t="shared" si="74"/>
        <v/>
      </c>
    </row>
    <row r="672" spans="1:34" x14ac:dyDescent="0.3">
      <c r="A672" t="s">
        <v>699</v>
      </c>
      <c r="B672">
        <v>0.23440453686200299</v>
      </c>
      <c r="C672">
        <v>0.59930453831637498</v>
      </c>
      <c r="D672">
        <v>0.38205052193710598</v>
      </c>
      <c r="E672">
        <v>0</v>
      </c>
      <c r="F672">
        <v>0</v>
      </c>
      <c r="G672">
        <v>0.48236445066198902</v>
      </c>
      <c r="H672">
        <v>7</v>
      </c>
      <c r="I672">
        <v>13</v>
      </c>
      <c r="J672">
        <v>8.7161872048089298E-2</v>
      </c>
      <c r="K672">
        <v>1.71288743882544E-2</v>
      </c>
      <c r="L672">
        <v>5.0060361983268402E-2</v>
      </c>
      <c r="M672">
        <v>8.6580086580086504E-4</v>
      </c>
      <c r="N672">
        <v>5.9864080606438601E-3</v>
      </c>
      <c r="O672">
        <v>593</v>
      </c>
      <c r="P672">
        <v>7.1864478114478103E-2</v>
      </c>
      <c r="Q672">
        <v>7.2022160664819895E-2</v>
      </c>
      <c r="R672">
        <v>0</v>
      </c>
      <c r="S672">
        <v>0</v>
      </c>
      <c r="T672" t="s">
        <v>53</v>
      </c>
      <c r="U672">
        <v>8.9150943396226395E-2</v>
      </c>
      <c r="V672">
        <v>0</v>
      </c>
      <c r="W672">
        <v>0</v>
      </c>
      <c r="X672">
        <v>0.114615156581132</v>
      </c>
      <c r="Y672">
        <v>4.4258477819445197E-2</v>
      </c>
      <c r="Z672">
        <v>4.55132500929444E-2</v>
      </c>
      <c r="AA672">
        <v>0</v>
      </c>
      <c r="AB672">
        <f t="shared" si="70"/>
        <v>4.347450886845021E-2</v>
      </c>
      <c r="AC672">
        <f t="shared" si="75"/>
        <v>0.1</v>
      </c>
      <c r="AD672">
        <f t="shared" si="71"/>
        <v>0</v>
      </c>
      <c r="AE672">
        <f t="shared" si="76"/>
        <v>4.7821959755295233E-2</v>
      </c>
      <c r="AF672" t="str">
        <f t="shared" si="72"/>
        <v>Very Low</v>
      </c>
      <c r="AG672" t="str">
        <f t="shared" si="73"/>
        <v>NO ACTION</v>
      </c>
      <c r="AH672" t="str">
        <f t="shared" si="74"/>
        <v/>
      </c>
    </row>
    <row r="673" spans="1:34" x14ac:dyDescent="0.3">
      <c r="A673" t="s">
        <v>700</v>
      </c>
      <c r="B673">
        <v>0.23591682419659701</v>
      </c>
      <c r="C673">
        <v>0.66580424256927495</v>
      </c>
      <c r="D673">
        <v>0.364709397367104</v>
      </c>
      <c r="E673">
        <v>0</v>
      </c>
      <c r="F673">
        <v>0</v>
      </c>
      <c r="G673">
        <v>0.47833519695732302</v>
      </c>
      <c r="H673">
        <v>7</v>
      </c>
      <c r="I673">
        <v>14</v>
      </c>
      <c r="J673">
        <v>7.0273364820380699E-2</v>
      </c>
      <c r="K673">
        <v>8.1566068515497494E-3</v>
      </c>
      <c r="L673">
        <v>2.9547839149863898E-2</v>
      </c>
      <c r="M673">
        <v>2.88600288600288E-4</v>
      </c>
      <c r="N673">
        <v>2.4734099158997599E-3</v>
      </c>
      <c r="O673">
        <v>759</v>
      </c>
      <c r="P673">
        <v>5.53100448933782E-2</v>
      </c>
      <c r="Q673">
        <v>5.5471790736000497E-2</v>
      </c>
      <c r="R673">
        <v>0</v>
      </c>
      <c r="S673">
        <v>0</v>
      </c>
      <c r="T673" t="s">
        <v>53</v>
      </c>
      <c r="U673">
        <v>8.4905660377358402E-2</v>
      </c>
      <c r="V673">
        <v>0</v>
      </c>
      <c r="W673">
        <v>0</v>
      </c>
      <c r="X673">
        <v>0.109412819210131</v>
      </c>
      <c r="Y673">
        <v>2.9570615513778001E-2</v>
      </c>
      <c r="Z673">
        <v>3.4175390902386797E-2</v>
      </c>
      <c r="AA673">
        <v>0</v>
      </c>
      <c r="AB673">
        <f t="shared" si="70"/>
        <v>3.5354932870147106E-2</v>
      </c>
      <c r="AC673">
        <f t="shared" si="75"/>
        <v>0.1</v>
      </c>
      <c r="AD673">
        <f t="shared" si="71"/>
        <v>0</v>
      </c>
      <c r="AE673">
        <f t="shared" si="76"/>
        <v>3.8890426157161817E-2</v>
      </c>
      <c r="AF673" t="str">
        <f t="shared" si="72"/>
        <v>Very Low</v>
      </c>
      <c r="AG673" t="str">
        <f t="shared" si="73"/>
        <v>NO ACTION</v>
      </c>
      <c r="AH673" t="str">
        <f t="shared" si="74"/>
        <v/>
      </c>
    </row>
    <row r="674" spans="1:34" x14ac:dyDescent="0.3">
      <c r="A674" t="s">
        <v>701</v>
      </c>
      <c r="B674">
        <v>0.12892249527410199</v>
      </c>
      <c r="C674">
        <v>0.18476582604220201</v>
      </c>
      <c r="D674">
        <v>0</v>
      </c>
      <c r="E674">
        <v>0</v>
      </c>
      <c r="F674">
        <v>0</v>
      </c>
      <c r="G674">
        <v>0.99368220728872803</v>
      </c>
      <c r="H674">
        <v>7</v>
      </c>
      <c r="I674">
        <v>7</v>
      </c>
      <c r="J674">
        <v>7.6570774295119506E-2</v>
      </c>
      <c r="K674">
        <v>1.2234910277324601E-2</v>
      </c>
      <c r="L674">
        <v>4.0687925090216299E-2</v>
      </c>
      <c r="M674">
        <v>3.1746031746031698E-3</v>
      </c>
      <c r="N674">
        <v>2.4976831312235E-2</v>
      </c>
      <c r="O674">
        <v>732</v>
      </c>
      <c r="P674">
        <v>6.3096240179573507E-2</v>
      </c>
      <c r="Q674">
        <v>6.3256074897436801E-2</v>
      </c>
      <c r="R674">
        <v>0</v>
      </c>
      <c r="S674">
        <v>0</v>
      </c>
      <c r="T674" t="s">
        <v>53</v>
      </c>
      <c r="U674">
        <v>2.1226415094339601E-2</v>
      </c>
      <c r="V674">
        <v>0</v>
      </c>
      <c r="W674">
        <v>0</v>
      </c>
      <c r="X674">
        <v>0</v>
      </c>
      <c r="Y674">
        <v>4.31511667978026E-2</v>
      </c>
      <c r="Z674">
        <v>4.7848476632638103E-2</v>
      </c>
      <c r="AA674">
        <v>0</v>
      </c>
      <c r="AB674">
        <f t="shared" si="70"/>
        <v>2.54799001605234E-2</v>
      </c>
      <c r="AC674">
        <f t="shared" si="75"/>
        <v>0.1</v>
      </c>
      <c r="AD674">
        <f t="shared" si="71"/>
        <v>0</v>
      </c>
      <c r="AE674">
        <f t="shared" si="76"/>
        <v>2.8027890176575743E-2</v>
      </c>
      <c r="AF674" t="str">
        <f t="shared" si="72"/>
        <v>Very Low</v>
      </c>
      <c r="AG674" t="str">
        <f t="shared" si="73"/>
        <v>NO ACTION</v>
      </c>
      <c r="AH674" t="str">
        <f t="shared" si="74"/>
        <v/>
      </c>
    </row>
    <row r="675" spans="1:34" x14ac:dyDescent="0.3">
      <c r="A675" t="s">
        <v>702</v>
      </c>
      <c r="B675">
        <v>9.0359168241965895E-2</v>
      </c>
      <c r="C675">
        <v>0.78544484897775801</v>
      </c>
      <c r="D675">
        <v>0.35670975615648098</v>
      </c>
      <c r="E675">
        <v>0</v>
      </c>
      <c r="F675">
        <v>0</v>
      </c>
      <c r="G675">
        <v>0.368142864133225</v>
      </c>
      <c r="H675">
        <v>8</v>
      </c>
      <c r="I675">
        <v>15</v>
      </c>
      <c r="J675">
        <v>8.9213300892132998E-3</v>
      </c>
      <c r="K675">
        <v>1.6313213703099501E-3</v>
      </c>
      <c r="L675">
        <v>4.5491360691144699E-2</v>
      </c>
      <c r="M675">
        <v>2.88600288600288E-4</v>
      </c>
      <c r="N675">
        <v>1.9040103415103399E-2</v>
      </c>
      <c r="O675">
        <v>132</v>
      </c>
      <c r="P675">
        <v>7.4003928170594804E-3</v>
      </c>
      <c r="Q675">
        <v>7.5738981030190403E-3</v>
      </c>
      <c r="R675">
        <v>0</v>
      </c>
      <c r="S675">
        <v>0</v>
      </c>
      <c r="T675" t="s">
        <v>53</v>
      </c>
      <c r="U675">
        <v>1.6981132075471601E-2</v>
      </c>
      <c r="V675">
        <v>0</v>
      </c>
      <c r="W675">
        <v>0</v>
      </c>
      <c r="X675">
        <v>0.107012926846944</v>
      </c>
      <c r="Y675">
        <v>3.0241977387946001E-2</v>
      </c>
      <c r="Z675">
        <v>1.2056277056276999E-2</v>
      </c>
      <c r="AA675">
        <v>0</v>
      </c>
      <c r="AB675">
        <f t="shared" si="70"/>
        <v>2.8965579539893482E-2</v>
      </c>
      <c r="AC675">
        <f t="shared" si="75"/>
        <v>0.1</v>
      </c>
      <c r="AD675">
        <f t="shared" si="71"/>
        <v>0</v>
      </c>
      <c r="AE675">
        <f t="shared" si="76"/>
        <v>3.1862137493882836E-2</v>
      </c>
      <c r="AF675" t="str">
        <f t="shared" si="72"/>
        <v>Very Low</v>
      </c>
      <c r="AG675" t="str">
        <f t="shared" si="73"/>
        <v>NO ACTION</v>
      </c>
      <c r="AH675" t="str">
        <f t="shared" si="74"/>
        <v/>
      </c>
    </row>
    <row r="676" spans="1:34" x14ac:dyDescent="0.3">
      <c r="A676" t="s">
        <v>703</v>
      </c>
      <c r="B676">
        <v>0.25406427221172001</v>
      </c>
      <c r="C676">
        <v>0.62235471286700506</v>
      </c>
      <c r="D676">
        <v>0.47108076287353401</v>
      </c>
      <c r="E676">
        <v>6.7389875082182693E-2</v>
      </c>
      <c r="F676">
        <v>3.4023668639053199E-2</v>
      </c>
      <c r="G676">
        <v>0.433818918201126</v>
      </c>
      <c r="H676">
        <v>0</v>
      </c>
      <c r="I676">
        <v>23</v>
      </c>
      <c r="J676">
        <v>7.7524927245837497E-2</v>
      </c>
      <c r="K676">
        <v>8.9722675367047301E-3</v>
      </c>
      <c r="L676">
        <v>2.94717036134041E-2</v>
      </c>
      <c r="M676">
        <v>2.88600288600288E-4</v>
      </c>
      <c r="N676">
        <v>2.24276064766862E-3</v>
      </c>
      <c r="O676">
        <v>714</v>
      </c>
      <c r="P676">
        <v>6.0991863075196398E-2</v>
      </c>
      <c r="Q676">
        <v>6.1152214313264799E-2</v>
      </c>
      <c r="R676">
        <v>5.1622418879055998E-2</v>
      </c>
      <c r="S676">
        <v>1</v>
      </c>
      <c r="T676" t="s">
        <v>53</v>
      </c>
      <c r="U676">
        <v>9.3396226415094305E-2</v>
      </c>
      <c r="V676">
        <v>0</v>
      </c>
      <c r="W676">
        <v>3.27228188258641E-2</v>
      </c>
      <c r="X676">
        <v>0.17515065884233599</v>
      </c>
      <c r="Y676">
        <v>3.0913665450170099E-2</v>
      </c>
      <c r="Z676">
        <v>3.7492222104185298E-2</v>
      </c>
      <c r="AA676">
        <v>5.1622418879055998E-2</v>
      </c>
      <c r="AB676">
        <f t="shared" si="70"/>
        <v>6.1632031216128952E-2</v>
      </c>
      <c r="AC676">
        <f t="shared" si="75"/>
        <v>0.1</v>
      </c>
      <c r="AD676">
        <f t="shared" si="71"/>
        <v>0</v>
      </c>
      <c r="AE676">
        <f t="shared" si="76"/>
        <v>6.7795234337741858E-2</v>
      </c>
      <c r="AF676" t="str">
        <f t="shared" si="72"/>
        <v>Very Low</v>
      </c>
      <c r="AG676" t="str">
        <f t="shared" si="73"/>
        <v>NO ACTION</v>
      </c>
      <c r="AH676" t="str">
        <f t="shared" si="74"/>
        <v/>
      </c>
    </row>
    <row r="677" spans="1:34" x14ac:dyDescent="0.3">
      <c r="A677" t="s">
        <v>704</v>
      </c>
      <c r="B677">
        <v>0.164461247637051</v>
      </c>
      <c r="C677">
        <v>0.61953370372237404</v>
      </c>
      <c r="D677">
        <v>0.50677515221521696</v>
      </c>
      <c r="E677">
        <v>0.72639838015692204</v>
      </c>
      <c r="F677">
        <v>0.123006833712984</v>
      </c>
      <c r="G677">
        <v>0.74852560851983796</v>
      </c>
      <c r="H677">
        <v>0</v>
      </c>
      <c r="I677">
        <v>23</v>
      </c>
      <c r="J677">
        <v>9.5176756834120496E-2</v>
      </c>
      <c r="K677">
        <v>1.0603588907014599E-2</v>
      </c>
      <c r="L677">
        <v>2.8386609071274198E-2</v>
      </c>
      <c r="M677">
        <v>1.7316017316017301E-3</v>
      </c>
      <c r="N677">
        <v>1.09670995670995E-2</v>
      </c>
      <c r="O677">
        <v>957</v>
      </c>
      <c r="P677">
        <v>7.53717732884399E-2</v>
      </c>
      <c r="Q677">
        <v>7.5528594971773194E-2</v>
      </c>
      <c r="R677">
        <v>0.37610619469026502</v>
      </c>
      <c r="S677">
        <v>1</v>
      </c>
      <c r="T677" t="s">
        <v>53</v>
      </c>
      <c r="U677">
        <v>3.15363881401617E-2</v>
      </c>
      <c r="V677">
        <v>0</v>
      </c>
      <c r="W677">
        <v>0.113948098736374</v>
      </c>
      <c r="X677">
        <v>0.41915479319683502</v>
      </c>
      <c r="Y677">
        <v>3.65187857725911E-2</v>
      </c>
      <c r="Z677">
        <v>4.96099037999038E-2</v>
      </c>
      <c r="AA677">
        <v>0.37610619469026502</v>
      </c>
      <c r="AB677">
        <f t="shared" si="70"/>
        <v>0.1964905345050664</v>
      </c>
      <c r="AC677">
        <f t="shared" si="75"/>
        <v>0.1</v>
      </c>
      <c r="AD677">
        <f t="shared" si="71"/>
        <v>0.05</v>
      </c>
      <c r="AE677">
        <f t="shared" si="76"/>
        <v>0.22596411468082639</v>
      </c>
      <c r="AF677" t="str">
        <f t="shared" si="72"/>
        <v>Low</v>
      </c>
      <c r="AG677" t="str">
        <f t="shared" si="73"/>
        <v>NO ACTION</v>
      </c>
      <c r="AH677" t="str">
        <f t="shared" si="74"/>
        <v/>
      </c>
    </row>
    <row r="678" spans="1:34" x14ac:dyDescent="0.3">
      <c r="A678" t="s">
        <v>705</v>
      </c>
      <c r="B678">
        <v>0.12892249527410199</v>
      </c>
      <c r="C678">
        <v>0.28598536552619103</v>
      </c>
      <c r="D678">
        <v>7.4788307505895393E-2</v>
      </c>
      <c r="E678">
        <v>0</v>
      </c>
      <c r="F678">
        <v>0</v>
      </c>
      <c r="G678">
        <v>0.99366767514326304</v>
      </c>
      <c r="H678">
        <v>7</v>
      </c>
      <c r="I678">
        <v>8</v>
      </c>
      <c r="J678">
        <v>8.7448117933304703E-2</v>
      </c>
      <c r="K678">
        <v>1.9575856443719401E-2</v>
      </c>
      <c r="L678">
        <v>5.7025078907724298E-2</v>
      </c>
      <c r="M678">
        <v>2.0202020202020202E-3</v>
      </c>
      <c r="N678">
        <v>1.39226871544608E-2</v>
      </c>
      <c r="O678">
        <v>981</v>
      </c>
      <c r="P678">
        <v>7.3688271604938196E-2</v>
      </c>
      <c r="Q678">
        <v>7.3845506504435596E-2</v>
      </c>
      <c r="R678">
        <v>0</v>
      </c>
      <c r="S678">
        <v>0</v>
      </c>
      <c r="T678" t="s">
        <v>53</v>
      </c>
      <c r="U678">
        <v>5.0943396226415097E-2</v>
      </c>
      <c r="V678">
        <v>0</v>
      </c>
      <c r="W678">
        <v>0</v>
      </c>
      <c r="X678">
        <v>2.2436492251768601E-2</v>
      </c>
      <c r="Y678">
        <v>5.0178969186861301E-2</v>
      </c>
      <c r="Z678">
        <v>4.9782037824747299E-2</v>
      </c>
      <c r="AA678">
        <v>0</v>
      </c>
      <c r="AB678">
        <f t="shared" si="70"/>
        <v>3.1578920723533382E-2</v>
      </c>
      <c r="AC678">
        <f t="shared" si="75"/>
        <v>0.1</v>
      </c>
      <c r="AD678">
        <f t="shared" si="71"/>
        <v>0</v>
      </c>
      <c r="AE678">
        <f t="shared" si="76"/>
        <v>3.4736812795886723E-2</v>
      </c>
      <c r="AF678" t="str">
        <f t="shared" si="72"/>
        <v>Very Low</v>
      </c>
      <c r="AG678" t="str">
        <f t="shared" si="73"/>
        <v>NO ACTION</v>
      </c>
      <c r="AH678" t="str">
        <f t="shared" si="74"/>
        <v/>
      </c>
    </row>
    <row r="679" spans="1:34" x14ac:dyDescent="0.3">
      <c r="A679" t="s">
        <v>706</v>
      </c>
      <c r="B679">
        <v>0.12892249527410199</v>
      </c>
      <c r="C679">
        <v>0.27955872809863702</v>
      </c>
      <c r="D679">
        <v>7.5107235637207503E-2</v>
      </c>
      <c r="E679">
        <v>0</v>
      </c>
      <c r="F679">
        <v>0</v>
      </c>
      <c r="G679">
        <v>0.99368397362685101</v>
      </c>
      <c r="H679">
        <v>7</v>
      </c>
      <c r="I679">
        <v>8</v>
      </c>
      <c r="J679">
        <v>8.8211440293879104E-2</v>
      </c>
      <c r="K679">
        <v>1.1419249592169599E-2</v>
      </c>
      <c r="L679">
        <v>3.2977555970279598E-2</v>
      </c>
      <c r="M679">
        <v>3.4632034632034602E-3</v>
      </c>
      <c r="N679">
        <v>2.3661487739157602E-2</v>
      </c>
      <c r="O679">
        <v>783</v>
      </c>
      <c r="P679">
        <v>7.1443602693602698E-2</v>
      </c>
      <c r="Q679">
        <v>7.1601388547985506E-2</v>
      </c>
      <c r="R679">
        <v>0</v>
      </c>
      <c r="S679">
        <v>0</v>
      </c>
      <c r="T679" t="s">
        <v>53</v>
      </c>
      <c r="U679">
        <v>1.82873730043541E-2</v>
      </c>
      <c r="V679">
        <v>0</v>
      </c>
      <c r="W679">
        <v>0</v>
      </c>
      <c r="X679">
        <v>2.2532170691162201E-2</v>
      </c>
      <c r="Y679">
        <v>4.1229512365662899E-2</v>
      </c>
      <c r="Z679">
        <v>5.2330756711824598E-2</v>
      </c>
      <c r="AA679">
        <v>0</v>
      </c>
      <c r="AB679">
        <f t="shared" si="70"/>
        <v>2.9802022652282455E-2</v>
      </c>
      <c r="AC679">
        <f t="shared" si="75"/>
        <v>0.1</v>
      </c>
      <c r="AD679">
        <f t="shared" si="71"/>
        <v>0</v>
      </c>
      <c r="AE679">
        <f t="shared" si="76"/>
        <v>3.2782224917510705E-2</v>
      </c>
      <c r="AF679" t="str">
        <f t="shared" si="72"/>
        <v>Very Low</v>
      </c>
      <c r="AG679" t="str">
        <f t="shared" si="73"/>
        <v>NO ACTION</v>
      </c>
      <c r="AH679" t="str">
        <f t="shared" si="74"/>
        <v/>
      </c>
    </row>
    <row r="680" spans="1:34" x14ac:dyDescent="0.3">
      <c r="A680" t="s">
        <v>707</v>
      </c>
      <c r="B680">
        <v>0.270321361058601</v>
      </c>
      <c r="C680">
        <v>0.72749937903404105</v>
      </c>
      <c r="D680">
        <v>0.39038523877011999</v>
      </c>
      <c r="E680">
        <v>0</v>
      </c>
      <c r="F680">
        <v>0</v>
      </c>
      <c r="G680">
        <v>0.39886494475570999</v>
      </c>
      <c r="H680">
        <v>7</v>
      </c>
      <c r="I680">
        <v>16</v>
      </c>
      <c r="J680">
        <v>9.0358284432994596E-2</v>
      </c>
      <c r="K680">
        <v>9.7879282218597003E-3</v>
      </c>
      <c r="L680">
        <v>2.7596654826855499E-2</v>
      </c>
      <c r="M680">
        <v>3.4632034632034602E-3</v>
      </c>
      <c r="N680">
        <v>2.3100788977566199E-2</v>
      </c>
      <c r="O680">
        <v>950</v>
      </c>
      <c r="P680">
        <v>7.2320426487093095E-2</v>
      </c>
      <c r="Q680">
        <v>7.2477997124723803E-2</v>
      </c>
      <c r="R680">
        <v>0</v>
      </c>
      <c r="S680">
        <v>0</v>
      </c>
      <c r="T680" t="s">
        <v>53</v>
      </c>
      <c r="U680">
        <v>1.5674891146589199E-2</v>
      </c>
      <c r="V680">
        <v>0</v>
      </c>
      <c r="W680">
        <v>0</v>
      </c>
      <c r="X680">
        <v>0.117115571631036</v>
      </c>
      <c r="Y680">
        <v>3.8800220993296497E-2</v>
      </c>
      <c r="Z680">
        <v>5.2632571483282299E-2</v>
      </c>
      <c r="AA680">
        <v>0</v>
      </c>
      <c r="AB680">
        <f t="shared" si="70"/>
        <v>4.4339673354407826E-2</v>
      </c>
      <c r="AC680">
        <f t="shared" si="75"/>
        <v>0.1</v>
      </c>
      <c r="AD680">
        <f t="shared" si="71"/>
        <v>0</v>
      </c>
      <c r="AE680">
        <f t="shared" si="76"/>
        <v>4.8773640689848609E-2</v>
      </c>
      <c r="AF680" t="str">
        <f t="shared" si="72"/>
        <v>Very Low</v>
      </c>
      <c r="AG680" t="str">
        <f t="shared" si="73"/>
        <v>NO ACTION</v>
      </c>
      <c r="AH680" t="str">
        <f t="shared" si="74"/>
        <v/>
      </c>
    </row>
    <row r="681" spans="1:34" x14ac:dyDescent="0.3">
      <c r="A681" t="s">
        <v>708</v>
      </c>
      <c r="B681">
        <v>0.25330812854442297</v>
      </c>
      <c r="C681">
        <v>0.90902593346579197</v>
      </c>
      <c r="D681">
        <v>0.40262322075746698</v>
      </c>
      <c r="E681">
        <v>0</v>
      </c>
      <c r="F681">
        <v>0</v>
      </c>
      <c r="G681">
        <v>0.435535531724694</v>
      </c>
      <c r="H681">
        <v>8</v>
      </c>
      <c r="I681">
        <v>19</v>
      </c>
      <c r="J681">
        <v>9.8373169219025794E-2</v>
      </c>
      <c r="K681">
        <v>1.5497553017944501E-2</v>
      </c>
      <c r="L681">
        <v>4.0143319739065202E-2</v>
      </c>
      <c r="M681">
        <v>3.7518037518037501E-3</v>
      </c>
      <c r="N681">
        <v>2.29918229918229E-2</v>
      </c>
      <c r="O681">
        <v>1055</v>
      </c>
      <c r="P681">
        <v>8.0808080808080801E-2</v>
      </c>
      <c r="Q681">
        <v>8.0963568147550694E-2</v>
      </c>
      <c r="R681">
        <v>0</v>
      </c>
      <c r="S681">
        <v>0</v>
      </c>
      <c r="T681" t="s">
        <v>28</v>
      </c>
      <c r="U681">
        <v>2.3045822102425801E-2</v>
      </c>
      <c r="V681">
        <v>0</v>
      </c>
      <c r="W681">
        <v>0</v>
      </c>
      <c r="X681">
        <v>0.12078696622724</v>
      </c>
      <c r="Y681">
        <v>4.6643840610884703E-2</v>
      </c>
      <c r="Z681">
        <v>5.7681577681577598E-2</v>
      </c>
      <c r="AA681">
        <v>0</v>
      </c>
      <c r="AB681">
        <f t="shared" si="70"/>
        <v>4.8537031718247844E-2</v>
      </c>
      <c r="AC681">
        <f t="shared" si="75"/>
        <v>0.25</v>
      </c>
      <c r="AD681">
        <f t="shared" si="71"/>
        <v>0</v>
      </c>
      <c r="AE681">
        <f t="shared" si="76"/>
        <v>6.0671289647809809E-2</v>
      </c>
      <c r="AF681" t="str">
        <f t="shared" si="72"/>
        <v>Very Low</v>
      </c>
      <c r="AG681" t="str">
        <f t="shared" si="73"/>
        <v>NO ACTION</v>
      </c>
      <c r="AH681" t="str">
        <f t="shared" si="74"/>
        <v/>
      </c>
    </row>
    <row r="682" spans="1:34" x14ac:dyDescent="0.3">
      <c r="A682" t="s">
        <v>709</v>
      </c>
      <c r="B682">
        <v>0.24574669187145501</v>
      </c>
      <c r="C682">
        <v>0.465869796855645</v>
      </c>
      <c r="D682">
        <v>0.55367240540720797</v>
      </c>
      <c r="E682">
        <v>0.208970438328236</v>
      </c>
      <c r="F682">
        <v>0.57798165137614599</v>
      </c>
      <c r="G682">
        <v>0.45383945084944199</v>
      </c>
      <c r="H682">
        <v>0</v>
      </c>
      <c r="I682">
        <v>23</v>
      </c>
      <c r="J682">
        <v>9.5892371547159003E-2</v>
      </c>
      <c r="K682">
        <v>1.38662316476345E-2</v>
      </c>
      <c r="L682">
        <v>3.6844615706177697E-2</v>
      </c>
      <c r="M682">
        <v>3.1746031746031698E-3</v>
      </c>
      <c r="N682">
        <v>1.9956674150222498E-2</v>
      </c>
      <c r="O682">
        <v>814</v>
      </c>
      <c r="P682">
        <v>7.80022446689113E-2</v>
      </c>
      <c r="Q682">
        <v>7.8158420701988099E-2</v>
      </c>
      <c r="R682">
        <v>0</v>
      </c>
      <c r="S682">
        <v>0</v>
      </c>
      <c r="T682" t="s">
        <v>28</v>
      </c>
      <c r="U682">
        <v>2.40566037735849E-2</v>
      </c>
      <c r="V682">
        <v>0</v>
      </c>
      <c r="W682">
        <v>0</v>
      </c>
      <c r="X682">
        <v>0.45998551367109197</v>
      </c>
      <c r="Y682">
        <v>4.3587784407587399E-2</v>
      </c>
      <c r="Z682">
        <v>5.4784016461435797E-2</v>
      </c>
      <c r="AA682">
        <v>0</v>
      </c>
      <c r="AB682">
        <f t="shared" si="70"/>
        <v>0.10114178643070121</v>
      </c>
      <c r="AC682">
        <f t="shared" si="75"/>
        <v>0.25</v>
      </c>
      <c r="AD682">
        <f t="shared" si="71"/>
        <v>0.08</v>
      </c>
      <c r="AE682">
        <f t="shared" si="76"/>
        <v>0.13451857595283262</v>
      </c>
      <c r="AF682" t="str">
        <f t="shared" si="72"/>
        <v>Very Low</v>
      </c>
      <c r="AG682" t="str">
        <f t="shared" si="73"/>
        <v>NO ACTION</v>
      </c>
      <c r="AH682" t="str">
        <f t="shared" si="74"/>
        <v/>
      </c>
    </row>
    <row r="683" spans="1:34" x14ac:dyDescent="0.3">
      <c r="A683" t="s">
        <v>710</v>
      </c>
      <c r="B683">
        <v>0.28128544423440399</v>
      </c>
      <c r="C683">
        <v>0.78747787890714105</v>
      </c>
      <c r="D683">
        <v>0.43694824541660299</v>
      </c>
      <c r="E683">
        <v>0.426322043969102</v>
      </c>
      <c r="F683">
        <v>3.6096256684491901E-2</v>
      </c>
      <c r="G683">
        <v>0.37765045445026502</v>
      </c>
      <c r="H683">
        <v>0</v>
      </c>
      <c r="I683">
        <v>23</v>
      </c>
      <c r="J683">
        <v>6.03978817804494E-2</v>
      </c>
      <c r="K683">
        <v>8.1566068515497494E-3</v>
      </c>
      <c r="L683">
        <v>3.4360115077497103E-2</v>
      </c>
      <c r="M683">
        <v>4.3290043290043203E-3</v>
      </c>
      <c r="N683">
        <v>4.3143586023208301E-2</v>
      </c>
      <c r="O683">
        <v>685</v>
      </c>
      <c r="P683">
        <v>5.00140291806958E-2</v>
      </c>
      <c r="Q683">
        <v>5.0177074932501099E-2</v>
      </c>
      <c r="R683">
        <v>6.6371681415929196E-2</v>
      </c>
      <c r="S683">
        <v>1</v>
      </c>
      <c r="T683" t="s">
        <v>53</v>
      </c>
      <c r="U683">
        <v>1.06132075471698E-2</v>
      </c>
      <c r="V683">
        <v>0</v>
      </c>
      <c r="W683">
        <v>4.0474463683315302E-2</v>
      </c>
      <c r="X683">
        <v>0.27341958948950801</v>
      </c>
      <c r="Y683">
        <v>4.22027097018009E-2</v>
      </c>
      <c r="Z683">
        <v>4.7265851917700802E-2</v>
      </c>
      <c r="AA683">
        <v>6.6371681415929196E-2</v>
      </c>
      <c r="AB683">
        <f t="shared" si="70"/>
        <v>8.7382402368241935E-2</v>
      </c>
      <c r="AC683">
        <f t="shared" si="75"/>
        <v>0.1</v>
      </c>
      <c r="AD683">
        <f t="shared" si="71"/>
        <v>0</v>
      </c>
      <c r="AE683">
        <f t="shared" si="76"/>
        <v>9.6120642605066142E-2</v>
      </c>
      <c r="AF683" t="str">
        <f t="shared" si="72"/>
        <v>Very Low</v>
      </c>
      <c r="AG683" t="str">
        <f t="shared" si="73"/>
        <v>NO ACTION</v>
      </c>
      <c r="AH683" t="str">
        <f t="shared" si="74"/>
        <v/>
      </c>
    </row>
    <row r="684" spans="1:34" x14ac:dyDescent="0.3">
      <c r="A684" t="s">
        <v>711</v>
      </c>
      <c r="B684">
        <v>0.25217391304347803</v>
      </c>
      <c r="C684">
        <v>0.68068721606009697</v>
      </c>
      <c r="D684">
        <v>0.38795677614016699</v>
      </c>
      <c r="E684">
        <v>0.13578407021029901</v>
      </c>
      <c r="F684">
        <v>1.19225037257824E-2</v>
      </c>
      <c r="G684">
        <v>0.43806930428624902</v>
      </c>
      <c r="H684">
        <v>0</v>
      </c>
      <c r="I684">
        <v>18</v>
      </c>
      <c r="J684">
        <v>8.4728782023758401E-2</v>
      </c>
      <c r="K684">
        <v>9.7879282218597003E-3</v>
      </c>
      <c r="L684">
        <v>2.9425068790678601E-2</v>
      </c>
      <c r="M684">
        <v>7.7922077922077896E-3</v>
      </c>
      <c r="N684">
        <v>5.5420491916842202E-2</v>
      </c>
      <c r="O684">
        <v>821</v>
      </c>
      <c r="P684">
        <v>7.0286195286195299E-2</v>
      </c>
      <c r="Q684">
        <v>7.0444265226690894E-2</v>
      </c>
      <c r="R684">
        <v>0.19469026548672499</v>
      </c>
      <c r="S684">
        <v>1</v>
      </c>
      <c r="T684" t="s">
        <v>53</v>
      </c>
      <c r="U684">
        <v>7.2776280323450099E-3</v>
      </c>
      <c r="V684">
        <v>0</v>
      </c>
      <c r="W684">
        <v>1.14485182401048E-2</v>
      </c>
      <c r="X684">
        <v>0.16189125539545299</v>
      </c>
      <c r="Y684">
        <v>4.8284438375143603E-2</v>
      </c>
      <c r="Z684">
        <v>6.4339913938453994E-2</v>
      </c>
      <c r="AA684">
        <v>0.19469026548672499</v>
      </c>
      <c r="AB684">
        <f t="shared" si="70"/>
        <v>0.11195069384736281</v>
      </c>
      <c r="AC684">
        <f t="shared" si="75"/>
        <v>0.1</v>
      </c>
      <c r="AD684">
        <f t="shared" si="71"/>
        <v>0</v>
      </c>
      <c r="AE684">
        <f t="shared" si="76"/>
        <v>0.1231457632320991</v>
      </c>
      <c r="AF684" t="str">
        <f t="shared" si="72"/>
        <v>Very Low</v>
      </c>
      <c r="AG684" t="str">
        <f t="shared" si="73"/>
        <v>NO ACTION</v>
      </c>
      <c r="AH684" t="str">
        <f t="shared" si="74"/>
        <v/>
      </c>
    </row>
    <row r="685" spans="1:34" x14ac:dyDescent="0.3">
      <c r="A685" t="s">
        <v>712</v>
      </c>
      <c r="B685">
        <v>0.12892249527410199</v>
      </c>
      <c r="C685">
        <v>0.288663131121006</v>
      </c>
      <c r="D685">
        <v>7.4546943629650697E-2</v>
      </c>
      <c r="E685">
        <v>0</v>
      </c>
      <c r="F685">
        <v>0</v>
      </c>
      <c r="G685">
        <v>0.99366954853218203</v>
      </c>
      <c r="H685">
        <v>7</v>
      </c>
      <c r="I685">
        <v>8</v>
      </c>
      <c r="J685">
        <v>9.1598683268928005E-2</v>
      </c>
      <c r="K685">
        <v>1.71288743882544E-2</v>
      </c>
      <c r="L685">
        <v>4.7641861378362398E-2</v>
      </c>
      <c r="M685">
        <v>4.3290043290043203E-3</v>
      </c>
      <c r="N685">
        <v>2.8485972901557299E-2</v>
      </c>
      <c r="O685">
        <v>1037</v>
      </c>
      <c r="P685">
        <v>7.68097643097643E-2</v>
      </c>
      <c r="Q685">
        <v>7.6966233037623996E-2</v>
      </c>
      <c r="R685">
        <v>0</v>
      </c>
      <c r="S685">
        <v>0</v>
      </c>
      <c r="T685" t="s">
        <v>53</v>
      </c>
      <c r="U685">
        <v>2.2287735849056599E-2</v>
      </c>
      <c r="V685">
        <v>0</v>
      </c>
      <c r="W685">
        <v>0</v>
      </c>
      <c r="X685">
        <v>2.23640830888952E-2</v>
      </c>
      <c r="Y685">
        <v>5.0686459213434003E-2</v>
      </c>
      <c r="Z685">
        <v>5.74802477464815E-2</v>
      </c>
      <c r="AA685">
        <v>0</v>
      </c>
      <c r="AB685">
        <f t="shared" si="70"/>
        <v>3.386493124299958E-2</v>
      </c>
      <c r="AC685">
        <f t="shared" si="75"/>
        <v>0.1</v>
      </c>
      <c r="AD685">
        <f t="shared" si="71"/>
        <v>0</v>
      </c>
      <c r="AE685">
        <f t="shared" si="76"/>
        <v>3.7251424367299543E-2</v>
      </c>
      <c r="AF685" t="str">
        <f t="shared" si="72"/>
        <v>Very Low</v>
      </c>
      <c r="AG685" t="str">
        <f t="shared" si="73"/>
        <v>NO ACTION</v>
      </c>
      <c r="AH685" t="str">
        <f t="shared" si="74"/>
        <v/>
      </c>
    </row>
    <row r="686" spans="1:34" x14ac:dyDescent="0.3">
      <c r="A686" t="s">
        <v>713</v>
      </c>
      <c r="B686">
        <v>0.12892249527410199</v>
      </c>
      <c r="C686">
        <v>0.55429747812660801</v>
      </c>
      <c r="D686">
        <v>0</v>
      </c>
      <c r="E686">
        <v>0</v>
      </c>
      <c r="F686">
        <v>0</v>
      </c>
      <c r="G686">
        <v>0.99368030713711097</v>
      </c>
      <c r="H686">
        <v>9</v>
      </c>
      <c r="I686">
        <v>9</v>
      </c>
      <c r="J686">
        <v>7.36606077954296E-2</v>
      </c>
      <c r="K686">
        <v>1.5497553017944501E-2</v>
      </c>
      <c r="L686">
        <v>5.35676190449631E-2</v>
      </c>
      <c r="M686">
        <v>2.3088023088023001E-3</v>
      </c>
      <c r="N686">
        <v>1.88803091320844E-2</v>
      </c>
      <c r="O686">
        <v>777</v>
      </c>
      <c r="P686">
        <v>6.1938832772166101E-2</v>
      </c>
      <c r="Q686">
        <v>6.2098951576142203E-2</v>
      </c>
      <c r="R686">
        <v>0</v>
      </c>
      <c r="S686">
        <v>0</v>
      </c>
      <c r="T686" t="s">
        <v>53</v>
      </c>
      <c r="U686">
        <v>3.5849056603773501E-2</v>
      </c>
      <c r="V686">
        <v>0</v>
      </c>
      <c r="W686">
        <v>0</v>
      </c>
      <c r="X686">
        <v>0</v>
      </c>
      <c r="Y686">
        <v>4.7180023821192803E-2</v>
      </c>
      <c r="Z686">
        <v>4.4715423316133401E-2</v>
      </c>
      <c r="AA686">
        <v>0</v>
      </c>
      <c r="AB686">
        <f t="shared" si="70"/>
        <v>2.5730725198451342E-2</v>
      </c>
      <c r="AC686">
        <f t="shared" si="75"/>
        <v>0.1</v>
      </c>
      <c r="AD686">
        <f t="shared" si="71"/>
        <v>0</v>
      </c>
      <c r="AE686">
        <f t="shared" si="76"/>
        <v>2.8303797718296476E-2</v>
      </c>
      <c r="AF686" t="str">
        <f t="shared" si="72"/>
        <v>Very Low</v>
      </c>
      <c r="AG686" t="str">
        <f t="shared" si="73"/>
        <v>NO ACTION</v>
      </c>
      <c r="AH686" t="str">
        <f t="shared" si="74"/>
        <v/>
      </c>
    </row>
    <row r="687" spans="1:34" x14ac:dyDescent="0.3">
      <c r="A687" t="s">
        <v>714</v>
      </c>
      <c r="B687">
        <v>0.12892249527410199</v>
      </c>
      <c r="C687">
        <v>0</v>
      </c>
      <c r="D687">
        <v>0</v>
      </c>
      <c r="E687">
        <v>0</v>
      </c>
      <c r="F687">
        <v>1</v>
      </c>
      <c r="G687">
        <v>0.99368306369509096</v>
      </c>
      <c r="H687">
        <v>6</v>
      </c>
      <c r="I687">
        <v>6</v>
      </c>
      <c r="J687">
        <v>7.5998282524688696E-2</v>
      </c>
      <c r="K687">
        <v>6.5252854812398002E-3</v>
      </c>
      <c r="L687">
        <v>2.1863182109386099E-2</v>
      </c>
      <c r="M687">
        <v>2.0202020202020202E-3</v>
      </c>
      <c r="N687">
        <v>1.6013703998685201E-2</v>
      </c>
      <c r="O687">
        <v>779</v>
      </c>
      <c r="P687">
        <v>5.9659090909090898E-2</v>
      </c>
      <c r="Q687">
        <v>5.9819769276622602E-2</v>
      </c>
      <c r="R687">
        <v>0</v>
      </c>
      <c r="S687">
        <v>0</v>
      </c>
      <c r="T687" t="s">
        <v>53</v>
      </c>
      <c r="U687">
        <v>1.6981132075471601E-2</v>
      </c>
      <c r="V687">
        <v>0</v>
      </c>
      <c r="W687">
        <v>0</v>
      </c>
      <c r="X687">
        <v>0.4</v>
      </c>
      <c r="Y687">
        <v>3.0935358759236399E-2</v>
      </c>
      <c r="Z687">
        <v>4.2200936144928598E-2</v>
      </c>
      <c r="AA687">
        <v>0</v>
      </c>
      <c r="AB687">
        <f t="shared" si="70"/>
        <v>8.4478162573166204E-2</v>
      </c>
      <c r="AC687">
        <f t="shared" si="75"/>
        <v>0.1</v>
      </c>
      <c r="AD687">
        <f t="shared" si="71"/>
        <v>0.08</v>
      </c>
      <c r="AE687">
        <f t="shared" si="76"/>
        <v>9.9684231836336137E-2</v>
      </c>
      <c r="AF687" t="str">
        <f t="shared" si="72"/>
        <v>Very Low</v>
      </c>
      <c r="AG687" t="str">
        <f t="shared" si="73"/>
        <v>NO ACTION</v>
      </c>
      <c r="AH687" t="str">
        <f t="shared" si="74"/>
        <v/>
      </c>
    </row>
    <row r="688" spans="1:34" x14ac:dyDescent="0.3">
      <c r="A688" t="s">
        <v>715</v>
      </c>
      <c r="B688">
        <v>0.12892249527410199</v>
      </c>
      <c r="C688">
        <v>0.36953165208440503</v>
      </c>
      <c r="D688">
        <v>0</v>
      </c>
      <c r="E688">
        <v>0</v>
      </c>
      <c r="F688">
        <v>0</v>
      </c>
      <c r="G688">
        <v>0.99369074458965501</v>
      </c>
      <c r="H688">
        <v>8</v>
      </c>
      <c r="I688">
        <v>8</v>
      </c>
      <c r="J688">
        <v>8.4060874958255802E-2</v>
      </c>
      <c r="K688">
        <v>8.9722675367047301E-3</v>
      </c>
      <c r="L688">
        <v>2.7186687543773999E-2</v>
      </c>
      <c r="M688">
        <v>3.4632034632034602E-3</v>
      </c>
      <c r="N688">
        <v>2.4826484588793499E-2</v>
      </c>
      <c r="O688">
        <v>884</v>
      </c>
      <c r="P688">
        <v>6.7340067340067297E-2</v>
      </c>
      <c r="Q688">
        <v>6.7498860408850198E-2</v>
      </c>
      <c r="R688">
        <v>0</v>
      </c>
      <c r="S688">
        <v>0</v>
      </c>
      <c r="T688" t="s">
        <v>53</v>
      </c>
      <c r="U688">
        <v>1.4368650217706801E-2</v>
      </c>
      <c r="V688">
        <v>0</v>
      </c>
      <c r="W688">
        <v>0</v>
      </c>
      <c r="X688">
        <v>0</v>
      </c>
      <c r="Y688">
        <v>3.78534641401762E-2</v>
      </c>
      <c r="Z688">
        <v>5.03346342395578E-2</v>
      </c>
      <c r="AA688">
        <v>0</v>
      </c>
      <c r="AB688">
        <f t="shared" si="70"/>
        <v>2.4692667546325521E-2</v>
      </c>
      <c r="AC688">
        <f t="shared" si="75"/>
        <v>0.1</v>
      </c>
      <c r="AD688">
        <f t="shared" si="71"/>
        <v>0</v>
      </c>
      <c r="AE688">
        <f t="shared" si="76"/>
        <v>2.7161934300958077E-2</v>
      </c>
      <c r="AF688" t="str">
        <f t="shared" si="72"/>
        <v>Very Low</v>
      </c>
      <c r="AG688" t="str">
        <f t="shared" si="73"/>
        <v>NO ACTION</v>
      </c>
      <c r="AH688" t="str">
        <f t="shared" si="74"/>
        <v/>
      </c>
    </row>
    <row r="689" spans="1:34" x14ac:dyDescent="0.3">
      <c r="A689" t="s">
        <v>716</v>
      </c>
      <c r="B689">
        <v>0.12892249527410199</v>
      </c>
      <c r="C689">
        <v>0.18476582604220201</v>
      </c>
      <c r="D689">
        <v>0</v>
      </c>
      <c r="E689">
        <v>0</v>
      </c>
      <c r="F689">
        <v>0</v>
      </c>
      <c r="G689">
        <v>0.99365731797881596</v>
      </c>
      <c r="H689">
        <v>7</v>
      </c>
      <c r="I689">
        <v>7</v>
      </c>
      <c r="J689">
        <v>0.104527455751156</v>
      </c>
      <c r="K689">
        <v>2.8548123980424101E-2</v>
      </c>
      <c r="L689">
        <v>6.9604267724155802E-2</v>
      </c>
      <c r="M689">
        <v>3.1746031746031698E-3</v>
      </c>
      <c r="N689">
        <v>1.8311793448405399E-2</v>
      </c>
      <c r="O689">
        <v>919</v>
      </c>
      <c r="P689">
        <v>9.0663580246913594E-2</v>
      </c>
      <c r="Q689">
        <v>9.0816648550089404E-2</v>
      </c>
      <c r="R689">
        <v>0</v>
      </c>
      <c r="S689">
        <v>0</v>
      </c>
      <c r="T689" t="s">
        <v>28</v>
      </c>
      <c r="U689">
        <v>4.95283018867924E-2</v>
      </c>
      <c r="V689">
        <v>0</v>
      </c>
      <c r="W689">
        <v>0</v>
      </c>
      <c r="X689">
        <v>0</v>
      </c>
      <c r="Y689">
        <v>6.1201163046830903E-2</v>
      </c>
      <c r="Z689">
        <v>6.1722865527510301E-2</v>
      </c>
      <c r="AA689">
        <v>0</v>
      </c>
      <c r="AB689">
        <f t="shared" si="70"/>
        <v>3.4418728000815538E-2</v>
      </c>
      <c r="AC689">
        <f t="shared" si="75"/>
        <v>0.25</v>
      </c>
      <c r="AD689">
        <f t="shared" si="71"/>
        <v>0</v>
      </c>
      <c r="AE689">
        <f t="shared" si="76"/>
        <v>4.3023410001019419E-2</v>
      </c>
      <c r="AF689" t="str">
        <f t="shared" si="72"/>
        <v>Very Low</v>
      </c>
      <c r="AG689" t="str">
        <f t="shared" si="73"/>
        <v>NO ACTION</v>
      </c>
      <c r="AH689" t="str">
        <f t="shared" si="74"/>
        <v/>
      </c>
    </row>
    <row r="690" spans="1:34" x14ac:dyDescent="0.3">
      <c r="A690" t="s">
        <v>717</v>
      </c>
      <c r="B690">
        <v>0.22873345935727701</v>
      </c>
      <c r="C690">
        <v>0.83675558000721595</v>
      </c>
      <c r="D690">
        <v>0.36071378093601703</v>
      </c>
      <c r="E690">
        <v>0</v>
      </c>
      <c r="F690">
        <v>0</v>
      </c>
      <c r="G690">
        <v>0.497680837031726</v>
      </c>
      <c r="H690">
        <v>8</v>
      </c>
      <c r="I690">
        <v>15</v>
      </c>
      <c r="J690">
        <v>9.53675874242641E-2</v>
      </c>
      <c r="K690">
        <v>1.30505709624796E-2</v>
      </c>
      <c r="L690">
        <v>3.4867629751296501E-2</v>
      </c>
      <c r="M690">
        <v>2.0202020202020202E-3</v>
      </c>
      <c r="N690">
        <v>1.27694106736022E-2</v>
      </c>
      <c r="O690">
        <v>1052</v>
      </c>
      <c r="P690">
        <v>7.67045454545454E-2</v>
      </c>
      <c r="Q690">
        <v>7.6861040008415399E-2</v>
      </c>
      <c r="R690">
        <v>0</v>
      </c>
      <c r="S690">
        <v>0</v>
      </c>
      <c r="T690" t="s">
        <v>28</v>
      </c>
      <c r="U690">
        <v>3.3962264150943298E-2</v>
      </c>
      <c r="V690">
        <v>0</v>
      </c>
      <c r="W690">
        <v>0</v>
      </c>
      <c r="X690">
        <v>0.10821413428080499</v>
      </c>
      <c r="Y690">
        <v>4.0338155562581697E-2</v>
      </c>
      <c r="Z690">
        <v>5.1130491542168102E-2</v>
      </c>
      <c r="AA690">
        <v>0</v>
      </c>
      <c r="AB690">
        <f t="shared" si="70"/>
        <v>4.2925482674258747E-2</v>
      </c>
      <c r="AC690">
        <f t="shared" si="75"/>
        <v>0.25</v>
      </c>
      <c r="AD690">
        <f t="shared" si="71"/>
        <v>0</v>
      </c>
      <c r="AE690">
        <f t="shared" si="76"/>
        <v>5.3656853342823434E-2</v>
      </c>
      <c r="AF690" t="str">
        <f t="shared" si="72"/>
        <v>Very Low</v>
      </c>
      <c r="AG690" t="str">
        <f t="shared" si="73"/>
        <v>NO ACTION</v>
      </c>
      <c r="AH690" t="str">
        <f t="shared" si="74"/>
        <v/>
      </c>
    </row>
    <row r="691" spans="1:34" x14ac:dyDescent="0.3">
      <c r="A691" t="s">
        <v>718</v>
      </c>
      <c r="B691">
        <v>0.12892249527410199</v>
      </c>
      <c r="C691">
        <v>0.36953165208440503</v>
      </c>
      <c r="D691">
        <v>0</v>
      </c>
      <c r="E691">
        <v>0</v>
      </c>
      <c r="F691">
        <v>0</v>
      </c>
      <c r="G691">
        <v>0.99366523973766996</v>
      </c>
      <c r="H691">
        <v>8</v>
      </c>
      <c r="I691">
        <v>8</v>
      </c>
      <c r="J691">
        <v>9.13124373837126E-2</v>
      </c>
      <c r="K691">
        <v>1.38662316476345E-2</v>
      </c>
      <c r="L691">
        <v>3.8687806486684802E-2</v>
      </c>
      <c r="M691">
        <v>3.1746031746031698E-3</v>
      </c>
      <c r="N691">
        <v>2.0955027833610401E-2</v>
      </c>
      <c r="O691">
        <v>870</v>
      </c>
      <c r="P691">
        <v>7.4635241301907906E-2</v>
      </c>
      <c r="Q691">
        <v>7.4792243767312999E-2</v>
      </c>
      <c r="R691">
        <v>0</v>
      </c>
      <c r="S691">
        <v>0</v>
      </c>
      <c r="T691" t="s">
        <v>53</v>
      </c>
      <c r="U691">
        <v>2.40566037735849E-2</v>
      </c>
      <c r="V691">
        <v>0</v>
      </c>
      <c r="W691">
        <v>0</v>
      </c>
      <c r="X691">
        <v>0</v>
      </c>
      <c r="Y691">
        <v>4.3892899070168002E-2</v>
      </c>
      <c r="Z691">
        <v>5.3163155914588901E-2</v>
      </c>
      <c r="AA691">
        <v>0</v>
      </c>
      <c r="AB691">
        <f t="shared" si="70"/>
        <v>2.7175695395731933E-2</v>
      </c>
      <c r="AC691">
        <f t="shared" si="75"/>
        <v>0.1</v>
      </c>
      <c r="AD691">
        <f t="shared" si="71"/>
        <v>0</v>
      </c>
      <c r="AE691">
        <f t="shared" si="76"/>
        <v>2.9893264935305128E-2</v>
      </c>
      <c r="AF691" t="str">
        <f t="shared" si="72"/>
        <v>Very Low</v>
      </c>
      <c r="AG691" t="str">
        <f t="shared" si="73"/>
        <v>NO ACTION</v>
      </c>
      <c r="AH691" t="str">
        <f t="shared" si="74"/>
        <v/>
      </c>
    </row>
    <row r="692" spans="1:34" x14ac:dyDescent="0.3">
      <c r="A692" t="s">
        <v>719</v>
      </c>
      <c r="B692">
        <v>0.229489603024574</v>
      </c>
      <c r="C692">
        <v>0.46539215430269998</v>
      </c>
      <c r="D692">
        <v>0.36302030247043898</v>
      </c>
      <c r="E692">
        <v>0</v>
      </c>
      <c r="F692">
        <v>0.299509001636661</v>
      </c>
      <c r="G692">
        <v>0.49585430004530301</v>
      </c>
      <c r="H692">
        <v>6</v>
      </c>
      <c r="I692">
        <v>13</v>
      </c>
      <c r="J692">
        <v>8.0053432565240196E-2</v>
      </c>
      <c r="K692">
        <v>1.71288743882544E-2</v>
      </c>
      <c r="L692">
        <v>5.4492325105970102E-2</v>
      </c>
      <c r="M692">
        <v>1.7316017316017301E-3</v>
      </c>
      <c r="N692">
        <v>1.3032798059535999E-2</v>
      </c>
      <c r="O692">
        <v>834</v>
      </c>
      <c r="P692">
        <v>6.7059483726150407E-2</v>
      </c>
      <c r="Q692">
        <v>6.7218345664293896E-2</v>
      </c>
      <c r="R692">
        <v>0</v>
      </c>
      <c r="S692">
        <v>0</v>
      </c>
      <c r="T692" t="s">
        <v>53</v>
      </c>
      <c r="U692">
        <v>5.0943396226415097E-2</v>
      </c>
      <c r="V692">
        <v>0</v>
      </c>
      <c r="W692">
        <v>0</v>
      </c>
      <c r="X692">
        <v>0.228709691395796</v>
      </c>
      <c r="Y692">
        <v>4.7166688483893902E-2</v>
      </c>
      <c r="Z692">
        <v>4.5448809459504601E-2</v>
      </c>
      <c r="AA692">
        <v>0</v>
      </c>
      <c r="AB692">
        <f t="shared" si="70"/>
        <v>6.2525890047478938E-2</v>
      </c>
      <c r="AC692">
        <f t="shared" si="75"/>
        <v>0.1</v>
      </c>
      <c r="AD692">
        <f t="shared" si="71"/>
        <v>0</v>
      </c>
      <c r="AE692">
        <f t="shared" si="76"/>
        <v>6.8778479052226837E-2</v>
      </c>
      <c r="AF692" t="str">
        <f t="shared" si="72"/>
        <v>Very Low</v>
      </c>
      <c r="AG692" t="str">
        <f t="shared" si="73"/>
        <v>NO ACTION</v>
      </c>
      <c r="AH692" t="str">
        <f t="shared" si="74"/>
        <v/>
      </c>
    </row>
    <row r="693" spans="1:34" x14ac:dyDescent="0.3">
      <c r="A693" t="s">
        <v>720</v>
      </c>
      <c r="B693">
        <v>0.12892249527410199</v>
      </c>
      <c r="C693">
        <v>0</v>
      </c>
      <c r="D693">
        <v>0</v>
      </c>
      <c r="E693">
        <v>0</v>
      </c>
      <c r="F693">
        <v>1</v>
      </c>
      <c r="G693">
        <v>0.993659164605036</v>
      </c>
      <c r="H693">
        <v>6</v>
      </c>
      <c r="I693">
        <v>6</v>
      </c>
      <c r="J693">
        <v>7.3469777205285997E-2</v>
      </c>
      <c r="K693">
        <v>1.1419249592169599E-2</v>
      </c>
      <c r="L693">
        <v>3.95730671643355E-2</v>
      </c>
      <c r="M693">
        <v>1.7316017316017301E-3</v>
      </c>
      <c r="N693">
        <v>1.41968926434945E-2</v>
      </c>
      <c r="O693">
        <v>821</v>
      </c>
      <c r="P693">
        <v>5.97643097643097E-2</v>
      </c>
      <c r="Q693">
        <v>5.9924962305831199E-2</v>
      </c>
      <c r="R693">
        <v>0</v>
      </c>
      <c r="S693">
        <v>0</v>
      </c>
      <c r="T693" t="s">
        <v>53</v>
      </c>
      <c r="U693">
        <v>3.3962264150943298E-2</v>
      </c>
      <c r="V693">
        <v>0</v>
      </c>
      <c r="W693">
        <v>0</v>
      </c>
      <c r="X693">
        <v>0.4</v>
      </c>
      <c r="Y693">
        <v>3.87395568162733E-2</v>
      </c>
      <c r="Z693">
        <v>4.1537342915983697E-2</v>
      </c>
      <c r="AA693">
        <v>0</v>
      </c>
      <c r="AB693">
        <f t="shared" si="70"/>
        <v>8.6477531925031964E-2</v>
      </c>
      <c r="AC693">
        <f t="shared" si="75"/>
        <v>0.1</v>
      </c>
      <c r="AD693">
        <f t="shared" si="71"/>
        <v>0.08</v>
      </c>
      <c r="AE693">
        <f t="shared" si="76"/>
        <v>0.10204348767153773</v>
      </c>
      <c r="AF693" t="str">
        <f t="shared" si="72"/>
        <v>Very Low</v>
      </c>
      <c r="AG693" t="str">
        <f t="shared" si="73"/>
        <v>NO ACTION</v>
      </c>
      <c r="AH693" t="str">
        <f t="shared" si="74"/>
        <v/>
      </c>
    </row>
    <row r="694" spans="1:34" x14ac:dyDescent="0.3">
      <c r="A694" t="s">
        <v>721</v>
      </c>
      <c r="B694">
        <v>0.13534971644612401</v>
      </c>
      <c r="C694">
        <v>0.22304603862000699</v>
      </c>
      <c r="D694">
        <v>0.154645204244655</v>
      </c>
      <c r="E694">
        <v>0</v>
      </c>
      <c r="F694">
        <v>0</v>
      </c>
      <c r="G694">
        <v>0.93988396183865996</v>
      </c>
      <c r="H694">
        <v>7</v>
      </c>
      <c r="I694">
        <v>14</v>
      </c>
      <c r="J694">
        <v>8.5396689089260999E-2</v>
      </c>
      <c r="K694">
        <v>1.30505709624796E-2</v>
      </c>
      <c r="L694">
        <v>3.89274261958764E-2</v>
      </c>
      <c r="M694">
        <v>1.7316017316017301E-3</v>
      </c>
      <c r="N694">
        <v>1.2219609545514799E-2</v>
      </c>
      <c r="O694">
        <v>665</v>
      </c>
      <c r="P694">
        <v>6.9234006734006703E-2</v>
      </c>
      <c r="Q694">
        <v>6.9392334934605004E-2</v>
      </c>
      <c r="R694">
        <v>0</v>
      </c>
      <c r="S694">
        <v>0</v>
      </c>
      <c r="T694" t="s">
        <v>53</v>
      </c>
      <c r="U694">
        <v>3.8814016172506703E-2</v>
      </c>
      <c r="V694">
        <v>0</v>
      </c>
      <c r="W694">
        <v>0</v>
      </c>
      <c r="X694">
        <v>4.6393561273396597E-2</v>
      </c>
      <c r="Y694">
        <v>4.0208933779444803E-2</v>
      </c>
      <c r="Z694">
        <v>4.6428247858609897E-2</v>
      </c>
      <c r="AA694">
        <v>0</v>
      </c>
      <c r="AB694">
        <f t="shared" si="70"/>
        <v>3.168138066239877E-2</v>
      </c>
      <c r="AC694">
        <f t="shared" si="75"/>
        <v>0.1</v>
      </c>
      <c r="AD694">
        <f t="shared" si="71"/>
        <v>0</v>
      </c>
      <c r="AE694">
        <f t="shared" si="76"/>
        <v>3.4849518728638652E-2</v>
      </c>
      <c r="AF694" t="str">
        <f t="shared" si="72"/>
        <v>Very Low</v>
      </c>
      <c r="AG694" t="str">
        <f t="shared" si="73"/>
        <v>NO ACTION</v>
      </c>
      <c r="AH694" t="str">
        <f t="shared" si="74"/>
        <v/>
      </c>
    </row>
    <row r="695" spans="1:34" x14ac:dyDescent="0.3">
      <c r="A695" t="s">
        <v>722</v>
      </c>
      <c r="B695">
        <v>0.23591682419659701</v>
      </c>
      <c r="C695">
        <v>0.66668688186565395</v>
      </c>
      <c r="D695">
        <v>0.36556322854478002</v>
      </c>
      <c r="E695">
        <v>0</v>
      </c>
      <c r="F695">
        <v>0</v>
      </c>
      <c r="G695">
        <v>0.47836159735665101</v>
      </c>
      <c r="H695">
        <v>7</v>
      </c>
      <c r="I695">
        <v>14</v>
      </c>
      <c r="J695">
        <v>8.8354563236486799E-2</v>
      </c>
      <c r="K695">
        <v>8.1566068515497494E-3</v>
      </c>
      <c r="L695">
        <v>2.3517343168281499E-2</v>
      </c>
      <c r="M695">
        <v>1.44300144300144E-3</v>
      </c>
      <c r="N695">
        <v>9.8430259981148495E-3</v>
      </c>
      <c r="O695">
        <v>693</v>
      </c>
      <c r="P695">
        <v>6.9163860830527502E-2</v>
      </c>
      <c r="Q695">
        <v>6.9322206248465898E-2</v>
      </c>
      <c r="R695">
        <v>0</v>
      </c>
      <c r="S695">
        <v>0</v>
      </c>
      <c r="T695" t="s">
        <v>53</v>
      </c>
      <c r="U695">
        <v>2.83018867924528E-2</v>
      </c>
      <c r="V695">
        <v>0</v>
      </c>
      <c r="W695">
        <v>0</v>
      </c>
      <c r="X695">
        <v>0.109668968563434</v>
      </c>
      <c r="Y695">
        <v>3.2382492030872602E-2</v>
      </c>
      <c r="Z695">
        <v>4.5435526897562403E-2</v>
      </c>
      <c r="AA695">
        <v>0</v>
      </c>
      <c r="AB695">
        <f t="shared" si="70"/>
        <v>3.9336080270111241E-2</v>
      </c>
      <c r="AC695">
        <f t="shared" si="75"/>
        <v>0.1</v>
      </c>
      <c r="AD695">
        <f t="shared" si="71"/>
        <v>0</v>
      </c>
      <c r="AE695">
        <f t="shared" si="76"/>
        <v>4.3269688297122369E-2</v>
      </c>
      <c r="AF695" t="str">
        <f t="shared" si="72"/>
        <v>Very Low</v>
      </c>
      <c r="AG695" t="str">
        <f t="shared" si="73"/>
        <v>NO ACTION</v>
      </c>
      <c r="AH695" t="str">
        <f t="shared" si="74"/>
        <v/>
      </c>
    </row>
    <row r="696" spans="1:34" x14ac:dyDescent="0.3">
      <c r="A696" t="s">
        <v>723</v>
      </c>
      <c r="B696">
        <v>0.23440453686200299</v>
      </c>
      <c r="C696">
        <v>0.602857727278725</v>
      </c>
      <c r="D696">
        <v>0.38562462292309901</v>
      </c>
      <c r="E696">
        <v>0</v>
      </c>
      <c r="F696">
        <v>0</v>
      </c>
      <c r="G696">
        <v>0.48212674016112</v>
      </c>
      <c r="H696">
        <v>7</v>
      </c>
      <c r="I696">
        <v>13</v>
      </c>
      <c r="J696">
        <v>5.8728114116692903E-2</v>
      </c>
      <c r="K696">
        <v>8.1566068515497494E-3</v>
      </c>
      <c r="L696">
        <v>3.5333095682442403E-2</v>
      </c>
      <c r="M696">
        <v>1.44300144300144E-3</v>
      </c>
      <c r="N696">
        <v>1.47884298369735E-2</v>
      </c>
      <c r="O696">
        <v>642</v>
      </c>
      <c r="P696">
        <v>4.73835578002244E-2</v>
      </c>
      <c r="Q696">
        <v>4.7547249202286097E-2</v>
      </c>
      <c r="R696">
        <v>0.96607669616519098</v>
      </c>
      <c r="S696">
        <v>1</v>
      </c>
      <c r="T696" t="s">
        <v>53</v>
      </c>
      <c r="U696">
        <v>2.83018867924528E-2</v>
      </c>
      <c r="V696">
        <v>0</v>
      </c>
      <c r="W696">
        <v>0</v>
      </c>
      <c r="X696">
        <v>0.115687386876929</v>
      </c>
      <c r="Y696">
        <v>3.3848699615651803E-2</v>
      </c>
      <c r="Z696">
        <v>3.4345506614923998E-2</v>
      </c>
      <c r="AA696">
        <v>0.96607669616519098</v>
      </c>
      <c r="AB696">
        <f t="shared" si="70"/>
        <v>0.30810583457112334</v>
      </c>
      <c r="AC696">
        <f t="shared" si="75"/>
        <v>0.1</v>
      </c>
      <c r="AD696">
        <f t="shared" si="71"/>
        <v>0</v>
      </c>
      <c r="AE696">
        <f t="shared" si="76"/>
        <v>0.33891641802823569</v>
      </c>
      <c r="AF696" t="str">
        <f t="shared" si="72"/>
        <v>Critical</v>
      </c>
      <c r="AG696" t="str">
        <f t="shared" si="73"/>
        <v>CRITICAL ALERT</v>
      </c>
      <c r="AH696" t="str">
        <f t="shared" si="74"/>
        <v>USB anomaly</v>
      </c>
    </row>
    <row r="697" spans="1:34" x14ac:dyDescent="0.3">
      <c r="A697" t="s">
        <v>724</v>
      </c>
      <c r="B697">
        <v>0.12892249527410199</v>
      </c>
      <c r="C697">
        <v>0.27580985626589599</v>
      </c>
      <c r="D697">
        <v>7.5124914167671697E-2</v>
      </c>
      <c r="E697">
        <v>0</v>
      </c>
      <c r="F697">
        <v>0</v>
      </c>
      <c r="G697">
        <v>0.99365300918430499</v>
      </c>
      <c r="H697">
        <v>7</v>
      </c>
      <c r="I697">
        <v>8</v>
      </c>
      <c r="J697">
        <v>7.5855159582081E-2</v>
      </c>
      <c r="K697">
        <v>8.1566068515497494E-3</v>
      </c>
      <c r="L697">
        <v>2.7380380102507099E-2</v>
      </c>
      <c r="M697">
        <v>3.4632034632034602E-3</v>
      </c>
      <c r="N697">
        <v>2.7503697973917399E-2</v>
      </c>
      <c r="O697">
        <v>783</v>
      </c>
      <c r="P697">
        <v>6.09567901234567E-2</v>
      </c>
      <c r="Q697">
        <v>6.1117149970195302E-2</v>
      </c>
      <c r="R697">
        <v>0</v>
      </c>
      <c r="S697">
        <v>0</v>
      </c>
      <c r="T697" t="s">
        <v>53</v>
      </c>
      <c r="U697">
        <v>1.30624092888243E-2</v>
      </c>
      <c r="V697">
        <v>0</v>
      </c>
      <c r="W697">
        <v>0</v>
      </c>
      <c r="X697">
        <v>2.25374742503015E-2</v>
      </c>
      <c r="Y697">
        <v>3.7112331359844999E-2</v>
      </c>
      <c r="Z697">
        <v>4.7575553263640998E-2</v>
      </c>
      <c r="AA697">
        <v>0</v>
      </c>
      <c r="AB697">
        <f t="shared" si="70"/>
        <v>2.7318603574624321E-2</v>
      </c>
      <c r="AC697">
        <f t="shared" si="75"/>
        <v>0.1</v>
      </c>
      <c r="AD697">
        <f t="shared" si="71"/>
        <v>0</v>
      </c>
      <c r="AE697">
        <f t="shared" si="76"/>
        <v>3.0050463932086754E-2</v>
      </c>
      <c r="AF697" t="str">
        <f t="shared" si="72"/>
        <v>Very Low</v>
      </c>
      <c r="AG697" t="str">
        <f t="shared" si="73"/>
        <v>NO ACTION</v>
      </c>
      <c r="AH697" t="str">
        <f t="shared" si="74"/>
        <v/>
      </c>
    </row>
    <row r="698" spans="1:34" x14ac:dyDescent="0.3">
      <c r="A698" t="s">
        <v>725</v>
      </c>
      <c r="B698">
        <v>0.12892249527410199</v>
      </c>
      <c r="C698">
        <v>0</v>
      </c>
      <c r="D698">
        <v>0</v>
      </c>
      <c r="E698">
        <v>0</v>
      </c>
      <c r="F698">
        <v>1</v>
      </c>
      <c r="G698">
        <v>0.99368006627282202</v>
      </c>
      <c r="H698">
        <v>6</v>
      </c>
      <c r="I698">
        <v>6</v>
      </c>
      <c r="J698">
        <v>7.6379943704975903E-2</v>
      </c>
      <c r="K698">
        <v>1.0603588907014599E-2</v>
      </c>
      <c r="L698">
        <v>3.5350696228236902E-2</v>
      </c>
      <c r="M698">
        <v>8.6580086580086504E-4</v>
      </c>
      <c r="N698">
        <v>6.8288291202363398E-3</v>
      </c>
      <c r="O698">
        <v>824</v>
      </c>
      <c r="P698">
        <v>6.1132154882154802E-2</v>
      </c>
      <c r="Q698">
        <v>6.1292471685542901E-2</v>
      </c>
      <c r="R698">
        <v>0</v>
      </c>
      <c r="S698">
        <v>0</v>
      </c>
      <c r="T698" t="s">
        <v>53</v>
      </c>
      <c r="U698">
        <v>5.5188679245283E-2</v>
      </c>
      <c r="V698">
        <v>0</v>
      </c>
      <c r="W698">
        <v>0</v>
      </c>
      <c r="X698">
        <v>0.4</v>
      </c>
      <c r="Y698">
        <v>3.4999985591184501E-2</v>
      </c>
      <c r="Z698">
        <v>3.9410824577387399E-2</v>
      </c>
      <c r="AA698">
        <v>0</v>
      </c>
      <c r="AB698">
        <f t="shared" si="70"/>
        <v>8.4835026847200137E-2</v>
      </c>
      <c r="AC698">
        <f t="shared" si="75"/>
        <v>0.1</v>
      </c>
      <c r="AD698">
        <f t="shared" si="71"/>
        <v>0.08</v>
      </c>
      <c r="AE698">
        <f t="shared" si="76"/>
        <v>0.10010533167969618</v>
      </c>
      <c r="AF698" t="str">
        <f t="shared" si="72"/>
        <v>Very Low</v>
      </c>
      <c r="AG698" t="str">
        <f t="shared" si="73"/>
        <v>NO ACTION</v>
      </c>
      <c r="AH698" t="str">
        <f t="shared" si="74"/>
        <v/>
      </c>
    </row>
    <row r="699" spans="1:34" x14ac:dyDescent="0.3">
      <c r="A699" t="s">
        <v>726</v>
      </c>
      <c r="B699">
        <v>0.12892249527410199</v>
      </c>
      <c r="C699">
        <v>0.36953165208440503</v>
      </c>
      <c r="D699">
        <v>0</v>
      </c>
      <c r="E699">
        <v>0</v>
      </c>
      <c r="F699">
        <v>0</v>
      </c>
      <c r="G699">
        <v>0.99368646255784199</v>
      </c>
      <c r="H699">
        <v>8</v>
      </c>
      <c r="I699">
        <v>8</v>
      </c>
      <c r="J699">
        <v>6.2640141214636694E-2</v>
      </c>
      <c r="K699">
        <v>8.1566068515497494E-3</v>
      </c>
      <c r="L699">
        <v>3.3134830245446799E-2</v>
      </c>
      <c r="M699">
        <v>1.44300144300144E-3</v>
      </c>
      <c r="N699">
        <v>1.3868360605841601E-2</v>
      </c>
      <c r="O699">
        <v>641</v>
      </c>
      <c r="P699">
        <v>5.0259539842873097E-2</v>
      </c>
      <c r="Q699">
        <v>5.0422525333987799E-2</v>
      </c>
      <c r="R699">
        <v>0</v>
      </c>
      <c r="S699">
        <v>0</v>
      </c>
      <c r="T699" t="s">
        <v>53</v>
      </c>
      <c r="U699">
        <v>2.83018867924528E-2</v>
      </c>
      <c r="V699">
        <v>0</v>
      </c>
      <c r="W699">
        <v>0</v>
      </c>
      <c r="X699">
        <v>0</v>
      </c>
      <c r="Y699">
        <v>3.3255951547403198E-2</v>
      </c>
      <c r="Z699">
        <v>3.5703068148060499E-2</v>
      </c>
      <c r="AA699">
        <v>0</v>
      </c>
      <c r="AB699">
        <f t="shared" si="70"/>
        <v>1.9308525514729835E-2</v>
      </c>
      <c r="AC699">
        <f t="shared" si="75"/>
        <v>0.1</v>
      </c>
      <c r="AD699">
        <f t="shared" si="71"/>
        <v>0</v>
      </c>
      <c r="AE699">
        <f t="shared" si="76"/>
        <v>2.1239378066202821E-2</v>
      </c>
      <c r="AF699" t="str">
        <f t="shared" si="72"/>
        <v>Very Low</v>
      </c>
      <c r="AG699" t="str">
        <f t="shared" si="73"/>
        <v>NO ACTION</v>
      </c>
      <c r="AH699" t="str">
        <f t="shared" si="74"/>
        <v/>
      </c>
    </row>
    <row r="700" spans="1:34" x14ac:dyDescent="0.3">
      <c r="A700" t="s">
        <v>727</v>
      </c>
      <c r="B700">
        <v>0.13724007561436599</v>
      </c>
      <c r="C700">
        <v>0.11176570403642699</v>
      </c>
      <c r="D700">
        <v>0.14498341286101199</v>
      </c>
      <c r="E700">
        <v>0</v>
      </c>
      <c r="F700">
        <v>0.52861035422343305</v>
      </c>
      <c r="G700">
        <v>0.92502267059790699</v>
      </c>
      <c r="H700">
        <v>6</v>
      </c>
      <c r="I700">
        <v>14</v>
      </c>
      <c r="J700">
        <v>8.2438814942035199E-2</v>
      </c>
      <c r="K700">
        <v>2.2838499184339299E-2</v>
      </c>
      <c r="L700">
        <v>7.0560171689438497E-2</v>
      </c>
      <c r="M700">
        <v>8.6580086580086493E-3</v>
      </c>
      <c r="N700">
        <v>6.3283898252161297E-2</v>
      </c>
      <c r="O700">
        <v>792</v>
      </c>
      <c r="P700">
        <v>7.4635241301907906E-2</v>
      </c>
      <c r="Q700">
        <v>7.4792243767312999E-2</v>
      </c>
      <c r="R700">
        <v>0</v>
      </c>
      <c r="S700">
        <v>0</v>
      </c>
      <c r="T700" t="s">
        <v>53</v>
      </c>
      <c r="U700">
        <v>1.53377967133292E-2</v>
      </c>
      <c r="V700">
        <v>0</v>
      </c>
      <c r="W700">
        <v>0</v>
      </c>
      <c r="X700">
        <v>0.25493916554767598</v>
      </c>
      <c r="Y700">
        <v>7.0753018308774701E-2</v>
      </c>
      <c r="Z700">
        <v>7.0094704082009296E-2</v>
      </c>
      <c r="AA700">
        <v>0</v>
      </c>
      <c r="AB700">
        <f t="shared" si="70"/>
        <v>8.022762875704767E-2</v>
      </c>
      <c r="AC700">
        <f t="shared" si="75"/>
        <v>0.1</v>
      </c>
      <c r="AD700">
        <f t="shared" si="71"/>
        <v>0.08</v>
      </c>
      <c r="AE700">
        <f t="shared" si="76"/>
        <v>9.4668601933316263E-2</v>
      </c>
      <c r="AF700" t="str">
        <f t="shared" si="72"/>
        <v>Very Low</v>
      </c>
      <c r="AG700" t="str">
        <f t="shared" si="73"/>
        <v>NO ACTION</v>
      </c>
      <c r="AH700" t="str">
        <f t="shared" si="74"/>
        <v/>
      </c>
    </row>
    <row r="701" spans="1:34" x14ac:dyDescent="0.3">
      <c r="A701" t="s">
        <v>728</v>
      </c>
      <c r="B701">
        <v>0.12892249527410199</v>
      </c>
      <c r="C701">
        <v>0</v>
      </c>
      <c r="D701">
        <v>0</v>
      </c>
      <c r="E701">
        <v>0</v>
      </c>
      <c r="F701">
        <v>1</v>
      </c>
      <c r="G701">
        <v>0.99367990569662901</v>
      </c>
      <c r="H701">
        <v>6</v>
      </c>
      <c r="I701">
        <v>6</v>
      </c>
      <c r="J701">
        <v>0.115595629979485</v>
      </c>
      <c r="K701">
        <v>2.2838499184339299E-2</v>
      </c>
      <c r="L701">
        <v>5.03627584587302E-2</v>
      </c>
      <c r="M701">
        <v>3.7518037518037501E-3</v>
      </c>
      <c r="N701">
        <v>1.957335178093E-2</v>
      </c>
      <c r="O701">
        <v>1157</v>
      </c>
      <c r="P701">
        <v>9.6625982042648703E-2</v>
      </c>
      <c r="Q701">
        <v>9.6777586871909904E-2</v>
      </c>
      <c r="R701">
        <v>0</v>
      </c>
      <c r="S701">
        <v>0</v>
      </c>
      <c r="T701" t="s">
        <v>28</v>
      </c>
      <c r="U701">
        <v>3.3962264150943298E-2</v>
      </c>
      <c r="V701">
        <v>0</v>
      </c>
      <c r="W701">
        <v>0</v>
      </c>
      <c r="X701">
        <v>0.4</v>
      </c>
      <c r="Y701">
        <v>5.4172510759541201E-2</v>
      </c>
      <c r="Z701">
        <v>6.5804929937961207E-2</v>
      </c>
      <c r="AA701">
        <v>0</v>
      </c>
      <c r="AB701">
        <f t="shared" si="70"/>
        <v>9.7593683395300682E-2</v>
      </c>
      <c r="AC701">
        <f t="shared" si="75"/>
        <v>0.25</v>
      </c>
      <c r="AD701">
        <f t="shared" si="71"/>
        <v>0.08</v>
      </c>
      <c r="AE701">
        <f t="shared" si="76"/>
        <v>0.12979959891574991</v>
      </c>
      <c r="AF701" t="str">
        <f t="shared" si="72"/>
        <v>Very Low</v>
      </c>
      <c r="AG701" t="str">
        <f t="shared" si="73"/>
        <v>NO ACTION</v>
      </c>
      <c r="AH701" t="str">
        <f t="shared" si="74"/>
        <v/>
      </c>
    </row>
    <row r="702" spans="1:34" x14ac:dyDescent="0.3">
      <c r="A702" t="s">
        <v>729</v>
      </c>
      <c r="B702">
        <v>0.25368620037807099</v>
      </c>
      <c r="C702">
        <v>0.68513905567945599</v>
      </c>
      <c r="D702">
        <v>0.37462933057678999</v>
      </c>
      <c r="E702">
        <v>0</v>
      </c>
      <c r="F702">
        <v>0</v>
      </c>
      <c r="G702">
        <v>0.43464031439627598</v>
      </c>
      <c r="H702">
        <v>7</v>
      </c>
      <c r="I702">
        <v>16</v>
      </c>
      <c r="J702">
        <v>7.8145126663804201E-2</v>
      </c>
      <c r="K702">
        <v>3.2626427406199001E-3</v>
      </c>
      <c r="L702">
        <v>1.06321865522821E-2</v>
      </c>
      <c r="M702">
        <v>1.44300144300144E-3</v>
      </c>
      <c r="N702">
        <v>1.11250756412046E-2</v>
      </c>
      <c r="O702">
        <v>528</v>
      </c>
      <c r="P702">
        <v>5.9553872053871998E-2</v>
      </c>
      <c r="Q702">
        <v>5.9714576247413997E-2</v>
      </c>
      <c r="R702">
        <v>0.28466076696165099</v>
      </c>
      <c r="S702">
        <v>1</v>
      </c>
      <c r="T702" t="s">
        <v>53</v>
      </c>
      <c r="U702">
        <v>1.13207547169811E-2</v>
      </c>
      <c r="V702">
        <v>0</v>
      </c>
      <c r="W702">
        <v>0</v>
      </c>
      <c r="X702">
        <v>0.112388799173037</v>
      </c>
      <c r="Y702">
        <v>2.42826413012633E-2</v>
      </c>
      <c r="Z702">
        <v>4.0182353488805098E-2</v>
      </c>
      <c r="AA702">
        <v>0.28466076696165099</v>
      </c>
      <c r="AB702">
        <f t="shared" si="70"/>
        <v>0.11573742115816735</v>
      </c>
      <c r="AC702">
        <f t="shared" si="75"/>
        <v>0.1</v>
      </c>
      <c r="AD702">
        <f t="shared" si="71"/>
        <v>0</v>
      </c>
      <c r="AE702">
        <f t="shared" si="76"/>
        <v>0.12731116327398409</v>
      </c>
      <c r="AF702" t="str">
        <f t="shared" si="72"/>
        <v>Very Low</v>
      </c>
      <c r="AG702" t="str">
        <f t="shared" si="73"/>
        <v>NO ACTION</v>
      </c>
      <c r="AH702" t="str">
        <f t="shared" si="74"/>
        <v/>
      </c>
    </row>
    <row r="703" spans="1:34" x14ac:dyDescent="0.3">
      <c r="A703" t="s">
        <v>730</v>
      </c>
      <c r="B703">
        <v>0.12892249527410199</v>
      </c>
      <c r="C703">
        <v>0.36953165208440503</v>
      </c>
      <c r="D703">
        <v>0</v>
      </c>
      <c r="E703">
        <v>0</v>
      </c>
      <c r="F703">
        <v>0</v>
      </c>
      <c r="G703">
        <v>0.99368287635619901</v>
      </c>
      <c r="H703">
        <v>8</v>
      </c>
      <c r="I703">
        <v>8</v>
      </c>
      <c r="J703">
        <v>7.5330375459186097E-2</v>
      </c>
      <c r="K703">
        <v>9.7879282218597003E-3</v>
      </c>
      <c r="L703">
        <v>3.30846259571961E-2</v>
      </c>
      <c r="M703">
        <v>2.0202020202020202E-3</v>
      </c>
      <c r="N703">
        <v>1.61552392612998E-2</v>
      </c>
      <c r="O703">
        <v>788</v>
      </c>
      <c r="P703">
        <v>6.0570987654320903E-2</v>
      </c>
      <c r="Q703">
        <v>6.0731442196430403E-2</v>
      </c>
      <c r="R703">
        <v>0</v>
      </c>
      <c r="S703">
        <v>0</v>
      </c>
      <c r="T703" t="s">
        <v>53</v>
      </c>
      <c r="U703">
        <v>2.54716981132075E-2</v>
      </c>
      <c r="V703">
        <v>0</v>
      </c>
      <c r="W703">
        <v>0</v>
      </c>
      <c r="X703">
        <v>0</v>
      </c>
      <c r="Y703">
        <v>3.64549598488252E-2</v>
      </c>
      <c r="Z703">
        <v>4.2804688297112502E-2</v>
      </c>
      <c r="AA703">
        <v>0</v>
      </c>
      <c r="AB703">
        <f t="shared" si="70"/>
        <v>2.219270148086256E-2</v>
      </c>
      <c r="AC703">
        <f t="shared" si="75"/>
        <v>0.1</v>
      </c>
      <c r="AD703">
        <f t="shared" si="71"/>
        <v>0</v>
      </c>
      <c r="AE703">
        <f t="shared" si="76"/>
        <v>2.4411971628948818E-2</v>
      </c>
      <c r="AF703" t="str">
        <f t="shared" si="72"/>
        <v>Very Low</v>
      </c>
      <c r="AG703" t="str">
        <f t="shared" si="73"/>
        <v>NO ACTION</v>
      </c>
      <c r="AH703" t="str">
        <f t="shared" si="74"/>
        <v/>
      </c>
    </row>
    <row r="704" spans="1:34" x14ac:dyDescent="0.3">
      <c r="A704" t="s">
        <v>731</v>
      </c>
      <c r="B704">
        <v>0.16143667296786299</v>
      </c>
      <c r="C704">
        <v>0.493423354465372</v>
      </c>
      <c r="D704">
        <v>0.241426379281311</v>
      </c>
      <c r="E704">
        <v>0</v>
      </c>
      <c r="F704">
        <v>0</v>
      </c>
      <c r="G704">
        <v>0.76520290801510105</v>
      </c>
      <c r="H704">
        <v>8</v>
      </c>
      <c r="I704">
        <v>15</v>
      </c>
      <c r="J704">
        <v>6.6599875960116406E-2</v>
      </c>
      <c r="K704">
        <v>1.0603588907014599E-2</v>
      </c>
      <c r="L704">
        <v>4.05233534208055E-2</v>
      </c>
      <c r="M704">
        <v>1.1544011544011501E-3</v>
      </c>
      <c r="N704">
        <v>1.0437401443825401E-2</v>
      </c>
      <c r="O704">
        <v>499</v>
      </c>
      <c r="P704">
        <v>5.4082491582491503E-2</v>
      </c>
      <c r="Q704">
        <v>5.4244538728566903E-2</v>
      </c>
      <c r="R704">
        <v>0.87758112094395202</v>
      </c>
      <c r="S704">
        <v>1</v>
      </c>
      <c r="T704" t="s">
        <v>53</v>
      </c>
      <c r="U704">
        <v>4.4150943396226397E-2</v>
      </c>
      <c r="V704">
        <v>0</v>
      </c>
      <c r="W704">
        <v>0</v>
      </c>
      <c r="X704">
        <v>7.2427913784393297E-2</v>
      </c>
      <c r="Y704">
        <v>3.6712872335573597E-2</v>
      </c>
      <c r="Z704">
        <v>3.6624455527025097E-2</v>
      </c>
      <c r="AA704">
        <v>0.87758112094395202</v>
      </c>
      <c r="AB704">
        <f t="shared" si="70"/>
        <v>0.27784563187133715</v>
      </c>
      <c r="AC704">
        <f t="shared" si="75"/>
        <v>0.1</v>
      </c>
      <c r="AD704">
        <f t="shared" si="71"/>
        <v>0</v>
      </c>
      <c r="AE704">
        <f t="shared" si="76"/>
        <v>0.30563019505847089</v>
      </c>
      <c r="AF704" t="str">
        <f t="shared" si="72"/>
        <v>Low</v>
      </c>
      <c r="AG704" t="str">
        <f t="shared" si="73"/>
        <v>NO ACTION</v>
      </c>
      <c r="AH704" t="str">
        <f t="shared" si="74"/>
        <v/>
      </c>
    </row>
    <row r="705" spans="1:34" x14ac:dyDescent="0.3">
      <c r="A705" t="s">
        <v>732</v>
      </c>
      <c r="B705">
        <v>0.12892249527410199</v>
      </c>
      <c r="C705">
        <v>0.18476582604220201</v>
      </c>
      <c r="D705">
        <v>0</v>
      </c>
      <c r="E705">
        <v>0</v>
      </c>
      <c r="F705">
        <v>0</v>
      </c>
      <c r="G705">
        <v>0.99368873738724295</v>
      </c>
      <c r="H705">
        <v>7</v>
      </c>
      <c r="I705">
        <v>7</v>
      </c>
      <c r="J705">
        <v>7.3899146033109098E-2</v>
      </c>
      <c r="K705">
        <v>4.2414355628058703E-2</v>
      </c>
      <c r="L705">
        <v>0.14613440963332899</v>
      </c>
      <c r="M705">
        <v>1.44300144300144E-3</v>
      </c>
      <c r="N705">
        <v>1.17622260479403E-2</v>
      </c>
      <c r="O705">
        <v>805</v>
      </c>
      <c r="P705">
        <v>7.3267396184062805E-2</v>
      </c>
      <c r="Q705">
        <v>7.3424734387601207E-2</v>
      </c>
      <c r="R705">
        <v>0</v>
      </c>
      <c r="S705">
        <v>0</v>
      </c>
      <c r="T705" t="s">
        <v>53</v>
      </c>
      <c r="U705">
        <v>0.14716981132075399</v>
      </c>
      <c r="V705">
        <v>0</v>
      </c>
      <c r="W705">
        <v>0</v>
      </c>
      <c r="X705">
        <v>0</v>
      </c>
      <c r="Y705">
        <v>9.1375701837668702E-2</v>
      </c>
      <c r="Z705">
        <v>4.86653281296138E-2</v>
      </c>
      <c r="AA705">
        <v>0</v>
      </c>
      <c r="AB705">
        <f t="shared" si="70"/>
        <v>3.9211488390839107E-2</v>
      </c>
      <c r="AC705">
        <f t="shared" si="75"/>
        <v>0.1</v>
      </c>
      <c r="AD705">
        <f t="shared" si="71"/>
        <v>0</v>
      </c>
      <c r="AE705">
        <f t="shared" si="76"/>
        <v>4.313263722992302E-2</v>
      </c>
      <c r="AF705" t="str">
        <f t="shared" si="72"/>
        <v>Very Low</v>
      </c>
      <c r="AG705" t="str">
        <f t="shared" si="73"/>
        <v>NO ACTION</v>
      </c>
      <c r="AH705" t="str">
        <f t="shared" si="74"/>
        <v/>
      </c>
    </row>
    <row r="706" spans="1:34" x14ac:dyDescent="0.3">
      <c r="A706" t="s">
        <v>733</v>
      </c>
      <c r="B706">
        <v>0.12892249527410199</v>
      </c>
      <c r="C706">
        <v>0.27313209067108202</v>
      </c>
      <c r="D706">
        <v>7.5061757440099602E-2</v>
      </c>
      <c r="E706">
        <v>0</v>
      </c>
      <c r="F706">
        <v>0</v>
      </c>
      <c r="G706">
        <v>0.99367557013941799</v>
      </c>
      <c r="H706">
        <v>7</v>
      </c>
      <c r="I706">
        <v>8</v>
      </c>
      <c r="J706">
        <v>0.10247602690711299</v>
      </c>
      <c r="K706">
        <v>7.34094616639478E-3</v>
      </c>
      <c r="L706">
        <v>1.8255706287574999E-2</v>
      </c>
      <c r="M706">
        <v>3.1746031746031698E-3</v>
      </c>
      <c r="N706">
        <v>1.8677519002646699E-2</v>
      </c>
      <c r="O706">
        <v>1097</v>
      </c>
      <c r="P706">
        <v>8.0036475869809207E-2</v>
      </c>
      <c r="Q706">
        <v>8.0192152600020994E-2</v>
      </c>
      <c r="R706">
        <v>0</v>
      </c>
      <c r="S706">
        <v>0</v>
      </c>
      <c r="T706" t="s">
        <v>28</v>
      </c>
      <c r="U706">
        <v>1.27358490566037E-2</v>
      </c>
      <c r="V706">
        <v>0</v>
      </c>
      <c r="W706">
        <v>0</v>
      </c>
      <c r="X706">
        <v>2.2518527232029802E-2</v>
      </c>
      <c r="Y706">
        <v>3.5226314226004099E-2</v>
      </c>
      <c r="Z706">
        <v>5.5492893122944198E-2</v>
      </c>
      <c r="AA706">
        <v>0</v>
      </c>
      <c r="AB706">
        <f t="shared" si="70"/>
        <v>2.9004342414830291E-2</v>
      </c>
      <c r="AC706">
        <f t="shared" si="75"/>
        <v>0.25</v>
      </c>
      <c r="AD706">
        <f t="shared" si="71"/>
        <v>0</v>
      </c>
      <c r="AE706">
        <f t="shared" si="76"/>
        <v>3.6255428018537865E-2</v>
      </c>
      <c r="AF706" t="str">
        <f t="shared" si="72"/>
        <v>Very Low</v>
      </c>
      <c r="AG706" t="str">
        <f t="shared" si="73"/>
        <v>NO ACTION</v>
      </c>
      <c r="AH706" t="str">
        <f t="shared" si="74"/>
        <v/>
      </c>
    </row>
    <row r="707" spans="1:34" x14ac:dyDescent="0.3">
      <c r="A707" t="s">
        <v>734</v>
      </c>
      <c r="B707">
        <v>0.12892249527410199</v>
      </c>
      <c r="C707">
        <v>0.18476582604220201</v>
      </c>
      <c r="D707">
        <v>0</v>
      </c>
      <c r="E707">
        <v>0</v>
      </c>
      <c r="F707">
        <v>0</v>
      </c>
      <c r="G707">
        <v>0.99367763086722805</v>
      </c>
      <c r="H707">
        <v>7</v>
      </c>
      <c r="I707">
        <v>7</v>
      </c>
      <c r="J707">
        <v>8.0912170220886398E-2</v>
      </c>
      <c r="K707">
        <v>6.5252854812398002E-3</v>
      </c>
      <c r="L707">
        <v>2.0539309236213402E-2</v>
      </c>
      <c r="M707">
        <v>2.3088023088023001E-3</v>
      </c>
      <c r="N707">
        <v>1.7193179803408998E-2</v>
      </c>
      <c r="O707">
        <v>765</v>
      </c>
      <c r="P707">
        <v>6.3411896745229998E-2</v>
      </c>
      <c r="Q707">
        <v>6.3571653985062496E-2</v>
      </c>
      <c r="R707">
        <v>0</v>
      </c>
      <c r="S707">
        <v>0</v>
      </c>
      <c r="T707" t="s">
        <v>53</v>
      </c>
      <c r="U707">
        <v>1.5094339622641499E-2</v>
      </c>
      <c r="V707">
        <v>0</v>
      </c>
      <c r="W707">
        <v>0</v>
      </c>
      <c r="X707">
        <v>0</v>
      </c>
      <c r="Y707">
        <v>3.1610042603306701E-2</v>
      </c>
      <c r="Z707">
        <v>4.4924409968501597E-2</v>
      </c>
      <c r="AA707">
        <v>0</v>
      </c>
      <c r="AB707">
        <f t="shared" ref="AB707:AB770" si="77">0.16*X707 + 0.28*Y707 + 0.28*Z707 + 0.28*AA707</f>
        <v>2.1429646720106325E-2</v>
      </c>
      <c r="AC707">
        <f t="shared" si="75"/>
        <v>0.1</v>
      </c>
      <c r="AD707">
        <f t="shared" ref="AD707:AD770" si="78">IF(V707&gt;0.7, 0.1,
 IF(F707&gt;0.5, 0.08,
 IF(E707&gt;0.5, 0.05,
 0)))</f>
        <v>0</v>
      </c>
      <c r="AE707">
        <f t="shared" si="76"/>
        <v>2.3572611392116961E-2</v>
      </c>
      <c r="AF707" t="str">
        <f t="shared" ref="AF707:AF770" si="79">IF(MAX(X707, Y707, Z707, AA707)&gt;0.9,
 "Critical",
 IF(AE707&lt;=0.2,"Very Low",
 IF(AE707&lt;=0.4,"Low",
 IF(AE707&lt;=0.6,"Medium",
 IF(AE707&lt;=0.8,"High","Critical")))))</f>
        <v>Very Low</v>
      </c>
      <c r="AG707" t="str">
        <f t="shared" ref="AG707:AG770" si="80">IF(MAX(X707:AA707)&gt;0.9,"CRITICAL ALERT",
 IF(AE707&gt;0.8,"CRITICAL ALERT",
 IF(AE707&gt;0.6,"ALERT",
 IF(AE707&gt;=0.4,"REVIEW","NO ACTION"))))</f>
        <v>NO ACTION</v>
      </c>
      <c r="AH707" t="str">
        <f t="shared" ref="AH707:AH770" si="81">IF(AG707="NO ACTION","",
 IF(_xlfn.TEXTJOIN(", ", TRUE,
  IF(X707&gt;0.7,"Login anomaly",""),
  IF(Y707&gt;0.7,"File anomaly",""),
  IF(Z707&gt;0.7,"Network anomaly",""),
  IF(AA707&gt;0.7,"USB anomaly","")
 )="",
 "General anomaly detected",
 _xlfn.TEXTJOIN(", ", TRUE,
  IF(X707&gt;0.7,"Login anomaly",""),
  IF(Y707&gt;0.7,"File anomaly",""),
  IF(Z707&gt;0.7,"Network anomaly",""),
  IF(AA707&gt;0.7,"USB anomaly","")
 )))</f>
        <v/>
      </c>
    </row>
    <row r="708" spans="1:34" x14ac:dyDescent="0.3">
      <c r="A708" t="s">
        <v>735</v>
      </c>
      <c r="B708">
        <v>8.8468809073723995E-2</v>
      </c>
      <c r="C708">
        <v>0.18476582604220201</v>
      </c>
      <c r="D708">
        <v>0</v>
      </c>
      <c r="E708">
        <v>0</v>
      </c>
      <c r="F708">
        <v>0</v>
      </c>
      <c r="G708">
        <v>0.989166137707293</v>
      </c>
      <c r="H708">
        <v>7</v>
      </c>
      <c r="I708">
        <v>7</v>
      </c>
      <c r="J708">
        <v>2.4569438480988501E-2</v>
      </c>
      <c r="K708">
        <v>2.4469820554649199E-3</v>
      </c>
      <c r="L708">
        <v>2.5195215152018599E-2</v>
      </c>
      <c r="M708">
        <v>0</v>
      </c>
      <c r="N708">
        <v>0</v>
      </c>
      <c r="O708">
        <v>309</v>
      </c>
      <c r="P708">
        <v>1.9114758698092E-2</v>
      </c>
      <c r="Q708">
        <v>1.9285388688242901E-2</v>
      </c>
      <c r="R708">
        <v>0</v>
      </c>
      <c r="S708">
        <v>0</v>
      </c>
      <c r="T708" t="s">
        <v>53</v>
      </c>
      <c r="U708">
        <v>5.0943396226415097E-2</v>
      </c>
      <c r="V708">
        <v>0</v>
      </c>
      <c r="W708">
        <v>0</v>
      </c>
      <c r="X708">
        <v>0</v>
      </c>
      <c r="Y708">
        <v>1.7511495272206998E-2</v>
      </c>
      <c r="Z708">
        <v>1.14688552188552E-2</v>
      </c>
      <c r="AA708">
        <v>0</v>
      </c>
      <c r="AB708">
        <f t="shared" si="77"/>
        <v>8.1144981374974157E-3</v>
      </c>
      <c r="AC708">
        <f t="shared" ref="AC708:AC771" si="82">IF(T708="IT_Admin", 0.25, IF(AND(T708="HR", AA708&gt;0.6), 0.25, IF(AND(T708="General", Z708&gt;0.7), 0.2, 0.1)))</f>
        <v>0.1</v>
      </c>
      <c r="AD708">
        <f t="shared" si="78"/>
        <v>0</v>
      </c>
      <c r="AE708">
        <f t="shared" ref="AE708:AE771" si="83">MIN(1,AB708*(1+AC708+AD708))</f>
        <v>8.9259479512471575E-3</v>
      </c>
      <c r="AF708" t="str">
        <f t="shared" si="79"/>
        <v>Very Low</v>
      </c>
      <c r="AG708" t="str">
        <f t="shared" si="80"/>
        <v>NO ACTION</v>
      </c>
      <c r="AH708" t="str">
        <f t="shared" si="81"/>
        <v/>
      </c>
    </row>
    <row r="709" spans="1:34" x14ac:dyDescent="0.3">
      <c r="A709" t="s">
        <v>736</v>
      </c>
      <c r="B709">
        <v>0.12892249527410199</v>
      </c>
      <c r="C709">
        <v>0.36953165208440503</v>
      </c>
      <c r="D709">
        <v>0</v>
      </c>
      <c r="E709">
        <v>0</v>
      </c>
      <c r="F709">
        <v>0</v>
      </c>
      <c r="G709">
        <v>0.99370088765251097</v>
      </c>
      <c r="H709">
        <v>8</v>
      </c>
      <c r="I709">
        <v>8</v>
      </c>
      <c r="J709">
        <v>9.2552836219645995E-2</v>
      </c>
      <c r="K709">
        <v>9.7879282218597003E-3</v>
      </c>
      <c r="L709">
        <v>2.6943983298816799E-2</v>
      </c>
      <c r="M709">
        <v>1.44300144300144E-3</v>
      </c>
      <c r="N709">
        <v>9.3976860043698002E-3</v>
      </c>
      <c r="O709">
        <v>882</v>
      </c>
      <c r="P709">
        <v>7.29517396184063E-2</v>
      </c>
      <c r="Q709">
        <v>7.3109155299975401E-2</v>
      </c>
      <c r="R709">
        <v>0</v>
      </c>
      <c r="S709">
        <v>0</v>
      </c>
      <c r="T709" t="s">
        <v>53</v>
      </c>
      <c r="U709">
        <v>3.3962264150943298E-2</v>
      </c>
      <c r="V709">
        <v>0</v>
      </c>
      <c r="W709">
        <v>0</v>
      </c>
      <c r="X709">
        <v>0</v>
      </c>
      <c r="Y709">
        <v>3.48018646946485E-2</v>
      </c>
      <c r="Z709">
        <v>4.7530118172791701E-2</v>
      </c>
      <c r="AA709">
        <v>0</v>
      </c>
      <c r="AB709">
        <f t="shared" si="77"/>
        <v>2.3052955202883259E-2</v>
      </c>
      <c r="AC709">
        <f t="shared" si="82"/>
        <v>0.1</v>
      </c>
      <c r="AD709">
        <f t="shared" si="78"/>
        <v>0</v>
      </c>
      <c r="AE709">
        <f t="shared" si="83"/>
        <v>2.5358250723171587E-2</v>
      </c>
      <c r="AF709" t="str">
        <f t="shared" si="79"/>
        <v>Very Low</v>
      </c>
      <c r="AG709" t="str">
        <f t="shared" si="80"/>
        <v>NO ACTION</v>
      </c>
      <c r="AH709" t="str">
        <f t="shared" si="81"/>
        <v/>
      </c>
    </row>
    <row r="710" spans="1:34" x14ac:dyDescent="0.3">
      <c r="A710" t="s">
        <v>737</v>
      </c>
      <c r="B710">
        <v>0.23478260869565201</v>
      </c>
      <c r="C710">
        <v>0.40707606793618101</v>
      </c>
      <c r="D710">
        <v>0.37517658788068697</v>
      </c>
      <c r="E710">
        <v>0</v>
      </c>
      <c r="F710">
        <v>0.55200000000000005</v>
      </c>
      <c r="G710">
        <v>0.48111159358598499</v>
      </c>
      <c r="H710">
        <v>6</v>
      </c>
      <c r="I710">
        <v>12</v>
      </c>
      <c r="J710">
        <v>7.7858880778588796E-2</v>
      </c>
      <c r="K710">
        <v>1.38662316476345E-2</v>
      </c>
      <c r="L710">
        <v>4.5352413346333602E-2</v>
      </c>
      <c r="M710">
        <v>5.7720057720057698E-4</v>
      </c>
      <c r="N710">
        <v>4.4663406911421497E-3</v>
      </c>
      <c r="O710">
        <v>619</v>
      </c>
      <c r="P710">
        <v>6.3482042648709297E-2</v>
      </c>
      <c r="Q710">
        <v>6.3641782671201602E-2</v>
      </c>
      <c r="R710">
        <v>0</v>
      </c>
      <c r="S710">
        <v>0</v>
      </c>
      <c r="T710" t="s">
        <v>53</v>
      </c>
      <c r="U710">
        <v>9.6226415094339601E-2</v>
      </c>
      <c r="V710">
        <v>0</v>
      </c>
      <c r="W710">
        <v>0</v>
      </c>
      <c r="X710">
        <v>0.33335297636420602</v>
      </c>
      <c r="Y710">
        <v>3.9587885036227198E-2</v>
      </c>
      <c r="Z710">
        <v>3.9875761865682403E-2</v>
      </c>
      <c r="AA710">
        <v>0</v>
      </c>
      <c r="AB710">
        <f t="shared" si="77"/>
        <v>7.5586297350807657E-2</v>
      </c>
      <c r="AC710">
        <f t="shared" si="82"/>
        <v>0.1</v>
      </c>
      <c r="AD710">
        <f t="shared" si="78"/>
        <v>0.08</v>
      </c>
      <c r="AE710">
        <f t="shared" si="83"/>
        <v>8.9191830873953049E-2</v>
      </c>
      <c r="AF710" t="str">
        <f t="shared" si="79"/>
        <v>Very Low</v>
      </c>
      <c r="AG710" t="str">
        <f t="shared" si="80"/>
        <v>NO ACTION</v>
      </c>
      <c r="AH710" t="str">
        <f t="shared" si="81"/>
        <v/>
      </c>
    </row>
    <row r="711" spans="1:34" x14ac:dyDescent="0.3">
      <c r="A711" t="s">
        <v>738</v>
      </c>
      <c r="B711">
        <v>0.236672967863894</v>
      </c>
      <c r="C711">
        <v>0.76839121306439795</v>
      </c>
      <c r="D711">
        <v>0.36539765698209598</v>
      </c>
      <c r="E711">
        <v>0</v>
      </c>
      <c r="F711">
        <v>0</v>
      </c>
      <c r="G711">
        <v>0.47629514615825203</v>
      </c>
      <c r="H711">
        <v>8</v>
      </c>
      <c r="I711">
        <v>14</v>
      </c>
      <c r="J711">
        <v>7.8288249606411897E-2</v>
      </c>
      <c r="K711">
        <v>1.2234910277324601E-2</v>
      </c>
      <c r="L711">
        <v>3.9798031224330697E-2</v>
      </c>
      <c r="M711">
        <v>2.8860028860028799E-3</v>
      </c>
      <c r="N711">
        <v>2.2209598151274899E-2</v>
      </c>
      <c r="O711">
        <v>844</v>
      </c>
      <c r="P711">
        <v>6.4218574635241304E-2</v>
      </c>
      <c r="Q711">
        <v>6.4378133875661797E-2</v>
      </c>
      <c r="R711">
        <v>0</v>
      </c>
      <c r="S711">
        <v>0</v>
      </c>
      <c r="T711" t="s">
        <v>53</v>
      </c>
      <c r="U711">
        <v>2.3156089193824999E-2</v>
      </c>
      <c r="V711">
        <v>0</v>
      </c>
      <c r="W711">
        <v>0</v>
      </c>
      <c r="X711">
        <v>0.109619297094628</v>
      </c>
      <c r="Y711">
        <v>4.2219544978830202E-2</v>
      </c>
      <c r="Z711">
        <v>4.7414984041654701E-2</v>
      </c>
      <c r="AA711">
        <v>0</v>
      </c>
      <c r="AB711">
        <f t="shared" si="77"/>
        <v>4.2636755660876255E-2</v>
      </c>
      <c r="AC711">
        <f t="shared" si="82"/>
        <v>0.1</v>
      </c>
      <c r="AD711">
        <f t="shared" si="78"/>
        <v>0</v>
      </c>
      <c r="AE711">
        <f t="shared" si="83"/>
        <v>4.6900431226963885E-2</v>
      </c>
      <c r="AF711" t="str">
        <f t="shared" si="79"/>
        <v>Very Low</v>
      </c>
      <c r="AG711" t="str">
        <f t="shared" si="80"/>
        <v>NO ACTION</v>
      </c>
      <c r="AH711" t="str">
        <f t="shared" si="81"/>
        <v/>
      </c>
    </row>
    <row r="712" spans="1:34" x14ac:dyDescent="0.3">
      <c r="A712" t="s">
        <v>739</v>
      </c>
      <c r="B712">
        <v>0.12892249527410199</v>
      </c>
      <c r="C712">
        <v>0.18476582604220201</v>
      </c>
      <c r="D712">
        <v>0</v>
      </c>
      <c r="E712">
        <v>0</v>
      </c>
      <c r="F712">
        <v>0</v>
      </c>
      <c r="G712">
        <v>0.99369387582541802</v>
      </c>
      <c r="H712">
        <v>7</v>
      </c>
      <c r="I712">
        <v>7</v>
      </c>
      <c r="J712">
        <v>9.5224464481656404E-2</v>
      </c>
      <c r="K712">
        <v>1.5497553017944501E-2</v>
      </c>
      <c r="L712">
        <v>4.1467387256695597E-2</v>
      </c>
      <c r="M712">
        <v>2.8860028860028799E-3</v>
      </c>
      <c r="N712">
        <v>1.8269364596201099E-2</v>
      </c>
      <c r="O712">
        <v>1067</v>
      </c>
      <c r="P712">
        <v>7.8072390572390502E-2</v>
      </c>
      <c r="Q712">
        <v>7.8228549388127205E-2</v>
      </c>
      <c r="R712">
        <v>0</v>
      </c>
      <c r="S712">
        <v>0</v>
      </c>
      <c r="T712" t="s">
        <v>28</v>
      </c>
      <c r="U712">
        <v>2.93310463121783E-2</v>
      </c>
      <c r="V712">
        <v>0</v>
      </c>
      <c r="W712">
        <v>0</v>
      </c>
      <c r="X712">
        <v>0</v>
      </c>
      <c r="Y712">
        <v>4.5259395903539397E-2</v>
      </c>
      <c r="Z712">
        <v>5.4151180181914803E-2</v>
      </c>
      <c r="AA712">
        <v>0</v>
      </c>
      <c r="AB712">
        <f t="shared" si="77"/>
        <v>2.783496130392718E-2</v>
      </c>
      <c r="AC712">
        <f t="shared" si="82"/>
        <v>0.25</v>
      </c>
      <c r="AD712">
        <f t="shared" si="78"/>
        <v>0</v>
      </c>
      <c r="AE712">
        <f t="shared" si="83"/>
        <v>3.4793701629908975E-2</v>
      </c>
      <c r="AF712" t="str">
        <f t="shared" si="79"/>
        <v>Very Low</v>
      </c>
      <c r="AG712" t="str">
        <f t="shared" si="80"/>
        <v>NO ACTION</v>
      </c>
      <c r="AH712" t="str">
        <f t="shared" si="81"/>
        <v/>
      </c>
    </row>
    <row r="713" spans="1:34" x14ac:dyDescent="0.3">
      <c r="A713" t="s">
        <v>740</v>
      </c>
      <c r="B713">
        <v>0.13648393194706901</v>
      </c>
      <c r="C713">
        <v>0.51785052066074799</v>
      </c>
      <c r="D713">
        <v>0.24084246338061499</v>
      </c>
      <c r="E713">
        <v>0</v>
      </c>
      <c r="F713">
        <v>0</v>
      </c>
      <c r="G713">
        <v>0.93092806790940996</v>
      </c>
      <c r="H713">
        <v>8</v>
      </c>
      <c r="I713">
        <v>19</v>
      </c>
      <c r="J713">
        <v>0.11163589523400599</v>
      </c>
      <c r="K713">
        <v>1.9575856443719401E-2</v>
      </c>
      <c r="L713">
        <v>4.4695989352834697E-2</v>
      </c>
      <c r="M713">
        <v>2.0202020202020202E-3</v>
      </c>
      <c r="N713">
        <v>1.09125368826861E-2</v>
      </c>
      <c r="O713">
        <v>1135</v>
      </c>
      <c r="P713">
        <v>9.1470258136924804E-2</v>
      </c>
      <c r="Q713">
        <v>9.1623128440688595E-2</v>
      </c>
      <c r="R713">
        <v>0.37610619469026502</v>
      </c>
      <c r="S713">
        <v>1</v>
      </c>
      <c r="T713" t="s">
        <v>28</v>
      </c>
      <c r="U713">
        <v>5.0943396226415097E-2</v>
      </c>
      <c r="V713">
        <v>0</v>
      </c>
      <c r="W713">
        <v>0</v>
      </c>
      <c r="X713">
        <v>7.2252739014184705E-2</v>
      </c>
      <c r="Y713">
        <v>4.7948934788024401E-2</v>
      </c>
      <c r="Z713">
        <v>5.9247169635229302E-2</v>
      </c>
      <c r="AA713">
        <v>0.37610619469026502</v>
      </c>
      <c r="AB713">
        <f t="shared" si="77"/>
        <v>0.14688508199405481</v>
      </c>
      <c r="AC713">
        <f t="shared" si="82"/>
        <v>0.25</v>
      </c>
      <c r="AD713">
        <f t="shared" si="78"/>
        <v>0</v>
      </c>
      <c r="AE713">
        <f t="shared" si="83"/>
        <v>0.18360635249256851</v>
      </c>
      <c r="AF713" t="str">
        <f t="shared" si="79"/>
        <v>Very Low</v>
      </c>
      <c r="AG713" t="str">
        <f t="shared" si="80"/>
        <v>NO ACTION</v>
      </c>
      <c r="AH713" t="str">
        <f t="shared" si="81"/>
        <v/>
      </c>
    </row>
    <row r="714" spans="1:34" x14ac:dyDescent="0.3">
      <c r="A714" t="s">
        <v>741</v>
      </c>
      <c r="B714">
        <v>0.12892249527410199</v>
      </c>
      <c r="C714">
        <v>0.36953165208440503</v>
      </c>
      <c r="D714">
        <v>0</v>
      </c>
      <c r="E714">
        <v>0</v>
      </c>
      <c r="F714">
        <v>0</v>
      </c>
      <c r="G714">
        <v>0.99368790774357896</v>
      </c>
      <c r="H714">
        <v>8</v>
      </c>
      <c r="I714">
        <v>8</v>
      </c>
      <c r="J714">
        <v>9.1741806211535701E-2</v>
      </c>
      <c r="K714">
        <v>9.7879282218597003E-3</v>
      </c>
      <c r="L714">
        <v>2.7181559915040801E-2</v>
      </c>
      <c r="M714">
        <v>1.44300144300144E-3</v>
      </c>
      <c r="N714">
        <v>9.4805494183087501E-3</v>
      </c>
      <c r="O714">
        <v>704</v>
      </c>
      <c r="P714">
        <v>7.2355499438832696E-2</v>
      </c>
      <c r="Q714">
        <v>7.2513061467793405E-2</v>
      </c>
      <c r="R714">
        <v>0</v>
      </c>
      <c r="S714">
        <v>0</v>
      </c>
      <c r="T714" t="s">
        <v>53</v>
      </c>
      <c r="U714">
        <v>3.3962264150943298E-2</v>
      </c>
      <c r="V714">
        <v>0</v>
      </c>
      <c r="W714">
        <v>0</v>
      </c>
      <c r="X714">
        <v>0</v>
      </c>
      <c r="Y714">
        <v>3.47833060253201E-2</v>
      </c>
      <c r="Z714">
        <v>4.7205519430623101E-2</v>
      </c>
      <c r="AA714">
        <v>0</v>
      </c>
      <c r="AB714">
        <f t="shared" si="77"/>
        <v>2.2956871127664098E-2</v>
      </c>
      <c r="AC714">
        <f t="shared" si="82"/>
        <v>0.1</v>
      </c>
      <c r="AD714">
        <f t="shared" si="78"/>
        <v>0</v>
      </c>
      <c r="AE714">
        <f t="shared" si="83"/>
        <v>2.525255824043051E-2</v>
      </c>
      <c r="AF714" t="str">
        <f t="shared" si="79"/>
        <v>Very Low</v>
      </c>
      <c r="AG714" t="str">
        <f t="shared" si="80"/>
        <v>NO ACTION</v>
      </c>
      <c r="AH714" t="str">
        <f t="shared" si="81"/>
        <v/>
      </c>
    </row>
    <row r="715" spans="1:34" x14ac:dyDescent="0.3">
      <c r="A715" t="s">
        <v>742</v>
      </c>
      <c r="B715">
        <v>0.12892249527410199</v>
      </c>
      <c r="C715">
        <v>0.18476582604220201</v>
      </c>
      <c r="D715">
        <v>0</v>
      </c>
      <c r="E715">
        <v>0</v>
      </c>
      <c r="F715">
        <v>0</v>
      </c>
      <c r="G715">
        <v>0.99367658712197404</v>
      </c>
      <c r="H715">
        <v>7</v>
      </c>
      <c r="I715">
        <v>7</v>
      </c>
      <c r="J715">
        <v>8.3726921425504502E-2</v>
      </c>
      <c r="K715">
        <v>1.7944535073409401E-2</v>
      </c>
      <c r="L715">
        <v>5.4589632829373597E-2</v>
      </c>
      <c r="M715">
        <v>1.7316017316017301E-3</v>
      </c>
      <c r="N715">
        <v>1.2462613144431299E-2</v>
      </c>
      <c r="O715">
        <v>820</v>
      </c>
      <c r="P715">
        <v>7.0110830527497198E-2</v>
      </c>
      <c r="Q715">
        <v>7.0268943511343301E-2</v>
      </c>
      <c r="R715">
        <v>0</v>
      </c>
      <c r="S715">
        <v>0</v>
      </c>
      <c r="T715" t="s">
        <v>53</v>
      </c>
      <c r="U715">
        <v>5.3369272237196702E-2</v>
      </c>
      <c r="V715">
        <v>0</v>
      </c>
      <c r="W715">
        <v>0</v>
      </c>
      <c r="X715">
        <v>0</v>
      </c>
      <c r="Y715">
        <v>4.7778984643117098E-2</v>
      </c>
      <c r="Z715">
        <v>4.7051543574270799E-2</v>
      </c>
      <c r="AA715">
        <v>0</v>
      </c>
      <c r="AB715">
        <f t="shared" si="77"/>
        <v>2.6552547900868612E-2</v>
      </c>
      <c r="AC715">
        <f t="shared" si="82"/>
        <v>0.1</v>
      </c>
      <c r="AD715">
        <f t="shared" si="78"/>
        <v>0</v>
      </c>
      <c r="AE715">
        <f t="shared" si="83"/>
        <v>2.9207802690955475E-2</v>
      </c>
      <c r="AF715" t="str">
        <f t="shared" si="79"/>
        <v>Very Low</v>
      </c>
      <c r="AG715" t="str">
        <f t="shared" si="80"/>
        <v>NO ACTION</v>
      </c>
      <c r="AH715" t="str">
        <f t="shared" si="81"/>
        <v/>
      </c>
    </row>
    <row r="716" spans="1:34" x14ac:dyDescent="0.3">
      <c r="A716" t="s">
        <v>743</v>
      </c>
      <c r="B716">
        <v>0.12892249527410199</v>
      </c>
      <c r="C716">
        <v>0.36953165208440503</v>
      </c>
      <c r="D716">
        <v>0</v>
      </c>
      <c r="E716">
        <v>0</v>
      </c>
      <c r="F716">
        <v>0</v>
      </c>
      <c r="G716">
        <v>0.99367645330847998</v>
      </c>
      <c r="H716">
        <v>8</v>
      </c>
      <c r="I716">
        <v>8</v>
      </c>
      <c r="J716">
        <v>0.115643337627021</v>
      </c>
      <c r="K716">
        <v>1.6313213703099499E-2</v>
      </c>
      <c r="L716">
        <v>3.59585889365985E-2</v>
      </c>
      <c r="M716">
        <v>3.1746031746031698E-3</v>
      </c>
      <c r="N716">
        <v>1.65552484202134E-2</v>
      </c>
      <c r="O716">
        <v>1172</v>
      </c>
      <c r="P716">
        <v>9.3574635241301898E-2</v>
      </c>
      <c r="Q716">
        <v>9.3726989024860596E-2</v>
      </c>
      <c r="R716">
        <v>0</v>
      </c>
      <c r="S716">
        <v>0</v>
      </c>
      <c r="T716" t="s">
        <v>28</v>
      </c>
      <c r="U716">
        <v>2.83018867924528E-2</v>
      </c>
      <c r="V716">
        <v>0</v>
      </c>
      <c r="W716">
        <v>0</v>
      </c>
      <c r="X716">
        <v>0</v>
      </c>
      <c r="Y716">
        <v>4.6074536519767603E-2</v>
      </c>
      <c r="Z716">
        <v>6.2766880512866496E-2</v>
      </c>
      <c r="AA716">
        <v>0</v>
      </c>
      <c r="AB716">
        <f t="shared" si="77"/>
        <v>3.0475596769137549E-2</v>
      </c>
      <c r="AC716">
        <f t="shared" si="82"/>
        <v>0.25</v>
      </c>
      <c r="AD716">
        <f t="shared" si="78"/>
        <v>0</v>
      </c>
      <c r="AE716">
        <f t="shared" si="83"/>
        <v>3.8094495961421934E-2</v>
      </c>
      <c r="AF716" t="str">
        <f t="shared" si="79"/>
        <v>Very Low</v>
      </c>
      <c r="AG716" t="str">
        <f t="shared" si="80"/>
        <v>NO ACTION</v>
      </c>
      <c r="AH716" t="str">
        <f t="shared" si="81"/>
        <v/>
      </c>
    </row>
    <row r="717" spans="1:34" x14ac:dyDescent="0.3">
      <c r="A717" t="s">
        <v>744</v>
      </c>
      <c r="B717">
        <v>0.12892249527410199</v>
      </c>
      <c r="C717">
        <v>0.36953165208440503</v>
      </c>
      <c r="D717">
        <v>0</v>
      </c>
      <c r="E717">
        <v>0</v>
      </c>
      <c r="F717">
        <v>0</v>
      </c>
      <c r="G717">
        <v>0.99366184087491904</v>
      </c>
      <c r="H717">
        <v>8</v>
      </c>
      <c r="I717">
        <v>8</v>
      </c>
      <c r="J717">
        <v>8.8211440293879104E-2</v>
      </c>
      <c r="K717">
        <v>1.2234910277324601E-2</v>
      </c>
      <c r="L717">
        <v>3.5333095682442403E-2</v>
      </c>
      <c r="M717">
        <v>2.0202020202020202E-3</v>
      </c>
      <c r="N717">
        <v>1.3802534514508601E-2</v>
      </c>
      <c r="O717">
        <v>697</v>
      </c>
      <c r="P717">
        <v>7.1092873176206495E-2</v>
      </c>
      <c r="Q717">
        <v>7.1250745117290196E-2</v>
      </c>
      <c r="R717">
        <v>0</v>
      </c>
      <c r="S717">
        <v>0</v>
      </c>
      <c r="T717" t="s">
        <v>53</v>
      </c>
      <c r="U717">
        <v>3.1839622641509399E-2</v>
      </c>
      <c r="V717">
        <v>0</v>
      </c>
      <c r="W717">
        <v>0</v>
      </c>
      <c r="X717">
        <v>0</v>
      </c>
      <c r="Y717">
        <v>3.94495962543496E-2</v>
      </c>
      <c r="Z717">
        <v>4.81767377115273E-2</v>
      </c>
      <c r="AA717">
        <v>0</v>
      </c>
      <c r="AB717">
        <f t="shared" si="77"/>
        <v>2.4535373510445532E-2</v>
      </c>
      <c r="AC717">
        <f t="shared" si="82"/>
        <v>0.1</v>
      </c>
      <c r="AD717">
        <f t="shared" si="78"/>
        <v>0</v>
      </c>
      <c r="AE717">
        <f t="shared" si="83"/>
        <v>2.6988910861490089E-2</v>
      </c>
      <c r="AF717" t="str">
        <f t="shared" si="79"/>
        <v>Very Low</v>
      </c>
      <c r="AG717" t="str">
        <f t="shared" si="80"/>
        <v>NO ACTION</v>
      </c>
      <c r="AH717" t="str">
        <f t="shared" si="81"/>
        <v/>
      </c>
    </row>
    <row r="718" spans="1:34" x14ac:dyDescent="0.3">
      <c r="A718" t="s">
        <v>745</v>
      </c>
      <c r="B718">
        <v>0.12892249527410199</v>
      </c>
      <c r="C718">
        <v>0.18476582604220201</v>
      </c>
      <c r="D718">
        <v>0</v>
      </c>
      <c r="E718">
        <v>0</v>
      </c>
      <c r="F718">
        <v>0</v>
      </c>
      <c r="G718">
        <v>0.99367955778154404</v>
      </c>
      <c r="H718">
        <v>7</v>
      </c>
      <c r="I718">
        <v>7</v>
      </c>
      <c r="J718">
        <v>0.114784599971375</v>
      </c>
      <c r="K718">
        <v>1.1419249592169599E-2</v>
      </c>
      <c r="L718">
        <v>2.5358933541641801E-2</v>
      </c>
      <c r="M718">
        <v>7.2150072150072098E-3</v>
      </c>
      <c r="N718">
        <v>3.7906468847986798E-2</v>
      </c>
      <c r="O718">
        <v>860</v>
      </c>
      <c r="P718">
        <v>9.2803030303030304E-2</v>
      </c>
      <c r="Q718">
        <v>9.2955573477330897E-2</v>
      </c>
      <c r="R718">
        <v>0</v>
      </c>
      <c r="S718">
        <v>0</v>
      </c>
      <c r="T718" t="s">
        <v>28</v>
      </c>
      <c r="U718">
        <v>9.1436865021770602E-3</v>
      </c>
      <c r="V718">
        <v>0</v>
      </c>
      <c r="W718">
        <v>0</v>
      </c>
      <c r="X718">
        <v>0</v>
      </c>
      <c r="Y718">
        <v>4.7008327419491999E-2</v>
      </c>
      <c r="Z718">
        <v>7.0844405721012901E-2</v>
      </c>
      <c r="AA718">
        <v>0</v>
      </c>
      <c r="AB718">
        <f t="shared" si="77"/>
        <v>3.2998765279341376E-2</v>
      </c>
      <c r="AC718">
        <f t="shared" si="82"/>
        <v>0.25</v>
      </c>
      <c r="AD718">
        <f t="shared" si="78"/>
        <v>0</v>
      </c>
      <c r="AE718">
        <f t="shared" si="83"/>
        <v>4.1248456599176718E-2</v>
      </c>
      <c r="AF718" t="str">
        <f t="shared" si="79"/>
        <v>Very Low</v>
      </c>
      <c r="AG718" t="str">
        <f t="shared" si="80"/>
        <v>NO ACTION</v>
      </c>
      <c r="AH718" t="str">
        <f t="shared" si="81"/>
        <v/>
      </c>
    </row>
    <row r="719" spans="1:34" x14ac:dyDescent="0.3">
      <c r="A719" t="s">
        <v>746</v>
      </c>
      <c r="B719">
        <v>0.25595463137996199</v>
      </c>
      <c r="C719">
        <v>0.62836659781753501</v>
      </c>
      <c r="D719">
        <v>0.39772039969859402</v>
      </c>
      <c r="E719">
        <v>0</v>
      </c>
      <c r="F719">
        <v>0</v>
      </c>
      <c r="G719">
        <v>0.42946524192990898</v>
      </c>
      <c r="H719">
        <v>7</v>
      </c>
      <c r="I719">
        <v>17</v>
      </c>
      <c r="J719">
        <v>9.3984065645722994E-2</v>
      </c>
      <c r="K719">
        <v>1.8760195758564399E-2</v>
      </c>
      <c r="L719">
        <v>5.0858189572682198E-2</v>
      </c>
      <c r="M719">
        <v>2.3088023088023001E-3</v>
      </c>
      <c r="N719">
        <v>1.48078981496703E-2</v>
      </c>
      <c r="O719">
        <v>875</v>
      </c>
      <c r="P719">
        <v>7.8282828282828204E-2</v>
      </c>
      <c r="Q719">
        <v>7.84389354465444E-2</v>
      </c>
      <c r="R719">
        <v>0.77138643067846602</v>
      </c>
      <c r="S719">
        <v>1</v>
      </c>
      <c r="T719" t="s">
        <v>53</v>
      </c>
      <c r="U719">
        <v>4.3396226415094302E-2</v>
      </c>
      <c r="V719">
        <v>0</v>
      </c>
      <c r="W719">
        <v>0</v>
      </c>
      <c r="X719">
        <v>0.11931611990957799</v>
      </c>
      <c r="Y719">
        <v>4.86682773603868E-2</v>
      </c>
      <c r="Z719">
        <v>5.2892856229565001E-2</v>
      </c>
      <c r="AA719">
        <v>0.77138643067846602</v>
      </c>
      <c r="AB719">
        <f t="shared" si="77"/>
        <v>0.26351589718068946</v>
      </c>
      <c r="AC719">
        <f t="shared" si="82"/>
        <v>0.1</v>
      </c>
      <c r="AD719">
        <f t="shared" si="78"/>
        <v>0</v>
      </c>
      <c r="AE719">
        <f t="shared" si="83"/>
        <v>0.28986748689875841</v>
      </c>
      <c r="AF719" t="str">
        <f t="shared" si="79"/>
        <v>Low</v>
      </c>
      <c r="AG719" t="str">
        <f t="shared" si="80"/>
        <v>NO ACTION</v>
      </c>
      <c r="AH719" t="str">
        <f t="shared" si="81"/>
        <v/>
      </c>
    </row>
    <row r="720" spans="1:34" x14ac:dyDescent="0.3">
      <c r="A720" t="s">
        <v>747</v>
      </c>
      <c r="B720">
        <v>0.240075614366729</v>
      </c>
      <c r="C720">
        <v>0.494443759831246</v>
      </c>
      <c r="D720">
        <v>0.36657613714806597</v>
      </c>
      <c r="E720">
        <v>0</v>
      </c>
      <c r="F720">
        <v>0.25821596244131401</v>
      </c>
      <c r="G720">
        <v>0.467601574673702</v>
      </c>
      <c r="H720">
        <v>6</v>
      </c>
      <c r="I720">
        <v>14</v>
      </c>
      <c r="J720">
        <v>7.8002003721196506E-2</v>
      </c>
      <c r="K720">
        <v>1.30505709624796E-2</v>
      </c>
      <c r="L720">
        <v>4.2606542696096497E-2</v>
      </c>
      <c r="M720">
        <v>2.59740259740259E-3</v>
      </c>
      <c r="N720">
        <v>2.0061767500791802E-2</v>
      </c>
      <c r="O720">
        <v>820</v>
      </c>
      <c r="P720">
        <v>6.4218574635241304E-2</v>
      </c>
      <c r="Q720">
        <v>6.4378133875661797E-2</v>
      </c>
      <c r="R720">
        <v>0</v>
      </c>
      <c r="S720">
        <v>0</v>
      </c>
      <c r="T720" t="s">
        <v>53</v>
      </c>
      <c r="U720">
        <v>2.7169811320754699E-2</v>
      </c>
      <c r="V720">
        <v>0</v>
      </c>
      <c r="W720">
        <v>0</v>
      </c>
      <c r="X720">
        <v>0.213259226120945</v>
      </c>
      <c r="Y720">
        <v>4.2922202342525098E-2</v>
      </c>
      <c r="Z720">
        <v>4.6555851781461502E-2</v>
      </c>
      <c r="AA720">
        <v>0</v>
      </c>
      <c r="AB720">
        <f t="shared" si="77"/>
        <v>5.9175331334067452E-2</v>
      </c>
      <c r="AC720">
        <f t="shared" si="82"/>
        <v>0.1</v>
      </c>
      <c r="AD720">
        <f t="shared" si="78"/>
        <v>0</v>
      </c>
      <c r="AE720">
        <f t="shared" si="83"/>
        <v>6.5092864467474199E-2</v>
      </c>
      <c r="AF720" t="str">
        <f t="shared" si="79"/>
        <v>Very Low</v>
      </c>
      <c r="AG720" t="str">
        <f t="shared" si="80"/>
        <v>NO ACTION</v>
      </c>
      <c r="AH720" t="str">
        <f t="shared" si="81"/>
        <v/>
      </c>
    </row>
    <row r="721" spans="1:34" x14ac:dyDescent="0.3">
      <c r="A721" t="s">
        <v>748</v>
      </c>
      <c r="B721">
        <v>5.3686200378071799E-2</v>
      </c>
      <c r="C721">
        <v>0</v>
      </c>
      <c r="D721">
        <v>0</v>
      </c>
      <c r="E721">
        <v>0</v>
      </c>
      <c r="F721">
        <v>1</v>
      </c>
      <c r="G721">
        <v>0.98140938454780902</v>
      </c>
      <c r="H721">
        <v>6</v>
      </c>
      <c r="I721">
        <v>6</v>
      </c>
      <c r="J721">
        <v>1.5695816039311101E-2</v>
      </c>
      <c r="K721">
        <v>8.1566068515497503E-4</v>
      </c>
      <c r="L721">
        <v>1.3075361156736199E-2</v>
      </c>
      <c r="M721">
        <v>5.7720057720057698E-4</v>
      </c>
      <c r="N721">
        <v>2.1890418297603902E-2</v>
      </c>
      <c r="O721">
        <v>175</v>
      </c>
      <c r="P721">
        <v>1.21703142536475E-2</v>
      </c>
      <c r="Q721">
        <v>1.2342648760475399E-2</v>
      </c>
      <c r="R721">
        <v>0</v>
      </c>
      <c r="S721">
        <v>0</v>
      </c>
      <c r="T721" t="s">
        <v>53</v>
      </c>
      <c r="U721">
        <v>5.6603773584905596E-3</v>
      </c>
      <c r="V721">
        <v>0</v>
      </c>
      <c r="W721">
        <v>0</v>
      </c>
      <c r="X721">
        <v>0.4</v>
      </c>
      <c r="Y721">
        <v>1.6243969275511499E-2</v>
      </c>
      <c r="Z721">
        <v>1.6058355871230098E-2</v>
      </c>
      <c r="AA721">
        <v>0</v>
      </c>
      <c r="AB721">
        <f t="shared" si="77"/>
        <v>7.3044651041087649E-2</v>
      </c>
      <c r="AC721">
        <f t="shared" si="82"/>
        <v>0.1</v>
      </c>
      <c r="AD721">
        <f t="shared" si="78"/>
        <v>0.08</v>
      </c>
      <c r="AE721">
        <f t="shared" si="83"/>
        <v>8.6192688228483444E-2</v>
      </c>
      <c r="AF721" t="str">
        <f t="shared" si="79"/>
        <v>Very Low</v>
      </c>
      <c r="AG721" t="str">
        <f t="shared" si="80"/>
        <v>NO ACTION</v>
      </c>
      <c r="AH721" t="str">
        <f t="shared" si="81"/>
        <v/>
      </c>
    </row>
    <row r="722" spans="1:34" x14ac:dyDescent="0.3">
      <c r="A722" t="s">
        <v>749</v>
      </c>
      <c r="B722">
        <v>0.231758034026465</v>
      </c>
      <c r="C722">
        <v>0.55220126940327596</v>
      </c>
      <c r="D722">
        <v>0.34586502760000598</v>
      </c>
      <c r="E722">
        <v>0</v>
      </c>
      <c r="F722">
        <v>0</v>
      </c>
      <c r="G722">
        <v>0.48957168128366202</v>
      </c>
      <c r="H722">
        <v>7</v>
      </c>
      <c r="I722">
        <v>13</v>
      </c>
      <c r="J722">
        <v>6.8412766566480598E-2</v>
      </c>
      <c r="K722">
        <v>9.7879282218597003E-3</v>
      </c>
      <c r="L722">
        <v>3.64183790939532E-2</v>
      </c>
      <c r="M722">
        <v>5.7720057720057703E-3</v>
      </c>
      <c r="N722">
        <v>5.0808893060456599E-2</v>
      </c>
      <c r="O722">
        <v>680</v>
      </c>
      <c r="P722">
        <v>5.7309203142536402E-2</v>
      </c>
      <c r="Q722">
        <v>5.7470458290963901E-2</v>
      </c>
      <c r="R722">
        <v>0</v>
      </c>
      <c r="S722">
        <v>0</v>
      </c>
      <c r="T722" t="s">
        <v>53</v>
      </c>
      <c r="U722">
        <v>9.7035040431266793E-3</v>
      </c>
      <c r="V722">
        <v>0</v>
      </c>
      <c r="W722">
        <v>0</v>
      </c>
      <c r="X722">
        <v>0.10375950828000199</v>
      </c>
      <c r="Y722">
        <v>4.7134410778409699E-2</v>
      </c>
      <c r="Z722">
        <v>5.4709079109704503E-2</v>
      </c>
      <c r="AA722">
        <v>0</v>
      </c>
      <c r="AB722">
        <f t="shared" si="77"/>
        <v>4.5117698493472302E-2</v>
      </c>
      <c r="AC722">
        <f t="shared" si="82"/>
        <v>0.1</v>
      </c>
      <c r="AD722">
        <f t="shared" si="78"/>
        <v>0</v>
      </c>
      <c r="AE722">
        <f t="shared" si="83"/>
        <v>4.962946834281954E-2</v>
      </c>
      <c r="AF722" t="str">
        <f t="shared" si="79"/>
        <v>Very Low</v>
      </c>
      <c r="AG722" t="str">
        <f t="shared" si="80"/>
        <v>NO ACTION</v>
      </c>
      <c r="AH722" t="str">
        <f t="shared" si="81"/>
        <v/>
      </c>
    </row>
    <row r="723" spans="1:34" x14ac:dyDescent="0.3">
      <c r="A723" t="s">
        <v>750</v>
      </c>
      <c r="B723">
        <v>0.12892249527410199</v>
      </c>
      <c r="C723">
        <v>0.55429747812660801</v>
      </c>
      <c r="D723">
        <v>0</v>
      </c>
      <c r="E723">
        <v>0</v>
      </c>
      <c r="F723">
        <v>0</v>
      </c>
      <c r="G723">
        <v>0.99366775543135999</v>
      </c>
      <c r="H723">
        <v>9</v>
      </c>
      <c r="I723">
        <v>9</v>
      </c>
      <c r="J723">
        <v>7.3612900147893706E-2</v>
      </c>
      <c r="K723">
        <v>8.9722675367047301E-3</v>
      </c>
      <c r="L723">
        <v>3.10328662079126E-2</v>
      </c>
      <c r="M723">
        <v>8.6580086580086504E-4</v>
      </c>
      <c r="N723">
        <v>7.08468964282917E-3</v>
      </c>
      <c r="O723">
        <v>555</v>
      </c>
      <c r="P723">
        <v>5.8396464646464599E-2</v>
      </c>
      <c r="Q723">
        <v>5.8557452926119399E-2</v>
      </c>
      <c r="R723">
        <v>0</v>
      </c>
      <c r="S723">
        <v>0</v>
      </c>
      <c r="T723" t="s">
        <v>53</v>
      </c>
      <c r="U723">
        <v>4.6698113207547097E-2</v>
      </c>
      <c r="V723">
        <v>0</v>
      </c>
      <c r="W723">
        <v>0</v>
      </c>
      <c r="X723">
        <v>0</v>
      </c>
      <c r="Y723">
        <v>3.2364420026383803E-2</v>
      </c>
      <c r="Z723">
        <v>3.78717546450104E-2</v>
      </c>
      <c r="AA723">
        <v>0</v>
      </c>
      <c r="AB723">
        <f t="shared" si="77"/>
        <v>1.9666128907990379E-2</v>
      </c>
      <c r="AC723">
        <f t="shared" si="82"/>
        <v>0.1</v>
      </c>
      <c r="AD723">
        <f t="shared" si="78"/>
        <v>0</v>
      </c>
      <c r="AE723">
        <f t="shared" si="83"/>
        <v>2.1632741798789417E-2</v>
      </c>
      <c r="AF723" t="str">
        <f t="shared" si="79"/>
        <v>Very Low</v>
      </c>
      <c r="AG723" t="str">
        <f t="shared" si="80"/>
        <v>NO ACTION</v>
      </c>
      <c r="AH723" t="str">
        <f t="shared" si="81"/>
        <v/>
      </c>
    </row>
    <row r="724" spans="1:34" x14ac:dyDescent="0.3">
      <c r="A724" t="s">
        <v>751</v>
      </c>
      <c r="B724">
        <v>0.12892249527410199</v>
      </c>
      <c r="C724">
        <v>0.45629125735639597</v>
      </c>
      <c r="D724">
        <v>7.4993488433305694E-2</v>
      </c>
      <c r="E724">
        <v>0</v>
      </c>
      <c r="F724">
        <v>0</v>
      </c>
      <c r="G724">
        <v>0.99368220728872803</v>
      </c>
      <c r="H724">
        <v>8</v>
      </c>
      <c r="I724">
        <v>9</v>
      </c>
      <c r="J724">
        <v>8.3774629073040396E-2</v>
      </c>
      <c r="K724">
        <v>1.2234910277324601E-2</v>
      </c>
      <c r="L724">
        <v>3.7199068367545898E-2</v>
      </c>
      <c r="M724">
        <v>9.23520923520923E-3</v>
      </c>
      <c r="N724">
        <v>6.6429526054738994E-2</v>
      </c>
      <c r="O724">
        <v>559</v>
      </c>
      <c r="P724">
        <v>7.1338383838383798E-2</v>
      </c>
      <c r="Q724">
        <v>7.1496195518776895E-2</v>
      </c>
      <c r="R724">
        <v>0</v>
      </c>
      <c r="S724">
        <v>0</v>
      </c>
      <c r="T724" t="s">
        <v>53</v>
      </c>
      <c r="U724">
        <v>7.7186963979416802E-3</v>
      </c>
      <c r="V724">
        <v>0</v>
      </c>
      <c r="W724">
        <v>0</v>
      </c>
      <c r="X724">
        <v>2.2498046529991701E-2</v>
      </c>
      <c r="Y724">
        <v>5.5283317814802703E-2</v>
      </c>
      <c r="Z724">
        <v>6.9374840724925904E-2</v>
      </c>
      <c r="AA724">
        <v>0</v>
      </c>
      <c r="AB724">
        <f t="shared" si="77"/>
        <v>3.8503971835922683E-2</v>
      </c>
      <c r="AC724">
        <f t="shared" si="82"/>
        <v>0.1</v>
      </c>
      <c r="AD724">
        <f t="shared" si="78"/>
        <v>0</v>
      </c>
      <c r="AE724">
        <f t="shared" si="83"/>
        <v>4.2354369019514955E-2</v>
      </c>
      <c r="AF724" t="str">
        <f t="shared" si="79"/>
        <v>Very Low</v>
      </c>
      <c r="AG724" t="str">
        <f t="shared" si="80"/>
        <v>NO ACTION</v>
      </c>
      <c r="AH724" t="str">
        <f t="shared" si="81"/>
        <v/>
      </c>
    </row>
    <row r="725" spans="1:34" x14ac:dyDescent="0.3">
      <c r="A725" t="s">
        <v>752</v>
      </c>
      <c r="B725">
        <v>0.12892249527410199</v>
      </c>
      <c r="C725">
        <v>0.18476582604220201</v>
      </c>
      <c r="D725">
        <v>0</v>
      </c>
      <c r="E725">
        <v>0</v>
      </c>
      <c r="F725">
        <v>0</v>
      </c>
      <c r="G725">
        <v>0.99367388408939195</v>
      </c>
      <c r="H725">
        <v>7</v>
      </c>
      <c r="I725">
        <v>7</v>
      </c>
      <c r="J725">
        <v>6.9843995992557598E-2</v>
      </c>
      <c r="K725">
        <v>3.7520391517128798E-2</v>
      </c>
      <c r="L725">
        <v>0.13675279020564601</v>
      </c>
      <c r="M725">
        <v>3.4632034632034602E-3</v>
      </c>
      <c r="N725">
        <v>2.9862762606125401E-2</v>
      </c>
      <c r="O725">
        <v>520</v>
      </c>
      <c r="P725">
        <v>6.9163860830527502E-2</v>
      </c>
      <c r="Q725">
        <v>6.9322206248465898E-2</v>
      </c>
      <c r="R725">
        <v>0</v>
      </c>
      <c r="S725">
        <v>0</v>
      </c>
      <c r="T725" t="s">
        <v>53</v>
      </c>
      <c r="U725">
        <v>6.0087082728592103E-2</v>
      </c>
      <c r="V725">
        <v>0</v>
      </c>
      <c r="W725">
        <v>0</v>
      </c>
      <c r="X725">
        <v>0</v>
      </c>
      <c r="Y725">
        <v>9.1304023083172495E-2</v>
      </c>
      <c r="Z725">
        <v>5.3443421540766603E-2</v>
      </c>
      <c r="AA725">
        <v>0</v>
      </c>
      <c r="AB725">
        <f t="shared" si="77"/>
        <v>4.0529284494702951E-2</v>
      </c>
      <c r="AC725">
        <f t="shared" si="82"/>
        <v>0.1</v>
      </c>
      <c r="AD725">
        <f t="shared" si="78"/>
        <v>0</v>
      </c>
      <c r="AE725">
        <f t="shared" si="83"/>
        <v>4.458221294417325E-2</v>
      </c>
      <c r="AF725" t="str">
        <f t="shared" si="79"/>
        <v>Very Low</v>
      </c>
      <c r="AG725" t="str">
        <f t="shared" si="80"/>
        <v>NO ACTION</v>
      </c>
      <c r="AH725" t="str">
        <f t="shared" si="81"/>
        <v/>
      </c>
    </row>
    <row r="726" spans="1:34" x14ac:dyDescent="0.3">
      <c r="A726" t="s">
        <v>753</v>
      </c>
      <c r="B726">
        <v>0.23251417769376101</v>
      </c>
      <c r="C726">
        <v>0.55399898729293695</v>
      </c>
      <c r="D726">
        <v>0.34594146099982398</v>
      </c>
      <c r="E726">
        <v>0</v>
      </c>
      <c r="F726">
        <v>0</v>
      </c>
      <c r="G726">
        <v>0.48751644253670001</v>
      </c>
      <c r="H726">
        <v>7</v>
      </c>
      <c r="I726">
        <v>13</v>
      </c>
      <c r="J726">
        <v>8.1293831401173605E-2</v>
      </c>
      <c r="K726">
        <v>1.7944535073409401E-2</v>
      </c>
      <c r="L726">
        <v>5.6218697355001498E-2</v>
      </c>
      <c r="M726">
        <v>8.6580086580086504E-4</v>
      </c>
      <c r="N726">
        <v>6.4172613031594798E-3</v>
      </c>
      <c r="O726">
        <v>730</v>
      </c>
      <c r="P726">
        <v>6.7901234567901203E-2</v>
      </c>
      <c r="Q726">
        <v>6.8059889897962703E-2</v>
      </c>
      <c r="R726">
        <v>0</v>
      </c>
      <c r="S726">
        <v>0</v>
      </c>
      <c r="T726" t="s">
        <v>53</v>
      </c>
      <c r="U726">
        <v>9.3396226415094305E-2</v>
      </c>
      <c r="V726">
        <v>0</v>
      </c>
      <c r="W726">
        <v>0</v>
      </c>
      <c r="X726">
        <v>0.103782438299947</v>
      </c>
      <c r="Y726">
        <v>4.6293293348683297E-2</v>
      </c>
      <c r="Z726">
        <v>4.33076452620045E-2</v>
      </c>
      <c r="AA726">
        <v>0</v>
      </c>
      <c r="AB726">
        <f t="shared" si="77"/>
        <v>4.1693452938984105E-2</v>
      </c>
      <c r="AC726">
        <f t="shared" si="82"/>
        <v>0.1</v>
      </c>
      <c r="AD726">
        <f t="shared" si="78"/>
        <v>0</v>
      </c>
      <c r="AE726">
        <f t="shared" si="83"/>
        <v>4.5862798232882522E-2</v>
      </c>
      <c r="AF726" t="str">
        <f t="shared" si="79"/>
        <v>Very Low</v>
      </c>
      <c r="AG726" t="str">
        <f t="shared" si="80"/>
        <v>NO ACTION</v>
      </c>
      <c r="AH726" t="str">
        <f t="shared" si="81"/>
        <v/>
      </c>
    </row>
    <row r="727" spans="1:34" x14ac:dyDescent="0.3">
      <c r="A727" t="s">
        <v>754</v>
      </c>
      <c r="B727">
        <v>0.12892249527410199</v>
      </c>
      <c r="C727">
        <v>0</v>
      </c>
      <c r="D727">
        <v>0</v>
      </c>
      <c r="E727">
        <v>0</v>
      </c>
      <c r="F727">
        <v>1</v>
      </c>
      <c r="G727">
        <v>0.993664062178921</v>
      </c>
      <c r="H727">
        <v>6</v>
      </c>
      <c r="I727">
        <v>6</v>
      </c>
      <c r="J727">
        <v>8.2677353179714697E-2</v>
      </c>
      <c r="K727">
        <v>1.2234910277324601E-2</v>
      </c>
      <c r="L727">
        <v>3.76913460271854E-2</v>
      </c>
      <c r="M727">
        <v>1.7316017316017301E-3</v>
      </c>
      <c r="N727">
        <v>1.26203677411962E-2</v>
      </c>
      <c r="O727">
        <v>871</v>
      </c>
      <c r="P727">
        <v>6.6884118967452305E-2</v>
      </c>
      <c r="Q727">
        <v>6.7043023948946304E-2</v>
      </c>
      <c r="R727">
        <v>0</v>
      </c>
      <c r="S727">
        <v>0</v>
      </c>
      <c r="T727" t="s">
        <v>53</v>
      </c>
      <c r="U727">
        <v>3.6388140161725001E-2</v>
      </c>
      <c r="V727">
        <v>0</v>
      </c>
      <c r="W727">
        <v>0</v>
      </c>
      <c r="X727">
        <v>0.4</v>
      </c>
      <c r="Y727">
        <v>3.9167253971894501E-2</v>
      </c>
      <c r="Z727">
        <v>4.5178618476949803E-2</v>
      </c>
      <c r="AA727">
        <v>0</v>
      </c>
      <c r="AB727">
        <f t="shared" si="77"/>
        <v>8.7616844285676398E-2</v>
      </c>
      <c r="AC727">
        <f t="shared" si="82"/>
        <v>0.1</v>
      </c>
      <c r="AD727">
        <f t="shared" si="78"/>
        <v>0.08</v>
      </c>
      <c r="AE727">
        <f t="shared" si="83"/>
        <v>0.10338787625709817</v>
      </c>
      <c r="AF727" t="str">
        <f t="shared" si="79"/>
        <v>Very Low</v>
      </c>
      <c r="AG727" t="str">
        <f t="shared" si="80"/>
        <v>NO ACTION</v>
      </c>
      <c r="AH727" t="str">
        <f t="shared" si="81"/>
        <v/>
      </c>
    </row>
    <row r="728" spans="1:34" x14ac:dyDescent="0.3">
      <c r="A728" t="s">
        <v>755</v>
      </c>
      <c r="B728">
        <v>0.13383742911153099</v>
      </c>
      <c r="C728">
        <v>0.56978064790668104</v>
      </c>
      <c r="D728">
        <v>0.360391542088071</v>
      </c>
      <c r="E728">
        <v>0</v>
      </c>
      <c r="F728">
        <v>0</v>
      </c>
      <c r="G728">
        <v>0.482358794654967</v>
      </c>
      <c r="H728">
        <v>7</v>
      </c>
      <c r="I728">
        <v>13</v>
      </c>
      <c r="J728">
        <v>1.9417012547111302E-2</v>
      </c>
      <c r="K728">
        <v>2.4469820554649199E-3</v>
      </c>
      <c r="L728">
        <v>3.1799786114198203E-2</v>
      </c>
      <c r="M728">
        <v>0</v>
      </c>
      <c r="N728">
        <v>0</v>
      </c>
      <c r="O728">
        <v>244</v>
      </c>
      <c r="P728">
        <v>1.53268799102132E-2</v>
      </c>
      <c r="Q728">
        <v>1.54984396367334E-2</v>
      </c>
      <c r="R728">
        <v>0</v>
      </c>
      <c r="S728">
        <v>0</v>
      </c>
      <c r="T728" t="s">
        <v>53</v>
      </c>
      <c r="U728">
        <v>5.0943396226415097E-2</v>
      </c>
      <c r="V728">
        <v>0</v>
      </c>
      <c r="W728">
        <v>0</v>
      </c>
      <c r="X728">
        <v>0.108117462626421</v>
      </c>
      <c r="Y728">
        <v>1.9783295566521301E-2</v>
      </c>
      <c r="Z728">
        <v>9.19612794612794E-3</v>
      </c>
      <c r="AA728">
        <v>0</v>
      </c>
      <c r="AB728">
        <f t="shared" si="77"/>
        <v>2.5413032603769151E-2</v>
      </c>
      <c r="AC728">
        <f t="shared" si="82"/>
        <v>0.1</v>
      </c>
      <c r="AD728">
        <f t="shared" si="78"/>
        <v>0</v>
      </c>
      <c r="AE728">
        <f t="shared" si="83"/>
        <v>2.7954335864146067E-2</v>
      </c>
      <c r="AF728" t="str">
        <f t="shared" si="79"/>
        <v>Very Low</v>
      </c>
      <c r="AG728" t="str">
        <f t="shared" si="80"/>
        <v>NO ACTION</v>
      </c>
      <c r="AH728" t="str">
        <f t="shared" si="81"/>
        <v/>
      </c>
    </row>
    <row r="729" spans="1:34" x14ac:dyDescent="0.3">
      <c r="A729" t="s">
        <v>756</v>
      </c>
      <c r="B729">
        <v>0.12892249527410199</v>
      </c>
      <c r="C729">
        <v>0.18476582604220201</v>
      </c>
      <c r="D729">
        <v>0</v>
      </c>
      <c r="E729">
        <v>0</v>
      </c>
      <c r="F729">
        <v>0</v>
      </c>
      <c r="G729">
        <v>0.99367217127666696</v>
      </c>
      <c r="H729">
        <v>7</v>
      </c>
      <c r="I729">
        <v>7</v>
      </c>
      <c r="J729">
        <v>6.9414627164734496E-2</v>
      </c>
      <c r="K729">
        <v>8.9722675367047301E-3</v>
      </c>
      <c r="L729">
        <v>3.2903340335512801E-2</v>
      </c>
      <c r="M729">
        <v>2.59740259740259E-3</v>
      </c>
      <c r="N729">
        <v>2.2535136096779901E-2</v>
      </c>
      <c r="O729">
        <v>761</v>
      </c>
      <c r="P729">
        <v>5.6151795735128997E-2</v>
      </c>
      <c r="Q729">
        <v>5.6313334969669303E-2</v>
      </c>
      <c r="R729">
        <v>0</v>
      </c>
      <c r="S729">
        <v>0</v>
      </c>
      <c r="T729" t="s">
        <v>53</v>
      </c>
      <c r="U729">
        <v>1.86792452830188E-2</v>
      </c>
      <c r="V729">
        <v>0</v>
      </c>
      <c r="W729">
        <v>0</v>
      </c>
      <c r="X729">
        <v>0</v>
      </c>
      <c r="Y729">
        <v>3.7095136429737302E-2</v>
      </c>
      <c r="Z729">
        <v>4.2705131879789401E-2</v>
      </c>
      <c r="AA729">
        <v>0</v>
      </c>
      <c r="AB729">
        <f t="shared" si="77"/>
        <v>2.234407512666748E-2</v>
      </c>
      <c r="AC729">
        <f t="shared" si="82"/>
        <v>0.1</v>
      </c>
      <c r="AD729">
        <f t="shared" si="78"/>
        <v>0</v>
      </c>
      <c r="AE729">
        <f t="shared" si="83"/>
        <v>2.457848263933423E-2</v>
      </c>
      <c r="AF729" t="str">
        <f t="shared" si="79"/>
        <v>Very Low</v>
      </c>
      <c r="AG729" t="str">
        <f t="shared" si="80"/>
        <v>NO ACTION</v>
      </c>
      <c r="AH729" t="str">
        <f t="shared" si="81"/>
        <v/>
      </c>
    </row>
    <row r="730" spans="1:34" x14ac:dyDescent="0.3">
      <c r="A730" t="s">
        <v>757</v>
      </c>
      <c r="B730">
        <v>0.25633270321361001</v>
      </c>
      <c r="C730">
        <v>0.72389191669320396</v>
      </c>
      <c r="D730">
        <v>0.55578680055035301</v>
      </c>
      <c r="E730">
        <v>0.267188009123493</v>
      </c>
      <c r="F730">
        <v>8.35777126099706E-2</v>
      </c>
      <c r="G730">
        <v>0.42862118051258902</v>
      </c>
      <c r="H730">
        <v>0</v>
      </c>
      <c r="I730">
        <v>23</v>
      </c>
      <c r="J730">
        <v>0.113687324078049</v>
      </c>
      <c r="K730">
        <v>2.77324632952691E-2</v>
      </c>
      <c r="L730">
        <v>6.2179146271313303E-2</v>
      </c>
      <c r="M730">
        <v>1.44300144300144E-3</v>
      </c>
      <c r="N730">
        <v>7.6543129306948302E-3</v>
      </c>
      <c r="O730">
        <v>1008</v>
      </c>
      <c r="P730">
        <v>9.6205106621773298E-2</v>
      </c>
      <c r="Q730">
        <v>9.6356814755075501E-2</v>
      </c>
      <c r="R730">
        <v>0.95132743362831795</v>
      </c>
      <c r="S730">
        <v>1</v>
      </c>
      <c r="T730" t="s">
        <v>28</v>
      </c>
      <c r="U730">
        <v>9.6226415094339601E-2</v>
      </c>
      <c r="V730">
        <v>0</v>
      </c>
      <c r="W730">
        <v>0.16958973540830899</v>
      </c>
      <c r="X730">
        <v>0.28032352794614201</v>
      </c>
      <c r="Y730">
        <v>5.6123331830475E-2</v>
      </c>
      <c r="Z730">
        <v>6.0784789145341897E-2</v>
      </c>
      <c r="AA730">
        <v>0.95132743362831795</v>
      </c>
      <c r="AB730">
        <f t="shared" si="77"/>
        <v>0.34395771976054051</v>
      </c>
      <c r="AC730">
        <f t="shared" si="82"/>
        <v>0.25</v>
      </c>
      <c r="AD730">
        <f t="shared" si="78"/>
        <v>0</v>
      </c>
      <c r="AE730">
        <f t="shared" si="83"/>
        <v>0.42994714970067566</v>
      </c>
      <c r="AF730" t="str">
        <f t="shared" si="79"/>
        <v>Critical</v>
      </c>
      <c r="AG730" t="str">
        <f t="shared" si="80"/>
        <v>CRITICAL ALERT</v>
      </c>
      <c r="AH730" t="str">
        <f t="shared" si="81"/>
        <v>USB anomaly</v>
      </c>
    </row>
    <row r="731" spans="1:34" x14ac:dyDescent="0.3">
      <c r="A731" t="s">
        <v>758</v>
      </c>
      <c r="B731">
        <v>0.12892249527410199</v>
      </c>
      <c r="C731">
        <v>0.18476582604220201</v>
      </c>
      <c r="D731">
        <v>0</v>
      </c>
      <c r="E731">
        <v>0</v>
      </c>
      <c r="F731">
        <v>0</v>
      </c>
      <c r="G731">
        <v>0.99367436581797097</v>
      </c>
      <c r="H731">
        <v>7</v>
      </c>
      <c r="I731">
        <v>7</v>
      </c>
      <c r="J731">
        <v>7.7811173131052902E-2</v>
      </c>
      <c r="K731">
        <v>4.0783034257748704E-3</v>
      </c>
      <c r="L731">
        <v>1.33470984912894E-2</v>
      </c>
      <c r="M731">
        <v>6.9264069264069203E-3</v>
      </c>
      <c r="N731">
        <v>5.3628848738873101E-2</v>
      </c>
      <c r="O731">
        <v>693</v>
      </c>
      <c r="P731">
        <v>6.2324635241301898E-2</v>
      </c>
      <c r="Q731">
        <v>6.2484659349906997E-2</v>
      </c>
      <c r="R731">
        <v>0</v>
      </c>
      <c r="S731">
        <v>0</v>
      </c>
      <c r="T731" t="s">
        <v>53</v>
      </c>
      <c r="U731">
        <v>3.39622641509433E-3</v>
      </c>
      <c r="V731">
        <v>0</v>
      </c>
      <c r="W731">
        <v>0</v>
      </c>
      <c r="X731">
        <v>0</v>
      </c>
      <c r="Y731">
        <v>3.8324438493517202E-2</v>
      </c>
      <c r="Z731">
        <v>5.88463206403304E-2</v>
      </c>
      <c r="AA731">
        <v>0</v>
      </c>
      <c r="AB731">
        <f t="shared" si="77"/>
        <v>2.7207812557477333E-2</v>
      </c>
      <c r="AC731">
        <f t="shared" si="82"/>
        <v>0.1</v>
      </c>
      <c r="AD731">
        <f t="shared" si="78"/>
        <v>0</v>
      </c>
      <c r="AE731">
        <f t="shared" si="83"/>
        <v>2.9928593813225067E-2</v>
      </c>
      <c r="AF731" t="str">
        <f t="shared" si="79"/>
        <v>Very Low</v>
      </c>
      <c r="AG731" t="str">
        <f t="shared" si="80"/>
        <v>NO ACTION</v>
      </c>
      <c r="AH731" t="str">
        <f t="shared" si="81"/>
        <v/>
      </c>
    </row>
    <row r="732" spans="1:34" x14ac:dyDescent="0.3">
      <c r="A732" t="s">
        <v>759</v>
      </c>
      <c r="B732">
        <v>0.12892249527410199</v>
      </c>
      <c r="C732">
        <v>0.36953165208440503</v>
      </c>
      <c r="D732">
        <v>0</v>
      </c>
      <c r="E732">
        <v>0</v>
      </c>
      <c r="F732">
        <v>0</v>
      </c>
      <c r="G732">
        <v>0.99366746104167303</v>
      </c>
      <c r="H732">
        <v>8</v>
      </c>
      <c r="I732">
        <v>8</v>
      </c>
      <c r="J732">
        <v>8.3440675540289097E-2</v>
      </c>
      <c r="K732">
        <v>9.7879282218597003E-3</v>
      </c>
      <c r="L732">
        <v>2.9878020248687898E-2</v>
      </c>
      <c r="M732">
        <v>1.1544011544011501E-3</v>
      </c>
      <c r="N732">
        <v>8.3368297735458494E-3</v>
      </c>
      <c r="O732">
        <v>826</v>
      </c>
      <c r="P732">
        <v>6.6112514029180697E-2</v>
      </c>
      <c r="Q732">
        <v>6.6271608401416604E-2</v>
      </c>
      <c r="R732">
        <v>0</v>
      </c>
      <c r="S732">
        <v>0</v>
      </c>
      <c r="T732" t="s">
        <v>53</v>
      </c>
      <c r="U732">
        <v>4.0754716981131998E-2</v>
      </c>
      <c r="V732">
        <v>0</v>
      </c>
      <c r="W732">
        <v>0</v>
      </c>
      <c r="X732">
        <v>0</v>
      </c>
      <c r="Y732">
        <v>3.4128194164465497E-2</v>
      </c>
      <c r="Z732">
        <v>4.3002240326926698E-2</v>
      </c>
      <c r="AA732">
        <v>0</v>
      </c>
      <c r="AB732">
        <f t="shared" si="77"/>
        <v>2.1596521657589816E-2</v>
      </c>
      <c r="AC732">
        <f t="shared" si="82"/>
        <v>0.1</v>
      </c>
      <c r="AD732">
        <f t="shared" si="78"/>
        <v>0</v>
      </c>
      <c r="AE732">
        <f t="shared" si="83"/>
        <v>2.3756173823348801E-2</v>
      </c>
      <c r="AF732" t="str">
        <f t="shared" si="79"/>
        <v>Very Low</v>
      </c>
      <c r="AG732" t="str">
        <f t="shared" si="80"/>
        <v>NO ACTION</v>
      </c>
      <c r="AH732" t="str">
        <f t="shared" si="81"/>
        <v/>
      </c>
    </row>
    <row r="733" spans="1:34" x14ac:dyDescent="0.3">
      <c r="A733" t="s">
        <v>760</v>
      </c>
      <c r="B733">
        <v>0.12892249527410199</v>
      </c>
      <c r="C733">
        <v>0.36953165208440503</v>
      </c>
      <c r="D733">
        <v>0</v>
      </c>
      <c r="E733">
        <v>0</v>
      </c>
      <c r="F733">
        <v>0</v>
      </c>
      <c r="G733">
        <v>0.99365523048830695</v>
      </c>
      <c r="H733">
        <v>8</v>
      </c>
      <c r="I733">
        <v>8</v>
      </c>
      <c r="J733">
        <v>9.4079480940794796E-2</v>
      </c>
      <c r="K733">
        <v>1.7944535073409401E-2</v>
      </c>
      <c r="L733">
        <v>4.8597751026655298E-2</v>
      </c>
      <c r="M733">
        <v>2.8860028860028799E-3</v>
      </c>
      <c r="N733">
        <v>1.8491147474455499E-2</v>
      </c>
      <c r="O733">
        <v>897</v>
      </c>
      <c r="P733">
        <v>7.8282828282828204E-2</v>
      </c>
      <c r="Q733">
        <v>7.84389354465444E-2</v>
      </c>
      <c r="R733">
        <v>0</v>
      </c>
      <c r="S733">
        <v>0</v>
      </c>
      <c r="T733" t="s">
        <v>53</v>
      </c>
      <c r="U733">
        <v>3.3962264150943298E-2</v>
      </c>
      <c r="V733">
        <v>0</v>
      </c>
      <c r="W733">
        <v>0</v>
      </c>
      <c r="X733">
        <v>0</v>
      </c>
      <c r="Y733">
        <v>4.8662115943823199E-2</v>
      </c>
      <c r="Z733">
        <v>5.43661559594791E-2</v>
      </c>
      <c r="AA733">
        <v>0</v>
      </c>
      <c r="AB733">
        <f t="shared" si="77"/>
        <v>2.8847916132924645E-2</v>
      </c>
      <c r="AC733">
        <f t="shared" si="82"/>
        <v>0.1</v>
      </c>
      <c r="AD733">
        <f t="shared" si="78"/>
        <v>0</v>
      </c>
      <c r="AE733">
        <f t="shared" si="83"/>
        <v>3.1732707746217115E-2</v>
      </c>
      <c r="AF733" t="str">
        <f t="shared" si="79"/>
        <v>Very Low</v>
      </c>
      <c r="AG733" t="str">
        <f t="shared" si="80"/>
        <v>NO ACTION</v>
      </c>
      <c r="AH733" t="str">
        <f t="shared" si="81"/>
        <v/>
      </c>
    </row>
    <row r="734" spans="1:34" x14ac:dyDescent="0.3">
      <c r="A734" t="s">
        <v>761</v>
      </c>
      <c r="B734">
        <v>0.12892249527410199</v>
      </c>
      <c r="C734">
        <v>0.36953165208440503</v>
      </c>
      <c r="D734">
        <v>0</v>
      </c>
      <c r="E734">
        <v>0</v>
      </c>
      <c r="F734">
        <v>0</v>
      </c>
      <c r="G734">
        <v>0.99367653359657604</v>
      </c>
      <c r="H734">
        <v>8</v>
      </c>
      <c r="I734">
        <v>8</v>
      </c>
      <c r="J734">
        <v>0.10209436572682599</v>
      </c>
      <c r="K734">
        <v>1.1419249592169599E-2</v>
      </c>
      <c r="L734">
        <v>2.8503677747738199E-2</v>
      </c>
      <c r="M734">
        <v>1.44300144300144E-3</v>
      </c>
      <c r="N734">
        <v>8.5214448850812405E-3</v>
      </c>
      <c r="O734">
        <v>859</v>
      </c>
      <c r="P734">
        <v>8.06677890011223E-2</v>
      </c>
      <c r="Q734">
        <v>8.0823310775272605E-2</v>
      </c>
      <c r="R734">
        <v>0</v>
      </c>
      <c r="S734">
        <v>0</v>
      </c>
      <c r="T734" t="s">
        <v>28</v>
      </c>
      <c r="U734">
        <v>3.9622641509433898E-2</v>
      </c>
      <c r="V734">
        <v>0</v>
      </c>
      <c r="W734">
        <v>0</v>
      </c>
      <c r="X734">
        <v>0</v>
      </c>
      <c r="Y734">
        <v>3.7227145484758598E-2</v>
      </c>
      <c r="Z734">
        <v>5.1809251354705897E-2</v>
      </c>
      <c r="AA734">
        <v>0</v>
      </c>
      <c r="AB734">
        <f t="shared" si="77"/>
        <v>2.4930191115050064E-2</v>
      </c>
      <c r="AC734">
        <f t="shared" si="82"/>
        <v>0.25</v>
      </c>
      <c r="AD734">
        <f t="shared" si="78"/>
        <v>0</v>
      </c>
      <c r="AE734">
        <f t="shared" si="83"/>
        <v>3.1162738893812582E-2</v>
      </c>
      <c r="AF734" t="str">
        <f t="shared" si="79"/>
        <v>Very Low</v>
      </c>
      <c r="AG734" t="str">
        <f t="shared" si="80"/>
        <v>NO ACTION</v>
      </c>
      <c r="AH734" t="str">
        <f t="shared" si="81"/>
        <v/>
      </c>
    </row>
    <row r="735" spans="1:34" x14ac:dyDescent="0.3">
      <c r="A735" t="s">
        <v>762</v>
      </c>
      <c r="B735">
        <v>4.8015122873345903E-2</v>
      </c>
      <c r="C735">
        <v>0.36953165208440503</v>
      </c>
      <c r="D735">
        <v>0</v>
      </c>
      <c r="E735">
        <v>0</v>
      </c>
      <c r="F735">
        <v>0</v>
      </c>
      <c r="G735">
        <v>0.983319461789531</v>
      </c>
      <c r="H735">
        <v>8</v>
      </c>
      <c r="I735">
        <v>8</v>
      </c>
      <c r="J735">
        <v>1.3215018367444299E-2</v>
      </c>
      <c r="K735">
        <v>4.0783034257748704E-3</v>
      </c>
      <c r="L735">
        <v>7.74321033040761E-2</v>
      </c>
      <c r="M735">
        <v>0</v>
      </c>
      <c r="N735">
        <v>0</v>
      </c>
      <c r="O735">
        <v>177</v>
      </c>
      <c r="P735">
        <v>1.14688552188552E-2</v>
      </c>
      <c r="Q735">
        <v>1.1641361899084801E-2</v>
      </c>
      <c r="R735">
        <v>0</v>
      </c>
      <c r="S735">
        <v>0</v>
      </c>
      <c r="T735" t="s">
        <v>53</v>
      </c>
      <c r="U735">
        <v>8.4905660377358402E-2</v>
      </c>
      <c r="V735">
        <v>0</v>
      </c>
      <c r="W735">
        <v>0</v>
      </c>
      <c r="X735">
        <v>0</v>
      </c>
      <c r="Y735">
        <v>4.1359055325526903E-2</v>
      </c>
      <c r="Z735">
        <v>6.8813131313131297E-3</v>
      </c>
      <c r="AA735">
        <v>0</v>
      </c>
      <c r="AB735">
        <f t="shared" si="77"/>
        <v>1.350730316791521E-2</v>
      </c>
      <c r="AC735">
        <f t="shared" si="82"/>
        <v>0.1</v>
      </c>
      <c r="AD735">
        <f t="shared" si="78"/>
        <v>0</v>
      </c>
      <c r="AE735">
        <f t="shared" si="83"/>
        <v>1.4858033484706731E-2</v>
      </c>
      <c r="AF735" t="str">
        <f t="shared" si="79"/>
        <v>Very Low</v>
      </c>
      <c r="AG735" t="str">
        <f t="shared" si="80"/>
        <v>NO ACTION</v>
      </c>
      <c r="AH735" t="str">
        <f t="shared" si="81"/>
        <v/>
      </c>
    </row>
    <row r="736" spans="1:34" x14ac:dyDescent="0.3">
      <c r="A736" t="s">
        <v>763</v>
      </c>
      <c r="B736">
        <v>0.26956521739130401</v>
      </c>
      <c r="C736">
        <v>0.750144099872876</v>
      </c>
      <c r="D736">
        <v>0.50388155588107597</v>
      </c>
      <c r="E736">
        <v>0.31768169843483601</v>
      </c>
      <c r="F736">
        <v>8.9260808926080806E-2</v>
      </c>
      <c r="G736">
        <v>0.40037658561171402</v>
      </c>
      <c r="H736">
        <v>0</v>
      </c>
      <c r="I736">
        <v>23</v>
      </c>
      <c r="J736">
        <v>9.8420876866561702E-2</v>
      </c>
      <c r="K736">
        <v>2.36541598694942E-2</v>
      </c>
      <c r="L736">
        <v>6.1241754431405601E-2</v>
      </c>
      <c r="M736">
        <v>1.7316017316017301E-3</v>
      </c>
      <c r="N736">
        <v>1.06064792718564E-2</v>
      </c>
      <c r="O736">
        <v>1124</v>
      </c>
      <c r="P736">
        <v>8.3368406285072902E-2</v>
      </c>
      <c r="Q736">
        <v>8.3523265191626603E-2</v>
      </c>
      <c r="R736">
        <v>4.4247787610619399E-2</v>
      </c>
      <c r="S736">
        <v>1</v>
      </c>
      <c r="T736" t="s">
        <v>28</v>
      </c>
      <c r="U736">
        <v>7.0350404312668396E-2</v>
      </c>
      <c r="V736">
        <v>0</v>
      </c>
      <c r="W736">
        <v>0.17839092966939399</v>
      </c>
      <c r="X736">
        <v>0.28217329986520601</v>
      </c>
      <c r="Y736">
        <v>5.3486996370572103E-2</v>
      </c>
      <c r="Z736">
        <v>5.4263635479786299E-2</v>
      </c>
      <c r="AA736">
        <v>4.4247787610619399E-2</v>
      </c>
      <c r="AB736">
        <f t="shared" si="77"/>
        <v>8.7707285427506748E-2</v>
      </c>
      <c r="AC736">
        <f t="shared" si="82"/>
        <v>0.25</v>
      </c>
      <c r="AD736">
        <f t="shared" si="78"/>
        <v>0</v>
      </c>
      <c r="AE736">
        <f t="shared" si="83"/>
        <v>0.10963410678438343</v>
      </c>
      <c r="AF736" t="str">
        <f t="shared" si="79"/>
        <v>Very Low</v>
      </c>
      <c r="AG736" t="str">
        <f t="shared" si="80"/>
        <v>NO ACTION</v>
      </c>
      <c r="AH736" t="str">
        <f t="shared" si="81"/>
        <v/>
      </c>
    </row>
    <row r="737" spans="1:34" x14ac:dyDescent="0.3">
      <c r="A737" t="s">
        <v>764</v>
      </c>
      <c r="B737">
        <v>0.12892249527410199</v>
      </c>
      <c r="C737">
        <v>0.460040129189136</v>
      </c>
      <c r="D737">
        <v>7.51173381640724E-2</v>
      </c>
      <c r="E737">
        <v>0</v>
      </c>
      <c r="F737">
        <v>0</v>
      </c>
      <c r="G737">
        <v>0.99365033291442195</v>
      </c>
      <c r="H737">
        <v>8</v>
      </c>
      <c r="I737">
        <v>9</v>
      </c>
      <c r="J737">
        <v>7.2611039549639794E-2</v>
      </c>
      <c r="K737">
        <v>8.9722675367047301E-3</v>
      </c>
      <c r="L737">
        <v>3.1459644328650102E-2</v>
      </c>
      <c r="M737">
        <v>1.7316017316017301E-3</v>
      </c>
      <c r="N737">
        <v>1.4364243047936501E-2</v>
      </c>
      <c r="O737">
        <v>826</v>
      </c>
      <c r="P737">
        <v>5.8080808080807997E-2</v>
      </c>
      <c r="Q737">
        <v>5.8241873838493601E-2</v>
      </c>
      <c r="R737">
        <v>0</v>
      </c>
      <c r="S737">
        <v>0</v>
      </c>
      <c r="T737" t="s">
        <v>53</v>
      </c>
      <c r="U737">
        <v>2.6684636118598299E-2</v>
      </c>
      <c r="V737">
        <v>0</v>
      </c>
      <c r="W737">
        <v>0</v>
      </c>
      <c r="X737">
        <v>2.2535201449221699E-2</v>
      </c>
      <c r="Y737">
        <v>3.4561302988634003E-2</v>
      </c>
      <c r="Z737">
        <v>4.0594182067659398E-2</v>
      </c>
      <c r="AA737">
        <v>0</v>
      </c>
      <c r="AB737">
        <f t="shared" si="77"/>
        <v>2.4649168047637629E-2</v>
      </c>
      <c r="AC737">
        <f t="shared" si="82"/>
        <v>0.1</v>
      </c>
      <c r="AD737">
        <f t="shared" si="78"/>
        <v>0</v>
      </c>
      <c r="AE737">
        <f t="shared" si="83"/>
        <v>2.7114084852401393E-2</v>
      </c>
      <c r="AF737" t="str">
        <f t="shared" si="79"/>
        <v>Very Low</v>
      </c>
      <c r="AG737" t="str">
        <f t="shared" si="80"/>
        <v>NO ACTION</v>
      </c>
      <c r="AH737" t="str">
        <f t="shared" si="81"/>
        <v/>
      </c>
    </row>
    <row r="738" spans="1:34" x14ac:dyDescent="0.3">
      <c r="A738" t="s">
        <v>765</v>
      </c>
      <c r="B738">
        <v>0.12892249527410199</v>
      </c>
      <c r="C738">
        <v>0.36953165208440503</v>
      </c>
      <c r="D738">
        <v>0</v>
      </c>
      <c r="E738">
        <v>0</v>
      </c>
      <c r="F738">
        <v>0</v>
      </c>
      <c r="G738">
        <v>0.99366143943443597</v>
      </c>
      <c r="H738">
        <v>8</v>
      </c>
      <c r="I738">
        <v>8</v>
      </c>
      <c r="J738">
        <v>8.3870044368112198E-2</v>
      </c>
      <c r="K738">
        <v>3.3442088091353898E-2</v>
      </c>
      <c r="L738">
        <v>0.10156210758953201</v>
      </c>
      <c r="M738">
        <v>1.7316017316017301E-3</v>
      </c>
      <c r="N738">
        <v>1.24414062020414E-2</v>
      </c>
      <c r="O738">
        <v>887</v>
      </c>
      <c r="P738">
        <v>7.6879910213243502E-2</v>
      </c>
      <c r="Q738">
        <v>7.7036361723763103E-2</v>
      </c>
      <c r="R738">
        <v>0</v>
      </c>
      <c r="S738">
        <v>0</v>
      </c>
      <c r="T738" t="s">
        <v>53</v>
      </c>
      <c r="U738">
        <v>9.9460916442048505E-2</v>
      </c>
      <c r="V738">
        <v>0</v>
      </c>
      <c r="W738">
        <v>0</v>
      </c>
      <c r="X738">
        <v>0</v>
      </c>
      <c r="Y738">
        <v>7.1287484529000994E-2</v>
      </c>
      <c r="Z738">
        <v>5.11045086087627E-2</v>
      </c>
      <c r="AA738">
        <v>0</v>
      </c>
      <c r="AB738">
        <f t="shared" si="77"/>
        <v>3.4269758078573839E-2</v>
      </c>
      <c r="AC738">
        <f t="shared" si="82"/>
        <v>0.1</v>
      </c>
      <c r="AD738">
        <f t="shared" si="78"/>
        <v>0</v>
      </c>
      <c r="AE738">
        <f t="shared" si="83"/>
        <v>3.7696733886431223E-2</v>
      </c>
      <c r="AF738" t="str">
        <f t="shared" si="79"/>
        <v>Very Low</v>
      </c>
      <c r="AG738" t="str">
        <f t="shared" si="80"/>
        <v>NO ACTION</v>
      </c>
      <c r="AH738" t="str">
        <f t="shared" si="81"/>
        <v/>
      </c>
    </row>
    <row r="739" spans="1:34" x14ac:dyDescent="0.3">
      <c r="A739" t="s">
        <v>766</v>
      </c>
      <c r="B739">
        <v>1.51228733459357E-2</v>
      </c>
      <c r="C739">
        <v>0.36953165208440503</v>
      </c>
      <c r="D739">
        <v>0</v>
      </c>
      <c r="E739">
        <v>0</v>
      </c>
      <c r="F739">
        <v>0</v>
      </c>
      <c r="G739">
        <v>0.94278343470566495</v>
      </c>
      <c r="H739">
        <v>8</v>
      </c>
      <c r="I739">
        <v>8</v>
      </c>
      <c r="J739">
        <v>1.908305901436E-3</v>
      </c>
      <c r="K739">
        <v>1.6313213703099501E-3</v>
      </c>
      <c r="L739">
        <v>0.19409647228221699</v>
      </c>
      <c r="M739">
        <v>2.88600288600288E-4</v>
      </c>
      <c r="N739">
        <v>8.1237774571107896E-2</v>
      </c>
      <c r="O739">
        <v>43</v>
      </c>
      <c r="P739">
        <v>2.24466891133557E-3</v>
      </c>
      <c r="Q739">
        <v>2.4194396717977401E-3</v>
      </c>
      <c r="R739">
        <v>0</v>
      </c>
      <c r="S739">
        <v>0</v>
      </c>
      <c r="T739" t="s">
        <v>53</v>
      </c>
      <c r="U739">
        <v>1.6981132075471601E-2</v>
      </c>
      <c r="V739">
        <v>0</v>
      </c>
      <c r="W739">
        <v>0</v>
      </c>
      <c r="X739">
        <v>0</v>
      </c>
      <c r="Y739">
        <v>0.121801229692728</v>
      </c>
      <c r="Z739">
        <v>3.3841911175244502E-2</v>
      </c>
      <c r="AA739">
        <v>0</v>
      </c>
      <c r="AB739">
        <f t="shared" si="77"/>
        <v>4.3580079443032306E-2</v>
      </c>
      <c r="AC739">
        <f t="shared" si="82"/>
        <v>0.1</v>
      </c>
      <c r="AD739">
        <f t="shared" si="78"/>
        <v>0</v>
      </c>
      <c r="AE739">
        <f t="shared" si="83"/>
        <v>4.7938087387335543E-2</v>
      </c>
      <c r="AF739" t="str">
        <f t="shared" si="79"/>
        <v>Very Low</v>
      </c>
      <c r="AG739" t="str">
        <f t="shared" si="80"/>
        <v>NO ACTION</v>
      </c>
      <c r="AH739" t="str">
        <f t="shared" si="81"/>
        <v/>
      </c>
    </row>
    <row r="740" spans="1:34" x14ac:dyDescent="0.3">
      <c r="A740" t="s">
        <v>767</v>
      </c>
      <c r="B740">
        <v>0.12892249527410199</v>
      </c>
      <c r="C740">
        <v>0.281165387455525</v>
      </c>
      <c r="D740">
        <v>7.5061757440099602E-2</v>
      </c>
      <c r="E740">
        <v>0</v>
      </c>
      <c r="F740">
        <v>0</v>
      </c>
      <c r="G740">
        <v>0.99367514193623696</v>
      </c>
      <c r="H740">
        <v>7</v>
      </c>
      <c r="I740">
        <v>8</v>
      </c>
      <c r="J740">
        <v>8.3870044368112198E-2</v>
      </c>
      <c r="K740">
        <v>8.9722675367047301E-3</v>
      </c>
      <c r="L740">
        <v>2.7248370328898899E-2</v>
      </c>
      <c r="M740">
        <v>1.44300144300144E-3</v>
      </c>
      <c r="N740">
        <v>1.03678385017012E-2</v>
      </c>
      <c r="O740">
        <v>873</v>
      </c>
      <c r="P740">
        <v>6.6217732884399499E-2</v>
      </c>
      <c r="Q740">
        <v>6.6376801430625201E-2</v>
      </c>
      <c r="R740">
        <v>0</v>
      </c>
      <c r="S740">
        <v>0</v>
      </c>
      <c r="T740" t="s">
        <v>53</v>
      </c>
      <c r="U740">
        <v>3.1132075471698099E-2</v>
      </c>
      <c r="V740">
        <v>0</v>
      </c>
      <c r="W740">
        <v>0</v>
      </c>
      <c r="X740">
        <v>2.2518527232029802E-2</v>
      </c>
      <c r="Y740">
        <v>3.3508545588582198E-2</v>
      </c>
      <c r="Z740">
        <v>4.3877775131320199E-2</v>
      </c>
      <c r="AA740">
        <v>0</v>
      </c>
      <c r="AB740">
        <f t="shared" si="77"/>
        <v>2.5271134158697438E-2</v>
      </c>
      <c r="AC740">
        <f t="shared" si="82"/>
        <v>0.1</v>
      </c>
      <c r="AD740">
        <f t="shared" si="78"/>
        <v>0</v>
      </c>
      <c r="AE740">
        <f t="shared" si="83"/>
        <v>2.7798247574567184E-2</v>
      </c>
      <c r="AF740" t="str">
        <f t="shared" si="79"/>
        <v>Very Low</v>
      </c>
      <c r="AG740" t="str">
        <f t="shared" si="80"/>
        <v>NO ACTION</v>
      </c>
      <c r="AH740" t="str">
        <f t="shared" si="81"/>
        <v/>
      </c>
    </row>
    <row r="741" spans="1:34" x14ac:dyDescent="0.3">
      <c r="A741" t="s">
        <v>768</v>
      </c>
      <c r="B741">
        <v>0.12892249527410199</v>
      </c>
      <c r="C741">
        <v>0.36953165208440503</v>
      </c>
      <c r="D741">
        <v>0</v>
      </c>
      <c r="E741">
        <v>0</v>
      </c>
      <c r="F741">
        <v>0</v>
      </c>
      <c r="G741">
        <v>0.99367969159503799</v>
      </c>
      <c r="H741">
        <v>8</v>
      </c>
      <c r="I741">
        <v>8</v>
      </c>
      <c r="J741">
        <v>9.0262869137922794E-2</v>
      </c>
      <c r="K741">
        <v>1.71288743882544E-2</v>
      </c>
      <c r="L741">
        <v>4.83450622843161E-2</v>
      </c>
      <c r="M741">
        <v>2.8860028860028799E-3</v>
      </c>
      <c r="N741">
        <v>1.92709533774372E-2</v>
      </c>
      <c r="O741">
        <v>961</v>
      </c>
      <c r="P741">
        <v>7.5126262626262597E-2</v>
      </c>
      <c r="Q741">
        <v>7.5283144570286398E-2</v>
      </c>
      <c r="R741">
        <v>0</v>
      </c>
      <c r="S741">
        <v>0</v>
      </c>
      <c r="T741" t="s">
        <v>53</v>
      </c>
      <c r="U741">
        <v>3.2418524871354999E-2</v>
      </c>
      <c r="V741">
        <v>0</v>
      </c>
      <c r="W741">
        <v>0</v>
      </c>
      <c r="X741">
        <v>0</v>
      </c>
      <c r="Y741">
        <v>4.8006390982973803E-2</v>
      </c>
      <c r="Z741">
        <v>5.2784138926732498E-2</v>
      </c>
      <c r="AA741">
        <v>0</v>
      </c>
      <c r="AB741">
        <f t="shared" si="77"/>
        <v>2.8221348374717767E-2</v>
      </c>
      <c r="AC741">
        <f t="shared" si="82"/>
        <v>0.1</v>
      </c>
      <c r="AD741">
        <f t="shared" si="78"/>
        <v>0</v>
      </c>
      <c r="AE741">
        <f t="shared" si="83"/>
        <v>3.1043483212189547E-2</v>
      </c>
      <c r="AF741" t="str">
        <f t="shared" si="79"/>
        <v>Very Low</v>
      </c>
      <c r="AG741" t="str">
        <f t="shared" si="80"/>
        <v>NO ACTION</v>
      </c>
      <c r="AH741" t="str">
        <f t="shared" si="81"/>
        <v/>
      </c>
    </row>
    <row r="742" spans="1:34" x14ac:dyDescent="0.3">
      <c r="A742" t="s">
        <v>769</v>
      </c>
      <c r="B742">
        <v>0.23705103969754199</v>
      </c>
      <c r="C742">
        <v>0.56337472156132795</v>
      </c>
      <c r="D742">
        <v>0.34854997248887198</v>
      </c>
      <c r="E742">
        <v>0</v>
      </c>
      <c r="F742">
        <v>0</v>
      </c>
      <c r="G742">
        <v>0.47538699840182302</v>
      </c>
      <c r="H742">
        <v>7</v>
      </c>
      <c r="I742">
        <v>13</v>
      </c>
      <c r="J742">
        <v>5.8394160583941597E-2</v>
      </c>
      <c r="K742">
        <v>7.34094616639478E-3</v>
      </c>
      <c r="L742">
        <v>3.1980907760088703E-2</v>
      </c>
      <c r="M742">
        <v>0</v>
      </c>
      <c r="N742">
        <v>0</v>
      </c>
      <c r="O742">
        <v>642</v>
      </c>
      <c r="P742">
        <v>4.6085858585858501E-2</v>
      </c>
      <c r="Q742">
        <v>4.6249868508713397E-2</v>
      </c>
      <c r="R742">
        <v>0</v>
      </c>
      <c r="S742">
        <v>0</v>
      </c>
      <c r="T742" t="s">
        <v>53</v>
      </c>
      <c r="U742">
        <v>0.152830188679245</v>
      </c>
      <c r="V742">
        <v>0</v>
      </c>
      <c r="W742">
        <v>0</v>
      </c>
      <c r="X742">
        <v>0.10456499174666101</v>
      </c>
      <c r="Y742">
        <v>2.7669285996832601E-2</v>
      </c>
      <c r="Z742">
        <v>2.7651515151515101E-2</v>
      </c>
      <c r="AA742">
        <v>0</v>
      </c>
      <c r="AB742">
        <f t="shared" si="77"/>
        <v>3.222022300100312E-2</v>
      </c>
      <c r="AC742">
        <f t="shared" si="82"/>
        <v>0.1</v>
      </c>
      <c r="AD742">
        <f t="shared" si="78"/>
        <v>0</v>
      </c>
      <c r="AE742">
        <f t="shared" si="83"/>
        <v>3.5442245301103438E-2</v>
      </c>
      <c r="AF742" t="str">
        <f t="shared" si="79"/>
        <v>Very Low</v>
      </c>
      <c r="AG742" t="str">
        <f t="shared" si="80"/>
        <v>NO ACTION</v>
      </c>
      <c r="AH742" t="str">
        <f t="shared" si="81"/>
        <v/>
      </c>
    </row>
    <row r="743" spans="1:34" x14ac:dyDescent="0.3">
      <c r="A743" t="s">
        <v>770</v>
      </c>
      <c r="B743">
        <v>0.12892249527410199</v>
      </c>
      <c r="C743">
        <v>0.27580985626589599</v>
      </c>
      <c r="D743">
        <v>7.5124914167671697E-2</v>
      </c>
      <c r="E743">
        <v>0</v>
      </c>
      <c r="F743">
        <v>0</v>
      </c>
      <c r="G743">
        <v>0.993656033369273</v>
      </c>
      <c r="H743">
        <v>7</v>
      </c>
      <c r="I743">
        <v>8</v>
      </c>
      <c r="J743">
        <v>8.3011306712465996E-2</v>
      </c>
      <c r="K743">
        <v>6.5252854812398002E-3</v>
      </c>
      <c r="L743">
        <v>2.0021412613638399E-2</v>
      </c>
      <c r="M743">
        <v>1.44300144300144E-3</v>
      </c>
      <c r="N743">
        <v>1.0474784686819E-2</v>
      </c>
      <c r="O743">
        <v>736</v>
      </c>
      <c r="P743">
        <v>6.4534231200897796E-2</v>
      </c>
      <c r="Q743">
        <v>6.4693712963287603E-2</v>
      </c>
      <c r="R743">
        <v>0</v>
      </c>
      <c r="S743">
        <v>0</v>
      </c>
      <c r="T743" t="s">
        <v>53</v>
      </c>
      <c r="U743">
        <v>2.26415094339622E-2</v>
      </c>
      <c r="V743">
        <v>0</v>
      </c>
      <c r="W743">
        <v>0</v>
      </c>
      <c r="X743">
        <v>2.25374742503015E-2</v>
      </c>
      <c r="Y743">
        <v>2.97554030553581E-2</v>
      </c>
      <c r="Z743">
        <v>4.2910452595266303E-2</v>
      </c>
      <c r="AA743">
        <v>0</v>
      </c>
      <c r="AB743">
        <f t="shared" si="77"/>
        <v>2.3952435462223073E-2</v>
      </c>
      <c r="AC743">
        <f t="shared" si="82"/>
        <v>0.1</v>
      </c>
      <c r="AD743">
        <f t="shared" si="78"/>
        <v>0</v>
      </c>
      <c r="AE743">
        <f t="shared" si="83"/>
        <v>2.6347679008445382E-2</v>
      </c>
      <c r="AF743" t="str">
        <f t="shared" si="79"/>
        <v>Very Low</v>
      </c>
      <c r="AG743" t="str">
        <f t="shared" si="80"/>
        <v>NO ACTION</v>
      </c>
      <c r="AH743" t="str">
        <f t="shared" si="81"/>
        <v/>
      </c>
    </row>
    <row r="744" spans="1:34" x14ac:dyDescent="0.3">
      <c r="A744" t="s">
        <v>771</v>
      </c>
      <c r="B744">
        <v>0.24461247637051001</v>
      </c>
      <c r="C744">
        <v>0.79015062934176905</v>
      </c>
      <c r="D744">
        <v>0.37923928310143301</v>
      </c>
      <c r="E744">
        <v>0</v>
      </c>
      <c r="F744">
        <v>0</v>
      </c>
      <c r="G744">
        <v>0.456202706334562</v>
      </c>
      <c r="H744">
        <v>8</v>
      </c>
      <c r="I744">
        <v>18</v>
      </c>
      <c r="J744">
        <v>9.7848385096130905E-2</v>
      </c>
      <c r="K744">
        <v>1.4681892332789499E-2</v>
      </c>
      <c r="L744">
        <v>3.82339840828297E-2</v>
      </c>
      <c r="M744">
        <v>4.3290043290043203E-3</v>
      </c>
      <c r="N744">
        <v>2.6670961982246E-2</v>
      </c>
      <c r="O744">
        <v>963</v>
      </c>
      <c r="P744">
        <v>8.0352132435465698E-2</v>
      </c>
      <c r="Q744">
        <v>8.05077316876468E-2</v>
      </c>
      <c r="R744">
        <v>0.762536873156342</v>
      </c>
      <c r="S744">
        <v>1</v>
      </c>
      <c r="T744" t="s">
        <v>28</v>
      </c>
      <c r="U744">
        <v>1.9103773584905601E-2</v>
      </c>
      <c r="V744">
        <v>0</v>
      </c>
      <c r="W744">
        <v>0</v>
      </c>
      <c r="X744">
        <v>0.113771784930429</v>
      </c>
      <c r="Y744">
        <v>4.6687957655314798E-2</v>
      </c>
      <c r="Z744">
        <v>5.8879664254177802E-2</v>
      </c>
      <c r="AA744">
        <v>0.762536873156342</v>
      </c>
      <c r="AB744">
        <f t="shared" si="77"/>
        <v>0.26127274420730234</v>
      </c>
      <c r="AC744">
        <f t="shared" si="82"/>
        <v>0.25</v>
      </c>
      <c r="AD744">
        <f t="shared" si="78"/>
        <v>0</v>
      </c>
      <c r="AE744">
        <f t="shared" si="83"/>
        <v>0.32659093025912794</v>
      </c>
      <c r="AF744" t="str">
        <f t="shared" si="79"/>
        <v>Low</v>
      </c>
      <c r="AG744" t="str">
        <f t="shared" si="80"/>
        <v>NO ACTION</v>
      </c>
      <c r="AH744" t="str">
        <f t="shared" si="81"/>
        <v/>
      </c>
    </row>
    <row r="745" spans="1:34" x14ac:dyDescent="0.3">
      <c r="A745" t="s">
        <v>772</v>
      </c>
      <c r="B745">
        <v>0.26011342155009398</v>
      </c>
      <c r="C745">
        <v>0.61517407977057004</v>
      </c>
      <c r="D745">
        <v>0.53804177690350297</v>
      </c>
      <c r="E745">
        <v>0.65831727681438601</v>
      </c>
      <c r="F745">
        <v>7.5144508670520194E-2</v>
      </c>
      <c r="G745">
        <v>0.42022911704424898</v>
      </c>
      <c r="H745">
        <v>0</v>
      </c>
      <c r="I745">
        <v>23</v>
      </c>
      <c r="J745">
        <v>0.102285196316969</v>
      </c>
      <c r="K745">
        <v>1.4681892332789499E-2</v>
      </c>
      <c r="L745">
        <v>3.6579372393810101E-2</v>
      </c>
      <c r="M745">
        <v>2.8860028860028799E-3</v>
      </c>
      <c r="N745">
        <v>1.7011167313633498E-2</v>
      </c>
      <c r="O745">
        <v>1010</v>
      </c>
      <c r="P745">
        <v>8.2912457912457896E-2</v>
      </c>
      <c r="Q745">
        <v>8.3067428731722695E-2</v>
      </c>
      <c r="R745">
        <v>0</v>
      </c>
      <c r="S745">
        <v>0</v>
      </c>
      <c r="T745" t="s">
        <v>28</v>
      </c>
      <c r="U745">
        <v>2.7787307032590001E-2</v>
      </c>
      <c r="V745">
        <v>0</v>
      </c>
      <c r="W745">
        <v>0</v>
      </c>
      <c r="X745">
        <v>0.388965519583575</v>
      </c>
      <c r="Y745">
        <v>4.3850075654388997E-2</v>
      </c>
      <c r="Z745">
        <v>5.6551941672928097E-2</v>
      </c>
      <c r="AA745">
        <v>0</v>
      </c>
      <c r="AB745">
        <f t="shared" si="77"/>
        <v>9.0347047985020787E-2</v>
      </c>
      <c r="AC745">
        <f t="shared" si="82"/>
        <v>0.25</v>
      </c>
      <c r="AD745">
        <f t="shared" si="78"/>
        <v>0.05</v>
      </c>
      <c r="AE745">
        <f t="shared" si="83"/>
        <v>0.11745116238052702</v>
      </c>
      <c r="AF745" t="str">
        <f t="shared" si="79"/>
        <v>Very Low</v>
      </c>
      <c r="AG745" t="str">
        <f t="shared" si="80"/>
        <v>NO ACTION</v>
      </c>
      <c r="AH745" t="str">
        <f t="shared" si="81"/>
        <v/>
      </c>
    </row>
    <row r="746" spans="1:34" x14ac:dyDescent="0.3">
      <c r="A746" t="s">
        <v>773</v>
      </c>
      <c r="B746">
        <v>0.17126654064272201</v>
      </c>
      <c r="C746">
        <v>0.73865900258009698</v>
      </c>
      <c r="D746">
        <v>0.320077888053869</v>
      </c>
      <c r="E746">
        <v>0</v>
      </c>
      <c r="F746">
        <v>0</v>
      </c>
      <c r="G746">
        <v>0.713118705539037</v>
      </c>
      <c r="H746">
        <v>9</v>
      </c>
      <c r="I746">
        <v>18</v>
      </c>
      <c r="J746">
        <v>7.3612900147893706E-2</v>
      </c>
      <c r="K746">
        <v>8.1566068515497494E-3</v>
      </c>
      <c r="L746">
        <v>2.82116965526478E-2</v>
      </c>
      <c r="M746">
        <v>1.44300144300144E-3</v>
      </c>
      <c r="N746">
        <v>1.1807816071381899E-2</v>
      </c>
      <c r="O746">
        <v>619</v>
      </c>
      <c r="P746">
        <v>5.8326318742985397E-2</v>
      </c>
      <c r="Q746">
        <v>5.84873242399803E-2</v>
      </c>
      <c r="R746">
        <v>0</v>
      </c>
      <c r="S746">
        <v>0</v>
      </c>
      <c r="T746" t="s">
        <v>53</v>
      </c>
      <c r="U746">
        <v>2.83018867924528E-2</v>
      </c>
      <c r="V746">
        <v>0</v>
      </c>
      <c r="W746">
        <v>0</v>
      </c>
      <c r="X746">
        <v>9.6023366416160896E-2</v>
      </c>
      <c r="Y746">
        <v>3.2370773127317197E-2</v>
      </c>
      <c r="Z746">
        <v>3.9718917674343997E-2</v>
      </c>
      <c r="AA746">
        <v>0</v>
      </c>
      <c r="AB746">
        <f t="shared" si="77"/>
        <v>3.5548852051050878E-2</v>
      </c>
      <c r="AC746">
        <f t="shared" si="82"/>
        <v>0.1</v>
      </c>
      <c r="AD746">
        <f t="shared" si="78"/>
        <v>0</v>
      </c>
      <c r="AE746">
        <f t="shared" si="83"/>
        <v>3.9103737256155971E-2</v>
      </c>
      <c r="AF746" t="str">
        <f t="shared" si="79"/>
        <v>Very Low</v>
      </c>
      <c r="AG746" t="str">
        <f t="shared" si="80"/>
        <v>NO ACTION</v>
      </c>
      <c r="AH746" t="str">
        <f t="shared" si="81"/>
        <v/>
      </c>
    </row>
    <row r="747" spans="1:34" x14ac:dyDescent="0.3">
      <c r="A747" t="s">
        <v>774</v>
      </c>
      <c r="B747">
        <v>0.20604914933837401</v>
      </c>
      <c r="C747">
        <v>0.74377500100777405</v>
      </c>
      <c r="D747">
        <v>0.35058544018164201</v>
      </c>
      <c r="E747">
        <v>0</v>
      </c>
      <c r="F747">
        <v>0</v>
      </c>
      <c r="G747">
        <v>0.48595039611437901</v>
      </c>
      <c r="H747">
        <v>8</v>
      </c>
      <c r="I747">
        <v>14</v>
      </c>
      <c r="J747">
        <v>5.11903058060207E-2</v>
      </c>
      <c r="K747">
        <v>4.8939641109298502E-3</v>
      </c>
      <c r="L747">
        <v>2.43070721318175E-2</v>
      </c>
      <c r="M747">
        <v>2.88600288600288E-4</v>
      </c>
      <c r="N747">
        <v>3.3911872501853901E-3</v>
      </c>
      <c r="O747">
        <v>584</v>
      </c>
      <c r="P747">
        <v>3.9877946127946103E-2</v>
      </c>
      <c r="Q747">
        <v>4.0043479785406198E-2</v>
      </c>
      <c r="R747">
        <v>0</v>
      </c>
      <c r="S747">
        <v>0</v>
      </c>
      <c r="T747" t="s">
        <v>53</v>
      </c>
      <c r="U747">
        <v>5.0943396226415097E-2</v>
      </c>
      <c r="V747">
        <v>0</v>
      </c>
      <c r="W747">
        <v>0</v>
      </c>
      <c r="X747">
        <v>0.105175632054492</v>
      </c>
      <c r="Y747">
        <v>2.34089534021685E-2</v>
      </c>
      <c r="Z747">
        <v>2.5283242576841801E-2</v>
      </c>
      <c r="AA747">
        <v>0</v>
      </c>
      <c r="AB747">
        <f t="shared" si="77"/>
        <v>3.0461916002841607E-2</v>
      </c>
      <c r="AC747">
        <f t="shared" si="82"/>
        <v>0.1</v>
      </c>
      <c r="AD747">
        <f t="shared" si="78"/>
        <v>0</v>
      </c>
      <c r="AE747">
        <f t="shared" si="83"/>
        <v>3.3508107603125774E-2</v>
      </c>
      <c r="AF747" t="str">
        <f t="shared" si="79"/>
        <v>Very Low</v>
      </c>
      <c r="AG747" t="str">
        <f t="shared" si="80"/>
        <v>NO ACTION</v>
      </c>
      <c r="AH747" t="str">
        <f t="shared" si="81"/>
        <v/>
      </c>
    </row>
    <row r="748" spans="1:34" x14ac:dyDescent="0.3">
      <c r="A748" t="s">
        <v>775</v>
      </c>
      <c r="B748">
        <v>0.244990548204158</v>
      </c>
      <c r="C748">
        <v>0.75124878042619503</v>
      </c>
      <c r="D748">
        <v>0.41183312536157302</v>
      </c>
      <c r="E748">
        <v>0.20961145194274</v>
      </c>
      <c r="F748">
        <v>2.45398773006134E-2</v>
      </c>
      <c r="G748">
        <v>0.45524335027026702</v>
      </c>
      <c r="H748">
        <v>0</v>
      </c>
      <c r="I748">
        <v>22</v>
      </c>
      <c r="J748">
        <v>0.100853966890892</v>
      </c>
      <c r="K748">
        <v>2.0391517128874301E-2</v>
      </c>
      <c r="L748">
        <v>5.1523957366091201E-2</v>
      </c>
      <c r="M748">
        <v>1.24098124098124E-2</v>
      </c>
      <c r="N748">
        <v>7.4183621422885204E-2</v>
      </c>
      <c r="O748">
        <v>974</v>
      </c>
      <c r="P748">
        <v>8.8945005611672207E-2</v>
      </c>
      <c r="Q748">
        <v>8.9098495739682301E-2</v>
      </c>
      <c r="R748">
        <v>0</v>
      </c>
      <c r="S748">
        <v>0</v>
      </c>
      <c r="T748" t="s">
        <v>28</v>
      </c>
      <c r="U748">
        <v>9.6483704974270994E-3</v>
      </c>
      <c r="V748">
        <v>0</v>
      </c>
      <c r="W748">
        <v>0</v>
      </c>
      <c r="X748">
        <v>0.196249324111539</v>
      </c>
      <c r="Y748">
        <v>6.8187858488089698E-2</v>
      </c>
      <c r="Z748">
        <v>8.3040451936157403E-2</v>
      </c>
      <c r="AA748">
        <v>0</v>
      </c>
      <c r="AB748">
        <f t="shared" si="77"/>
        <v>7.3743818776635425E-2</v>
      </c>
      <c r="AC748">
        <f t="shared" si="82"/>
        <v>0.25</v>
      </c>
      <c r="AD748">
        <f t="shared" si="78"/>
        <v>0</v>
      </c>
      <c r="AE748">
        <f t="shared" si="83"/>
        <v>9.2179773470794285E-2</v>
      </c>
      <c r="AF748" t="str">
        <f t="shared" si="79"/>
        <v>Very Low</v>
      </c>
      <c r="AG748" t="str">
        <f t="shared" si="80"/>
        <v>NO ACTION</v>
      </c>
      <c r="AH748" t="str">
        <f t="shared" si="81"/>
        <v/>
      </c>
    </row>
    <row r="749" spans="1:34" x14ac:dyDescent="0.3">
      <c r="A749" t="s">
        <v>776</v>
      </c>
      <c r="B749">
        <v>0.12892249527410199</v>
      </c>
      <c r="C749">
        <v>0.18476582604220201</v>
      </c>
      <c r="D749">
        <v>0</v>
      </c>
      <c r="E749">
        <v>0</v>
      </c>
      <c r="F749">
        <v>0</v>
      </c>
      <c r="G749">
        <v>0.99366465095829604</v>
      </c>
      <c r="H749">
        <v>7</v>
      </c>
      <c r="I749">
        <v>7</v>
      </c>
      <c r="J749">
        <v>9.7943800391202707E-2</v>
      </c>
      <c r="K749">
        <v>1.9575856443719401E-2</v>
      </c>
      <c r="L749">
        <v>5.0929103514284403E-2</v>
      </c>
      <c r="M749">
        <v>3.4632034632034602E-3</v>
      </c>
      <c r="N749">
        <v>2.1316034144022399E-2</v>
      </c>
      <c r="O749">
        <v>1026</v>
      </c>
      <c r="P749">
        <v>8.21057800224467E-2</v>
      </c>
      <c r="Q749">
        <v>8.2260948841123394E-2</v>
      </c>
      <c r="R749">
        <v>0</v>
      </c>
      <c r="S749">
        <v>0</v>
      </c>
      <c r="T749" t="s">
        <v>28</v>
      </c>
      <c r="U749">
        <v>3.1349782293178502E-2</v>
      </c>
      <c r="V749">
        <v>0</v>
      </c>
      <c r="W749">
        <v>0</v>
      </c>
      <c r="X749">
        <v>0</v>
      </c>
      <c r="Y749">
        <v>5.1448122078589502E-2</v>
      </c>
      <c r="Z749">
        <v>5.7789881671077001E-2</v>
      </c>
      <c r="AA749">
        <v>0</v>
      </c>
      <c r="AB749">
        <f t="shared" si="77"/>
        <v>3.0586641049906625E-2</v>
      </c>
      <c r="AC749">
        <f t="shared" si="82"/>
        <v>0.25</v>
      </c>
      <c r="AD749">
        <f t="shared" si="78"/>
        <v>0</v>
      </c>
      <c r="AE749">
        <f t="shared" si="83"/>
        <v>3.8233301312383283E-2</v>
      </c>
      <c r="AF749" t="str">
        <f t="shared" si="79"/>
        <v>Very Low</v>
      </c>
      <c r="AG749" t="str">
        <f t="shared" si="80"/>
        <v>NO ACTION</v>
      </c>
      <c r="AH749" t="str">
        <f t="shared" si="81"/>
        <v/>
      </c>
    </row>
    <row r="750" spans="1:34" x14ac:dyDescent="0.3">
      <c r="A750" t="s">
        <v>777</v>
      </c>
      <c r="B750">
        <v>0.25330812854442297</v>
      </c>
      <c r="C750">
        <v>0.82541528518259999</v>
      </c>
      <c r="D750">
        <v>0.46479711869305901</v>
      </c>
      <c r="E750">
        <v>6.7589845037916194E-2</v>
      </c>
      <c r="F750">
        <v>3.2640949554896097E-2</v>
      </c>
      <c r="G750">
        <v>0.43548327566632999</v>
      </c>
      <c r="H750">
        <v>1</v>
      </c>
      <c r="I750">
        <v>23</v>
      </c>
      <c r="J750">
        <v>9.2218882686894696E-2</v>
      </c>
      <c r="K750">
        <v>2.2838499184339299E-2</v>
      </c>
      <c r="L750">
        <v>6.3096376438491697E-2</v>
      </c>
      <c r="M750">
        <v>2.0202020202020202E-3</v>
      </c>
      <c r="N750">
        <v>1.3204282244529899E-2</v>
      </c>
      <c r="O750">
        <v>760</v>
      </c>
      <c r="P750">
        <v>7.8598484848484806E-2</v>
      </c>
      <c r="Q750">
        <v>7.8754514534170206E-2</v>
      </c>
      <c r="R750">
        <v>0.14011799410029499</v>
      </c>
      <c r="S750">
        <v>1</v>
      </c>
      <c r="T750" t="s">
        <v>53</v>
      </c>
      <c r="U750">
        <v>5.9433962264150902E-2</v>
      </c>
      <c r="V750">
        <v>0</v>
      </c>
      <c r="W750">
        <v>6.7209633925833706E-2</v>
      </c>
      <c r="X750">
        <v>0.17277246894125101</v>
      </c>
      <c r="Y750">
        <v>5.3953249429983703E-2</v>
      </c>
      <c r="Z750">
        <v>5.2440803806902803E-2</v>
      </c>
      <c r="AA750">
        <v>0.14011799410029499</v>
      </c>
      <c r="AB750">
        <f t="shared" si="77"/>
        <v>9.6666968285010993E-2</v>
      </c>
      <c r="AC750">
        <f t="shared" si="82"/>
        <v>0.1</v>
      </c>
      <c r="AD750">
        <f t="shared" si="78"/>
        <v>0</v>
      </c>
      <c r="AE750">
        <f t="shared" si="83"/>
        <v>0.1063336651135121</v>
      </c>
      <c r="AF750" t="str">
        <f t="shared" si="79"/>
        <v>Very Low</v>
      </c>
      <c r="AG750" t="str">
        <f t="shared" si="80"/>
        <v>NO ACTION</v>
      </c>
      <c r="AH750" t="str">
        <f t="shared" si="81"/>
        <v/>
      </c>
    </row>
    <row r="751" spans="1:34" x14ac:dyDescent="0.3">
      <c r="A751" t="s">
        <v>778</v>
      </c>
      <c r="B751">
        <v>0.12892249527410199</v>
      </c>
      <c r="C751">
        <v>0.36953165208440503</v>
      </c>
      <c r="D751">
        <v>0</v>
      </c>
      <c r="E751">
        <v>0</v>
      </c>
      <c r="F751">
        <v>0</v>
      </c>
      <c r="G751">
        <v>0.99369585626513102</v>
      </c>
      <c r="H751">
        <v>8</v>
      </c>
      <c r="I751">
        <v>8</v>
      </c>
      <c r="J751">
        <v>9.3363866227756304E-2</v>
      </c>
      <c r="K751">
        <v>2.6101141924959201E-2</v>
      </c>
      <c r="L751">
        <v>7.1228063222831997E-2</v>
      </c>
      <c r="M751">
        <v>2.8860028860028799E-3</v>
      </c>
      <c r="N751">
        <v>1.8632517103465099E-2</v>
      </c>
      <c r="O751">
        <v>634</v>
      </c>
      <c r="P751">
        <v>8.1264029180695793E-2</v>
      </c>
      <c r="Q751">
        <v>8.1419404607454601E-2</v>
      </c>
      <c r="R751">
        <v>0</v>
      </c>
      <c r="S751">
        <v>0</v>
      </c>
      <c r="T751" t="s">
        <v>53</v>
      </c>
      <c r="U751">
        <v>4.93996569468267E-2</v>
      </c>
      <c r="V751">
        <v>0</v>
      </c>
      <c r="W751">
        <v>0</v>
      </c>
      <c r="X751">
        <v>0</v>
      </c>
      <c r="Y751">
        <v>5.9876559988006797E-2</v>
      </c>
      <c r="Z751">
        <v>5.6211424349803502E-2</v>
      </c>
      <c r="AA751">
        <v>0</v>
      </c>
      <c r="AB751">
        <f t="shared" si="77"/>
        <v>3.2504635614586885E-2</v>
      </c>
      <c r="AC751">
        <f t="shared" si="82"/>
        <v>0.1</v>
      </c>
      <c r="AD751">
        <f t="shared" si="78"/>
        <v>0</v>
      </c>
      <c r="AE751">
        <f t="shared" si="83"/>
        <v>3.5755099176045579E-2</v>
      </c>
      <c r="AF751" t="str">
        <f t="shared" si="79"/>
        <v>Very Low</v>
      </c>
      <c r="AG751" t="str">
        <f t="shared" si="80"/>
        <v>NO ACTION</v>
      </c>
      <c r="AH751" t="str">
        <f t="shared" si="81"/>
        <v/>
      </c>
    </row>
    <row r="752" spans="1:34" x14ac:dyDescent="0.3">
      <c r="A752" t="s">
        <v>779</v>
      </c>
      <c r="B752">
        <v>0.12892249527410199</v>
      </c>
      <c r="C752">
        <v>0.55429747812660801</v>
      </c>
      <c r="D752">
        <v>0</v>
      </c>
      <c r="E752">
        <v>0</v>
      </c>
      <c r="F752">
        <v>0</v>
      </c>
      <c r="G752">
        <v>0.99368413420304402</v>
      </c>
      <c r="H752">
        <v>9</v>
      </c>
      <c r="I752">
        <v>9</v>
      </c>
      <c r="J752">
        <v>8.1198416106101803E-2</v>
      </c>
      <c r="K752">
        <v>3.9151712887438801E-2</v>
      </c>
      <c r="L752">
        <v>0.122802688965902</v>
      </c>
      <c r="M752">
        <v>9.8124098124098107E-3</v>
      </c>
      <c r="N752">
        <v>7.2814174044402505E-2</v>
      </c>
      <c r="O752">
        <v>690</v>
      </c>
      <c r="P752">
        <v>8.1299102132435394E-2</v>
      </c>
      <c r="Q752">
        <v>8.1454468950524203E-2</v>
      </c>
      <c r="R752">
        <v>0</v>
      </c>
      <c r="S752">
        <v>0</v>
      </c>
      <c r="T752" t="s">
        <v>53</v>
      </c>
      <c r="U752">
        <v>2.3288409703504001E-2</v>
      </c>
      <c r="V752">
        <v>0</v>
      </c>
      <c r="W752">
        <v>0</v>
      </c>
      <c r="X752">
        <v>0</v>
      </c>
      <c r="Y752">
        <v>9.9485279917492106E-2</v>
      </c>
      <c r="Z752">
        <v>7.7905130897222202E-2</v>
      </c>
      <c r="AA752">
        <v>0</v>
      </c>
      <c r="AB752">
        <f t="shared" si="77"/>
        <v>4.9669315028120012E-2</v>
      </c>
      <c r="AC752">
        <f t="shared" si="82"/>
        <v>0.1</v>
      </c>
      <c r="AD752">
        <f t="shared" si="78"/>
        <v>0</v>
      </c>
      <c r="AE752">
        <f t="shared" si="83"/>
        <v>5.463624653093202E-2</v>
      </c>
      <c r="AF752" t="str">
        <f t="shared" si="79"/>
        <v>Very Low</v>
      </c>
      <c r="AG752" t="str">
        <f t="shared" si="80"/>
        <v>NO ACTION</v>
      </c>
      <c r="AH752" t="str">
        <f t="shared" si="81"/>
        <v/>
      </c>
    </row>
    <row r="753" spans="1:34" x14ac:dyDescent="0.3">
      <c r="A753" t="s">
        <v>780</v>
      </c>
      <c r="B753">
        <v>0.12892249527410199</v>
      </c>
      <c r="C753">
        <v>0.36953165208440503</v>
      </c>
      <c r="D753">
        <v>0</v>
      </c>
      <c r="E753">
        <v>0</v>
      </c>
      <c r="F753">
        <v>0</v>
      </c>
      <c r="G753">
        <v>0.99368983465789495</v>
      </c>
      <c r="H753">
        <v>8</v>
      </c>
      <c r="I753">
        <v>8</v>
      </c>
      <c r="J753">
        <v>7.2611039549639794E-2</v>
      </c>
      <c r="K753">
        <v>1.38662316476345E-2</v>
      </c>
      <c r="L753">
        <v>4.8619450326095701E-2</v>
      </c>
      <c r="M753">
        <v>1.1544011544011501E-3</v>
      </c>
      <c r="N753">
        <v>9.5761620319576995E-3</v>
      </c>
      <c r="O753">
        <v>741</v>
      </c>
      <c r="P753">
        <v>5.9904601571268201E-2</v>
      </c>
      <c r="Q753">
        <v>6.0065219678109301E-2</v>
      </c>
      <c r="R753">
        <v>0</v>
      </c>
      <c r="S753">
        <v>0</v>
      </c>
      <c r="T753" t="s">
        <v>53</v>
      </c>
      <c r="U753">
        <v>5.77358490566037E-2</v>
      </c>
      <c r="V753">
        <v>0</v>
      </c>
      <c r="W753">
        <v>0</v>
      </c>
      <c r="X753">
        <v>0</v>
      </c>
      <c r="Y753">
        <v>4.17047816825631E-2</v>
      </c>
      <c r="Z753">
        <v>3.9773225755543998E-2</v>
      </c>
      <c r="AA753">
        <v>0</v>
      </c>
      <c r="AB753">
        <f t="shared" si="77"/>
        <v>2.281384208266999E-2</v>
      </c>
      <c r="AC753">
        <f t="shared" si="82"/>
        <v>0.1</v>
      </c>
      <c r="AD753">
        <f t="shared" si="78"/>
        <v>0</v>
      </c>
      <c r="AE753">
        <f t="shared" si="83"/>
        <v>2.5095226290936992E-2</v>
      </c>
      <c r="AF753" t="str">
        <f t="shared" si="79"/>
        <v>Very Low</v>
      </c>
      <c r="AG753" t="str">
        <f t="shared" si="80"/>
        <v>NO ACTION</v>
      </c>
      <c r="AH753" t="str">
        <f t="shared" si="81"/>
        <v/>
      </c>
    </row>
    <row r="754" spans="1:34" x14ac:dyDescent="0.3">
      <c r="A754" t="s">
        <v>781</v>
      </c>
      <c r="B754">
        <v>0.12892249527410199</v>
      </c>
      <c r="C754">
        <v>0.18476582604220201</v>
      </c>
      <c r="D754">
        <v>0</v>
      </c>
      <c r="E754">
        <v>0</v>
      </c>
      <c r="F754">
        <v>0</v>
      </c>
      <c r="G754">
        <v>0.99368247491571604</v>
      </c>
      <c r="H754">
        <v>7</v>
      </c>
      <c r="I754">
        <v>7</v>
      </c>
      <c r="J754">
        <v>7.0988979533419205E-2</v>
      </c>
      <c r="K754">
        <v>4.8939641109298502E-3</v>
      </c>
      <c r="L754">
        <v>1.7550585236503199E-2</v>
      </c>
      <c r="M754">
        <v>2.8860028860028799E-3</v>
      </c>
      <c r="N754">
        <v>2.4485598497654699E-2</v>
      </c>
      <c r="O754">
        <v>785</v>
      </c>
      <c r="P754">
        <v>5.5695847362513998E-2</v>
      </c>
      <c r="Q754">
        <v>5.5857498509765402E-2</v>
      </c>
      <c r="R754">
        <v>0</v>
      </c>
      <c r="S754">
        <v>0</v>
      </c>
      <c r="T754" t="s">
        <v>53</v>
      </c>
      <c r="U754">
        <v>9.2624356775300107E-3</v>
      </c>
      <c r="V754">
        <v>0</v>
      </c>
      <c r="W754">
        <v>0</v>
      </c>
      <c r="X754">
        <v>0</v>
      </c>
      <c r="Y754">
        <v>3.0318768074231801E-2</v>
      </c>
      <c r="Z754">
        <v>4.3211747816570299E-2</v>
      </c>
      <c r="AA754">
        <v>0</v>
      </c>
      <c r="AB754">
        <f t="shared" si="77"/>
        <v>2.0588544449424588E-2</v>
      </c>
      <c r="AC754">
        <f t="shared" si="82"/>
        <v>0.1</v>
      </c>
      <c r="AD754">
        <f t="shared" si="78"/>
        <v>0</v>
      </c>
      <c r="AE754">
        <f t="shared" si="83"/>
        <v>2.2647398894367048E-2</v>
      </c>
      <c r="AF754" t="str">
        <f t="shared" si="79"/>
        <v>Very Low</v>
      </c>
      <c r="AG754" t="str">
        <f t="shared" si="80"/>
        <v>NO ACTION</v>
      </c>
      <c r="AH754" t="str">
        <f t="shared" si="81"/>
        <v/>
      </c>
    </row>
    <row r="755" spans="1:34" x14ac:dyDescent="0.3">
      <c r="A755" t="s">
        <v>782</v>
      </c>
      <c r="B755">
        <v>0.12892249527410199</v>
      </c>
      <c r="C755">
        <v>0.18476582604220201</v>
      </c>
      <c r="D755">
        <v>0</v>
      </c>
      <c r="E755">
        <v>0</v>
      </c>
      <c r="F755">
        <v>0</v>
      </c>
      <c r="G755">
        <v>0.99370206521126003</v>
      </c>
      <c r="H755">
        <v>7</v>
      </c>
      <c r="I755">
        <v>7</v>
      </c>
      <c r="J755">
        <v>7.6809312532799004E-2</v>
      </c>
      <c r="K755">
        <v>2.0391517128874301E-2</v>
      </c>
      <c r="L755">
        <v>6.7603260469812507E-2</v>
      </c>
      <c r="M755">
        <v>1.1544011544011501E-3</v>
      </c>
      <c r="N755">
        <v>9.0543649676776607E-3</v>
      </c>
      <c r="O755">
        <v>735</v>
      </c>
      <c r="P755">
        <v>6.5796857463524094E-2</v>
      </c>
      <c r="Q755">
        <v>6.5956029313790798E-2</v>
      </c>
      <c r="R755">
        <v>0</v>
      </c>
      <c r="S755">
        <v>0</v>
      </c>
      <c r="T755" t="s">
        <v>53</v>
      </c>
      <c r="U755">
        <v>8.4905660377358402E-2</v>
      </c>
      <c r="V755">
        <v>0</v>
      </c>
      <c r="W755">
        <v>0</v>
      </c>
      <c r="X755">
        <v>0</v>
      </c>
      <c r="Y755">
        <v>5.1879802231769301E-2</v>
      </c>
      <c r="Z755">
        <v>4.3099860465185498E-2</v>
      </c>
      <c r="AA755">
        <v>0</v>
      </c>
      <c r="AB755">
        <f t="shared" si="77"/>
        <v>2.6594305555147347E-2</v>
      </c>
      <c r="AC755">
        <f t="shared" si="82"/>
        <v>0.1</v>
      </c>
      <c r="AD755">
        <f t="shared" si="78"/>
        <v>0</v>
      </c>
      <c r="AE755">
        <f t="shared" si="83"/>
        <v>2.9253736110662083E-2</v>
      </c>
      <c r="AF755" t="str">
        <f t="shared" si="79"/>
        <v>Very Low</v>
      </c>
      <c r="AG755" t="str">
        <f t="shared" si="80"/>
        <v>NO ACTION</v>
      </c>
      <c r="AH755" t="str">
        <f t="shared" si="81"/>
        <v/>
      </c>
    </row>
    <row r="756" spans="1:34" x14ac:dyDescent="0.3">
      <c r="A756" t="s">
        <v>783</v>
      </c>
      <c r="B756">
        <v>0.12892249527410199</v>
      </c>
      <c r="C756">
        <v>0.18476582604220201</v>
      </c>
      <c r="D756">
        <v>0</v>
      </c>
      <c r="E756">
        <v>0</v>
      </c>
      <c r="F756">
        <v>0</v>
      </c>
      <c r="G756">
        <v>0.99368068181489499</v>
      </c>
      <c r="H756">
        <v>7</v>
      </c>
      <c r="I756">
        <v>7</v>
      </c>
      <c r="J756">
        <v>7.7954296073660598E-2</v>
      </c>
      <c r="K756">
        <v>7.34094616639478E-3</v>
      </c>
      <c r="L756">
        <v>2.3980802707229399E-2</v>
      </c>
      <c r="M756">
        <v>1.7316017316017301E-3</v>
      </c>
      <c r="N756">
        <v>1.3382671832946299E-2</v>
      </c>
      <c r="O756">
        <v>750</v>
      </c>
      <c r="P756">
        <v>6.1307519640852903E-2</v>
      </c>
      <c r="Q756">
        <v>6.1467793400890598E-2</v>
      </c>
      <c r="R756">
        <v>0</v>
      </c>
      <c r="S756">
        <v>0</v>
      </c>
      <c r="T756" t="s">
        <v>53</v>
      </c>
      <c r="U756">
        <v>2.1832884097034998E-2</v>
      </c>
      <c r="V756">
        <v>0</v>
      </c>
      <c r="W756">
        <v>0</v>
      </c>
      <c r="X756">
        <v>0</v>
      </c>
      <c r="Y756">
        <v>3.1596062118230697E-2</v>
      </c>
      <c r="Z756">
        <v>4.2137580517690301E-2</v>
      </c>
      <c r="AA756">
        <v>0</v>
      </c>
      <c r="AB756">
        <f t="shared" si="77"/>
        <v>2.0645419938057883E-2</v>
      </c>
      <c r="AC756">
        <f t="shared" si="82"/>
        <v>0.1</v>
      </c>
      <c r="AD756">
        <f t="shared" si="78"/>
        <v>0</v>
      </c>
      <c r="AE756">
        <f t="shared" si="83"/>
        <v>2.2709961931863674E-2</v>
      </c>
      <c r="AF756" t="str">
        <f t="shared" si="79"/>
        <v>Very Low</v>
      </c>
      <c r="AG756" t="str">
        <f t="shared" si="80"/>
        <v>NO ACTION</v>
      </c>
      <c r="AH756" t="str">
        <f t="shared" si="81"/>
        <v/>
      </c>
    </row>
    <row r="757" spans="1:34" x14ac:dyDescent="0.3">
      <c r="A757" t="s">
        <v>784</v>
      </c>
      <c r="B757">
        <v>0.27977315689981003</v>
      </c>
      <c r="C757">
        <v>0.65909744934947001</v>
      </c>
      <c r="D757">
        <v>0.39175012782409802</v>
      </c>
      <c r="E757">
        <v>0</v>
      </c>
      <c r="F757">
        <v>0</v>
      </c>
      <c r="G757">
        <v>0.38025468100675702</v>
      </c>
      <c r="H757">
        <v>7</v>
      </c>
      <c r="I757">
        <v>15</v>
      </c>
      <c r="J757">
        <v>7.8240541958876003E-2</v>
      </c>
      <c r="K757">
        <v>8.1566068515497494E-3</v>
      </c>
      <c r="L757">
        <v>2.6548149704254599E-2</v>
      </c>
      <c r="M757">
        <v>3.1746031746031698E-3</v>
      </c>
      <c r="N757">
        <v>2.4445409369421502E-2</v>
      </c>
      <c r="O757">
        <v>784</v>
      </c>
      <c r="P757">
        <v>6.2570145903479202E-2</v>
      </c>
      <c r="Q757">
        <v>6.2730109751393801E-2</v>
      </c>
      <c r="R757">
        <v>0.3952802359882</v>
      </c>
      <c r="S757">
        <v>1</v>
      </c>
      <c r="T757" t="s">
        <v>53</v>
      </c>
      <c r="U757">
        <v>1.41509433962264E-2</v>
      </c>
      <c r="V757">
        <v>0</v>
      </c>
      <c r="W757">
        <v>0</v>
      </c>
      <c r="X757">
        <v>0.11752503834722899</v>
      </c>
      <c r="Y757">
        <v>3.6255806054728897E-2</v>
      </c>
      <c r="Z757">
        <v>4.7320251289856098E-2</v>
      </c>
      <c r="AA757">
        <v>0.3952802359882</v>
      </c>
      <c r="AB757">
        <f t="shared" si="77"/>
        <v>0.15288376826873645</v>
      </c>
      <c r="AC757">
        <f t="shared" si="82"/>
        <v>0.1</v>
      </c>
      <c r="AD757">
        <f t="shared" si="78"/>
        <v>0</v>
      </c>
      <c r="AE757">
        <f t="shared" si="83"/>
        <v>0.1681721450956101</v>
      </c>
      <c r="AF757" t="str">
        <f t="shared" si="79"/>
        <v>Very Low</v>
      </c>
      <c r="AG757" t="str">
        <f t="shared" si="80"/>
        <v>NO ACTION</v>
      </c>
      <c r="AH757" t="str">
        <f t="shared" si="81"/>
        <v/>
      </c>
    </row>
    <row r="758" spans="1:34" x14ac:dyDescent="0.3">
      <c r="A758" t="s">
        <v>785</v>
      </c>
      <c r="B758">
        <v>0.12892249527410199</v>
      </c>
      <c r="C758">
        <v>0.36953165208440503</v>
      </c>
      <c r="D758">
        <v>0</v>
      </c>
      <c r="E758">
        <v>0</v>
      </c>
      <c r="F758">
        <v>0</v>
      </c>
      <c r="G758">
        <v>0.99370318924461098</v>
      </c>
      <c r="H758">
        <v>8</v>
      </c>
      <c r="I758">
        <v>8</v>
      </c>
      <c r="J758">
        <v>0.103143933972615</v>
      </c>
      <c r="K758">
        <v>1.0603588907014599E-2</v>
      </c>
      <c r="L758">
        <v>2.61989931437695E-2</v>
      </c>
      <c r="M758">
        <v>1.44300144300144E-3</v>
      </c>
      <c r="N758">
        <v>8.4349327542682304E-3</v>
      </c>
      <c r="O758">
        <v>956</v>
      </c>
      <c r="P758">
        <v>8.1088664421997705E-2</v>
      </c>
      <c r="Q758">
        <v>8.1244082892106995E-2</v>
      </c>
      <c r="R758">
        <v>0</v>
      </c>
      <c r="S758">
        <v>0</v>
      </c>
      <c r="T758" t="s">
        <v>28</v>
      </c>
      <c r="U758">
        <v>3.6792452830188602E-2</v>
      </c>
      <c r="V758">
        <v>0</v>
      </c>
      <c r="W758">
        <v>0</v>
      </c>
      <c r="X758">
        <v>0</v>
      </c>
      <c r="Y758">
        <v>3.6258763192688399E-2</v>
      </c>
      <c r="Z758">
        <v>5.2027171754905899E-2</v>
      </c>
      <c r="AA758">
        <v>0</v>
      </c>
      <c r="AB758">
        <f t="shared" si="77"/>
        <v>2.4720061785326406E-2</v>
      </c>
      <c r="AC758">
        <f t="shared" si="82"/>
        <v>0.25</v>
      </c>
      <c r="AD758">
        <f t="shared" si="78"/>
        <v>0</v>
      </c>
      <c r="AE758">
        <f t="shared" si="83"/>
        <v>3.0900077231658007E-2</v>
      </c>
      <c r="AF758" t="str">
        <f t="shared" si="79"/>
        <v>Very Low</v>
      </c>
      <c r="AG758" t="str">
        <f t="shared" si="80"/>
        <v>NO ACTION</v>
      </c>
      <c r="AH758" t="str">
        <f t="shared" si="81"/>
        <v/>
      </c>
    </row>
    <row r="759" spans="1:34" x14ac:dyDescent="0.3">
      <c r="A759" t="s">
        <v>786</v>
      </c>
      <c r="B759">
        <v>0.14820415879016999</v>
      </c>
      <c r="C759">
        <v>0.247754175829317</v>
      </c>
      <c r="D759">
        <v>0.56511932030884304</v>
      </c>
      <c r="E759">
        <v>0.115039281705948</v>
      </c>
      <c r="F759">
        <v>0.50252525252525204</v>
      </c>
      <c r="G759">
        <v>0.84616865175790401</v>
      </c>
      <c r="H759">
        <v>0</v>
      </c>
      <c r="I759">
        <v>23</v>
      </c>
      <c r="J759">
        <v>7.5807451934545106E-2</v>
      </c>
      <c r="K759">
        <v>8.1566068515497494E-3</v>
      </c>
      <c r="L759">
        <v>2.7397557254390699E-2</v>
      </c>
      <c r="M759">
        <v>1.7316017316017301E-3</v>
      </c>
      <c r="N759">
        <v>1.3760476244792401E-2</v>
      </c>
      <c r="O759">
        <v>643</v>
      </c>
      <c r="P759">
        <v>6.0079966329966303E-2</v>
      </c>
      <c r="Q759">
        <v>6.0240541393456901E-2</v>
      </c>
      <c r="R759">
        <v>0.38200589970501397</v>
      </c>
      <c r="S759">
        <v>1</v>
      </c>
      <c r="T759" t="s">
        <v>53</v>
      </c>
      <c r="U759">
        <v>2.4258760107816701E-2</v>
      </c>
      <c r="V759">
        <v>0</v>
      </c>
      <c r="W759">
        <v>0.44929756035821899</v>
      </c>
      <c r="X759">
        <v>0.40505768161453798</v>
      </c>
      <c r="Y759">
        <v>3.2988411887542098E-2</v>
      </c>
      <c r="Z759">
        <v>4.1552170295896702E-2</v>
      </c>
      <c r="AA759">
        <v>0.38200589970501397</v>
      </c>
      <c r="AB759">
        <f t="shared" si="77"/>
        <v>0.19264224398709284</v>
      </c>
      <c r="AC759">
        <f t="shared" si="82"/>
        <v>0.1</v>
      </c>
      <c r="AD759">
        <f t="shared" si="78"/>
        <v>0.08</v>
      </c>
      <c r="AE759">
        <f t="shared" si="83"/>
        <v>0.22731784790476958</v>
      </c>
      <c r="AF759" t="str">
        <f t="shared" si="79"/>
        <v>Low</v>
      </c>
      <c r="AG759" t="str">
        <f t="shared" si="80"/>
        <v>NO ACTION</v>
      </c>
      <c r="AH759" t="str">
        <f t="shared" si="81"/>
        <v/>
      </c>
    </row>
    <row r="760" spans="1:34" x14ac:dyDescent="0.3">
      <c r="A760" t="s">
        <v>787</v>
      </c>
      <c r="B760">
        <v>0.12892249527410199</v>
      </c>
      <c r="C760">
        <v>0.18476582604220201</v>
      </c>
      <c r="D760">
        <v>0</v>
      </c>
      <c r="E760">
        <v>0</v>
      </c>
      <c r="F760">
        <v>0</v>
      </c>
      <c r="G760">
        <v>0.99366986968456705</v>
      </c>
      <c r="H760">
        <v>7</v>
      </c>
      <c r="I760">
        <v>7</v>
      </c>
      <c r="J760">
        <v>7.9576356089881201E-2</v>
      </c>
      <c r="K760">
        <v>2.0391517128874301E-2</v>
      </c>
      <c r="L760">
        <v>6.5259573017780806E-2</v>
      </c>
      <c r="M760">
        <v>2.8860028860028799E-3</v>
      </c>
      <c r="N760">
        <v>2.1851164708307499E-2</v>
      </c>
      <c r="O760">
        <v>832</v>
      </c>
      <c r="P760">
        <v>6.8672839506172798E-2</v>
      </c>
      <c r="Q760">
        <v>6.8831305445492402E-2</v>
      </c>
      <c r="R760">
        <v>0</v>
      </c>
      <c r="S760">
        <v>0</v>
      </c>
      <c r="T760" t="s">
        <v>53</v>
      </c>
      <c r="U760">
        <v>3.8593481989708397E-2</v>
      </c>
      <c r="V760">
        <v>0</v>
      </c>
      <c r="W760">
        <v>0</v>
      </c>
      <c r="X760">
        <v>0</v>
      </c>
      <c r="Y760">
        <v>5.5100407139358903E-2</v>
      </c>
      <c r="Z760">
        <v>4.9944169587026702E-2</v>
      </c>
      <c r="AA760">
        <v>0</v>
      </c>
      <c r="AB760">
        <f t="shared" si="77"/>
        <v>2.9412481483387973E-2</v>
      </c>
      <c r="AC760">
        <f t="shared" si="82"/>
        <v>0.1</v>
      </c>
      <c r="AD760">
        <f t="shared" si="78"/>
        <v>0</v>
      </c>
      <c r="AE760">
        <f t="shared" si="83"/>
        <v>3.2353729631726773E-2</v>
      </c>
      <c r="AF760" t="str">
        <f t="shared" si="79"/>
        <v>Very Low</v>
      </c>
      <c r="AG760" t="str">
        <f t="shared" si="80"/>
        <v>NO ACTION</v>
      </c>
      <c r="AH760" t="str">
        <f t="shared" si="81"/>
        <v/>
      </c>
    </row>
    <row r="761" spans="1:34" x14ac:dyDescent="0.3">
      <c r="A761" t="s">
        <v>788</v>
      </c>
      <c r="B761">
        <v>0.12892249527410199</v>
      </c>
      <c r="C761">
        <v>0.18476582604220201</v>
      </c>
      <c r="D761">
        <v>0</v>
      </c>
      <c r="E761">
        <v>0</v>
      </c>
      <c r="F761">
        <v>0</v>
      </c>
      <c r="G761">
        <v>0.99367824640930102</v>
      </c>
      <c r="H761">
        <v>7</v>
      </c>
      <c r="I761">
        <v>7</v>
      </c>
      <c r="J761">
        <v>9.2028052096751106E-2</v>
      </c>
      <c r="K761">
        <v>5.7096247960848204E-3</v>
      </c>
      <c r="L761">
        <v>1.5806718916468E-2</v>
      </c>
      <c r="M761">
        <v>2.0202020202020202E-3</v>
      </c>
      <c r="N761">
        <v>1.32315920320056E-2</v>
      </c>
      <c r="O761">
        <v>918</v>
      </c>
      <c r="P761">
        <v>7.1092873176206495E-2</v>
      </c>
      <c r="Q761">
        <v>7.1250745117290196E-2</v>
      </c>
      <c r="R761">
        <v>0</v>
      </c>
      <c r="S761">
        <v>0</v>
      </c>
      <c r="T761" t="s">
        <v>53</v>
      </c>
      <c r="U761">
        <v>1.48584905660377E-2</v>
      </c>
      <c r="V761">
        <v>0</v>
      </c>
      <c r="W761">
        <v>0</v>
      </c>
      <c r="X761">
        <v>0</v>
      </c>
      <c r="Y761">
        <v>3.0278447487185899E-2</v>
      </c>
      <c r="Z761">
        <v>4.7948360718526102E-2</v>
      </c>
      <c r="AA761">
        <v>0</v>
      </c>
      <c r="AB761">
        <f t="shared" si="77"/>
        <v>2.1903506297599365E-2</v>
      </c>
      <c r="AC761">
        <f t="shared" si="82"/>
        <v>0.1</v>
      </c>
      <c r="AD761">
        <f t="shared" si="78"/>
        <v>0</v>
      </c>
      <c r="AE761">
        <f t="shared" si="83"/>
        <v>2.4093856927359304E-2</v>
      </c>
      <c r="AF761" t="str">
        <f t="shared" si="79"/>
        <v>Very Low</v>
      </c>
      <c r="AG761" t="str">
        <f t="shared" si="80"/>
        <v>NO ACTION</v>
      </c>
      <c r="AH761" t="str">
        <f t="shared" si="81"/>
        <v/>
      </c>
    </row>
    <row r="762" spans="1:34" x14ac:dyDescent="0.3">
      <c r="A762" t="s">
        <v>789</v>
      </c>
      <c r="B762">
        <v>0.23289224952741</v>
      </c>
      <c r="C762">
        <v>0.76409609350356</v>
      </c>
      <c r="D762">
        <v>0.37588775903479199</v>
      </c>
      <c r="E762">
        <v>0</v>
      </c>
      <c r="F762">
        <v>0</v>
      </c>
      <c r="G762">
        <v>0.486388220334247</v>
      </c>
      <c r="H762">
        <v>8</v>
      </c>
      <c r="I762">
        <v>16</v>
      </c>
      <c r="J762">
        <v>8.7495825580840597E-2</v>
      </c>
      <c r="K762">
        <v>1.7944535073409401E-2</v>
      </c>
      <c r="L762">
        <v>5.2244564317399399E-2</v>
      </c>
      <c r="M762">
        <v>2.8860028860028799E-3</v>
      </c>
      <c r="N762">
        <v>1.9878737660140498E-2</v>
      </c>
      <c r="O762">
        <v>799</v>
      </c>
      <c r="P762">
        <v>7.3442760942760907E-2</v>
      </c>
      <c r="Q762">
        <v>7.3600056102948896E-2</v>
      </c>
      <c r="R762">
        <v>0.87463126843657801</v>
      </c>
      <c r="S762">
        <v>1</v>
      </c>
      <c r="T762" t="s">
        <v>53</v>
      </c>
      <c r="U762">
        <v>3.3962264150943298E-2</v>
      </c>
      <c r="V762">
        <v>0</v>
      </c>
      <c r="W762">
        <v>0</v>
      </c>
      <c r="X762">
        <v>0.112766327710437</v>
      </c>
      <c r="Y762">
        <v>4.958506857291E-2</v>
      </c>
      <c r="Z762">
        <v>5.20171516297128E-2</v>
      </c>
      <c r="AA762">
        <v>0.87463126843657801</v>
      </c>
      <c r="AB762">
        <f t="shared" si="77"/>
        <v>0.2913879892526462</v>
      </c>
      <c r="AC762">
        <f t="shared" si="82"/>
        <v>0.1</v>
      </c>
      <c r="AD762">
        <f t="shared" si="78"/>
        <v>0</v>
      </c>
      <c r="AE762">
        <f t="shared" si="83"/>
        <v>0.32052678817791086</v>
      </c>
      <c r="AF762" t="str">
        <f t="shared" si="79"/>
        <v>Low</v>
      </c>
      <c r="AG762" t="str">
        <f t="shared" si="80"/>
        <v>NO ACTION</v>
      </c>
      <c r="AH762" t="str">
        <f t="shared" si="81"/>
        <v/>
      </c>
    </row>
    <row r="763" spans="1:34" x14ac:dyDescent="0.3">
      <c r="A763" t="s">
        <v>790</v>
      </c>
      <c r="B763">
        <v>0.12892249527410199</v>
      </c>
      <c r="C763">
        <v>0.18476582604220201</v>
      </c>
      <c r="D763">
        <v>0</v>
      </c>
      <c r="E763">
        <v>0</v>
      </c>
      <c r="F763">
        <v>0</v>
      </c>
      <c r="G763">
        <v>0.99365630099626101</v>
      </c>
      <c r="H763">
        <v>7</v>
      </c>
      <c r="I763">
        <v>7</v>
      </c>
      <c r="J763">
        <v>8.1293831401173605E-2</v>
      </c>
      <c r="K763">
        <v>1.0603588907014599E-2</v>
      </c>
      <c r="L763">
        <v>3.3220139346137198E-2</v>
      </c>
      <c r="M763">
        <v>1.1544011544011501E-3</v>
      </c>
      <c r="N763">
        <v>8.5563484042126495E-3</v>
      </c>
      <c r="O763">
        <v>802</v>
      </c>
      <c r="P763">
        <v>6.4884960718293999E-2</v>
      </c>
      <c r="Q763">
        <v>6.5044356393982899E-2</v>
      </c>
      <c r="R763">
        <v>0</v>
      </c>
      <c r="S763">
        <v>0</v>
      </c>
      <c r="T763" t="s">
        <v>53</v>
      </c>
      <c r="U763">
        <v>4.4150943396226397E-2</v>
      </c>
      <c r="V763">
        <v>0</v>
      </c>
      <c r="W763">
        <v>0</v>
      </c>
      <c r="X763">
        <v>0</v>
      </c>
      <c r="Y763">
        <v>3.5435740474567101E-2</v>
      </c>
      <c r="Z763">
        <v>4.2353515792661403E-2</v>
      </c>
      <c r="AA763">
        <v>0</v>
      </c>
      <c r="AB763">
        <f t="shared" si="77"/>
        <v>2.1780991754823981E-2</v>
      </c>
      <c r="AC763">
        <f t="shared" si="82"/>
        <v>0.1</v>
      </c>
      <c r="AD763">
        <f t="shared" si="78"/>
        <v>0</v>
      </c>
      <c r="AE763">
        <f t="shared" si="83"/>
        <v>2.3959090930306379E-2</v>
      </c>
      <c r="AF763" t="str">
        <f t="shared" si="79"/>
        <v>Very Low</v>
      </c>
      <c r="AG763" t="str">
        <f t="shared" si="80"/>
        <v>NO ACTION</v>
      </c>
      <c r="AH763" t="str">
        <f t="shared" si="81"/>
        <v/>
      </c>
    </row>
    <row r="764" spans="1:34" x14ac:dyDescent="0.3">
      <c r="A764" t="s">
        <v>791</v>
      </c>
      <c r="B764">
        <v>0.23213610586011299</v>
      </c>
      <c r="C764">
        <v>0.57014309103961203</v>
      </c>
      <c r="D764">
        <v>0.36054656759350201</v>
      </c>
      <c r="E764">
        <v>0</v>
      </c>
      <c r="F764">
        <v>0</v>
      </c>
      <c r="G764">
        <v>0.48854447044475702</v>
      </c>
      <c r="H764">
        <v>7</v>
      </c>
      <c r="I764">
        <v>13</v>
      </c>
      <c r="J764">
        <v>8.2820476122322406E-2</v>
      </c>
      <c r="K764">
        <v>8.9722675367047301E-3</v>
      </c>
      <c r="L764">
        <v>2.75926920676903E-2</v>
      </c>
      <c r="M764">
        <v>1.44300144300144E-3</v>
      </c>
      <c r="N764">
        <v>1.0498850820505E-2</v>
      </c>
      <c r="O764">
        <v>670</v>
      </c>
      <c r="P764">
        <v>6.5446127946127905E-2</v>
      </c>
      <c r="Q764">
        <v>6.5605385883095405E-2</v>
      </c>
      <c r="R764">
        <v>0</v>
      </c>
      <c r="S764">
        <v>0</v>
      </c>
      <c r="T764" t="s">
        <v>53</v>
      </c>
      <c r="U764">
        <v>3.1132075471698099E-2</v>
      </c>
      <c r="V764">
        <v>0</v>
      </c>
      <c r="W764">
        <v>0</v>
      </c>
      <c r="X764">
        <v>0.10816397027805</v>
      </c>
      <c r="Y764">
        <v>3.3510096504461101E-2</v>
      </c>
      <c r="Z764">
        <v>4.3467217095878703E-2</v>
      </c>
      <c r="AA764">
        <v>0</v>
      </c>
      <c r="AB764">
        <f t="shared" si="77"/>
        <v>3.8859883052583144E-2</v>
      </c>
      <c r="AC764">
        <f t="shared" si="82"/>
        <v>0.1</v>
      </c>
      <c r="AD764">
        <f t="shared" si="78"/>
        <v>0</v>
      </c>
      <c r="AE764">
        <f t="shared" si="83"/>
        <v>4.2745871357841463E-2</v>
      </c>
      <c r="AF764" t="str">
        <f t="shared" si="79"/>
        <v>Very Low</v>
      </c>
      <c r="AG764" t="str">
        <f t="shared" si="80"/>
        <v>NO ACTION</v>
      </c>
      <c r="AH764" t="str">
        <f t="shared" si="81"/>
        <v/>
      </c>
    </row>
    <row r="765" spans="1:34" x14ac:dyDescent="0.3">
      <c r="A765" t="s">
        <v>792</v>
      </c>
      <c r="B765">
        <v>0.270321361058601</v>
      </c>
      <c r="C765">
        <v>0.73340982965847901</v>
      </c>
      <c r="D765">
        <v>0.39243385708419698</v>
      </c>
      <c r="E765">
        <v>0</v>
      </c>
      <c r="F765">
        <v>0</v>
      </c>
      <c r="G765">
        <v>0.39894327582053002</v>
      </c>
      <c r="H765">
        <v>7</v>
      </c>
      <c r="I765">
        <v>16</v>
      </c>
      <c r="J765">
        <v>8.2820476122322406E-2</v>
      </c>
      <c r="K765">
        <v>8.1566068515497494E-3</v>
      </c>
      <c r="L765">
        <v>2.5084265516082001E-2</v>
      </c>
      <c r="M765">
        <v>2.59740259740259E-3</v>
      </c>
      <c r="N765">
        <v>1.8897931476909002E-2</v>
      </c>
      <c r="O765">
        <v>751</v>
      </c>
      <c r="P765">
        <v>6.5656565656565594E-2</v>
      </c>
      <c r="Q765">
        <v>6.5815771941512599E-2</v>
      </c>
      <c r="R765">
        <v>0</v>
      </c>
      <c r="S765">
        <v>0</v>
      </c>
      <c r="T765" t="s">
        <v>53</v>
      </c>
      <c r="U765">
        <v>1.6981132075471601E-2</v>
      </c>
      <c r="V765">
        <v>0</v>
      </c>
      <c r="W765">
        <v>0</v>
      </c>
      <c r="X765">
        <v>0.117730157125259</v>
      </c>
      <c r="Y765">
        <v>3.4775607425578198E-2</v>
      </c>
      <c r="Z765">
        <v>4.6953111984702998E-2</v>
      </c>
      <c r="AA765">
        <v>0</v>
      </c>
      <c r="AB765">
        <f t="shared" si="77"/>
        <v>4.1720866574920176E-2</v>
      </c>
      <c r="AC765">
        <f t="shared" si="82"/>
        <v>0.1</v>
      </c>
      <c r="AD765">
        <f t="shared" si="78"/>
        <v>0</v>
      </c>
      <c r="AE765">
        <f t="shared" si="83"/>
        <v>4.5892953232412201E-2</v>
      </c>
      <c r="AF765" t="str">
        <f t="shared" si="79"/>
        <v>Very Low</v>
      </c>
      <c r="AG765" t="str">
        <f t="shared" si="80"/>
        <v>NO ACTION</v>
      </c>
      <c r="AH765" t="str">
        <f t="shared" si="81"/>
        <v/>
      </c>
    </row>
    <row r="766" spans="1:34" x14ac:dyDescent="0.3">
      <c r="A766" t="s">
        <v>793</v>
      </c>
      <c r="B766">
        <v>0.12892249527410199</v>
      </c>
      <c r="C766">
        <v>0.27098987819523002</v>
      </c>
      <c r="D766">
        <v>7.4965657310309297E-2</v>
      </c>
      <c r="E766">
        <v>0</v>
      </c>
      <c r="F766">
        <v>0</v>
      </c>
      <c r="G766">
        <v>0.99369304618175402</v>
      </c>
      <c r="H766">
        <v>7</v>
      </c>
      <c r="I766">
        <v>8</v>
      </c>
      <c r="J766">
        <v>7.0798148943275602E-2</v>
      </c>
      <c r="K766">
        <v>1.2234910277324601E-2</v>
      </c>
      <c r="L766">
        <v>4.3994331360139902E-2</v>
      </c>
      <c r="M766">
        <v>1.7316017316017301E-3</v>
      </c>
      <c r="N766">
        <v>1.47308254762922E-2</v>
      </c>
      <c r="O766">
        <v>792</v>
      </c>
      <c r="P766">
        <v>5.8150953984287303E-2</v>
      </c>
      <c r="Q766">
        <v>5.83120025246327E-2</v>
      </c>
      <c r="R766">
        <v>0</v>
      </c>
      <c r="S766">
        <v>0</v>
      </c>
      <c r="T766" t="s">
        <v>53</v>
      </c>
      <c r="U766">
        <v>3.6388140161725001E-2</v>
      </c>
      <c r="V766">
        <v>0</v>
      </c>
      <c r="W766">
        <v>0</v>
      </c>
      <c r="X766">
        <v>2.2489697193092802E-2</v>
      </c>
      <c r="Y766">
        <v>4.0576043111612697E-2</v>
      </c>
      <c r="Z766">
        <v>4.07829025810892E-2</v>
      </c>
      <c r="AA766">
        <v>0</v>
      </c>
      <c r="AB766">
        <f t="shared" si="77"/>
        <v>2.6378856344851383E-2</v>
      </c>
      <c r="AC766">
        <f t="shared" si="82"/>
        <v>0.1</v>
      </c>
      <c r="AD766">
        <f t="shared" si="78"/>
        <v>0</v>
      </c>
      <c r="AE766">
        <f t="shared" si="83"/>
        <v>2.9016741979336524E-2</v>
      </c>
      <c r="AF766" t="str">
        <f t="shared" si="79"/>
        <v>Very Low</v>
      </c>
      <c r="AG766" t="str">
        <f t="shared" si="80"/>
        <v>NO ACTION</v>
      </c>
      <c r="AH766" t="str">
        <f t="shared" si="81"/>
        <v/>
      </c>
    </row>
    <row r="767" spans="1:34" x14ac:dyDescent="0.3">
      <c r="A767" t="s">
        <v>794</v>
      </c>
      <c r="B767">
        <v>0.15538752362948899</v>
      </c>
      <c r="C767">
        <v>0.53693394266722005</v>
      </c>
      <c r="D767">
        <v>0.36689862827007802</v>
      </c>
      <c r="E767">
        <v>0</v>
      </c>
      <c r="F767">
        <v>0</v>
      </c>
      <c r="G767">
        <v>0.80142628718040798</v>
      </c>
      <c r="H767">
        <v>8</v>
      </c>
      <c r="I767">
        <v>19</v>
      </c>
      <c r="J767">
        <v>9.8277753923954006E-2</v>
      </c>
      <c r="K767">
        <v>1.6313213703099499E-2</v>
      </c>
      <c r="L767">
        <v>4.2297052071185302E-2</v>
      </c>
      <c r="M767">
        <v>2.0202020202020202E-3</v>
      </c>
      <c r="N767">
        <v>1.23922029006774E-2</v>
      </c>
      <c r="O767">
        <v>1010</v>
      </c>
      <c r="P767">
        <v>8.0246913580246895E-2</v>
      </c>
      <c r="Q767">
        <v>8.0402538658438202E-2</v>
      </c>
      <c r="R767">
        <v>0.684365781710914</v>
      </c>
      <c r="S767">
        <v>1</v>
      </c>
      <c r="T767" t="s">
        <v>28</v>
      </c>
      <c r="U767">
        <v>4.2452830188679201E-2</v>
      </c>
      <c r="V767">
        <v>0</v>
      </c>
      <c r="W767">
        <v>0</v>
      </c>
      <c r="X767">
        <v>0.110069588481023</v>
      </c>
      <c r="Y767">
        <v>4.4521737690586698E-2</v>
      </c>
      <c r="Z767">
        <v>5.3105029308419101E-2</v>
      </c>
      <c r="AA767">
        <v>0.684365781710914</v>
      </c>
      <c r="AB767">
        <f t="shared" si="77"/>
        <v>0.23656904779574123</v>
      </c>
      <c r="AC767">
        <f t="shared" si="82"/>
        <v>0.25</v>
      </c>
      <c r="AD767">
        <f t="shared" si="78"/>
        <v>0</v>
      </c>
      <c r="AE767">
        <f t="shared" si="83"/>
        <v>0.29571130974467652</v>
      </c>
      <c r="AF767" t="str">
        <f t="shared" si="79"/>
        <v>Low</v>
      </c>
      <c r="AG767" t="str">
        <f t="shared" si="80"/>
        <v>NO ACTION</v>
      </c>
      <c r="AH767" t="str">
        <f t="shared" si="81"/>
        <v/>
      </c>
    </row>
    <row r="768" spans="1:34" x14ac:dyDescent="0.3">
      <c r="A768" t="s">
        <v>795</v>
      </c>
      <c r="B768">
        <v>0.12892249527410199</v>
      </c>
      <c r="C768">
        <v>0.27902317497967399</v>
      </c>
      <c r="D768">
        <v>7.51173381640724E-2</v>
      </c>
      <c r="E768">
        <v>0</v>
      </c>
      <c r="F768">
        <v>0</v>
      </c>
      <c r="G768">
        <v>0.99366513268687495</v>
      </c>
      <c r="H768">
        <v>7</v>
      </c>
      <c r="I768">
        <v>8</v>
      </c>
      <c r="J768">
        <v>5.85372835265493E-2</v>
      </c>
      <c r="K768">
        <v>6.5252854812398002E-3</v>
      </c>
      <c r="L768">
        <v>2.83582508204538E-2</v>
      </c>
      <c r="M768">
        <v>6.9264069264069203E-3</v>
      </c>
      <c r="N768">
        <v>7.1214932253893207E-2</v>
      </c>
      <c r="O768">
        <v>535</v>
      </c>
      <c r="P768">
        <v>4.9207351290684598E-2</v>
      </c>
      <c r="Q768">
        <v>4.9370595041901798E-2</v>
      </c>
      <c r="R768">
        <v>0</v>
      </c>
      <c r="S768">
        <v>0</v>
      </c>
      <c r="T768" t="s">
        <v>53</v>
      </c>
      <c r="U768">
        <v>5.4339622641509404E-3</v>
      </c>
      <c r="V768">
        <v>0</v>
      </c>
      <c r="W768">
        <v>0</v>
      </c>
      <c r="X768">
        <v>2.2535201449221699E-2</v>
      </c>
      <c r="Y768">
        <v>4.7251061791704699E-2</v>
      </c>
      <c r="Z768">
        <v>5.8010383675968002E-2</v>
      </c>
      <c r="AA768">
        <v>0</v>
      </c>
      <c r="AB768">
        <f t="shared" si="77"/>
        <v>3.3078836962823835E-2</v>
      </c>
      <c r="AC768">
        <f t="shared" si="82"/>
        <v>0.1</v>
      </c>
      <c r="AD768">
        <f t="shared" si="78"/>
        <v>0</v>
      </c>
      <c r="AE768">
        <f t="shared" si="83"/>
        <v>3.6386720659106218E-2</v>
      </c>
      <c r="AF768" t="str">
        <f t="shared" si="79"/>
        <v>Very Low</v>
      </c>
      <c r="AG768" t="str">
        <f t="shared" si="80"/>
        <v>NO ACTION</v>
      </c>
      <c r="AH768" t="str">
        <f t="shared" si="81"/>
        <v/>
      </c>
    </row>
    <row r="769" spans="1:34" x14ac:dyDescent="0.3">
      <c r="A769" t="s">
        <v>796</v>
      </c>
      <c r="B769">
        <v>0.270321361058601</v>
      </c>
      <c r="C769">
        <v>0.80150849989656503</v>
      </c>
      <c r="D769">
        <v>0.36766279692959603</v>
      </c>
      <c r="E769">
        <v>0</v>
      </c>
      <c r="F769">
        <v>0</v>
      </c>
      <c r="G769">
        <v>0.39894124990659202</v>
      </c>
      <c r="H769">
        <v>8</v>
      </c>
      <c r="I769">
        <v>15</v>
      </c>
      <c r="J769">
        <v>6.4309908878393204E-2</v>
      </c>
      <c r="K769">
        <v>1.1419249592169599E-2</v>
      </c>
      <c r="L769">
        <v>4.5188757404950798E-2</v>
      </c>
      <c r="M769">
        <v>1.1544011544011501E-3</v>
      </c>
      <c r="N769">
        <v>1.0807686195712801E-2</v>
      </c>
      <c r="O769">
        <v>617</v>
      </c>
      <c r="P769">
        <v>5.2749719416386003E-2</v>
      </c>
      <c r="Q769">
        <v>5.2912093691924601E-2</v>
      </c>
      <c r="R769">
        <v>0</v>
      </c>
      <c r="S769">
        <v>0</v>
      </c>
      <c r="T769" t="s">
        <v>53</v>
      </c>
      <c r="U769">
        <v>4.7547169811320698E-2</v>
      </c>
      <c r="V769">
        <v>0</v>
      </c>
      <c r="W769">
        <v>0</v>
      </c>
      <c r="X769">
        <v>0.110298839078878</v>
      </c>
      <c r="Y769">
        <v>3.8698666336867901E-2</v>
      </c>
      <c r="Z769">
        <v>3.5972906128116697E-2</v>
      </c>
      <c r="AA769">
        <v>0</v>
      </c>
      <c r="AB769">
        <f t="shared" si="77"/>
        <v>3.8555854542816168E-2</v>
      </c>
      <c r="AC769">
        <f t="shared" si="82"/>
        <v>0.1</v>
      </c>
      <c r="AD769">
        <f t="shared" si="78"/>
        <v>0</v>
      </c>
      <c r="AE769">
        <f t="shared" si="83"/>
        <v>4.2411439997097788E-2</v>
      </c>
      <c r="AF769" t="str">
        <f t="shared" si="79"/>
        <v>Very Low</v>
      </c>
      <c r="AG769" t="str">
        <f t="shared" si="80"/>
        <v>NO ACTION</v>
      </c>
      <c r="AH769" t="str">
        <f t="shared" si="81"/>
        <v/>
      </c>
    </row>
    <row r="770" spans="1:34" x14ac:dyDescent="0.3">
      <c r="A770" t="s">
        <v>797</v>
      </c>
      <c r="B770">
        <v>0.27561436672967798</v>
      </c>
      <c r="C770">
        <v>0.66268670759201997</v>
      </c>
      <c r="D770">
        <v>0.40571549960198799</v>
      </c>
      <c r="E770">
        <v>0</v>
      </c>
      <c r="F770">
        <v>0</v>
      </c>
      <c r="G770">
        <v>0.388444329418347</v>
      </c>
      <c r="H770">
        <v>7</v>
      </c>
      <c r="I770">
        <v>16</v>
      </c>
      <c r="J770">
        <v>8.2009446114212098E-2</v>
      </c>
      <c r="K770">
        <v>8.1566068515497494E-3</v>
      </c>
      <c r="L770">
        <v>2.5331616162122299E-2</v>
      </c>
      <c r="M770">
        <v>3.1746031746031698E-3</v>
      </c>
      <c r="N770">
        <v>2.3325231097852901E-2</v>
      </c>
      <c r="O770">
        <v>804</v>
      </c>
      <c r="P770">
        <v>6.5340909090909102E-2</v>
      </c>
      <c r="Q770">
        <v>6.5500192853886793E-2</v>
      </c>
      <c r="R770">
        <v>0</v>
      </c>
      <c r="S770">
        <v>0</v>
      </c>
      <c r="T770" t="s">
        <v>53</v>
      </c>
      <c r="U770">
        <v>1.41509433962264E-2</v>
      </c>
      <c r="V770">
        <v>0</v>
      </c>
      <c r="W770">
        <v>0</v>
      </c>
      <c r="X770">
        <v>0.12171464988059599</v>
      </c>
      <c r="Y770">
        <v>3.6065266633259402E-2</v>
      </c>
      <c r="Z770">
        <v>4.8534637893686602E-2</v>
      </c>
      <c r="AA770">
        <v>0</v>
      </c>
      <c r="AB770">
        <f t="shared" si="77"/>
        <v>4.3162317248440246E-2</v>
      </c>
      <c r="AC770">
        <f t="shared" si="82"/>
        <v>0.1</v>
      </c>
      <c r="AD770">
        <f t="shared" si="78"/>
        <v>0</v>
      </c>
      <c r="AE770">
        <f t="shared" si="83"/>
        <v>4.7478548973284275E-2</v>
      </c>
      <c r="AF770" t="str">
        <f t="shared" si="79"/>
        <v>Very Low</v>
      </c>
      <c r="AG770" t="str">
        <f t="shared" si="80"/>
        <v>NO ACTION</v>
      </c>
      <c r="AH770" t="str">
        <f t="shared" si="81"/>
        <v/>
      </c>
    </row>
    <row r="771" spans="1:34" x14ac:dyDescent="0.3">
      <c r="A771" t="s">
        <v>798</v>
      </c>
      <c r="B771">
        <v>0.12892249527410199</v>
      </c>
      <c r="C771">
        <v>0.36953165208440503</v>
      </c>
      <c r="D771">
        <v>0</v>
      </c>
      <c r="E771">
        <v>0</v>
      </c>
      <c r="F771">
        <v>0</v>
      </c>
      <c r="G771">
        <v>0.99367728295214297</v>
      </c>
      <c r="H771">
        <v>8</v>
      </c>
      <c r="I771">
        <v>8</v>
      </c>
      <c r="J771">
        <v>0.10166499689900201</v>
      </c>
      <c r="K771">
        <v>9.7879282218597003E-3</v>
      </c>
      <c r="L771">
        <v>2.4534666440167899E-2</v>
      </c>
      <c r="M771">
        <v>7.5324675324675294E-2</v>
      </c>
      <c r="N771">
        <v>0.44669366214310002</v>
      </c>
      <c r="O771">
        <v>685</v>
      </c>
      <c r="P771">
        <v>0.115565375982042</v>
      </c>
      <c r="Q771">
        <v>0.115712332129457</v>
      </c>
      <c r="R771">
        <v>0</v>
      </c>
      <c r="S771">
        <v>0</v>
      </c>
      <c r="T771" t="s">
        <v>28</v>
      </c>
      <c r="U771">
        <v>7.7776177444908502E-4</v>
      </c>
      <c r="V771">
        <v>0</v>
      </c>
      <c r="W771">
        <v>0</v>
      </c>
      <c r="X771">
        <v>0</v>
      </c>
      <c r="Y771">
        <v>0.16660843124281399</v>
      </c>
      <c r="Z771">
        <v>0.24801669044646499</v>
      </c>
      <c r="AA771">
        <v>0</v>
      </c>
      <c r="AB771">
        <f t="shared" ref="AB771:AB834" si="84">0.16*X771 + 0.28*Y771 + 0.28*Z771 + 0.28*AA771</f>
        <v>0.11609503407299812</v>
      </c>
      <c r="AC771">
        <f t="shared" si="82"/>
        <v>0.25</v>
      </c>
      <c r="AD771">
        <f t="shared" ref="AD771:AD834" si="85">IF(V771&gt;0.7, 0.1,
 IF(F771&gt;0.5, 0.08,
 IF(E771&gt;0.5, 0.05,
 0)))</f>
        <v>0</v>
      </c>
      <c r="AE771">
        <f t="shared" si="83"/>
        <v>0.14511879259124766</v>
      </c>
      <c r="AF771" t="str">
        <f t="shared" ref="AF771:AF834" si="86">IF(MAX(X771, Y771, Z771, AA771)&gt;0.9,
 "Critical",
 IF(AE771&lt;=0.2,"Very Low",
 IF(AE771&lt;=0.4,"Low",
 IF(AE771&lt;=0.6,"Medium",
 IF(AE771&lt;=0.8,"High","Critical")))))</f>
        <v>Very Low</v>
      </c>
      <c r="AG771" t="str">
        <f t="shared" ref="AG771:AG834" si="87">IF(MAX(X771:AA771)&gt;0.9,"CRITICAL ALERT",
 IF(AE771&gt;0.8,"CRITICAL ALERT",
 IF(AE771&gt;0.6,"ALERT",
 IF(AE771&gt;=0.4,"REVIEW","NO ACTION"))))</f>
        <v>NO ACTION</v>
      </c>
      <c r="AH771" t="str">
        <f t="shared" ref="AH771:AH834" si="88">IF(AG771="NO ACTION","",
 IF(_xlfn.TEXTJOIN(", ", TRUE,
  IF(X771&gt;0.7,"Login anomaly",""),
  IF(Y771&gt;0.7,"File anomaly",""),
  IF(Z771&gt;0.7,"Network anomaly",""),
  IF(AA771&gt;0.7,"USB anomaly","")
 )="",
 "General anomaly detected",
 _xlfn.TEXTJOIN(", ", TRUE,
  IF(X771&gt;0.7,"Login anomaly",""),
  IF(Y771&gt;0.7,"File anomaly",""),
  IF(Z771&gt;0.7,"Network anomaly",""),
  IF(AA771&gt;0.7,"USB anomaly","")
 )))</f>
        <v/>
      </c>
    </row>
    <row r="772" spans="1:34" x14ac:dyDescent="0.3">
      <c r="A772" t="s">
        <v>799</v>
      </c>
      <c r="B772">
        <v>0.22570888468809</v>
      </c>
      <c r="C772">
        <v>0.75535712909432895</v>
      </c>
      <c r="D772">
        <v>0.37272711098299599</v>
      </c>
      <c r="E772">
        <v>0</v>
      </c>
      <c r="F772">
        <v>0</v>
      </c>
      <c r="G772">
        <v>0.50630354125652</v>
      </c>
      <c r="H772">
        <v>8</v>
      </c>
      <c r="I772">
        <v>14</v>
      </c>
      <c r="J772">
        <v>7.5091837221506599E-2</v>
      </c>
      <c r="K772">
        <v>1.30505709624796E-2</v>
      </c>
      <c r="L772">
        <v>4.4252520596325597E-2</v>
      </c>
      <c r="M772">
        <v>1.44300144300144E-3</v>
      </c>
      <c r="N772">
        <v>1.15759970098158E-2</v>
      </c>
      <c r="O772">
        <v>867</v>
      </c>
      <c r="P772">
        <v>6.1517957351290599E-2</v>
      </c>
      <c r="Q772">
        <v>6.16781794593078E-2</v>
      </c>
      <c r="R772">
        <v>0</v>
      </c>
      <c r="S772">
        <v>0</v>
      </c>
      <c r="T772" t="s">
        <v>53</v>
      </c>
      <c r="U772">
        <v>4.5283018867924497E-2</v>
      </c>
      <c r="V772">
        <v>0</v>
      </c>
      <c r="W772">
        <v>0</v>
      </c>
      <c r="X772">
        <v>0.111818133294898</v>
      </c>
      <c r="Y772">
        <v>4.0617426845408901E-2</v>
      </c>
      <c r="Z772">
        <v>4.1541173214700702E-2</v>
      </c>
      <c r="AA772">
        <v>0</v>
      </c>
      <c r="AB772">
        <f t="shared" si="84"/>
        <v>4.089530934401437E-2</v>
      </c>
      <c r="AC772">
        <f t="shared" ref="AC772:AC835" si="89">IF(T772="IT_Admin", 0.25, IF(AND(T772="HR", AA772&gt;0.6), 0.25, IF(AND(T772="General", Z772&gt;0.7), 0.2, 0.1)))</f>
        <v>0.1</v>
      </c>
      <c r="AD772">
        <f t="shared" si="85"/>
        <v>0</v>
      </c>
      <c r="AE772">
        <f t="shared" ref="AE772:AE835" si="90">MIN(1,AB772*(1+AC772+AD772))</f>
        <v>4.4984840278415809E-2</v>
      </c>
      <c r="AF772" t="str">
        <f t="shared" si="86"/>
        <v>Very Low</v>
      </c>
      <c r="AG772" t="str">
        <f t="shared" si="87"/>
        <v>NO ACTION</v>
      </c>
      <c r="AH772" t="str">
        <f t="shared" si="88"/>
        <v/>
      </c>
    </row>
    <row r="773" spans="1:34" x14ac:dyDescent="0.3">
      <c r="A773" t="s">
        <v>800</v>
      </c>
      <c r="B773">
        <v>0.12892249527410199</v>
      </c>
      <c r="C773">
        <v>0.36953165208440503</v>
      </c>
      <c r="D773">
        <v>0</v>
      </c>
      <c r="E773">
        <v>0</v>
      </c>
      <c r="F773">
        <v>0</v>
      </c>
      <c r="G773">
        <v>0.99367763086722805</v>
      </c>
      <c r="H773">
        <v>8</v>
      </c>
      <c r="I773">
        <v>8</v>
      </c>
      <c r="J773">
        <v>8.2009446114212098E-2</v>
      </c>
      <c r="K773">
        <v>1.2234910277324601E-2</v>
      </c>
      <c r="L773">
        <v>3.7997424243183503E-2</v>
      </c>
      <c r="M773">
        <v>7.2150072150072098E-3</v>
      </c>
      <c r="N773">
        <v>5.3011888858756601E-2</v>
      </c>
      <c r="O773">
        <v>874</v>
      </c>
      <c r="P773">
        <v>6.9058641975308602E-2</v>
      </c>
      <c r="Q773">
        <v>6.9217013219257301E-2</v>
      </c>
      <c r="R773">
        <v>0</v>
      </c>
      <c r="S773">
        <v>0</v>
      </c>
      <c r="T773" t="s">
        <v>53</v>
      </c>
      <c r="U773">
        <v>9.7968069666182801E-3</v>
      </c>
      <c r="V773">
        <v>0</v>
      </c>
      <c r="W773">
        <v>0</v>
      </c>
      <c r="X773">
        <v>0</v>
      </c>
      <c r="Y773">
        <v>5.1304168002061099E-2</v>
      </c>
      <c r="Z773">
        <v>6.2639940728687796E-2</v>
      </c>
      <c r="AA773">
        <v>0</v>
      </c>
      <c r="AB773">
        <f t="shared" si="84"/>
        <v>3.1904350444609694E-2</v>
      </c>
      <c r="AC773">
        <f t="shared" si="89"/>
        <v>0.1</v>
      </c>
      <c r="AD773">
        <f t="shared" si="85"/>
        <v>0</v>
      </c>
      <c r="AE773">
        <f t="shared" si="90"/>
        <v>3.5094785489070669E-2</v>
      </c>
      <c r="AF773" t="str">
        <f t="shared" si="86"/>
        <v>Very Low</v>
      </c>
      <c r="AG773" t="str">
        <f t="shared" si="87"/>
        <v>NO ACTION</v>
      </c>
      <c r="AH773" t="str">
        <f t="shared" si="88"/>
        <v/>
      </c>
    </row>
    <row r="774" spans="1:34" x14ac:dyDescent="0.3">
      <c r="A774" t="s">
        <v>801</v>
      </c>
      <c r="B774">
        <v>0.23478260869565201</v>
      </c>
      <c r="C774">
        <v>0.76300895522388001</v>
      </c>
      <c r="D774">
        <v>0.36302140454424803</v>
      </c>
      <c r="E774">
        <v>0</v>
      </c>
      <c r="F774">
        <v>0</v>
      </c>
      <c r="G774">
        <v>0.48110880511863402</v>
      </c>
      <c r="H774">
        <v>8</v>
      </c>
      <c r="I774">
        <v>14</v>
      </c>
      <c r="J774">
        <v>8.1866323171604402E-2</v>
      </c>
      <c r="K774">
        <v>8.1566068515497494E-3</v>
      </c>
      <c r="L774">
        <v>2.5375773540673399E-2</v>
      </c>
      <c r="M774">
        <v>3.4632034632034602E-3</v>
      </c>
      <c r="N774">
        <v>2.5490062910167401E-2</v>
      </c>
      <c r="O774">
        <v>842</v>
      </c>
      <c r="P774">
        <v>6.5375982042648703E-2</v>
      </c>
      <c r="Q774">
        <v>6.5535257196956395E-2</v>
      </c>
      <c r="R774">
        <v>0</v>
      </c>
      <c r="S774">
        <v>0</v>
      </c>
      <c r="T774" t="s">
        <v>53</v>
      </c>
      <c r="U774">
        <v>1.30624092888243E-2</v>
      </c>
      <c r="V774">
        <v>0</v>
      </c>
      <c r="W774">
        <v>0</v>
      </c>
      <c r="X774">
        <v>0.108906421363274</v>
      </c>
      <c r="Y774">
        <v>3.67081702777078E-2</v>
      </c>
      <c r="Z774">
        <v>4.9421614389656199E-2</v>
      </c>
      <c r="AA774">
        <v>0</v>
      </c>
      <c r="AB774">
        <f t="shared" si="84"/>
        <v>4.1541367124985761E-2</v>
      </c>
      <c r="AC774">
        <f t="shared" si="89"/>
        <v>0.1</v>
      </c>
      <c r="AD774">
        <f t="shared" si="85"/>
        <v>0</v>
      </c>
      <c r="AE774">
        <f t="shared" si="90"/>
        <v>4.5695503837484337E-2</v>
      </c>
      <c r="AF774" t="str">
        <f t="shared" si="86"/>
        <v>Very Low</v>
      </c>
      <c r="AG774" t="str">
        <f t="shared" si="87"/>
        <v>NO ACTION</v>
      </c>
      <c r="AH774" t="str">
        <f t="shared" si="88"/>
        <v/>
      </c>
    </row>
    <row r="775" spans="1:34" x14ac:dyDescent="0.3">
      <c r="A775" t="s">
        <v>802</v>
      </c>
      <c r="B775">
        <v>0.12892249527410199</v>
      </c>
      <c r="C775">
        <v>0.46164678854602498</v>
      </c>
      <c r="D775">
        <v>7.5132489407342906E-2</v>
      </c>
      <c r="E775">
        <v>0</v>
      </c>
      <c r="F775">
        <v>0</v>
      </c>
      <c r="G775">
        <v>0.99369259121587405</v>
      </c>
      <c r="H775">
        <v>8</v>
      </c>
      <c r="I775">
        <v>9</v>
      </c>
      <c r="J775">
        <v>7.7190973713086197E-2</v>
      </c>
      <c r="K775">
        <v>1.1419249592169599E-2</v>
      </c>
      <c r="L775">
        <v>3.7671219204496897E-2</v>
      </c>
      <c r="M775">
        <v>1.44300144300144E-3</v>
      </c>
      <c r="N775">
        <v>1.12621683786193E-2</v>
      </c>
      <c r="O775">
        <v>742</v>
      </c>
      <c r="P775">
        <v>6.2359708193041499E-2</v>
      </c>
      <c r="Q775">
        <v>6.2519723692976606E-2</v>
      </c>
      <c r="R775">
        <v>0</v>
      </c>
      <c r="S775">
        <v>0</v>
      </c>
      <c r="T775" t="s">
        <v>53</v>
      </c>
      <c r="U775">
        <v>3.9622641509433898E-2</v>
      </c>
      <c r="V775">
        <v>0</v>
      </c>
      <c r="W775">
        <v>0</v>
      </c>
      <c r="X775">
        <v>2.2539746822202798E-2</v>
      </c>
      <c r="Y775">
        <v>3.7652454858451499E-2</v>
      </c>
      <c r="Z775">
        <v>4.1920692267272602E-2</v>
      </c>
      <c r="AA775">
        <v>0</v>
      </c>
      <c r="AB775">
        <f t="shared" si="84"/>
        <v>2.5886840686755199E-2</v>
      </c>
      <c r="AC775">
        <f t="shared" si="89"/>
        <v>0.1</v>
      </c>
      <c r="AD775">
        <f t="shared" si="85"/>
        <v>0</v>
      </c>
      <c r="AE775">
        <f t="shared" si="90"/>
        <v>2.847552475543072E-2</v>
      </c>
      <c r="AF775" t="str">
        <f t="shared" si="86"/>
        <v>Very Low</v>
      </c>
      <c r="AG775" t="str">
        <f t="shared" si="87"/>
        <v>NO ACTION</v>
      </c>
      <c r="AH775" t="str">
        <f t="shared" si="88"/>
        <v/>
      </c>
    </row>
    <row r="776" spans="1:34" x14ac:dyDescent="0.3">
      <c r="A776" t="s">
        <v>803</v>
      </c>
      <c r="B776">
        <v>0.240075614366729</v>
      </c>
      <c r="C776">
        <v>0.79313405451292895</v>
      </c>
      <c r="D776">
        <v>0.418886652429864</v>
      </c>
      <c r="E776">
        <v>0.21387584767866399</v>
      </c>
      <c r="F776">
        <v>1.4084507042253501E-2</v>
      </c>
      <c r="G776">
        <v>0.467562642413614</v>
      </c>
      <c r="H776">
        <v>0</v>
      </c>
      <c r="I776">
        <v>22</v>
      </c>
      <c r="J776">
        <v>7.4137684270788595E-2</v>
      </c>
      <c r="K776">
        <v>3.2626427406199001E-3</v>
      </c>
      <c r="L776">
        <v>1.1205056129184999E-2</v>
      </c>
      <c r="M776">
        <v>2.88600288600288E-4</v>
      </c>
      <c r="N776">
        <v>2.3449004847337098E-3</v>
      </c>
      <c r="O776">
        <v>512</v>
      </c>
      <c r="P776">
        <v>5.6046576879910201E-2</v>
      </c>
      <c r="Q776">
        <v>5.6208141940460699E-2</v>
      </c>
      <c r="R776">
        <v>0</v>
      </c>
      <c r="S776">
        <v>0</v>
      </c>
      <c r="T776" t="s">
        <v>53</v>
      </c>
      <c r="U776">
        <v>3.3962264150943298E-2</v>
      </c>
      <c r="V776">
        <v>0</v>
      </c>
      <c r="W776">
        <v>0</v>
      </c>
      <c r="X776">
        <v>0.19546255284945999</v>
      </c>
      <c r="Y776">
        <v>2.1133535064170299E-2</v>
      </c>
      <c r="Z776">
        <v>3.4565906321839597E-2</v>
      </c>
      <c r="AA776">
        <v>0</v>
      </c>
      <c r="AB776">
        <f t="shared" si="84"/>
        <v>4.6869852043996366E-2</v>
      </c>
      <c r="AC776">
        <f t="shared" si="89"/>
        <v>0.1</v>
      </c>
      <c r="AD776">
        <f t="shared" si="85"/>
        <v>0</v>
      </c>
      <c r="AE776">
        <f t="shared" si="90"/>
        <v>5.1556837248396006E-2</v>
      </c>
      <c r="AF776" t="str">
        <f t="shared" si="86"/>
        <v>Very Low</v>
      </c>
      <c r="AG776" t="str">
        <f t="shared" si="87"/>
        <v>NO ACTION</v>
      </c>
      <c r="AH776" t="str">
        <f t="shared" si="88"/>
        <v/>
      </c>
    </row>
    <row r="777" spans="1:34" x14ac:dyDescent="0.3">
      <c r="A777" t="s">
        <v>804</v>
      </c>
      <c r="B777">
        <v>0.15652173913043399</v>
      </c>
      <c r="C777">
        <v>0.48313169345485002</v>
      </c>
      <c r="D777">
        <v>0.49558555862876502</v>
      </c>
      <c r="E777">
        <v>0.98086124401913799</v>
      </c>
      <c r="F777">
        <v>9.0909090909090898E-2</v>
      </c>
      <c r="G777">
        <v>0.79370550501293002</v>
      </c>
      <c r="H777">
        <v>0</v>
      </c>
      <c r="I777">
        <v>23</v>
      </c>
      <c r="J777">
        <v>7.8383664901483699E-2</v>
      </c>
      <c r="K777">
        <v>1.5497553017944501E-2</v>
      </c>
      <c r="L777">
        <v>5.03496613474805E-2</v>
      </c>
      <c r="M777">
        <v>5.7720057720057698E-4</v>
      </c>
      <c r="N777">
        <v>4.4365289510920501E-3</v>
      </c>
      <c r="O777">
        <v>777</v>
      </c>
      <c r="P777">
        <v>6.4569304152637494E-2</v>
      </c>
      <c r="Q777">
        <v>6.4728777306357094E-2</v>
      </c>
      <c r="R777">
        <v>0.10176991150442399</v>
      </c>
      <c r="S777">
        <v>1</v>
      </c>
      <c r="T777" t="s">
        <v>53</v>
      </c>
      <c r="U777">
        <v>0.10754716981132</v>
      </c>
      <c r="V777">
        <v>0</v>
      </c>
      <c r="W777">
        <v>0.14937165587290899</v>
      </c>
      <c r="X777">
        <v>0.47929767715800697</v>
      </c>
      <c r="Y777">
        <v>4.2182522339364599E-2</v>
      </c>
      <c r="Z777">
        <v>4.0516194072019299E-2</v>
      </c>
      <c r="AA777">
        <v>0.10176991150442399</v>
      </c>
      <c r="AB777">
        <f t="shared" si="84"/>
        <v>0.12833884416170732</v>
      </c>
      <c r="AC777">
        <f t="shared" si="89"/>
        <v>0.1</v>
      </c>
      <c r="AD777">
        <f t="shared" si="85"/>
        <v>0.05</v>
      </c>
      <c r="AE777">
        <f t="shared" si="90"/>
        <v>0.14758967078596344</v>
      </c>
      <c r="AF777" t="str">
        <f t="shared" si="86"/>
        <v>Very Low</v>
      </c>
      <c r="AG777" t="str">
        <f t="shared" si="87"/>
        <v>NO ACTION</v>
      </c>
      <c r="AH777" t="str">
        <f t="shared" si="88"/>
        <v/>
      </c>
    </row>
    <row r="778" spans="1:34" x14ac:dyDescent="0.3">
      <c r="A778" t="s">
        <v>805</v>
      </c>
      <c r="B778">
        <v>0.23327032136105799</v>
      </c>
      <c r="C778">
        <v>0.91966371706352401</v>
      </c>
      <c r="D778">
        <v>0.34129446298003202</v>
      </c>
      <c r="E778">
        <v>0</v>
      </c>
      <c r="F778">
        <v>0</v>
      </c>
      <c r="G778">
        <v>0.48540210430874797</v>
      </c>
      <c r="H778">
        <v>9</v>
      </c>
      <c r="I778">
        <v>15</v>
      </c>
      <c r="J778">
        <v>6.4786985353752199E-2</v>
      </c>
      <c r="K778">
        <v>9.7879282218597003E-3</v>
      </c>
      <c r="L778">
        <v>3.8449044399265303E-2</v>
      </c>
      <c r="M778">
        <v>2.88600288600288E-4</v>
      </c>
      <c r="N778">
        <v>2.6820982066763401E-3</v>
      </c>
      <c r="O778">
        <v>322</v>
      </c>
      <c r="P778">
        <v>5.1978114478114401E-2</v>
      </c>
      <c r="Q778">
        <v>5.2140678144394902E-2</v>
      </c>
      <c r="R778">
        <v>0</v>
      </c>
      <c r="S778">
        <v>0</v>
      </c>
      <c r="T778" t="s">
        <v>53</v>
      </c>
      <c r="U778">
        <v>0.10188679245283</v>
      </c>
      <c r="V778">
        <v>0</v>
      </c>
      <c r="W778">
        <v>0</v>
      </c>
      <c r="X778">
        <v>0.102388338894009</v>
      </c>
      <c r="Y778">
        <v>3.2986548732385997E-2</v>
      </c>
      <c r="Z778">
        <v>3.2259707969539198E-2</v>
      </c>
      <c r="AA778">
        <v>0</v>
      </c>
      <c r="AB778">
        <f t="shared" si="84"/>
        <v>3.4651086099580494E-2</v>
      </c>
      <c r="AC778">
        <f t="shared" si="89"/>
        <v>0.1</v>
      </c>
      <c r="AD778">
        <f t="shared" si="85"/>
        <v>0</v>
      </c>
      <c r="AE778">
        <f t="shared" si="90"/>
        <v>3.8116194709538545E-2</v>
      </c>
      <c r="AF778" t="str">
        <f t="shared" si="86"/>
        <v>Very Low</v>
      </c>
      <c r="AG778" t="str">
        <f t="shared" si="87"/>
        <v>NO ACTION</v>
      </c>
      <c r="AH778" t="str">
        <f t="shared" si="88"/>
        <v/>
      </c>
    </row>
    <row r="779" spans="1:34" x14ac:dyDescent="0.3">
      <c r="A779" t="s">
        <v>806</v>
      </c>
      <c r="B779">
        <v>0.12892249527410199</v>
      </c>
      <c r="C779">
        <v>0.18476582604220201</v>
      </c>
      <c r="D779">
        <v>0</v>
      </c>
      <c r="E779">
        <v>0</v>
      </c>
      <c r="F779">
        <v>0</v>
      </c>
      <c r="G779">
        <v>0.99367969159503799</v>
      </c>
      <c r="H779">
        <v>7</v>
      </c>
      <c r="I779">
        <v>7</v>
      </c>
      <c r="J779">
        <v>0.109632174037498</v>
      </c>
      <c r="K779">
        <v>1.4681892332789499E-2</v>
      </c>
      <c r="L779">
        <v>3.4133335334041698E-2</v>
      </c>
      <c r="M779">
        <v>2.8860028860028799E-3</v>
      </c>
      <c r="N779">
        <v>1.5873642447676299E-2</v>
      </c>
      <c r="O779">
        <v>1073</v>
      </c>
      <c r="P779">
        <v>8.8313692480359099E-2</v>
      </c>
      <c r="Q779">
        <v>8.8467337564430704E-2</v>
      </c>
      <c r="R779">
        <v>0</v>
      </c>
      <c r="S779">
        <v>0</v>
      </c>
      <c r="T779" t="s">
        <v>28</v>
      </c>
      <c r="U779">
        <v>2.7787307032590001E-2</v>
      </c>
      <c r="V779">
        <v>0</v>
      </c>
      <c r="W779">
        <v>0</v>
      </c>
      <c r="X779">
        <v>0</v>
      </c>
      <c r="Y779">
        <v>4.3755195208823303E-2</v>
      </c>
      <c r="Z779">
        <v>5.9337672467286003E-2</v>
      </c>
      <c r="AA779">
        <v>0</v>
      </c>
      <c r="AB779">
        <f t="shared" si="84"/>
        <v>2.8866002949310608E-2</v>
      </c>
      <c r="AC779">
        <f t="shared" si="89"/>
        <v>0.25</v>
      </c>
      <c r="AD779">
        <f t="shared" si="85"/>
        <v>0</v>
      </c>
      <c r="AE779">
        <f t="shared" si="90"/>
        <v>3.6082503686638262E-2</v>
      </c>
      <c r="AF779" t="str">
        <f t="shared" si="86"/>
        <v>Very Low</v>
      </c>
      <c r="AG779" t="str">
        <f t="shared" si="87"/>
        <v>NO ACTION</v>
      </c>
      <c r="AH779" t="str">
        <f t="shared" si="88"/>
        <v/>
      </c>
    </row>
    <row r="780" spans="1:34" x14ac:dyDescent="0.3">
      <c r="A780" t="s">
        <v>807</v>
      </c>
      <c r="B780">
        <v>0.26994328922495198</v>
      </c>
      <c r="C780">
        <v>0.999999999999999</v>
      </c>
      <c r="D780">
        <v>0.41918667291248402</v>
      </c>
      <c r="E780">
        <v>0.12689569792633801</v>
      </c>
      <c r="F780">
        <v>1.53203342618384E-2</v>
      </c>
      <c r="G780">
        <v>0.39964572513063801</v>
      </c>
      <c r="H780">
        <v>1</v>
      </c>
      <c r="I780">
        <v>22</v>
      </c>
      <c r="J780">
        <v>6.2926387099852099E-2</v>
      </c>
      <c r="K780">
        <v>4.8939641109298502E-3</v>
      </c>
      <c r="L780">
        <v>1.9790803442673199E-2</v>
      </c>
      <c r="M780">
        <v>2.3088023088023001E-3</v>
      </c>
      <c r="N780">
        <v>2.2088820880361602E-2</v>
      </c>
      <c r="O780">
        <v>415</v>
      </c>
      <c r="P780">
        <v>4.9487934904601502E-2</v>
      </c>
      <c r="Q780">
        <v>4.9651109786458099E-2</v>
      </c>
      <c r="R780">
        <v>8.8495575221238902E-3</v>
      </c>
      <c r="S780">
        <v>1</v>
      </c>
      <c r="T780" t="s">
        <v>53</v>
      </c>
      <c r="U780">
        <v>1.13207547169811E-2</v>
      </c>
      <c r="V780">
        <v>0</v>
      </c>
      <c r="W780">
        <v>9.8945487636718493E-3</v>
      </c>
      <c r="X780">
        <v>0.16995284495638199</v>
      </c>
      <c r="Y780">
        <v>2.91073254054155E-2</v>
      </c>
      <c r="Z780">
        <v>3.85282892949056E-2</v>
      </c>
      <c r="AA780">
        <v>8.8495575221238902E-3</v>
      </c>
      <c r="AB780">
        <f t="shared" si="84"/>
        <v>4.8608303415305719E-2</v>
      </c>
      <c r="AC780">
        <f t="shared" si="89"/>
        <v>0.1</v>
      </c>
      <c r="AD780">
        <f t="shared" si="85"/>
        <v>0</v>
      </c>
      <c r="AE780">
        <f t="shared" si="90"/>
        <v>5.3469133756836297E-2</v>
      </c>
      <c r="AF780" t="str">
        <f t="shared" si="86"/>
        <v>Very Low</v>
      </c>
      <c r="AG780" t="str">
        <f t="shared" si="87"/>
        <v>NO ACTION</v>
      </c>
      <c r="AH780" t="str">
        <f t="shared" si="88"/>
        <v/>
      </c>
    </row>
    <row r="781" spans="1:34" x14ac:dyDescent="0.3">
      <c r="A781" t="s">
        <v>808</v>
      </c>
      <c r="B781">
        <v>0.25595463137996199</v>
      </c>
      <c r="C781">
        <v>0.72902463226930703</v>
      </c>
      <c r="D781">
        <v>0.46940586410005503</v>
      </c>
      <c r="E781">
        <v>6.6895088921520601E-2</v>
      </c>
      <c r="F781">
        <v>6.1674008810572598E-2</v>
      </c>
      <c r="G781">
        <v>0.42953303058662401</v>
      </c>
      <c r="H781">
        <v>0</v>
      </c>
      <c r="I781">
        <v>23</v>
      </c>
      <c r="J781">
        <v>9.0787653260817697E-2</v>
      </c>
      <c r="K781">
        <v>8.1566068515497494E-3</v>
      </c>
      <c r="L781">
        <v>2.28887349389407E-2</v>
      </c>
      <c r="M781">
        <v>1.44300144300144E-3</v>
      </c>
      <c r="N781">
        <v>9.57992624659291E-3</v>
      </c>
      <c r="O781">
        <v>606</v>
      </c>
      <c r="P781">
        <v>7.0952581369247994E-2</v>
      </c>
      <c r="Q781">
        <v>7.1110487745012094E-2</v>
      </c>
      <c r="R781">
        <v>0.90855457227138603</v>
      </c>
      <c r="S781">
        <v>1</v>
      </c>
      <c r="T781" t="s">
        <v>53</v>
      </c>
      <c r="U781">
        <v>2.83018867924528E-2</v>
      </c>
      <c r="V781">
        <v>0</v>
      </c>
      <c r="W781">
        <v>4.60668264965816E-2</v>
      </c>
      <c r="X781">
        <v>0.18555988943070101</v>
      </c>
      <c r="Y781">
        <v>3.2475875995611699E-2</v>
      </c>
      <c r="Z781">
        <v>4.6403519320185903E-2</v>
      </c>
      <c r="AA781">
        <v>0.90855457227138603</v>
      </c>
      <c r="AB781">
        <f t="shared" si="84"/>
        <v>0.30617109323332359</v>
      </c>
      <c r="AC781">
        <f t="shared" si="89"/>
        <v>0.1</v>
      </c>
      <c r="AD781">
        <f t="shared" si="85"/>
        <v>0</v>
      </c>
      <c r="AE781">
        <f t="shared" si="90"/>
        <v>0.33678820255665598</v>
      </c>
      <c r="AF781" t="str">
        <f t="shared" si="86"/>
        <v>Critical</v>
      </c>
      <c r="AG781" t="str">
        <f t="shared" si="87"/>
        <v>CRITICAL ALERT</v>
      </c>
      <c r="AH781" t="str">
        <f t="shared" si="88"/>
        <v>USB anomaly</v>
      </c>
    </row>
    <row r="782" spans="1:34" x14ac:dyDescent="0.3">
      <c r="A782" t="s">
        <v>809</v>
      </c>
      <c r="B782">
        <v>0.15689981096408301</v>
      </c>
      <c r="C782">
        <v>0.31793833073133199</v>
      </c>
      <c r="D782">
        <v>0.41297063872724499</v>
      </c>
      <c r="E782">
        <v>0.434897905064969</v>
      </c>
      <c r="F782">
        <v>4.5346062052505902E-2</v>
      </c>
      <c r="G782">
        <v>0.79308727708792404</v>
      </c>
      <c r="H782">
        <v>0</v>
      </c>
      <c r="I782">
        <v>23</v>
      </c>
      <c r="J782">
        <v>8.80206097037355E-2</v>
      </c>
      <c r="K782">
        <v>1.5497553017944501E-2</v>
      </c>
      <c r="L782">
        <v>4.4852022648998797E-2</v>
      </c>
      <c r="M782">
        <v>2.59740259740259E-3</v>
      </c>
      <c r="N782">
        <v>1.7784485784485701E-2</v>
      </c>
      <c r="O782">
        <v>978</v>
      </c>
      <c r="P782">
        <v>7.2636083052749698E-2</v>
      </c>
      <c r="Q782">
        <v>7.2793576212349595E-2</v>
      </c>
      <c r="R782">
        <v>0</v>
      </c>
      <c r="S782">
        <v>0</v>
      </c>
      <c r="T782" t="s">
        <v>53</v>
      </c>
      <c r="U782">
        <v>3.22641509433962E-2</v>
      </c>
      <c r="V782">
        <v>0</v>
      </c>
      <c r="W782">
        <v>0</v>
      </c>
      <c r="X782">
        <v>0.272498987958667</v>
      </c>
      <c r="Y782">
        <v>4.53654790005922E-2</v>
      </c>
      <c r="Z782">
        <v>5.06954441454441E-2</v>
      </c>
      <c r="AA782">
        <v>0</v>
      </c>
      <c r="AB782">
        <f t="shared" si="84"/>
        <v>7.0496896554276892E-2</v>
      </c>
      <c r="AC782">
        <f t="shared" si="89"/>
        <v>0.1</v>
      </c>
      <c r="AD782">
        <f t="shared" si="85"/>
        <v>0</v>
      </c>
      <c r="AE782">
        <f t="shared" si="90"/>
        <v>7.7546586209704588E-2</v>
      </c>
      <c r="AF782" t="str">
        <f t="shared" si="86"/>
        <v>Very Low</v>
      </c>
      <c r="AG782" t="str">
        <f t="shared" si="87"/>
        <v>NO ACTION</v>
      </c>
      <c r="AH782" t="str">
        <f t="shared" si="88"/>
        <v/>
      </c>
    </row>
    <row r="783" spans="1:34" x14ac:dyDescent="0.3">
      <c r="A783" t="s">
        <v>810</v>
      </c>
      <c r="B783">
        <v>0.12892249527410199</v>
      </c>
      <c r="C783">
        <v>0.18476582604220201</v>
      </c>
      <c r="D783">
        <v>0</v>
      </c>
      <c r="E783">
        <v>0</v>
      </c>
      <c r="F783">
        <v>0</v>
      </c>
      <c r="G783">
        <v>0.99366580175434505</v>
      </c>
      <c r="H783">
        <v>7</v>
      </c>
      <c r="I783">
        <v>7</v>
      </c>
      <c r="J783">
        <v>6.6027384189685595E-2</v>
      </c>
      <c r="K783">
        <v>7.34094616639478E-3</v>
      </c>
      <c r="L783">
        <v>2.8297001898595402E-2</v>
      </c>
      <c r="M783">
        <v>0</v>
      </c>
      <c r="N783">
        <v>0</v>
      </c>
      <c r="O783">
        <v>574</v>
      </c>
      <c r="P783">
        <v>5.1697530864197497E-2</v>
      </c>
      <c r="Q783">
        <v>5.1860163399838698E-2</v>
      </c>
      <c r="R783">
        <v>0</v>
      </c>
      <c r="S783">
        <v>0</v>
      </c>
      <c r="T783" t="s">
        <v>53</v>
      </c>
      <c r="U783">
        <v>0.152830188679245</v>
      </c>
      <c r="V783">
        <v>0</v>
      </c>
      <c r="W783">
        <v>0</v>
      </c>
      <c r="X783">
        <v>0</v>
      </c>
      <c r="Y783">
        <v>2.73539777872348E-2</v>
      </c>
      <c r="Z783">
        <v>3.1018518518518501E-2</v>
      </c>
      <c r="AA783">
        <v>0</v>
      </c>
      <c r="AB783">
        <f t="shared" si="84"/>
        <v>1.6344298965610925E-2</v>
      </c>
      <c r="AC783">
        <f t="shared" si="89"/>
        <v>0.1</v>
      </c>
      <c r="AD783">
        <f t="shared" si="85"/>
        <v>0</v>
      </c>
      <c r="AE783">
        <f t="shared" si="90"/>
        <v>1.7978728862172017E-2</v>
      </c>
      <c r="AF783" t="str">
        <f t="shared" si="86"/>
        <v>Very Low</v>
      </c>
      <c r="AG783" t="str">
        <f t="shared" si="87"/>
        <v>NO ACTION</v>
      </c>
      <c r="AH783" t="str">
        <f t="shared" si="88"/>
        <v/>
      </c>
    </row>
    <row r="784" spans="1:34" x14ac:dyDescent="0.3">
      <c r="A784" t="s">
        <v>811</v>
      </c>
      <c r="B784">
        <v>0.12892249527410199</v>
      </c>
      <c r="C784">
        <v>0.18476582604220201</v>
      </c>
      <c r="D784">
        <v>0</v>
      </c>
      <c r="E784">
        <v>0</v>
      </c>
      <c r="F784">
        <v>0</v>
      </c>
      <c r="G784">
        <v>0.99366826392263796</v>
      </c>
      <c r="H784">
        <v>7</v>
      </c>
      <c r="I784">
        <v>7</v>
      </c>
      <c r="J784">
        <v>7.36606077954296E-2</v>
      </c>
      <c r="K784">
        <v>1.2234910277324601E-2</v>
      </c>
      <c r="L784">
        <v>4.2290225561813E-2</v>
      </c>
      <c r="M784">
        <v>2.0202020202020202E-3</v>
      </c>
      <c r="N784">
        <v>1.6520270490573901E-2</v>
      </c>
      <c r="O784">
        <v>808</v>
      </c>
      <c r="P784">
        <v>6.0395622895622898E-2</v>
      </c>
      <c r="Q784">
        <v>6.0556120481082699E-2</v>
      </c>
      <c r="R784">
        <v>0</v>
      </c>
      <c r="S784">
        <v>0</v>
      </c>
      <c r="T784" t="s">
        <v>53</v>
      </c>
      <c r="U784">
        <v>3.1839622641509399E-2</v>
      </c>
      <c r="V784">
        <v>0</v>
      </c>
      <c r="W784">
        <v>0</v>
      </c>
      <c r="X784">
        <v>0</v>
      </c>
      <c r="Y784">
        <v>4.0833315487164602E-2</v>
      </c>
      <c r="Z784">
        <v>4.2845481933603297E-2</v>
      </c>
      <c r="AA784">
        <v>0</v>
      </c>
      <c r="AB784">
        <f t="shared" si="84"/>
        <v>2.3430063277815015E-2</v>
      </c>
      <c r="AC784">
        <f t="shared" si="89"/>
        <v>0.1</v>
      </c>
      <c r="AD784">
        <f t="shared" si="85"/>
        <v>0</v>
      </c>
      <c r="AE784">
        <f t="shared" si="90"/>
        <v>2.577306960559652E-2</v>
      </c>
      <c r="AF784" t="str">
        <f t="shared" si="86"/>
        <v>Very Low</v>
      </c>
      <c r="AG784" t="str">
        <f t="shared" si="87"/>
        <v>NO ACTION</v>
      </c>
      <c r="AH784" t="str">
        <f t="shared" si="88"/>
        <v/>
      </c>
    </row>
    <row r="785" spans="1:34" x14ac:dyDescent="0.3">
      <c r="A785" t="s">
        <v>812</v>
      </c>
      <c r="B785">
        <v>0.12892249527410199</v>
      </c>
      <c r="C785">
        <v>0.27527430314693302</v>
      </c>
      <c r="D785">
        <v>7.51173381640724E-2</v>
      </c>
      <c r="E785">
        <v>0</v>
      </c>
      <c r="F785">
        <v>0</v>
      </c>
      <c r="G785">
        <v>0.99365343738748602</v>
      </c>
      <c r="H785">
        <v>7</v>
      </c>
      <c r="I785">
        <v>8</v>
      </c>
      <c r="J785">
        <v>7.0321072467916607E-2</v>
      </c>
      <c r="K785">
        <v>1.2234910277324601E-2</v>
      </c>
      <c r="L785">
        <v>4.4291791342290901E-2</v>
      </c>
      <c r="M785">
        <v>5.7720057720057698E-4</v>
      </c>
      <c r="N785">
        <v>4.9434751260309003E-3</v>
      </c>
      <c r="O785">
        <v>785</v>
      </c>
      <c r="P785">
        <v>5.7239057239057201E-2</v>
      </c>
      <c r="Q785">
        <v>5.7400329604824801E-2</v>
      </c>
      <c r="R785">
        <v>0.28023598820058998</v>
      </c>
      <c r="S785">
        <v>1</v>
      </c>
      <c r="T785" t="s">
        <v>53</v>
      </c>
      <c r="U785">
        <v>8.4905660377358402E-2</v>
      </c>
      <c r="V785">
        <v>0</v>
      </c>
      <c r="W785">
        <v>0</v>
      </c>
      <c r="X785">
        <v>2.2535201449221699E-2</v>
      </c>
      <c r="Y785">
        <v>3.7693152702538001E-2</v>
      </c>
      <c r="Z785">
        <v>3.63208243938467E-2</v>
      </c>
      <c r="AA785">
        <v>0.28023598820058998</v>
      </c>
      <c r="AB785">
        <f t="shared" si="84"/>
        <v>0.1027956225150284</v>
      </c>
      <c r="AC785">
        <f t="shared" si="89"/>
        <v>0.1</v>
      </c>
      <c r="AD785">
        <f t="shared" si="85"/>
        <v>0</v>
      </c>
      <c r="AE785">
        <f t="shared" si="90"/>
        <v>0.11307518476653125</v>
      </c>
      <c r="AF785" t="str">
        <f t="shared" si="86"/>
        <v>Very Low</v>
      </c>
      <c r="AG785" t="str">
        <f t="shared" si="87"/>
        <v>NO ACTION</v>
      </c>
      <c r="AH785" t="str">
        <f t="shared" si="88"/>
        <v/>
      </c>
    </row>
    <row r="786" spans="1:34" x14ac:dyDescent="0.3">
      <c r="A786" t="s">
        <v>813</v>
      </c>
      <c r="B786">
        <v>0.12892249527410199</v>
      </c>
      <c r="C786">
        <v>0.36953165208440503</v>
      </c>
      <c r="D786">
        <v>0</v>
      </c>
      <c r="E786">
        <v>0</v>
      </c>
      <c r="F786">
        <v>0</v>
      </c>
      <c r="G786">
        <v>0.993682715780006</v>
      </c>
      <c r="H786">
        <v>8</v>
      </c>
      <c r="I786">
        <v>8</v>
      </c>
      <c r="J786">
        <v>7.0798148943275602E-2</v>
      </c>
      <c r="K786">
        <v>1.6313213703099499E-2</v>
      </c>
      <c r="L786">
        <v>5.8659108480186503E-2</v>
      </c>
      <c r="M786">
        <v>8.6580086580086504E-4</v>
      </c>
      <c r="N786">
        <v>7.3654127381461102E-3</v>
      </c>
      <c r="O786">
        <v>739</v>
      </c>
      <c r="P786">
        <v>5.9483726150392803E-2</v>
      </c>
      <c r="Q786">
        <v>5.9644447561274898E-2</v>
      </c>
      <c r="R786">
        <v>0</v>
      </c>
      <c r="S786">
        <v>0</v>
      </c>
      <c r="T786" t="s">
        <v>53</v>
      </c>
      <c r="U786">
        <v>8.4905660377358402E-2</v>
      </c>
      <c r="V786">
        <v>0</v>
      </c>
      <c r="W786">
        <v>0</v>
      </c>
      <c r="X786">
        <v>0</v>
      </c>
      <c r="Y786">
        <v>4.5698807850192202E-2</v>
      </c>
      <c r="Z786">
        <v>3.8636400785494102E-2</v>
      </c>
      <c r="AA786">
        <v>0</v>
      </c>
      <c r="AB786">
        <f t="shared" si="84"/>
        <v>2.3613858417992167E-2</v>
      </c>
      <c r="AC786">
        <f t="shared" si="89"/>
        <v>0.1</v>
      </c>
      <c r="AD786">
        <f t="shared" si="85"/>
        <v>0</v>
      </c>
      <c r="AE786">
        <f t="shared" si="90"/>
        <v>2.5975244259791384E-2</v>
      </c>
      <c r="AF786" t="str">
        <f t="shared" si="86"/>
        <v>Very Low</v>
      </c>
      <c r="AG786" t="str">
        <f t="shared" si="87"/>
        <v>NO ACTION</v>
      </c>
      <c r="AH786" t="str">
        <f t="shared" si="88"/>
        <v/>
      </c>
    </row>
    <row r="787" spans="1:34" x14ac:dyDescent="0.3">
      <c r="A787" t="s">
        <v>814</v>
      </c>
      <c r="B787">
        <v>0.12892249527410199</v>
      </c>
      <c r="C787">
        <v>0.18476582604220201</v>
      </c>
      <c r="D787">
        <v>0</v>
      </c>
      <c r="E787">
        <v>0</v>
      </c>
      <c r="F787">
        <v>0</v>
      </c>
      <c r="G787">
        <v>0.99366422275511401</v>
      </c>
      <c r="H787">
        <v>7</v>
      </c>
      <c r="I787">
        <v>7</v>
      </c>
      <c r="J787">
        <v>0.10180811984161001</v>
      </c>
      <c r="K787">
        <v>1.7944535073409401E-2</v>
      </c>
      <c r="L787">
        <v>4.49171359418876E-2</v>
      </c>
      <c r="M787">
        <v>1.44300144300144E-3</v>
      </c>
      <c r="N787">
        <v>8.5453479562876394E-3</v>
      </c>
      <c r="O787">
        <v>715</v>
      </c>
      <c r="P787">
        <v>8.3263187429854099E-2</v>
      </c>
      <c r="Q787">
        <v>8.3418072162418005E-2</v>
      </c>
      <c r="R787">
        <v>0</v>
      </c>
      <c r="S787">
        <v>0</v>
      </c>
      <c r="T787" t="s">
        <v>28</v>
      </c>
      <c r="U787">
        <v>6.2264150943396199E-2</v>
      </c>
      <c r="V787">
        <v>0</v>
      </c>
      <c r="W787">
        <v>0</v>
      </c>
      <c r="X787">
        <v>0</v>
      </c>
      <c r="Y787">
        <v>4.53837963261522E-2</v>
      </c>
      <c r="Z787">
        <v>5.3376051640427503E-2</v>
      </c>
      <c r="AA787">
        <v>0</v>
      </c>
      <c r="AB787">
        <f t="shared" si="84"/>
        <v>2.765275743064232E-2</v>
      </c>
      <c r="AC787">
        <f t="shared" si="89"/>
        <v>0.25</v>
      </c>
      <c r="AD787">
        <f t="shared" si="85"/>
        <v>0</v>
      </c>
      <c r="AE787">
        <f t="shared" si="90"/>
        <v>3.4565946788302902E-2</v>
      </c>
      <c r="AF787" t="str">
        <f t="shared" si="86"/>
        <v>Very Low</v>
      </c>
      <c r="AG787" t="str">
        <f t="shared" si="87"/>
        <v>NO ACTION</v>
      </c>
      <c r="AH787" t="str">
        <f t="shared" si="88"/>
        <v/>
      </c>
    </row>
    <row r="788" spans="1:34" x14ac:dyDescent="0.3">
      <c r="A788" t="s">
        <v>815</v>
      </c>
      <c r="B788">
        <v>0.12892249527410199</v>
      </c>
      <c r="C788">
        <v>0.18476582604220201</v>
      </c>
      <c r="D788">
        <v>0</v>
      </c>
      <c r="E788">
        <v>0</v>
      </c>
      <c r="F788">
        <v>0</v>
      </c>
      <c r="G788">
        <v>0.99369160099601805</v>
      </c>
      <c r="H788">
        <v>7</v>
      </c>
      <c r="I788">
        <v>7</v>
      </c>
      <c r="J788">
        <v>9.3411573875292198E-2</v>
      </c>
      <c r="K788">
        <v>3.4257748776508903E-2</v>
      </c>
      <c r="L788">
        <v>9.34392085107974E-2</v>
      </c>
      <c r="M788">
        <v>8.6580086580086504E-4</v>
      </c>
      <c r="N788">
        <v>5.5869075736625397E-3</v>
      </c>
      <c r="O788">
        <v>915</v>
      </c>
      <c r="P788">
        <v>8.3824354657688005E-2</v>
      </c>
      <c r="Q788">
        <v>8.3979101651530497E-2</v>
      </c>
      <c r="R788">
        <v>0</v>
      </c>
      <c r="S788">
        <v>0</v>
      </c>
      <c r="T788" t="s">
        <v>53</v>
      </c>
      <c r="U788">
        <v>0.17830188679245201</v>
      </c>
      <c r="V788">
        <v>0</v>
      </c>
      <c r="W788">
        <v>0</v>
      </c>
      <c r="X788">
        <v>0</v>
      </c>
      <c r="Y788">
        <v>6.70779913025559E-2</v>
      </c>
      <c r="Z788">
        <v>5.2529375824077802E-2</v>
      </c>
      <c r="AA788">
        <v>0</v>
      </c>
      <c r="AB788">
        <f t="shared" si="84"/>
        <v>3.3490062795457437E-2</v>
      </c>
      <c r="AC788">
        <f t="shared" si="89"/>
        <v>0.1</v>
      </c>
      <c r="AD788">
        <f t="shared" si="85"/>
        <v>0</v>
      </c>
      <c r="AE788">
        <f t="shared" si="90"/>
        <v>3.6839069075003186E-2</v>
      </c>
      <c r="AF788" t="str">
        <f t="shared" si="86"/>
        <v>Very Low</v>
      </c>
      <c r="AG788" t="str">
        <f t="shared" si="87"/>
        <v>NO ACTION</v>
      </c>
      <c r="AH788" t="str">
        <f t="shared" si="88"/>
        <v/>
      </c>
    </row>
    <row r="789" spans="1:34" x14ac:dyDescent="0.3">
      <c r="A789" t="s">
        <v>816</v>
      </c>
      <c r="B789">
        <v>0.12892249527410199</v>
      </c>
      <c r="C789">
        <v>0.18476582604220201</v>
      </c>
      <c r="D789">
        <v>0</v>
      </c>
      <c r="E789">
        <v>0</v>
      </c>
      <c r="F789">
        <v>0</v>
      </c>
      <c r="G789">
        <v>0.99368212700063197</v>
      </c>
      <c r="H789">
        <v>7</v>
      </c>
      <c r="I789">
        <v>7</v>
      </c>
      <c r="J789">
        <v>6.1161204141023801E-2</v>
      </c>
      <c r="K789">
        <v>1.1419249592169599E-2</v>
      </c>
      <c r="L789">
        <v>4.7506129579563697E-2</v>
      </c>
      <c r="M789">
        <v>0</v>
      </c>
      <c r="N789">
        <v>0</v>
      </c>
      <c r="O789">
        <v>616</v>
      </c>
      <c r="P789">
        <v>4.9873737373737299E-2</v>
      </c>
      <c r="Q789">
        <v>5.0036817560222997E-2</v>
      </c>
      <c r="R789">
        <v>0</v>
      </c>
      <c r="S789">
        <v>0</v>
      </c>
      <c r="T789" t="s">
        <v>53</v>
      </c>
      <c r="U789">
        <v>0.237735849056603</v>
      </c>
      <c r="V789">
        <v>0</v>
      </c>
      <c r="W789">
        <v>0</v>
      </c>
      <c r="X789">
        <v>0</v>
      </c>
      <c r="Y789">
        <v>3.5985305617986602E-2</v>
      </c>
      <c r="Z789">
        <v>2.9924242424242398E-2</v>
      </c>
      <c r="AA789">
        <v>0</v>
      </c>
      <c r="AB789">
        <f t="shared" si="84"/>
        <v>1.8454673451824125E-2</v>
      </c>
      <c r="AC789">
        <f t="shared" si="89"/>
        <v>0.1</v>
      </c>
      <c r="AD789">
        <f t="shared" si="85"/>
        <v>0</v>
      </c>
      <c r="AE789">
        <f t="shared" si="90"/>
        <v>2.0300140797006538E-2</v>
      </c>
      <c r="AF789" t="str">
        <f t="shared" si="86"/>
        <v>Very Low</v>
      </c>
      <c r="AG789" t="str">
        <f t="shared" si="87"/>
        <v>NO ACTION</v>
      </c>
      <c r="AH789" t="str">
        <f t="shared" si="88"/>
        <v/>
      </c>
    </row>
    <row r="790" spans="1:34" x14ac:dyDescent="0.3">
      <c r="A790" t="s">
        <v>817</v>
      </c>
      <c r="B790">
        <v>0.23213610586011299</v>
      </c>
      <c r="C790">
        <v>0.83832261524649898</v>
      </c>
      <c r="D790">
        <v>0.359491928348249</v>
      </c>
      <c r="E790">
        <v>0</v>
      </c>
      <c r="F790">
        <v>0</v>
      </c>
      <c r="G790">
        <v>0.48851233022185903</v>
      </c>
      <c r="H790">
        <v>8</v>
      </c>
      <c r="I790">
        <v>15</v>
      </c>
      <c r="J790">
        <v>7.3422069557750103E-2</v>
      </c>
      <c r="K790">
        <v>8.9722675367047301E-3</v>
      </c>
      <c r="L790">
        <v>3.1113262234358001E-2</v>
      </c>
      <c r="M790">
        <v>1.44300144300144E-3</v>
      </c>
      <c r="N790">
        <v>1.1838406268458E-2</v>
      </c>
      <c r="O790">
        <v>660</v>
      </c>
      <c r="P790">
        <v>5.85367564534231E-2</v>
      </c>
      <c r="Q790">
        <v>5.8697710298397501E-2</v>
      </c>
      <c r="R790">
        <v>0</v>
      </c>
      <c r="S790">
        <v>0</v>
      </c>
      <c r="T790" t="s">
        <v>53</v>
      </c>
      <c r="U790">
        <v>3.1132075471698099E-2</v>
      </c>
      <c r="V790">
        <v>0</v>
      </c>
      <c r="W790">
        <v>0</v>
      </c>
      <c r="X790">
        <v>0.107847578504474</v>
      </c>
      <c r="Y790">
        <v>3.3792566909266401E-2</v>
      </c>
      <c r="Z790">
        <v>3.9857416379437099E-2</v>
      </c>
      <c r="AA790">
        <v>0</v>
      </c>
      <c r="AB790">
        <f t="shared" si="84"/>
        <v>3.7877607881552824E-2</v>
      </c>
      <c r="AC790">
        <f t="shared" si="89"/>
        <v>0.1</v>
      </c>
      <c r="AD790">
        <f t="shared" si="85"/>
        <v>0</v>
      </c>
      <c r="AE790">
        <f t="shared" si="90"/>
        <v>4.166536866970811E-2</v>
      </c>
      <c r="AF790" t="str">
        <f t="shared" si="86"/>
        <v>Very Low</v>
      </c>
      <c r="AG790" t="str">
        <f t="shared" si="87"/>
        <v>NO ACTION</v>
      </c>
      <c r="AH790" t="str">
        <f t="shared" si="88"/>
        <v/>
      </c>
    </row>
    <row r="791" spans="1:34" x14ac:dyDescent="0.3">
      <c r="A791" t="s">
        <v>818</v>
      </c>
      <c r="B791">
        <v>0.12665406427221099</v>
      </c>
      <c r="C791">
        <v>0.45837185752652598</v>
      </c>
      <c r="D791">
        <v>7.5079471950386598E-2</v>
      </c>
      <c r="E791">
        <v>0</v>
      </c>
      <c r="F791">
        <v>0</v>
      </c>
      <c r="G791">
        <v>0.99510718148699395</v>
      </c>
      <c r="H791">
        <v>8</v>
      </c>
      <c r="I791">
        <v>9</v>
      </c>
      <c r="J791">
        <v>7.9385525499737597E-2</v>
      </c>
      <c r="K791">
        <v>1.0603588907014599E-2</v>
      </c>
      <c r="L791">
        <v>3.4016308054253201E-2</v>
      </c>
      <c r="M791">
        <v>2.0202020202020202E-3</v>
      </c>
      <c r="N791">
        <v>1.5332473930436699E-2</v>
      </c>
      <c r="O791">
        <v>624</v>
      </c>
      <c r="P791">
        <v>6.3902918069584702E-2</v>
      </c>
      <c r="Q791">
        <v>6.4062554788036005E-2</v>
      </c>
      <c r="R791">
        <v>0</v>
      </c>
      <c r="S791">
        <v>0</v>
      </c>
      <c r="T791" t="s">
        <v>53</v>
      </c>
      <c r="U791">
        <v>2.75943396226415E-2</v>
      </c>
      <c r="V791">
        <v>0</v>
      </c>
      <c r="W791">
        <v>0</v>
      </c>
      <c r="X791">
        <v>2.2523841585116E-2</v>
      </c>
      <c r="Y791">
        <v>3.74850013062051E-2</v>
      </c>
      <c r="Z791">
        <v>4.4474740413925497E-2</v>
      </c>
      <c r="AA791">
        <v>0</v>
      </c>
      <c r="AB791">
        <f t="shared" si="84"/>
        <v>2.6552542335255131E-2</v>
      </c>
      <c r="AC791">
        <f t="shared" si="89"/>
        <v>0.1</v>
      </c>
      <c r="AD791">
        <f t="shared" si="85"/>
        <v>0</v>
      </c>
      <c r="AE791">
        <f t="shared" si="90"/>
        <v>2.9207796568780645E-2</v>
      </c>
      <c r="AF791" t="str">
        <f t="shared" si="86"/>
        <v>Very Low</v>
      </c>
      <c r="AG791" t="str">
        <f t="shared" si="87"/>
        <v>NO ACTION</v>
      </c>
      <c r="AH791" t="str">
        <f t="shared" si="88"/>
        <v/>
      </c>
    </row>
    <row r="792" spans="1:34" x14ac:dyDescent="0.3">
      <c r="A792" t="s">
        <v>819</v>
      </c>
      <c r="B792">
        <v>0.23137996219281601</v>
      </c>
      <c r="C792">
        <v>0.55069814385305804</v>
      </c>
      <c r="D792">
        <v>0.346085056714457</v>
      </c>
      <c r="E792">
        <v>0</v>
      </c>
      <c r="F792">
        <v>0</v>
      </c>
      <c r="G792">
        <v>0.49058343069650201</v>
      </c>
      <c r="H792">
        <v>7</v>
      </c>
      <c r="I792">
        <v>13</v>
      </c>
      <c r="J792">
        <v>8.1341539048709499E-2</v>
      </c>
      <c r="K792">
        <v>9.7879282218597003E-3</v>
      </c>
      <c r="L792">
        <v>3.06468114129816E-2</v>
      </c>
      <c r="M792">
        <v>2.59740259740259E-3</v>
      </c>
      <c r="N792">
        <v>1.9240525556314999E-2</v>
      </c>
      <c r="O792">
        <v>844</v>
      </c>
      <c r="P792">
        <v>6.5270763187429803E-2</v>
      </c>
      <c r="Q792">
        <v>6.5430064167747798E-2</v>
      </c>
      <c r="R792">
        <v>0</v>
      </c>
      <c r="S792">
        <v>0</v>
      </c>
      <c r="T792" t="s">
        <v>53</v>
      </c>
      <c r="U792">
        <v>2.0377358490565999E-2</v>
      </c>
      <c r="V792">
        <v>0</v>
      </c>
      <c r="W792">
        <v>0</v>
      </c>
      <c r="X792">
        <v>0.103825517014337</v>
      </c>
      <c r="Y792">
        <v>3.7363871183127201E-2</v>
      </c>
      <c r="Z792">
        <v>4.6858668134983898E-2</v>
      </c>
      <c r="AA792">
        <v>0</v>
      </c>
      <c r="AB792">
        <f t="shared" si="84"/>
        <v>4.0194393731365033E-2</v>
      </c>
      <c r="AC792">
        <f t="shared" si="89"/>
        <v>0.1</v>
      </c>
      <c r="AD792">
        <f t="shared" si="85"/>
        <v>0</v>
      </c>
      <c r="AE792">
        <f t="shared" si="90"/>
        <v>4.421383310450154E-2</v>
      </c>
      <c r="AF792" t="str">
        <f t="shared" si="86"/>
        <v>Very Low</v>
      </c>
      <c r="AG792" t="str">
        <f t="shared" si="87"/>
        <v>NO ACTION</v>
      </c>
      <c r="AH792" t="str">
        <f t="shared" si="88"/>
        <v/>
      </c>
    </row>
    <row r="793" spans="1:34" x14ac:dyDescent="0.3">
      <c r="A793" t="s">
        <v>820</v>
      </c>
      <c r="B793">
        <v>0.14858223062381801</v>
      </c>
      <c r="C793">
        <v>0.173596103561062</v>
      </c>
      <c r="D793">
        <v>0.21173665844287801</v>
      </c>
      <c r="E793">
        <v>0</v>
      </c>
      <c r="F793">
        <v>0.435768261964735</v>
      </c>
      <c r="G793">
        <v>0.84368785647934497</v>
      </c>
      <c r="H793">
        <v>6</v>
      </c>
      <c r="I793">
        <v>13</v>
      </c>
      <c r="J793">
        <v>6.2163064739277699E-2</v>
      </c>
      <c r="K793">
        <v>7.34094616639478E-3</v>
      </c>
      <c r="L793">
        <v>3.0049339172132199E-2</v>
      </c>
      <c r="M793">
        <v>1.44300144300144E-3</v>
      </c>
      <c r="N793">
        <v>1.39743878275988E-2</v>
      </c>
      <c r="O793">
        <v>688</v>
      </c>
      <c r="P793">
        <v>4.9558080808080801E-2</v>
      </c>
      <c r="Q793">
        <v>4.9721238472597198E-2</v>
      </c>
      <c r="R793">
        <v>0.58259587020648895</v>
      </c>
      <c r="S793">
        <v>1</v>
      </c>
      <c r="T793" t="s">
        <v>53</v>
      </c>
      <c r="U793">
        <v>2.54716981132075E-2</v>
      </c>
      <c r="V793">
        <v>0</v>
      </c>
      <c r="W793">
        <v>0.42732160293451199</v>
      </c>
      <c r="X793">
        <v>0.23782830231875701</v>
      </c>
      <c r="Y793">
        <v>3.1649598882201299E-2</v>
      </c>
      <c r="Z793">
        <v>3.5324603615888003E-2</v>
      </c>
      <c r="AA793">
        <v>0.58259587020648895</v>
      </c>
      <c r="AB793">
        <f t="shared" si="84"/>
        <v>0.21993214872828307</v>
      </c>
      <c r="AC793">
        <f t="shared" si="89"/>
        <v>0.1</v>
      </c>
      <c r="AD793">
        <f t="shared" si="85"/>
        <v>0</v>
      </c>
      <c r="AE793">
        <f t="shared" si="90"/>
        <v>0.24192536360111139</v>
      </c>
      <c r="AF793" t="str">
        <f t="shared" si="86"/>
        <v>Low</v>
      </c>
      <c r="AG793" t="str">
        <f t="shared" si="87"/>
        <v>NO ACTION</v>
      </c>
      <c r="AH793" t="str">
        <f t="shared" si="88"/>
        <v/>
      </c>
    </row>
    <row r="794" spans="1:34" x14ac:dyDescent="0.3">
      <c r="A794" t="s">
        <v>821</v>
      </c>
      <c r="B794">
        <v>0.22155009451795801</v>
      </c>
      <c r="C794">
        <v>0.72872894440712799</v>
      </c>
      <c r="D794">
        <v>0.342850728629851</v>
      </c>
      <c r="E794">
        <v>0</v>
      </c>
      <c r="F794">
        <v>0</v>
      </c>
      <c r="G794">
        <v>0.49848282904563601</v>
      </c>
      <c r="H794">
        <v>8</v>
      </c>
      <c r="I794">
        <v>14</v>
      </c>
      <c r="J794">
        <v>6.07795429607366E-2</v>
      </c>
      <c r="K794">
        <v>6.5252854812398002E-3</v>
      </c>
      <c r="L794">
        <v>2.731615716247E-2</v>
      </c>
      <c r="M794">
        <v>1.7316017316017301E-3</v>
      </c>
      <c r="N794">
        <v>1.7149491113525501E-2</v>
      </c>
      <c r="O794">
        <v>659</v>
      </c>
      <c r="P794">
        <v>4.8330527497194103E-2</v>
      </c>
      <c r="Q794">
        <v>4.8493986465163501E-2</v>
      </c>
      <c r="R794">
        <v>0.66371681415929196</v>
      </c>
      <c r="S794">
        <v>1</v>
      </c>
      <c r="T794" t="s">
        <v>53</v>
      </c>
      <c r="U794">
        <v>1.94070080862533E-2</v>
      </c>
      <c r="V794">
        <v>0</v>
      </c>
      <c r="W794">
        <v>0</v>
      </c>
      <c r="X794">
        <v>0.10285521858895499</v>
      </c>
      <c r="Y794">
        <v>3.09588345074399E-2</v>
      </c>
      <c r="Z794">
        <v>3.5858112943726698E-2</v>
      </c>
      <c r="AA794">
        <v>0.66371681415929196</v>
      </c>
      <c r="AB794">
        <f t="shared" si="84"/>
        <v>0.22100628822516122</v>
      </c>
      <c r="AC794">
        <f t="shared" si="89"/>
        <v>0.1</v>
      </c>
      <c r="AD794">
        <f t="shared" si="85"/>
        <v>0</v>
      </c>
      <c r="AE794">
        <f t="shared" si="90"/>
        <v>0.24310691704767737</v>
      </c>
      <c r="AF794" t="str">
        <f t="shared" si="86"/>
        <v>Low</v>
      </c>
      <c r="AG794" t="str">
        <f t="shared" si="87"/>
        <v>NO ACTION</v>
      </c>
      <c r="AH794" t="str">
        <f t="shared" si="88"/>
        <v/>
      </c>
    </row>
    <row r="795" spans="1:34" x14ac:dyDescent="0.3">
      <c r="A795" t="s">
        <v>822</v>
      </c>
      <c r="B795">
        <v>4.9905482041587901E-2</v>
      </c>
      <c r="C795">
        <v>0.28665874481547599</v>
      </c>
      <c r="D795">
        <v>7.4901149595576394E-2</v>
      </c>
      <c r="E795">
        <v>0</v>
      </c>
      <c r="F795">
        <v>0</v>
      </c>
      <c r="G795">
        <v>0.98270516620248605</v>
      </c>
      <c r="H795">
        <v>7</v>
      </c>
      <c r="I795">
        <v>8</v>
      </c>
      <c r="J795">
        <v>1.37875101378751E-2</v>
      </c>
      <c r="K795">
        <v>1.6313213703099501E-3</v>
      </c>
      <c r="L795">
        <v>2.97086437166659E-2</v>
      </c>
      <c r="M795">
        <v>2.88600288600288E-4</v>
      </c>
      <c r="N795">
        <v>1.24343532506797E-2</v>
      </c>
      <c r="O795">
        <v>186</v>
      </c>
      <c r="P795">
        <v>1.0977833894500501E-2</v>
      </c>
      <c r="Q795">
        <v>1.11504610961113E-2</v>
      </c>
      <c r="R795">
        <v>0</v>
      </c>
      <c r="S795">
        <v>0</v>
      </c>
      <c r="T795" t="s">
        <v>53</v>
      </c>
      <c r="U795">
        <v>1.6981132075471601E-2</v>
      </c>
      <c r="V795">
        <v>0</v>
      </c>
      <c r="W795">
        <v>0</v>
      </c>
      <c r="X795">
        <v>2.2470344878672902E-2</v>
      </c>
      <c r="Y795">
        <v>2.1342129861111898E-2</v>
      </c>
      <c r="Z795">
        <v>1.15604416369722E-2</v>
      </c>
      <c r="AA795">
        <v>0</v>
      </c>
      <c r="AB795">
        <f t="shared" si="84"/>
        <v>1.2807975200051214E-2</v>
      </c>
      <c r="AC795">
        <f t="shared" si="89"/>
        <v>0.1</v>
      </c>
      <c r="AD795">
        <f t="shared" si="85"/>
        <v>0</v>
      </c>
      <c r="AE795">
        <f t="shared" si="90"/>
        <v>1.4088772720056337E-2</v>
      </c>
      <c r="AF795" t="str">
        <f t="shared" si="86"/>
        <v>Very Low</v>
      </c>
      <c r="AG795" t="str">
        <f t="shared" si="87"/>
        <v>NO ACTION</v>
      </c>
      <c r="AH795" t="str">
        <f t="shared" si="88"/>
        <v/>
      </c>
    </row>
    <row r="796" spans="1:34" x14ac:dyDescent="0.3">
      <c r="A796" t="s">
        <v>823</v>
      </c>
      <c r="B796">
        <v>0.12892249527410199</v>
      </c>
      <c r="C796">
        <v>0.36953165208440503</v>
      </c>
      <c r="D796">
        <v>0</v>
      </c>
      <c r="E796">
        <v>0</v>
      </c>
      <c r="F796">
        <v>0</v>
      </c>
      <c r="G796">
        <v>0.99368418772844203</v>
      </c>
      <c r="H796">
        <v>8</v>
      </c>
      <c r="I796">
        <v>8</v>
      </c>
      <c r="J796">
        <v>9.8754830399313001E-2</v>
      </c>
      <c r="K796">
        <v>1.7944535073409401E-2</v>
      </c>
      <c r="L796">
        <v>4.6302531942022898E-2</v>
      </c>
      <c r="M796">
        <v>4.6176046176046098E-3</v>
      </c>
      <c r="N796">
        <v>2.81885290078061E-2</v>
      </c>
      <c r="O796">
        <v>950</v>
      </c>
      <c r="P796">
        <v>8.2561728395061706E-2</v>
      </c>
      <c r="Q796">
        <v>8.2716785301027301E-2</v>
      </c>
      <c r="R796">
        <v>0</v>
      </c>
      <c r="S796">
        <v>0</v>
      </c>
      <c r="T796" t="s">
        <v>28</v>
      </c>
      <c r="U796">
        <v>2.19755826859045E-2</v>
      </c>
      <c r="V796">
        <v>0</v>
      </c>
      <c r="W796">
        <v>0</v>
      </c>
      <c r="X796">
        <v>0</v>
      </c>
      <c r="Y796">
        <v>5.1358790753215901E-2</v>
      </c>
      <c r="Z796">
        <v>6.0812448640159403E-2</v>
      </c>
      <c r="AA796">
        <v>0</v>
      </c>
      <c r="AB796">
        <f t="shared" si="84"/>
        <v>3.1407947030145086E-2</v>
      </c>
      <c r="AC796">
        <f t="shared" si="89"/>
        <v>0.25</v>
      </c>
      <c r="AD796">
        <f t="shared" si="85"/>
        <v>0</v>
      </c>
      <c r="AE796">
        <f t="shared" si="90"/>
        <v>3.9259933787681361E-2</v>
      </c>
      <c r="AF796" t="str">
        <f t="shared" si="86"/>
        <v>Very Low</v>
      </c>
      <c r="AG796" t="str">
        <f t="shared" si="87"/>
        <v>NO ACTION</v>
      </c>
      <c r="AH796" t="str">
        <f t="shared" si="88"/>
        <v/>
      </c>
    </row>
    <row r="797" spans="1:34" x14ac:dyDescent="0.3">
      <c r="A797" t="s">
        <v>824</v>
      </c>
      <c r="B797">
        <v>0.12892249527410199</v>
      </c>
      <c r="C797">
        <v>0.18476582604220201</v>
      </c>
      <c r="D797">
        <v>0</v>
      </c>
      <c r="E797">
        <v>0</v>
      </c>
      <c r="F797">
        <v>0</v>
      </c>
      <c r="G797">
        <v>0.99368517794829803</v>
      </c>
      <c r="H797">
        <v>7</v>
      </c>
      <c r="I797">
        <v>7</v>
      </c>
      <c r="J797">
        <v>9.4842803301369197E-2</v>
      </c>
      <c r="K797">
        <v>1.8760195758564399E-2</v>
      </c>
      <c r="L797">
        <v>5.0398858206747298E-2</v>
      </c>
      <c r="M797">
        <v>6.0606060606060597E-3</v>
      </c>
      <c r="N797">
        <v>3.8519667320470102E-2</v>
      </c>
      <c r="O797">
        <v>908</v>
      </c>
      <c r="P797">
        <v>8.0737934904601502E-2</v>
      </c>
      <c r="Q797">
        <v>8.0893439461411601E-2</v>
      </c>
      <c r="R797">
        <v>0</v>
      </c>
      <c r="S797">
        <v>0</v>
      </c>
      <c r="T797" t="s">
        <v>53</v>
      </c>
      <c r="U797">
        <v>1.7753001715265799E-2</v>
      </c>
      <c r="V797">
        <v>0</v>
      </c>
      <c r="W797">
        <v>0</v>
      </c>
      <c r="X797">
        <v>0</v>
      </c>
      <c r="Y797">
        <v>5.5723889959788497E-2</v>
      </c>
      <c r="Z797">
        <v>6.3850627870949E-2</v>
      </c>
      <c r="AA797">
        <v>0</v>
      </c>
      <c r="AB797">
        <f t="shared" si="84"/>
        <v>3.3480864992606503E-2</v>
      </c>
      <c r="AC797">
        <f t="shared" si="89"/>
        <v>0.1</v>
      </c>
      <c r="AD797">
        <f t="shared" si="85"/>
        <v>0</v>
      </c>
      <c r="AE797">
        <f t="shared" si="90"/>
        <v>3.6828951491867157E-2</v>
      </c>
      <c r="AF797" t="str">
        <f t="shared" si="86"/>
        <v>Very Low</v>
      </c>
      <c r="AG797" t="str">
        <f t="shared" si="87"/>
        <v>NO ACTION</v>
      </c>
      <c r="AH797" t="str">
        <f t="shared" si="88"/>
        <v/>
      </c>
    </row>
    <row r="798" spans="1:34" x14ac:dyDescent="0.3">
      <c r="A798" t="s">
        <v>825</v>
      </c>
      <c r="B798">
        <v>0.2351606805293</v>
      </c>
      <c r="C798">
        <v>0.66881687190356398</v>
      </c>
      <c r="D798">
        <v>0.36238371393180302</v>
      </c>
      <c r="E798">
        <v>0</v>
      </c>
      <c r="F798">
        <v>0</v>
      </c>
      <c r="G798">
        <v>0.48039914550093299</v>
      </c>
      <c r="H798">
        <v>7</v>
      </c>
      <c r="I798">
        <v>14</v>
      </c>
      <c r="J798">
        <v>8.1293831401173605E-2</v>
      </c>
      <c r="K798">
        <v>1.30505709624796E-2</v>
      </c>
      <c r="L798">
        <v>4.0886325349092E-2</v>
      </c>
      <c r="M798">
        <v>1.7316017316017301E-3</v>
      </c>
      <c r="N798">
        <v>1.2834522606318901E-2</v>
      </c>
      <c r="O798">
        <v>886</v>
      </c>
      <c r="P798">
        <v>6.6217732884399499E-2</v>
      </c>
      <c r="Q798">
        <v>6.6376801430625201E-2</v>
      </c>
      <c r="R798">
        <v>0</v>
      </c>
      <c r="S798">
        <v>0</v>
      </c>
      <c r="T798" t="s">
        <v>53</v>
      </c>
      <c r="U798">
        <v>3.8814016172506703E-2</v>
      </c>
      <c r="V798">
        <v>0</v>
      </c>
      <c r="W798">
        <v>0</v>
      </c>
      <c r="X798">
        <v>0.10871511417954099</v>
      </c>
      <c r="Y798">
        <v>4.0552285736676401E-2</v>
      </c>
      <c r="Z798">
        <v>4.4864448773167302E-2</v>
      </c>
      <c r="AA798">
        <v>0</v>
      </c>
      <c r="AB798">
        <f t="shared" si="84"/>
        <v>4.1311103931482802E-2</v>
      </c>
      <c r="AC798">
        <f t="shared" si="89"/>
        <v>0.1</v>
      </c>
      <c r="AD798">
        <f t="shared" si="85"/>
        <v>0</v>
      </c>
      <c r="AE798">
        <f t="shared" si="90"/>
        <v>4.5442214324631088E-2</v>
      </c>
      <c r="AF798" t="str">
        <f t="shared" si="86"/>
        <v>Very Low</v>
      </c>
      <c r="AG798" t="str">
        <f t="shared" si="87"/>
        <v>NO ACTION</v>
      </c>
      <c r="AH798" t="str">
        <f t="shared" si="88"/>
        <v/>
      </c>
    </row>
    <row r="799" spans="1:34" x14ac:dyDescent="0.3">
      <c r="A799" t="s">
        <v>826</v>
      </c>
      <c r="B799">
        <v>0.12892249527410199</v>
      </c>
      <c r="C799">
        <v>0.36953165208440503</v>
      </c>
      <c r="D799">
        <v>0</v>
      </c>
      <c r="E799">
        <v>0</v>
      </c>
      <c r="F799">
        <v>0</v>
      </c>
      <c r="G799">
        <v>0.99365675596214098</v>
      </c>
      <c r="H799">
        <v>8</v>
      </c>
      <c r="I799">
        <v>8</v>
      </c>
      <c r="J799">
        <v>7.7238681360622105E-2</v>
      </c>
      <c r="K799">
        <v>2.1207177814029299E-2</v>
      </c>
      <c r="L799">
        <v>6.9917756333187905E-2</v>
      </c>
      <c r="M799">
        <v>1.7316017316017301E-3</v>
      </c>
      <c r="N799">
        <v>1.35062802550487E-2</v>
      </c>
      <c r="O799">
        <v>923</v>
      </c>
      <c r="P799">
        <v>6.6743827160493804E-2</v>
      </c>
      <c r="Q799">
        <v>6.6902766576668105E-2</v>
      </c>
      <c r="R799">
        <v>0</v>
      </c>
      <c r="S799">
        <v>0</v>
      </c>
      <c r="T799" t="s">
        <v>53</v>
      </c>
      <c r="U799">
        <v>6.30727762803234E-2</v>
      </c>
      <c r="V799">
        <v>0</v>
      </c>
      <c r="W799">
        <v>0</v>
      </c>
      <c r="X799">
        <v>0</v>
      </c>
      <c r="Y799">
        <v>5.4458498515233003E-2</v>
      </c>
      <c r="Z799">
        <v>4.54488083983157E-2</v>
      </c>
      <c r="AA799">
        <v>0</v>
      </c>
      <c r="AB799">
        <f t="shared" si="84"/>
        <v>2.797404593579364E-2</v>
      </c>
      <c r="AC799">
        <f t="shared" si="89"/>
        <v>0.1</v>
      </c>
      <c r="AD799">
        <f t="shared" si="85"/>
        <v>0</v>
      </c>
      <c r="AE799">
        <f t="shared" si="90"/>
        <v>3.0771450529373006E-2</v>
      </c>
      <c r="AF799" t="str">
        <f t="shared" si="86"/>
        <v>Very Low</v>
      </c>
      <c r="AG799" t="str">
        <f t="shared" si="87"/>
        <v>NO ACTION</v>
      </c>
      <c r="AH799" t="str">
        <f t="shared" si="88"/>
        <v/>
      </c>
    </row>
    <row r="800" spans="1:34" x14ac:dyDescent="0.3">
      <c r="A800" t="s">
        <v>827</v>
      </c>
      <c r="B800">
        <v>0.12892249527410199</v>
      </c>
      <c r="C800">
        <v>0.28384315305034002</v>
      </c>
      <c r="D800">
        <v>7.4935284296444499E-2</v>
      </c>
      <c r="E800">
        <v>0</v>
      </c>
      <c r="F800">
        <v>0</v>
      </c>
      <c r="G800">
        <v>0.99368274254270395</v>
      </c>
      <c r="H800">
        <v>7</v>
      </c>
      <c r="I800">
        <v>8</v>
      </c>
      <c r="J800">
        <v>8.5778350269548206E-2</v>
      </c>
      <c r="K800">
        <v>1.0603588907014599E-2</v>
      </c>
      <c r="L800">
        <v>3.1488196418496102E-2</v>
      </c>
      <c r="M800">
        <v>1.1544011544011501E-3</v>
      </c>
      <c r="N800">
        <v>8.1102603565165899E-3</v>
      </c>
      <c r="O800">
        <v>899</v>
      </c>
      <c r="P800">
        <v>6.8181818181818094E-2</v>
      </c>
      <c r="Q800">
        <v>6.8340404642519004E-2</v>
      </c>
      <c r="R800">
        <v>0</v>
      </c>
      <c r="S800">
        <v>0</v>
      </c>
      <c r="T800" t="s">
        <v>53</v>
      </c>
      <c r="U800">
        <v>4.4150943396226397E-2</v>
      </c>
      <c r="V800">
        <v>0</v>
      </c>
      <c r="W800">
        <v>0</v>
      </c>
      <c r="X800">
        <v>2.2480585288933298E-2</v>
      </c>
      <c r="Y800">
        <v>3.5332846370112699E-2</v>
      </c>
      <c r="Z800">
        <v>4.41531950516975E-2</v>
      </c>
      <c r="AA800">
        <v>0</v>
      </c>
      <c r="AB800">
        <f t="shared" si="84"/>
        <v>2.5852985244336185E-2</v>
      </c>
      <c r="AC800">
        <f t="shared" si="89"/>
        <v>0.1</v>
      </c>
      <c r="AD800">
        <f t="shared" si="85"/>
        <v>0</v>
      </c>
      <c r="AE800">
        <f t="shared" si="90"/>
        <v>2.8438283768769806E-2</v>
      </c>
      <c r="AF800" t="str">
        <f t="shared" si="86"/>
        <v>Very Low</v>
      </c>
      <c r="AG800" t="str">
        <f t="shared" si="87"/>
        <v>NO ACTION</v>
      </c>
      <c r="AH800" t="str">
        <f t="shared" si="88"/>
        <v/>
      </c>
    </row>
    <row r="801" spans="1:34" x14ac:dyDescent="0.3">
      <c r="A801" t="s">
        <v>828</v>
      </c>
      <c r="B801">
        <v>0.12892249527410199</v>
      </c>
      <c r="C801">
        <v>0.18476582604220201</v>
      </c>
      <c r="D801">
        <v>0</v>
      </c>
      <c r="E801">
        <v>0</v>
      </c>
      <c r="F801">
        <v>0</v>
      </c>
      <c r="G801">
        <v>0.99369170804681295</v>
      </c>
      <c r="H801">
        <v>7</v>
      </c>
      <c r="I801">
        <v>7</v>
      </c>
      <c r="J801">
        <v>7.8479080196555501E-2</v>
      </c>
      <c r="K801">
        <v>1.0603588907014599E-2</v>
      </c>
      <c r="L801">
        <v>3.4408010995483997E-2</v>
      </c>
      <c r="M801">
        <v>1.44300144300144E-3</v>
      </c>
      <c r="N801">
        <v>1.1077878350605599E-2</v>
      </c>
      <c r="O801">
        <v>778</v>
      </c>
      <c r="P801">
        <v>6.2955948372615006E-2</v>
      </c>
      <c r="Q801">
        <v>6.3115817525158602E-2</v>
      </c>
      <c r="R801">
        <v>0</v>
      </c>
      <c r="S801">
        <v>0</v>
      </c>
      <c r="T801" t="s">
        <v>53</v>
      </c>
      <c r="U801">
        <v>3.6792452830188602E-2</v>
      </c>
      <c r="V801">
        <v>0</v>
      </c>
      <c r="W801">
        <v>0</v>
      </c>
      <c r="X801">
        <v>0</v>
      </c>
      <c r="Y801">
        <v>3.62231850422347E-2</v>
      </c>
      <c r="Z801">
        <v>4.2204720363811198E-2</v>
      </c>
      <c r="AA801">
        <v>0</v>
      </c>
      <c r="AB801">
        <f t="shared" si="84"/>
        <v>2.1959813513692854E-2</v>
      </c>
      <c r="AC801">
        <f t="shared" si="89"/>
        <v>0.1</v>
      </c>
      <c r="AD801">
        <f t="shared" si="85"/>
        <v>0</v>
      </c>
      <c r="AE801">
        <f t="shared" si="90"/>
        <v>2.4155794865062141E-2</v>
      </c>
      <c r="AF801" t="str">
        <f t="shared" si="86"/>
        <v>Very Low</v>
      </c>
      <c r="AG801" t="str">
        <f t="shared" si="87"/>
        <v>NO ACTION</v>
      </c>
      <c r="AH801" t="str">
        <f t="shared" si="88"/>
        <v/>
      </c>
    </row>
    <row r="802" spans="1:34" x14ac:dyDescent="0.3">
      <c r="A802" t="s">
        <v>829</v>
      </c>
      <c r="B802">
        <v>0.12892249527410199</v>
      </c>
      <c r="C802">
        <v>0.27206098443315602</v>
      </c>
      <c r="D802">
        <v>7.5018780494472401E-2</v>
      </c>
      <c r="E802">
        <v>0</v>
      </c>
      <c r="F802">
        <v>0</v>
      </c>
      <c r="G802">
        <v>0.99367096695521895</v>
      </c>
      <c r="H802">
        <v>7</v>
      </c>
      <c r="I802">
        <v>8</v>
      </c>
      <c r="J802">
        <v>9.0930776203425406E-2</v>
      </c>
      <c r="K802">
        <v>1.1419249592169599E-2</v>
      </c>
      <c r="L802">
        <v>3.1993924002563297E-2</v>
      </c>
      <c r="M802">
        <v>4.0404040404040404E-3</v>
      </c>
      <c r="N802">
        <v>2.6781683924541E-2</v>
      </c>
      <c r="O802">
        <v>632</v>
      </c>
      <c r="P802">
        <v>7.3723344556677894E-2</v>
      </c>
      <c r="Q802">
        <v>7.38805708475051E-2</v>
      </c>
      <c r="R802">
        <v>0</v>
      </c>
      <c r="S802">
        <v>0</v>
      </c>
      <c r="T802" t="s">
        <v>53</v>
      </c>
      <c r="U802">
        <v>1.58490566037735E-2</v>
      </c>
      <c r="V802">
        <v>0</v>
      </c>
      <c r="W802">
        <v>0</v>
      </c>
      <c r="X802">
        <v>2.25056341483417E-2</v>
      </c>
      <c r="Y802">
        <v>4.2217622419328998E-2</v>
      </c>
      <c r="Z802">
        <v>5.4946680303823103E-2</v>
      </c>
      <c r="AA802">
        <v>0</v>
      </c>
      <c r="AB802">
        <f t="shared" si="84"/>
        <v>3.0806906226217262E-2</v>
      </c>
      <c r="AC802">
        <f t="shared" si="89"/>
        <v>0.1</v>
      </c>
      <c r="AD802">
        <f t="shared" si="85"/>
        <v>0</v>
      </c>
      <c r="AE802">
        <f t="shared" si="90"/>
        <v>3.3887596848838991E-2</v>
      </c>
      <c r="AF802" t="str">
        <f t="shared" si="86"/>
        <v>Very Low</v>
      </c>
      <c r="AG802" t="str">
        <f t="shared" si="87"/>
        <v>NO ACTION</v>
      </c>
      <c r="AH802" t="str">
        <f t="shared" si="88"/>
        <v/>
      </c>
    </row>
    <row r="803" spans="1:34" x14ac:dyDescent="0.3">
      <c r="A803" t="s">
        <v>830</v>
      </c>
      <c r="B803">
        <v>0.12892249527410199</v>
      </c>
      <c r="C803">
        <v>0.18476582604220201</v>
      </c>
      <c r="D803">
        <v>0</v>
      </c>
      <c r="E803">
        <v>0</v>
      </c>
      <c r="F803">
        <v>0</v>
      </c>
      <c r="G803">
        <v>0.99366133238364096</v>
      </c>
      <c r="H803">
        <v>7</v>
      </c>
      <c r="I803">
        <v>7</v>
      </c>
      <c r="J803">
        <v>8.80206097037355E-2</v>
      </c>
      <c r="K803">
        <v>7.34094616639478E-3</v>
      </c>
      <c r="L803">
        <v>2.1245694938999402E-2</v>
      </c>
      <c r="M803">
        <v>0</v>
      </c>
      <c r="N803">
        <v>0</v>
      </c>
      <c r="O803">
        <v>367</v>
      </c>
      <c r="P803">
        <v>6.7866161616161602E-2</v>
      </c>
      <c r="Q803">
        <v>6.8024825554893198E-2</v>
      </c>
      <c r="R803">
        <v>0</v>
      </c>
      <c r="S803">
        <v>0</v>
      </c>
      <c r="T803" t="s">
        <v>53</v>
      </c>
      <c r="U803">
        <v>0.152830188679245</v>
      </c>
      <c r="V803">
        <v>0</v>
      </c>
      <c r="W803">
        <v>0</v>
      </c>
      <c r="X803">
        <v>0</v>
      </c>
      <c r="Y803">
        <v>2.8226969410246799E-2</v>
      </c>
      <c r="Z803">
        <v>4.0719696969696899E-2</v>
      </c>
      <c r="AA803">
        <v>0</v>
      </c>
      <c r="AB803">
        <f t="shared" si="84"/>
        <v>1.9305066586384236E-2</v>
      </c>
      <c r="AC803">
        <f t="shared" si="89"/>
        <v>0.1</v>
      </c>
      <c r="AD803">
        <f t="shared" si="85"/>
        <v>0</v>
      </c>
      <c r="AE803">
        <f t="shared" si="90"/>
        <v>2.1235573245022659E-2</v>
      </c>
      <c r="AF803" t="str">
        <f t="shared" si="86"/>
        <v>Very Low</v>
      </c>
      <c r="AG803" t="str">
        <f t="shared" si="87"/>
        <v>NO ACTION</v>
      </c>
      <c r="AH803" t="str">
        <f t="shared" si="88"/>
        <v/>
      </c>
    </row>
    <row r="804" spans="1:34" x14ac:dyDescent="0.3">
      <c r="A804" t="s">
        <v>831</v>
      </c>
      <c r="B804">
        <v>0.12892249527410199</v>
      </c>
      <c r="C804">
        <v>0.28170094057448802</v>
      </c>
      <c r="D804">
        <v>7.5041536061111899E-2</v>
      </c>
      <c r="E804">
        <v>0</v>
      </c>
      <c r="F804">
        <v>0</v>
      </c>
      <c r="G804">
        <v>0.99366834421073402</v>
      </c>
      <c r="H804">
        <v>7</v>
      </c>
      <c r="I804">
        <v>8</v>
      </c>
      <c r="J804">
        <v>8.5110443204045594E-2</v>
      </c>
      <c r="K804">
        <v>1.2234910277324601E-2</v>
      </c>
      <c r="L804">
        <v>3.6616858242173402E-2</v>
      </c>
      <c r="M804">
        <v>2.3088023088023001E-3</v>
      </c>
      <c r="N804">
        <v>1.6347456034431902E-2</v>
      </c>
      <c r="O804">
        <v>901</v>
      </c>
      <c r="P804">
        <v>6.8953423120089799E-2</v>
      </c>
      <c r="Q804">
        <v>6.9111820190048703E-2</v>
      </c>
      <c r="R804">
        <v>0</v>
      </c>
      <c r="S804">
        <v>0</v>
      </c>
      <c r="T804" t="s">
        <v>53</v>
      </c>
      <c r="U804">
        <v>2.83018867924528E-2</v>
      </c>
      <c r="V804">
        <v>0</v>
      </c>
      <c r="W804">
        <v>0</v>
      </c>
      <c r="X804">
        <v>2.25124608183335E-2</v>
      </c>
      <c r="Y804">
        <v>4.0234754572225397E-2</v>
      </c>
      <c r="Z804">
        <v>4.7911036285826603E-2</v>
      </c>
      <c r="AA804">
        <v>0</v>
      </c>
      <c r="AB804">
        <f t="shared" si="84"/>
        <v>2.8282815171187921E-2</v>
      </c>
      <c r="AC804">
        <f t="shared" si="89"/>
        <v>0.1</v>
      </c>
      <c r="AD804">
        <f t="shared" si="85"/>
        <v>0</v>
      </c>
      <c r="AE804">
        <f t="shared" si="90"/>
        <v>3.1111096688306715E-2</v>
      </c>
      <c r="AF804" t="str">
        <f t="shared" si="86"/>
        <v>Very Low</v>
      </c>
      <c r="AG804" t="str">
        <f t="shared" si="87"/>
        <v>NO ACTION</v>
      </c>
      <c r="AH804" t="str">
        <f t="shared" si="88"/>
        <v/>
      </c>
    </row>
    <row r="805" spans="1:34" x14ac:dyDescent="0.3">
      <c r="A805" t="s">
        <v>832</v>
      </c>
      <c r="B805">
        <v>0.14555765595463099</v>
      </c>
      <c r="C805">
        <v>0.29306044901809503</v>
      </c>
      <c r="D805">
        <v>0.52689680351799095</v>
      </c>
      <c r="E805">
        <v>0.117109397315052</v>
      </c>
      <c r="F805">
        <v>0.10025706940874</v>
      </c>
      <c r="G805">
        <v>0.86412558663578498</v>
      </c>
      <c r="H805">
        <v>0</v>
      </c>
      <c r="I805">
        <v>23</v>
      </c>
      <c r="J805">
        <v>8.4537951433614797E-2</v>
      </c>
      <c r="K805">
        <v>8.9722675367047301E-3</v>
      </c>
      <c r="L805">
        <v>2.7033695492317801E-2</v>
      </c>
      <c r="M805">
        <v>2.3088023088023001E-3</v>
      </c>
      <c r="N805">
        <v>1.6457849659875502E-2</v>
      </c>
      <c r="O805">
        <v>892</v>
      </c>
      <c r="P805">
        <v>6.7129629629629595E-2</v>
      </c>
      <c r="Q805">
        <v>6.7288474350433003E-2</v>
      </c>
      <c r="R805">
        <v>0.104719764011799</v>
      </c>
      <c r="S805">
        <v>1</v>
      </c>
      <c r="T805" t="s">
        <v>53</v>
      </c>
      <c r="U805">
        <v>2.0754716981132001E-2</v>
      </c>
      <c r="V805">
        <v>0</v>
      </c>
      <c r="W805">
        <v>8.8447334654598003E-2</v>
      </c>
      <c r="X805">
        <v>0.23330468801340901</v>
      </c>
      <c r="Y805">
        <v>3.5361792930844502E-2</v>
      </c>
      <c r="Z805">
        <v>4.6860917641727999E-2</v>
      </c>
      <c r="AA805">
        <v>0.104719764011799</v>
      </c>
      <c r="AB805">
        <f t="shared" si="84"/>
        <v>8.9672642965769461E-2</v>
      </c>
      <c r="AC805">
        <f t="shared" si="89"/>
        <v>0.1</v>
      </c>
      <c r="AD805">
        <f t="shared" si="85"/>
        <v>0</v>
      </c>
      <c r="AE805">
        <f t="shared" si="90"/>
        <v>9.8639907262346421E-2</v>
      </c>
      <c r="AF805" t="str">
        <f t="shared" si="86"/>
        <v>Very Low</v>
      </c>
      <c r="AG805" t="str">
        <f t="shared" si="87"/>
        <v>NO ACTION</v>
      </c>
      <c r="AH805" t="str">
        <f t="shared" si="88"/>
        <v/>
      </c>
    </row>
    <row r="806" spans="1:34" x14ac:dyDescent="0.3">
      <c r="A806" t="s">
        <v>833</v>
      </c>
      <c r="B806">
        <v>0.12892249527410199</v>
      </c>
      <c r="C806">
        <v>0.18476582604220201</v>
      </c>
      <c r="D806">
        <v>0</v>
      </c>
      <c r="E806">
        <v>0</v>
      </c>
      <c r="F806">
        <v>0</v>
      </c>
      <c r="G806">
        <v>0.993681779085547</v>
      </c>
      <c r="H806">
        <v>7</v>
      </c>
      <c r="I806">
        <v>7</v>
      </c>
      <c r="J806">
        <v>8.1580077286388997E-2</v>
      </c>
      <c r="K806">
        <v>2.1207177814029299E-2</v>
      </c>
      <c r="L806">
        <v>6.6207834568569796E-2</v>
      </c>
      <c r="M806">
        <v>3.1746031746031698E-3</v>
      </c>
      <c r="N806">
        <v>2.3447637558424699E-2</v>
      </c>
      <c r="O806">
        <v>892</v>
      </c>
      <c r="P806">
        <v>7.0636924803591405E-2</v>
      </c>
      <c r="Q806">
        <v>7.0794908657386302E-2</v>
      </c>
      <c r="R806">
        <v>0</v>
      </c>
      <c r="S806">
        <v>0</v>
      </c>
      <c r="T806" t="s">
        <v>53</v>
      </c>
      <c r="U806">
        <v>3.6792452830188602E-2</v>
      </c>
      <c r="V806">
        <v>0</v>
      </c>
      <c r="W806">
        <v>0</v>
      </c>
      <c r="X806">
        <v>0</v>
      </c>
      <c r="Y806">
        <v>5.6454224009090101E-2</v>
      </c>
      <c r="Z806">
        <v>5.1761209905524699E-2</v>
      </c>
      <c r="AA806">
        <v>0</v>
      </c>
      <c r="AB806">
        <f t="shared" si="84"/>
        <v>3.0300321496092148E-2</v>
      </c>
      <c r="AC806">
        <f t="shared" si="89"/>
        <v>0.1</v>
      </c>
      <c r="AD806">
        <f t="shared" si="85"/>
        <v>0</v>
      </c>
      <c r="AE806">
        <f t="shared" si="90"/>
        <v>3.3330353645701367E-2</v>
      </c>
      <c r="AF806" t="str">
        <f t="shared" si="86"/>
        <v>Very Low</v>
      </c>
      <c r="AG806" t="str">
        <f t="shared" si="87"/>
        <v>NO ACTION</v>
      </c>
      <c r="AH806" t="str">
        <f t="shared" si="88"/>
        <v/>
      </c>
    </row>
    <row r="807" spans="1:34" x14ac:dyDescent="0.3">
      <c r="A807" t="s">
        <v>834</v>
      </c>
      <c r="B807">
        <v>0.12892249527410199</v>
      </c>
      <c r="C807">
        <v>0.18476582604220201</v>
      </c>
      <c r="D807">
        <v>0</v>
      </c>
      <c r="E807">
        <v>0</v>
      </c>
      <c r="F807">
        <v>0</v>
      </c>
      <c r="G807">
        <v>0.993679852171231</v>
      </c>
      <c r="H807">
        <v>7</v>
      </c>
      <c r="I807">
        <v>7</v>
      </c>
      <c r="J807">
        <v>9.0119746195315098E-2</v>
      </c>
      <c r="K807">
        <v>1.30505709624796E-2</v>
      </c>
      <c r="L807">
        <v>3.6892676885743499E-2</v>
      </c>
      <c r="M807">
        <v>6.9264069264069203E-3</v>
      </c>
      <c r="N807">
        <v>4.6323546217949499E-2</v>
      </c>
      <c r="O807">
        <v>913</v>
      </c>
      <c r="P807">
        <v>7.5231481481481496E-2</v>
      </c>
      <c r="Q807">
        <v>7.5388337599494995E-2</v>
      </c>
      <c r="R807">
        <v>0</v>
      </c>
      <c r="S807">
        <v>0</v>
      </c>
      <c r="T807" t="s">
        <v>53</v>
      </c>
      <c r="U807">
        <v>1.0867924528301799E-2</v>
      </c>
      <c r="V807">
        <v>0</v>
      </c>
      <c r="W807">
        <v>0</v>
      </c>
      <c r="X807">
        <v>0</v>
      </c>
      <c r="Y807">
        <v>5.0367351547319597E-2</v>
      </c>
      <c r="Z807">
        <v>6.3668307376068697E-2</v>
      </c>
      <c r="AA807">
        <v>0</v>
      </c>
      <c r="AB807">
        <f t="shared" si="84"/>
        <v>3.1929984498548725E-2</v>
      </c>
      <c r="AC807">
        <f t="shared" si="89"/>
        <v>0.1</v>
      </c>
      <c r="AD807">
        <f t="shared" si="85"/>
        <v>0</v>
      </c>
      <c r="AE807">
        <f t="shared" si="90"/>
        <v>3.5122982948403603E-2</v>
      </c>
      <c r="AF807" t="str">
        <f t="shared" si="86"/>
        <v>Very Low</v>
      </c>
      <c r="AG807" t="str">
        <f t="shared" si="87"/>
        <v>NO ACTION</v>
      </c>
      <c r="AH807" t="str">
        <f t="shared" si="88"/>
        <v/>
      </c>
    </row>
    <row r="808" spans="1:34" x14ac:dyDescent="0.3">
      <c r="A808" t="s">
        <v>835</v>
      </c>
      <c r="B808">
        <v>0.12892249527410199</v>
      </c>
      <c r="C808">
        <v>0.36953165208440503</v>
      </c>
      <c r="D808">
        <v>0</v>
      </c>
      <c r="E808">
        <v>0</v>
      </c>
      <c r="F808">
        <v>0</v>
      </c>
      <c r="G808">
        <v>0.99366719341468401</v>
      </c>
      <c r="H808">
        <v>8</v>
      </c>
      <c r="I808">
        <v>8</v>
      </c>
      <c r="J808">
        <v>8.1675492581460798E-2</v>
      </c>
      <c r="K808">
        <v>8.1566068515497494E-3</v>
      </c>
      <c r="L808">
        <v>2.54348900777512E-2</v>
      </c>
      <c r="M808">
        <v>2.59740259740259E-3</v>
      </c>
      <c r="N808">
        <v>1.9162084275654401E-2</v>
      </c>
      <c r="O808">
        <v>831</v>
      </c>
      <c r="P808">
        <v>6.4814814814814797E-2</v>
      </c>
      <c r="Q808">
        <v>6.4974227707843807E-2</v>
      </c>
      <c r="R808">
        <v>0</v>
      </c>
      <c r="S808">
        <v>0</v>
      </c>
      <c r="T808" t="s">
        <v>53</v>
      </c>
      <c r="U808">
        <v>1.6981132075471601E-2</v>
      </c>
      <c r="V808">
        <v>0</v>
      </c>
      <c r="W808">
        <v>0</v>
      </c>
      <c r="X808">
        <v>0</v>
      </c>
      <c r="Y808">
        <v>3.4801168837864098E-2</v>
      </c>
      <c r="Z808">
        <v>4.6553722599150603E-2</v>
      </c>
      <c r="AA808">
        <v>0</v>
      </c>
      <c r="AB808">
        <f t="shared" si="84"/>
        <v>2.2779369602364118E-2</v>
      </c>
      <c r="AC808">
        <f t="shared" si="89"/>
        <v>0.1</v>
      </c>
      <c r="AD808">
        <f t="shared" si="85"/>
        <v>0</v>
      </c>
      <c r="AE808">
        <f t="shared" si="90"/>
        <v>2.505730656260053E-2</v>
      </c>
      <c r="AF808" t="str">
        <f t="shared" si="86"/>
        <v>Very Low</v>
      </c>
      <c r="AG808" t="str">
        <f t="shared" si="87"/>
        <v>NO ACTION</v>
      </c>
      <c r="AH808" t="str">
        <f t="shared" si="88"/>
        <v/>
      </c>
    </row>
    <row r="809" spans="1:34" x14ac:dyDescent="0.3">
      <c r="A809" t="s">
        <v>836</v>
      </c>
      <c r="B809">
        <v>0.12892249527410199</v>
      </c>
      <c r="C809">
        <v>0.27098987819523002</v>
      </c>
      <c r="D809">
        <v>7.4965657310309297E-2</v>
      </c>
      <c r="E809">
        <v>0</v>
      </c>
      <c r="F809">
        <v>0</v>
      </c>
      <c r="G809">
        <v>0.99368116354347402</v>
      </c>
      <c r="H809">
        <v>7</v>
      </c>
      <c r="I809">
        <v>8</v>
      </c>
      <c r="J809">
        <v>9.6369448022517998E-2</v>
      </c>
      <c r="K809">
        <v>1.4681892332789499E-2</v>
      </c>
      <c r="L809">
        <v>3.8819294456443401E-2</v>
      </c>
      <c r="M809">
        <v>2.8860028860028799E-3</v>
      </c>
      <c r="N809">
        <v>1.8052838793579499E-2</v>
      </c>
      <c r="O809">
        <v>880</v>
      </c>
      <c r="P809">
        <v>7.8563411896745206E-2</v>
      </c>
      <c r="Q809">
        <v>7.8719450191100604E-2</v>
      </c>
      <c r="R809">
        <v>0</v>
      </c>
      <c r="S809">
        <v>0</v>
      </c>
      <c r="T809" t="s">
        <v>28</v>
      </c>
      <c r="U809">
        <v>2.7787307032590001E-2</v>
      </c>
      <c r="V809">
        <v>0</v>
      </c>
      <c r="W809">
        <v>0</v>
      </c>
      <c r="X809">
        <v>2.2489697193092802E-2</v>
      </c>
      <c r="Y809">
        <v>4.4099388470799201E-2</v>
      </c>
      <c r="Z809">
        <v>5.4359182655478899E-2</v>
      </c>
      <c r="AA809">
        <v>0</v>
      </c>
      <c r="AB809">
        <f t="shared" si="84"/>
        <v>3.116675146625272E-2</v>
      </c>
      <c r="AC809">
        <f t="shared" si="89"/>
        <v>0.25</v>
      </c>
      <c r="AD809">
        <f t="shared" si="85"/>
        <v>0</v>
      </c>
      <c r="AE809">
        <f t="shared" si="90"/>
        <v>3.8958439332815897E-2</v>
      </c>
      <c r="AF809" t="str">
        <f t="shared" si="86"/>
        <v>Very Low</v>
      </c>
      <c r="AG809" t="str">
        <f t="shared" si="87"/>
        <v>NO ACTION</v>
      </c>
      <c r="AH809" t="str">
        <f t="shared" si="88"/>
        <v/>
      </c>
    </row>
    <row r="810" spans="1:34" x14ac:dyDescent="0.3">
      <c r="A810" t="s">
        <v>837</v>
      </c>
      <c r="B810">
        <v>0.26238185255198399</v>
      </c>
      <c r="C810">
        <v>0.722916147451655</v>
      </c>
      <c r="D810">
        <v>0.39399418612777298</v>
      </c>
      <c r="E810">
        <v>0</v>
      </c>
      <c r="F810">
        <v>0</v>
      </c>
      <c r="G810">
        <v>0.41545104279337502</v>
      </c>
      <c r="H810">
        <v>7</v>
      </c>
      <c r="I810">
        <v>17</v>
      </c>
      <c r="J810">
        <v>8.0530509040599205E-2</v>
      </c>
      <c r="K810">
        <v>5.7096247960848204E-3</v>
      </c>
      <c r="L810">
        <v>1.8056818892173199E-2</v>
      </c>
      <c r="M810">
        <v>2.3088023088023001E-3</v>
      </c>
      <c r="N810">
        <v>1.72744234173649E-2</v>
      </c>
      <c r="O810">
        <v>661</v>
      </c>
      <c r="P810">
        <v>6.2780583613916904E-2</v>
      </c>
      <c r="Q810">
        <v>6.2940495809810995E-2</v>
      </c>
      <c r="R810">
        <v>0.76401179941002895</v>
      </c>
      <c r="S810">
        <v>1</v>
      </c>
      <c r="T810" t="s">
        <v>53</v>
      </c>
      <c r="U810">
        <v>1.32075471698113E-2</v>
      </c>
      <c r="V810">
        <v>0</v>
      </c>
      <c r="W810">
        <v>0</v>
      </c>
      <c r="X810">
        <v>0.118198255838332</v>
      </c>
      <c r="Y810">
        <v>3.0316838279415899E-2</v>
      </c>
      <c r="Z810">
        <v>4.4578119535296098E-2</v>
      </c>
      <c r="AA810">
        <v>0.76401179941002895</v>
      </c>
      <c r="AB810">
        <f t="shared" si="84"/>
        <v>0.25380561295706061</v>
      </c>
      <c r="AC810">
        <f t="shared" si="89"/>
        <v>0.1</v>
      </c>
      <c r="AD810">
        <f t="shared" si="85"/>
        <v>0</v>
      </c>
      <c r="AE810">
        <f t="shared" si="90"/>
        <v>0.27918617425276671</v>
      </c>
      <c r="AF810" t="str">
        <f t="shared" si="86"/>
        <v>Low</v>
      </c>
      <c r="AG810" t="str">
        <f t="shared" si="87"/>
        <v>NO ACTION</v>
      </c>
      <c r="AH810" t="str">
        <f t="shared" si="88"/>
        <v/>
      </c>
    </row>
    <row r="811" spans="1:34" x14ac:dyDescent="0.3">
      <c r="A811" t="s">
        <v>838</v>
      </c>
      <c r="B811">
        <v>0.12892249527410199</v>
      </c>
      <c r="C811">
        <v>0.18476582604220201</v>
      </c>
      <c r="D811">
        <v>0</v>
      </c>
      <c r="E811">
        <v>0</v>
      </c>
      <c r="F811">
        <v>0</v>
      </c>
      <c r="G811">
        <v>0.99367064580283404</v>
      </c>
      <c r="H811">
        <v>7</v>
      </c>
      <c r="I811">
        <v>7</v>
      </c>
      <c r="J811">
        <v>8.1103000811030002E-2</v>
      </c>
      <c r="K811">
        <v>7.34094616639478E-3</v>
      </c>
      <c r="L811">
        <v>2.30525135701753E-2</v>
      </c>
      <c r="M811">
        <v>2.0202020202020202E-3</v>
      </c>
      <c r="N811">
        <v>1.50087384104979E-2</v>
      </c>
      <c r="O811">
        <v>432</v>
      </c>
      <c r="P811">
        <v>6.3762626262626201E-2</v>
      </c>
      <c r="Q811">
        <v>6.3922297415757903E-2</v>
      </c>
      <c r="R811">
        <v>0</v>
      </c>
      <c r="S811">
        <v>0</v>
      </c>
      <c r="T811" t="s">
        <v>53</v>
      </c>
      <c r="U811">
        <v>1.9103773584905601E-2</v>
      </c>
      <c r="V811">
        <v>0</v>
      </c>
      <c r="W811">
        <v>0</v>
      </c>
      <c r="X811">
        <v>0</v>
      </c>
      <c r="Y811">
        <v>3.2249478470443002E-2</v>
      </c>
      <c r="Z811">
        <v>4.4261071121774902E-2</v>
      </c>
      <c r="AA811">
        <v>0</v>
      </c>
      <c r="AB811">
        <f t="shared" si="84"/>
        <v>2.1422953885821015E-2</v>
      </c>
      <c r="AC811">
        <f t="shared" si="89"/>
        <v>0.1</v>
      </c>
      <c r="AD811">
        <f t="shared" si="85"/>
        <v>0</v>
      </c>
      <c r="AE811">
        <f t="shared" si="90"/>
        <v>2.3565249274403118E-2</v>
      </c>
      <c r="AF811" t="str">
        <f t="shared" si="86"/>
        <v>Very Low</v>
      </c>
      <c r="AG811" t="str">
        <f t="shared" si="87"/>
        <v>NO ACTION</v>
      </c>
      <c r="AH811" t="str">
        <f t="shared" si="88"/>
        <v/>
      </c>
    </row>
    <row r="812" spans="1:34" x14ac:dyDescent="0.3">
      <c r="A812" t="s">
        <v>839</v>
      </c>
      <c r="B812">
        <v>0.12892249527410199</v>
      </c>
      <c r="C812">
        <v>0.18476582604220201</v>
      </c>
      <c r="D812">
        <v>0</v>
      </c>
      <c r="E812">
        <v>0</v>
      </c>
      <c r="F812">
        <v>0</v>
      </c>
      <c r="G812">
        <v>0.99368841623485704</v>
      </c>
      <c r="H812">
        <v>7</v>
      </c>
      <c r="I812">
        <v>7</v>
      </c>
      <c r="J812">
        <v>5.6533562330041497E-2</v>
      </c>
      <c r="K812">
        <v>1.1419249592169599E-2</v>
      </c>
      <c r="L812">
        <v>5.1378477957057501E-2</v>
      </c>
      <c r="M812">
        <v>8.6580086580086504E-4</v>
      </c>
      <c r="N812">
        <v>9.2160500563861908E-3</v>
      </c>
      <c r="O812">
        <v>620</v>
      </c>
      <c r="P812">
        <v>4.68925364758698E-2</v>
      </c>
      <c r="Q812">
        <v>4.7056348399312699E-2</v>
      </c>
      <c r="R812">
        <v>0</v>
      </c>
      <c r="S812">
        <v>0</v>
      </c>
      <c r="T812" t="s">
        <v>53</v>
      </c>
      <c r="U812">
        <v>5.9433962264150902E-2</v>
      </c>
      <c r="V812">
        <v>0</v>
      </c>
      <c r="W812">
        <v>0</v>
      </c>
      <c r="X812">
        <v>0</v>
      </c>
      <c r="Y812">
        <v>3.97607664614529E-2</v>
      </c>
      <c r="Z812">
        <v>3.1821941908076301E-2</v>
      </c>
      <c r="AA812">
        <v>0</v>
      </c>
      <c r="AB812">
        <f t="shared" si="84"/>
        <v>2.0043158343468179E-2</v>
      </c>
      <c r="AC812">
        <f t="shared" si="89"/>
        <v>0.1</v>
      </c>
      <c r="AD812">
        <f t="shared" si="85"/>
        <v>0</v>
      </c>
      <c r="AE812">
        <f t="shared" si="90"/>
        <v>2.2047474177815E-2</v>
      </c>
      <c r="AF812" t="str">
        <f t="shared" si="86"/>
        <v>Very Low</v>
      </c>
      <c r="AG812" t="str">
        <f t="shared" si="87"/>
        <v>NO ACTION</v>
      </c>
      <c r="AH812" t="str">
        <f t="shared" si="88"/>
        <v/>
      </c>
    </row>
    <row r="813" spans="1:34" x14ac:dyDescent="0.3">
      <c r="A813" t="s">
        <v>840</v>
      </c>
      <c r="B813">
        <v>0.242722117202268</v>
      </c>
      <c r="C813">
        <v>0.60406412476955396</v>
      </c>
      <c r="D813">
        <v>0.439475809747013</v>
      </c>
      <c r="E813">
        <v>7.0519435844513201E-2</v>
      </c>
      <c r="F813">
        <v>2.4767801857585099E-2</v>
      </c>
      <c r="G813">
        <v>0.46086716004038902</v>
      </c>
      <c r="H813">
        <v>0</v>
      </c>
      <c r="I813">
        <v>23</v>
      </c>
      <c r="J813">
        <v>8.2247984351891595E-2</v>
      </c>
      <c r="K813">
        <v>6.3621533442088096E-2</v>
      </c>
      <c r="L813">
        <v>0.19701521622630999</v>
      </c>
      <c r="M813">
        <v>1.5873015873015799E-2</v>
      </c>
      <c r="N813">
        <v>0.11628889072498</v>
      </c>
      <c r="O813">
        <v>384</v>
      </c>
      <c r="P813">
        <v>9.5538720538720506E-2</v>
      </c>
      <c r="Q813">
        <v>9.5690592236754399E-2</v>
      </c>
      <c r="R813">
        <v>0.17994100294985199</v>
      </c>
      <c r="S813">
        <v>1</v>
      </c>
      <c r="T813" t="s">
        <v>53</v>
      </c>
      <c r="U813">
        <v>2.3652291105121199E-2</v>
      </c>
      <c r="V813">
        <v>0</v>
      </c>
      <c r="W813">
        <v>0.159239777128837</v>
      </c>
      <c r="X813">
        <v>0.16290569442049199</v>
      </c>
      <c r="Y813">
        <v>0.14984387220102799</v>
      </c>
      <c r="Z813">
        <v>0.103838788613224</v>
      </c>
      <c r="AA813">
        <v>0.17994100294985199</v>
      </c>
      <c r="AB813">
        <f t="shared" si="84"/>
        <v>0.14747953696122784</v>
      </c>
      <c r="AC813">
        <f t="shared" si="89"/>
        <v>0.1</v>
      </c>
      <c r="AD813">
        <f t="shared" si="85"/>
        <v>0</v>
      </c>
      <c r="AE813">
        <f t="shared" si="90"/>
        <v>0.16222749065735065</v>
      </c>
      <c r="AF813" t="str">
        <f t="shared" si="86"/>
        <v>Very Low</v>
      </c>
      <c r="AG813" t="str">
        <f t="shared" si="87"/>
        <v>NO ACTION</v>
      </c>
      <c r="AH813" t="str">
        <f t="shared" si="88"/>
        <v/>
      </c>
    </row>
    <row r="814" spans="1:34" x14ac:dyDescent="0.3">
      <c r="A814" t="s">
        <v>841</v>
      </c>
      <c r="B814">
        <v>0.12892249527410199</v>
      </c>
      <c r="C814">
        <v>0.46700231973565398</v>
      </c>
      <c r="D814">
        <v>7.5018780494472401E-2</v>
      </c>
      <c r="E814">
        <v>0</v>
      </c>
      <c r="F814">
        <v>0</v>
      </c>
      <c r="G814">
        <v>0.99367262624254704</v>
      </c>
      <c r="H814">
        <v>8</v>
      </c>
      <c r="I814">
        <v>9</v>
      </c>
      <c r="J814">
        <v>8.3583798482896807E-2</v>
      </c>
      <c r="K814">
        <v>8.9722675367047301E-3</v>
      </c>
      <c r="L814">
        <v>2.7341421109760199E-2</v>
      </c>
      <c r="M814">
        <v>2.0202020202020202E-3</v>
      </c>
      <c r="N814">
        <v>1.45645412577683E-2</v>
      </c>
      <c r="O814">
        <v>884</v>
      </c>
      <c r="P814">
        <v>6.6287878787878798E-2</v>
      </c>
      <c r="Q814">
        <v>6.6446930116764197E-2</v>
      </c>
      <c r="R814">
        <v>0</v>
      </c>
      <c r="S814">
        <v>0</v>
      </c>
      <c r="T814" t="s">
        <v>53</v>
      </c>
      <c r="U814">
        <v>2.33490566037735E-2</v>
      </c>
      <c r="V814">
        <v>0</v>
      </c>
      <c r="W814">
        <v>0</v>
      </c>
      <c r="X814">
        <v>2.25056341483417E-2</v>
      </c>
      <c r="Y814">
        <v>3.4756832628790001E-2</v>
      </c>
      <c r="Z814">
        <v>4.5598543775834603E-2</v>
      </c>
      <c r="AA814">
        <v>0</v>
      </c>
      <c r="AB814">
        <f t="shared" si="84"/>
        <v>2.6100406857029565E-2</v>
      </c>
      <c r="AC814">
        <f t="shared" si="89"/>
        <v>0.1</v>
      </c>
      <c r="AD814">
        <f t="shared" si="85"/>
        <v>0</v>
      </c>
      <c r="AE814">
        <f t="shared" si="90"/>
        <v>2.8710447542732522E-2</v>
      </c>
      <c r="AF814" t="str">
        <f t="shared" si="86"/>
        <v>Very Low</v>
      </c>
      <c r="AG814" t="str">
        <f t="shared" si="87"/>
        <v>NO ACTION</v>
      </c>
      <c r="AH814" t="str">
        <f t="shared" si="88"/>
        <v/>
      </c>
    </row>
    <row r="815" spans="1:34" x14ac:dyDescent="0.3">
      <c r="A815" t="s">
        <v>842</v>
      </c>
      <c r="B815">
        <v>0.229489603024574</v>
      </c>
      <c r="C815">
        <v>0.65499636531491101</v>
      </c>
      <c r="D815">
        <v>0.36469294167323801</v>
      </c>
      <c r="E815">
        <v>0</v>
      </c>
      <c r="F815">
        <v>0</v>
      </c>
      <c r="G815">
        <v>0.49577079375621602</v>
      </c>
      <c r="H815">
        <v>7</v>
      </c>
      <c r="I815">
        <v>14</v>
      </c>
      <c r="J815">
        <v>7.9671771384953002E-2</v>
      </c>
      <c r="K815">
        <v>6.4437194127242997E-2</v>
      </c>
      <c r="L815">
        <v>0.205974017600979</v>
      </c>
      <c r="M815">
        <v>3.7518037518037501E-3</v>
      </c>
      <c r="N815">
        <v>2.83725958949839E-2</v>
      </c>
      <c r="O815">
        <v>388</v>
      </c>
      <c r="P815">
        <v>8.8103254769921396E-2</v>
      </c>
      <c r="Q815">
        <v>8.8256951506013495E-2</v>
      </c>
      <c r="R815">
        <v>0</v>
      </c>
      <c r="S815">
        <v>0</v>
      </c>
      <c r="T815" t="s">
        <v>53</v>
      </c>
      <c r="U815">
        <v>9.5822102425875993E-2</v>
      </c>
      <c r="V815">
        <v>0</v>
      </c>
      <c r="W815">
        <v>0</v>
      </c>
      <c r="X815">
        <v>0.109407882501971</v>
      </c>
      <c r="Y815">
        <v>0.12743314184597501</v>
      </c>
      <c r="Z815">
        <v>6.4210991219946403E-2</v>
      </c>
      <c r="AA815">
        <v>0</v>
      </c>
      <c r="AB815">
        <f t="shared" si="84"/>
        <v>7.1165618458773366E-2</v>
      </c>
      <c r="AC815">
        <f t="shared" si="89"/>
        <v>0.1</v>
      </c>
      <c r="AD815">
        <f t="shared" si="85"/>
        <v>0</v>
      </c>
      <c r="AE815">
        <f t="shared" si="90"/>
        <v>7.8282180304650714E-2</v>
      </c>
      <c r="AF815" t="str">
        <f t="shared" si="86"/>
        <v>Very Low</v>
      </c>
      <c r="AG815" t="str">
        <f t="shared" si="87"/>
        <v>NO ACTION</v>
      </c>
      <c r="AH815" t="str">
        <f t="shared" si="88"/>
        <v/>
      </c>
    </row>
    <row r="816" spans="1:34" x14ac:dyDescent="0.3">
      <c r="A816" t="s">
        <v>843</v>
      </c>
      <c r="B816">
        <v>0.12892249527410199</v>
      </c>
      <c r="C816">
        <v>0.36953165208440503</v>
      </c>
      <c r="D816">
        <v>0</v>
      </c>
      <c r="E816">
        <v>0</v>
      </c>
      <c r="F816">
        <v>0</v>
      </c>
      <c r="G816">
        <v>0.993689647319003</v>
      </c>
      <c r="H816">
        <v>8</v>
      </c>
      <c r="I816">
        <v>8</v>
      </c>
      <c r="J816">
        <v>7.6379943704975903E-2</v>
      </c>
      <c r="K816">
        <v>9.7879282218597003E-3</v>
      </c>
      <c r="L816">
        <v>3.2631411902987899E-2</v>
      </c>
      <c r="M816">
        <v>1.7316017316017301E-3</v>
      </c>
      <c r="N816">
        <v>1.36576582404726E-2</v>
      </c>
      <c r="O816">
        <v>834</v>
      </c>
      <c r="P816">
        <v>6.1202300785634101E-2</v>
      </c>
      <c r="Q816">
        <v>6.1362600371682001E-2</v>
      </c>
      <c r="R816">
        <v>0</v>
      </c>
      <c r="S816">
        <v>0</v>
      </c>
      <c r="T816" t="s">
        <v>53</v>
      </c>
      <c r="U816">
        <v>2.9110512129380001E-2</v>
      </c>
      <c r="V816">
        <v>0</v>
      </c>
      <c r="W816">
        <v>0</v>
      </c>
      <c r="X816">
        <v>0</v>
      </c>
      <c r="Y816">
        <v>3.5688992164630902E-2</v>
      </c>
      <c r="Z816">
        <v>4.2184443767569503E-2</v>
      </c>
      <c r="AA816">
        <v>0</v>
      </c>
      <c r="AB816">
        <f t="shared" si="84"/>
        <v>2.1804562061016115E-2</v>
      </c>
      <c r="AC816">
        <f t="shared" si="89"/>
        <v>0.1</v>
      </c>
      <c r="AD816">
        <f t="shared" si="85"/>
        <v>0</v>
      </c>
      <c r="AE816">
        <f t="shared" si="90"/>
        <v>2.3985018267117728E-2</v>
      </c>
      <c r="AF816" t="str">
        <f t="shared" si="86"/>
        <v>Very Low</v>
      </c>
      <c r="AG816" t="str">
        <f t="shared" si="87"/>
        <v>NO ACTION</v>
      </c>
      <c r="AH816" t="str">
        <f t="shared" si="88"/>
        <v/>
      </c>
    </row>
    <row r="817" spans="1:34" x14ac:dyDescent="0.3">
      <c r="A817" t="s">
        <v>844</v>
      </c>
      <c r="B817">
        <v>0.12892249527410199</v>
      </c>
      <c r="C817">
        <v>0.28170094057448802</v>
      </c>
      <c r="D817">
        <v>7.5041536061111899E-2</v>
      </c>
      <c r="E817">
        <v>0</v>
      </c>
      <c r="F817">
        <v>0</v>
      </c>
      <c r="G817">
        <v>0.99365975338441004</v>
      </c>
      <c r="H817">
        <v>7</v>
      </c>
      <c r="I817">
        <v>8</v>
      </c>
      <c r="J817">
        <v>7.8765326081770906E-2</v>
      </c>
      <c r="K817">
        <v>1.2234910277324601E-2</v>
      </c>
      <c r="L817">
        <v>3.9557704948821402E-2</v>
      </c>
      <c r="M817">
        <v>1.7316017316017301E-3</v>
      </c>
      <c r="N817">
        <v>1.3245289332245801E-2</v>
      </c>
      <c r="O817">
        <v>638</v>
      </c>
      <c r="P817">
        <v>6.4008136924803602E-2</v>
      </c>
      <c r="Q817">
        <v>6.4167747817244603E-2</v>
      </c>
      <c r="R817">
        <v>0</v>
      </c>
      <c r="S817">
        <v>0</v>
      </c>
      <c r="T817" t="s">
        <v>53</v>
      </c>
      <c r="U817">
        <v>3.6388140161725001E-2</v>
      </c>
      <c r="V817">
        <v>0</v>
      </c>
      <c r="W817">
        <v>0</v>
      </c>
      <c r="X817">
        <v>2.25124608183335E-2</v>
      </c>
      <c r="Y817">
        <v>3.9505504490438603E-2</v>
      </c>
      <c r="Z817">
        <v>4.3702997887780398E-2</v>
      </c>
      <c r="AA817">
        <v>0</v>
      </c>
      <c r="AB817">
        <f t="shared" si="84"/>
        <v>2.6900374396834681E-2</v>
      </c>
      <c r="AC817">
        <f t="shared" si="89"/>
        <v>0.1</v>
      </c>
      <c r="AD817">
        <f t="shared" si="85"/>
        <v>0</v>
      </c>
      <c r="AE817">
        <f t="shared" si="90"/>
        <v>2.959041183651815E-2</v>
      </c>
      <c r="AF817" t="str">
        <f t="shared" si="86"/>
        <v>Very Low</v>
      </c>
      <c r="AG817" t="str">
        <f t="shared" si="87"/>
        <v>NO ACTION</v>
      </c>
      <c r="AH817" t="str">
        <f t="shared" si="88"/>
        <v/>
      </c>
    </row>
    <row r="818" spans="1:34" x14ac:dyDescent="0.3">
      <c r="A818" t="s">
        <v>845</v>
      </c>
      <c r="B818">
        <v>1.51228733459357E-2</v>
      </c>
      <c r="C818">
        <v>0.36953165208440503</v>
      </c>
      <c r="D818">
        <v>0</v>
      </c>
      <c r="E818">
        <v>0</v>
      </c>
      <c r="F818">
        <v>0</v>
      </c>
      <c r="G818">
        <v>0.94293887246046804</v>
      </c>
      <c r="H818">
        <v>8</v>
      </c>
      <c r="I818">
        <v>8</v>
      </c>
      <c r="J818">
        <v>1.7174753112924001E-3</v>
      </c>
      <c r="K818">
        <v>8.1566068515497503E-4</v>
      </c>
      <c r="L818">
        <v>0.106516356740241</v>
      </c>
      <c r="M818">
        <v>2.88600288600288E-4</v>
      </c>
      <c r="N818">
        <v>8.9163411114630595E-2</v>
      </c>
      <c r="O818">
        <v>37</v>
      </c>
      <c r="P818">
        <v>1.7536475869809199E-3</v>
      </c>
      <c r="Q818">
        <v>1.9285388688242899E-3</v>
      </c>
      <c r="R818">
        <v>0</v>
      </c>
      <c r="S818">
        <v>0</v>
      </c>
      <c r="T818" t="s">
        <v>53</v>
      </c>
      <c r="U818">
        <v>8.4905660377358402E-3</v>
      </c>
      <c r="V818">
        <v>0</v>
      </c>
      <c r="W818">
        <v>0</v>
      </c>
      <c r="X818">
        <v>0</v>
      </c>
      <c r="Y818">
        <v>8.0350696766768204E-2</v>
      </c>
      <c r="Z818">
        <v>3.6717552998040803E-2</v>
      </c>
      <c r="AA818">
        <v>0</v>
      </c>
      <c r="AB818">
        <f t="shared" si="84"/>
        <v>3.2779109934146525E-2</v>
      </c>
      <c r="AC818">
        <f t="shared" si="89"/>
        <v>0.1</v>
      </c>
      <c r="AD818">
        <f t="shared" si="85"/>
        <v>0</v>
      </c>
      <c r="AE818">
        <f t="shared" si="90"/>
        <v>3.6057020927561183E-2</v>
      </c>
      <c r="AF818" t="str">
        <f t="shared" si="86"/>
        <v>Very Low</v>
      </c>
      <c r="AG818" t="str">
        <f t="shared" si="87"/>
        <v>NO ACTION</v>
      </c>
      <c r="AH818" t="str">
        <f t="shared" si="88"/>
        <v/>
      </c>
    </row>
    <row r="819" spans="1:34" x14ac:dyDescent="0.3">
      <c r="A819" t="s">
        <v>846</v>
      </c>
      <c r="B819">
        <v>0.12892249527410199</v>
      </c>
      <c r="C819">
        <v>0.18476582604220201</v>
      </c>
      <c r="D819">
        <v>0</v>
      </c>
      <c r="E819">
        <v>0</v>
      </c>
      <c r="F819">
        <v>0</v>
      </c>
      <c r="G819">
        <v>0.99366143943443597</v>
      </c>
      <c r="H819">
        <v>7</v>
      </c>
      <c r="I819">
        <v>7</v>
      </c>
      <c r="J819">
        <v>8.5015027908973806E-2</v>
      </c>
      <c r="K819">
        <v>1.1419249592169599E-2</v>
      </c>
      <c r="L819">
        <v>3.4213983642360599E-2</v>
      </c>
      <c r="M819">
        <v>1.44300144300144E-3</v>
      </c>
      <c r="N819">
        <v>1.02285950075541E-2</v>
      </c>
      <c r="O819">
        <v>888</v>
      </c>
      <c r="P819">
        <v>6.8111672278338906E-2</v>
      </c>
      <c r="Q819">
        <v>6.8270275956379897E-2</v>
      </c>
      <c r="R819">
        <v>0</v>
      </c>
      <c r="S819">
        <v>0</v>
      </c>
      <c r="T819" t="s">
        <v>53</v>
      </c>
      <c r="U819">
        <v>3.9622641509433898E-2</v>
      </c>
      <c r="V819">
        <v>0</v>
      </c>
      <c r="W819">
        <v>0</v>
      </c>
      <c r="X819">
        <v>0</v>
      </c>
      <c r="Y819">
        <v>3.7178575905241297E-2</v>
      </c>
      <c r="Z819">
        <v>4.4958441370024999E-2</v>
      </c>
      <c r="AA819">
        <v>0</v>
      </c>
      <c r="AB819">
        <f t="shared" si="84"/>
        <v>2.2998364837074566E-2</v>
      </c>
      <c r="AC819">
        <f t="shared" si="89"/>
        <v>0.1</v>
      </c>
      <c r="AD819">
        <f t="shared" si="85"/>
        <v>0</v>
      </c>
      <c r="AE819">
        <f t="shared" si="90"/>
        <v>2.5298201320782025E-2</v>
      </c>
      <c r="AF819" t="str">
        <f t="shared" si="86"/>
        <v>Very Low</v>
      </c>
      <c r="AG819" t="str">
        <f t="shared" si="87"/>
        <v>NO ACTION</v>
      </c>
      <c r="AH819" t="str">
        <f t="shared" si="88"/>
        <v/>
      </c>
    </row>
    <row r="820" spans="1:34" x14ac:dyDescent="0.3">
      <c r="A820" t="s">
        <v>847</v>
      </c>
      <c r="B820">
        <v>0.28052930056710701</v>
      </c>
      <c r="C820">
        <v>0.72866093862755998</v>
      </c>
      <c r="D820">
        <v>0.38940424904770299</v>
      </c>
      <c r="E820">
        <v>0</v>
      </c>
      <c r="F820">
        <v>0</v>
      </c>
      <c r="G820">
        <v>0.379030446532995</v>
      </c>
      <c r="H820">
        <v>7</v>
      </c>
      <c r="I820">
        <v>17</v>
      </c>
      <c r="J820">
        <v>8.28681837698583E-2</v>
      </c>
      <c r="K820">
        <v>3.2626427406199001E-3</v>
      </c>
      <c r="L820">
        <v>1.00279463291616E-2</v>
      </c>
      <c r="M820">
        <v>2.88600288600288E-4</v>
      </c>
      <c r="N820">
        <v>2.0985647851319402E-3</v>
      </c>
      <c r="O820">
        <v>371</v>
      </c>
      <c r="P820">
        <v>6.2464927048260302E-2</v>
      </c>
      <c r="Q820">
        <v>6.2624916722185203E-2</v>
      </c>
      <c r="R820">
        <v>0.58997050147492602</v>
      </c>
      <c r="S820">
        <v>1</v>
      </c>
      <c r="T820" t="s">
        <v>53</v>
      </c>
      <c r="U820">
        <v>3.3962264150943298E-2</v>
      </c>
      <c r="V820">
        <v>0</v>
      </c>
      <c r="W820">
        <v>0</v>
      </c>
      <c r="X820">
        <v>0.11682127471431</v>
      </c>
      <c r="Y820">
        <v>2.2217179354091999E-2</v>
      </c>
      <c r="Z820">
        <v>3.8318382143008999E-2</v>
      </c>
      <c r="AA820">
        <v>0.58997050147492602</v>
      </c>
      <c r="AB820">
        <f t="shared" si="84"/>
        <v>0.20083310158645717</v>
      </c>
      <c r="AC820">
        <f t="shared" si="89"/>
        <v>0.1</v>
      </c>
      <c r="AD820">
        <f t="shared" si="85"/>
        <v>0</v>
      </c>
      <c r="AE820">
        <f t="shared" si="90"/>
        <v>0.2209164117451029</v>
      </c>
      <c r="AF820" t="str">
        <f t="shared" si="86"/>
        <v>Low</v>
      </c>
      <c r="AG820" t="str">
        <f t="shared" si="87"/>
        <v>NO ACTION</v>
      </c>
      <c r="AH820" t="str">
        <f t="shared" si="88"/>
        <v/>
      </c>
    </row>
    <row r="821" spans="1:34" x14ac:dyDescent="0.3">
      <c r="A821" t="s">
        <v>848</v>
      </c>
      <c r="B821">
        <v>0.12892249527410199</v>
      </c>
      <c r="C821">
        <v>8.8366264628879601E-2</v>
      </c>
      <c r="D821">
        <v>7.5061757440099602E-2</v>
      </c>
      <c r="E821">
        <v>0</v>
      </c>
      <c r="F821">
        <v>0.52173913043478204</v>
      </c>
      <c r="G821">
        <v>0.99366157324793003</v>
      </c>
      <c r="H821">
        <v>6</v>
      </c>
      <c r="I821">
        <v>7</v>
      </c>
      <c r="J821">
        <v>8.8163732646343196E-2</v>
      </c>
      <c r="K821">
        <v>4.8939641109298502E-3</v>
      </c>
      <c r="L821">
        <v>1.41408654927681E-2</v>
      </c>
      <c r="M821">
        <v>1.1544011544011501E-3</v>
      </c>
      <c r="N821">
        <v>7.8914190085264003E-3</v>
      </c>
      <c r="O821">
        <v>893</v>
      </c>
      <c r="P821">
        <v>6.7480359147025798E-2</v>
      </c>
      <c r="Q821">
        <v>6.76391177811283E-2</v>
      </c>
      <c r="R821">
        <v>0</v>
      </c>
      <c r="S821">
        <v>0</v>
      </c>
      <c r="T821" t="s">
        <v>53</v>
      </c>
      <c r="U821">
        <v>2.0377358490565999E-2</v>
      </c>
      <c r="V821">
        <v>0</v>
      </c>
      <c r="W821">
        <v>0</v>
      </c>
      <c r="X821">
        <v>0.23121417940594199</v>
      </c>
      <c r="Y821">
        <v>2.7070604978210601E-2</v>
      </c>
      <c r="Z821">
        <v>4.3644783091625998E-2</v>
      </c>
      <c r="AA821">
        <v>0</v>
      </c>
      <c r="AB821">
        <f t="shared" si="84"/>
        <v>5.6794577364504967E-2</v>
      </c>
      <c r="AC821">
        <f t="shared" si="89"/>
        <v>0.1</v>
      </c>
      <c r="AD821">
        <f t="shared" si="85"/>
        <v>0.08</v>
      </c>
      <c r="AE821">
        <f t="shared" si="90"/>
        <v>6.7017601290115872E-2</v>
      </c>
      <c r="AF821" t="str">
        <f t="shared" si="86"/>
        <v>Very Low</v>
      </c>
      <c r="AG821" t="str">
        <f t="shared" si="87"/>
        <v>NO ACTION</v>
      </c>
      <c r="AH821" t="str">
        <f t="shared" si="88"/>
        <v/>
      </c>
    </row>
    <row r="822" spans="1:34" x14ac:dyDescent="0.3">
      <c r="A822" t="s">
        <v>849</v>
      </c>
      <c r="B822">
        <v>0.24196597353497101</v>
      </c>
      <c r="C822">
        <v>0.67479692989326201</v>
      </c>
      <c r="D822">
        <v>0.36601695544842999</v>
      </c>
      <c r="E822">
        <v>0</v>
      </c>
      <c r="F822">
        <v>0</v>
      </c>
      <c r="G822">
        <v>0.46252256146281701</v>
      </c>
      <c r="H822">
        <v>7</v>
      </c>
      <c r="I822">
        <v>16</v>
      </c>
      <c r="J822">
        <v>8.1580077286388997E-2</v>
      </c>
      <c r="K822">
        <v>1.7944535073409401E-2</v>
      </c>
      <c r="L822">
        <v>5.60220138657129E-2</v>
      </c>
      <c r="M822">
        <v>3.1746031746031698E-3</v>
      </c>
      <c r="N822">
        <v>2.3447637558424699E-2</v>
      </c>
      <c r="O822">
        <v>923</v>
      </c>
      <c r="P822">
        <v>6.9234006734006703E-2</v>
      </c>
      <c r="Q822">
        <v>6.9392334934605004E-2</v>
      </c>
      <c r="R822">
        <v>0.17551622418879001</v>
      </c>
      <c r="S822">
        <v>1</v>
      </c>
      <c r="T822" t="s">
        <v>53</v>
      </c>
      <c r="U822">
        <v>3.1132075471698099E-2</v>
      </c>
      <c r="V822">
        <v>0</v>
      </c>
      <c r="W822">
        <v>0</v>
      </c>
      <c r="X822">
        <v>0.10980508663452899</v>
      </c>
      <c r="Y822">
        <v>5.1361313657661598E-2</v>
      </c>
      <c r="Z822">
        <v>5.0919459063773903E-2</v>
      </c>
      <c r="AA822">
        <v>0.17551622418879001</v>
      </c>
      <c r="AB822">
        <f t="shared" si="84"/>
        <v>9.5351972996387785E-2</v>
      </c>
      <c r="AC822">
        <f t="shared" si="89"/>
        <v>0.1</v>
      </c>
      <c r="AD822">
        <f t="shared" si="85"/>
        <v>0</v>
      </c>
      <c r="AE822">
        <f t="shared" si="90"/>
        <v>0.10488717029602657</v>
      </c>
      <c r="AF822" t="str">
        <f t="shared" si="86"/>
        <v>Very Low</v>
      </c>
      <c r="AG822" t="str">
        <f t="shared" si="87"/>
        <v>NO ACTION</v>
      </c>
      <c r="AH822" t="str">
        <f t="shared" si="88"/>
        <v/>
      </c>
    </row>
    <row r="823" spans="1:34" x14ac:dyDescent="0.3">
      <c r="A823" t="s">
        <v>850</v>
      </c>
      <c r="B823">
        <v>0.21398865784498999</v>
      </c>
      <c r="C823">
        <v>0.85024695036613596</v>
      </c>
      <c r="D823">
        <v>0.36171278118294897</v>
      </c>
      <c r="E823">
        <v>0</v>
      </c>
      <c r="F823">
        <v>0</v>
      </c>
      <c r="G823">
        <v>0.48210660801678701</v>
      </c>
      <c r="H823">
        <v>8</v>
      </c>
      <c r="I823">
        <v>15</v>
      </c>
      <c r="J823">
        <v>3.2250369734268397E-2</v>
      </c>
      <c r="K823">
        <v>2.6916802610114102E-2</v>
      </c>
      <c r="L823">
        <v>0.21162500832532499</v>
      </c>
      <c r="M823">
        <v>1.44300144300144E-3</v>
      </c>
      <c r="N823">
        <v>2.6840674417766899E-2</v>
      </c>
      <c r="O823">
        <v>206</v>
      </c>
      <c r="P823">
        <v>3.5984848484848397E-2</v>
      </c>
      <c r="Q823">
        <v>3.6151337704688098E-2</v>
      </c>
      <c r="R823">
        <v>0</v>
      </c>
      <c r="S823">
        <v>0</v>
      </c>
      <c r="T823" t="s">
        <v>53</v>
      </c>
      <c r="U823">
        <v>9.3396226415094305E-2</v>
      </c>
      <c r="V823">
        <v>0</v>
      </c>
      <c r="W823">
        <v>0</v>
      </c>
      <c r="X823">
        <v>0.108513834354884</v>
      </c>
      <c r="Y823">
        <v>0.120314780434846</v>
      </c>
      <c r="Z823">
        <v>3.2327178858015802E-2</v>
      </c>
      <c r="AA823">
        <v>0</v>
      </c>
      <c r="AB823">
        <f t="shared" si="84"/>
        <v>6.0101962098782755E-2</v>
      </c>
      <c r="AC823">
        <f t="shared" si="89"/>
        <v>0.1</v>
      </c>
      <c r="AD823">
        <f t="shared" si="85"/>
        <v>0</v>
      </c>
      <c r="AE823">
        <f t="shared" si="90"/>
        <v>6.6112158308661031E-2</v>
      </c>
      <c r="AF823" t="str">
        <f t="shared" si="86"/>
        <v>Very Low</v>
      </c>
      <c r="AG823" t="str">
        <f t="shared" si="87"/>
        <v>NO ACTION</v>
      </c>
      <c r="AH823" t="str">
        <f t="shared" si="88"/>
        <v/>
      </c>
    </row>
    <row r="824" spans="1:34" x14ac:dyDescent="0.3">
      <c r="A824" t="s">
        <v>851</v>
      </c>
      <c r="B824">
        <v>0.23137996219281601</v>
      </c>
      <c r="C824">
        <v>0.59149059895328504</v>
      </c>
      <c r="D824">
        <v>0.38147177450599501</v>
      </c>
      <c r="E824">
        <v>0</v>
      </c>
      <c r="F824">
        <v>0</v>
      </c>
      <c r="G824">
        <v>0.490632276842975</v>
      </c>
      <c r="H824">
        <v>7</v>
      </c>
      <c r="I824">
        <v>13</v>
      </c>
      <c r="J824">
        <v>9.7752969801059103E-2</v>
      </c>
      <c r="K824">
        <v>1.4681892332789499E-2</v>
      </c>
      <c r="L824">
        <v>3.8271212889142099E-2</v>
      </c>
      <c r="M824">
        <v>8.6580086580086504E-4</v>
      </c>
      <c r="N824">
        <v>5.3393863520445704E-3</v>
      </c>
      <c r="O824">
        <v>1119</v>
      </c>
      <c r="P824">
        <v>7.8598484848484806E-2</v>
      </c>
      <c r="Q824">
        <v>7.8754514534170206E-2</v>
      </c>
      <c r="R824">
        <v>0</v>
      </c>
      <c r="S824">
        <v>0</v>
      </c>
      <c r="T824" t="s">
        <v>28</v>
      </c>
      <c r="U824">
        <v>7.6415094339622597E-2</v>
      </c>
      <c r="V824">
        <v>0</v>
      </c>
      <c r="W824">
        <v>0</v>
      </c>
      <c r="X824">
        <v>0.11444153235179801</v>
      </c>
      <c r="Y824">
        <v>4.0288016310396198E-2</v>
      </c>
      <c r="Z824">
        <v>4.9294845449908697E-2</v>
      </c>
      <c r="AA824">
        <v>0</v>
      </c>
      <c r="AB824">
        <f t="shared" si="84"/>
        <v>4.3393846469173061E-2</v>
      </c>
      <c r="AC824">
        <f t="shared" si="89"/>
        <v>0.25</v>
      </c>
      <c r="AD824">
        <f t="shared" si="85"/>
        <v>0</v>
      </c>
      <c r="AE824">
        <f t="shared" si="90"/>
        <v>5.4242308086466323E-2</v>
      </c>
      <c r="AF824" t="str">
        <f t="shared" si="86"/>
        <v>Very Low</v>
      </c>
      <c r="AG824" t="str">
        <f t="shared" si="87"/>
        <v>NO ACTION</v>
      </c>
      <c r="AH824" t="str">
        <f t="shared" si="88"/>
        <v/>
      </c>
    </row>
    <row r="825" spans="1:34" x14ac:dyDescent="0.3">
      <c r="A825" t="s">
        <v>852</v>
      </c>
      <c r="B825">
        <v>3.1758034026465001E-2</v>
      </c>
      <c r="C825">
        <v>0.18476582604220201</v>
      </c>
      <c r="D825">
        <v>0</v>
      </c>
      <c r="E825">
        <v>0</v>
      </c>
      <c r="F825">
        <v>0</v>
      </c>
      <c r="G825">
        <v>0.96681771391912197</v>
      </c>
      <c r="H825">
        <v>7</v>
      </c>
      <c r="I825">
        <v>7</v>
      </c>
      <c r="J825">
        <v>8.6350842039978996E-3</v>
      </c>
      <c r="K825">
        <v>0</v>
      </c>
      <c r="L825">
        <v>0</v>
      </c>
      <c r="M825">
        <v>0</v>
      </c>
      <c r="N825">
        <v>0</v>
      </c>
      <c r="O825">
        <v>145</v>
      </c>
      <c r="P825">
        <v>6.3482042648709304E-3</v>
      </c>
      <c r="Q825">
        <v>6.5219678109330603E-3</v>
      </c>
      <c r="R825">
        <v>0</v>
      </c>
      <c r="S825">
        <v>0</v>
      </c>
      <c r="T825" t="s">
        <v>53</v>
      </c>
      <c r="U825">
        <v>0</v>
      </c>
      <c r="V825">
        <v>0</v>
      </c>
      <c r="W825">
        <v>0</v>
      </c>
      <c r="X825">
        <v>0</v>
      </c>
      <c r="Y825">
        <v>1.72701684079958E-3</v>
      </c>
      <c r="Z825">
        <v>3.8089225589225499E-3</v>
      </c>
      <c r="AA825">
        <v>0</v>
      </c>
      <c r="AB825">
        <f t="shared" si="84"/>
        <v>1.5500630319221964E-3</v>
      </c>
      <c r="AC825">
        <f t="shared" si="89"/>
        <v>0.1</v>
      </c>
      <c r="AD825">
        <f t="shared" si="85"/>
        <v>0</v>
      </c>
      <c r="AE825">
        <f t="shared" si="90"/>
        <v>1.7050693351144163E-3</v>
      </c>
      <c r="AF825" t="str">
        <f t="shared" si="86"/>
        <v>Very Low</v>
      </c>
      <c r="AG825" t="str">
        <f t="shared" si="87"/>
        <v>NO ACTION</v>
      </c>
      <c r="AH825" t="str">
        <f t="shared" si="88"/>
        <v/>
      </c>
    </row>
    <row r="826" spans="1:34" x14ac:dyDescent="0.3">
      <c r="A826" t="s">
        <v>853</v>
      </c>
      <c r="B826">
        <v>0.25330812854442297</v>
      </c>
      <c r="C826">
        <v>0.82157741935976403</v>
      </c>
      <c r="D826">
        <v>0.54579353997142799</v>
      </c>
      <c r="E826">
        <v>0.33794922518958098</v>
      </c>
      <c r="F826">
        <v>6.9732937685459906E-2</v>
      </c>
      <c r="G826">
        <v>0.43552483428028499</v>
      </c>
      <c r="H826">
        <v>0</v>
      </c>
      <c r="I826">
        <v>23</v>
      </c>
      <c r="J826">
        <v>7.25633319021039E-2</v>
      </c>
      <c r="K826">
        <v>1.0603588907014599E-2</v>
      </c>
      <c r="L826">
        <v>3.72039437369256E-2</v>
      </c>
      <c r="M826">
        <v>1.1544011544011501E-3</v>
      </c>
      <c r="N826">
        <v>9.5824373674963399E-3</v>
      </c>
      <c r="O826">
        <v>802</v>
      </c>
      <c r="P826">
        <v>5.8466610549943801E-2</v>
      </c>
      <c r="Q826">
        <v>5.8627581612258402E-2</v>
      </c>
      <c r="R826">
        <v>0.63716814159292001</v>
      </c>
      <c r="S826">
        <v>1</v>
      </c>
      <c r="T826" t="s">
        <v>53</v>
      </c>
      <c r="U826">
        <v>4.4150943396226397E-2</v>
      </c>
      <c r="V826">
        <v>0</v>
      </c>
      <c r="W826">
        <v>8.4662534791950697E-2</v>
      </c>
      <c r="X826">
        <v>0.293016004622487</v>
      </c>
      <c r="Y826">
        <v>3.5989369459132503E-2</v>
      </c>
      <c r="Z826">
        <v>3.8912941276964798E-2</v>
      </c>
      <c r="AA826">
        <v>0.63716814159292001</v>
      </c>
      <c r="AB826">
        <f t="shared" si="84"/>
        <v>0.24626228739172279</v>
      </c>
      <c r="AC826">
        <f t="shared" si="89"/>
        <v>0.1</v>
      </c>
      <c r="AD826">
        <f t="shared" si="85"/>
        <v>0</v>
      </c>
      <c r="AE826">
        <f t="shared" si="90"/>
        <v>0.2708885161308951</v>
      </c>
      <c r="AF826" t="str">
        <f t="shared" si="86"/>
        <v>Low</v>
      </c>
      <c r="AG826" t="str">
        <f t="shared" si="87"/>
        <v>NO ACTION</v>
      </c>
      <c r="AH826" t="str">
        <f t="shared" si="88"/>
        <v/>
      </c>
    </row>
    <row r="827" spans="1:34" x14ac:dyDescent="0.3">
      <c r="A827" t="s">
        <v>854</v>
      </c>
      <c r="B827">
        <v>0.17088846880907299</v>
      </c>
      <c r="C827">
        <v>0.51702016234616299</v>
      </c>
      <c r="D827">
        <v>0.25955093850722299</v>
      </c>
      <c r="E827">
        <v>0</v>
      </c>
      <c r="F827">
        <v>0</v>
      </c>
      <c r="G827">
        <v>0.71502665448244995</v>
      </c>
      <c r="H827">
        <v>8</v>
      </c>
      <c r="I827">
        <v>15</v>
      </c>
      <c r="J827">
        <v>5.9491436477267297E-2</v>
      </c>
      <c r="K827">
        <v>1.0603588907014599E-2</v>
      </c>
      <c r="L827">
        <v>4.5346020880629799E-2</v>
      </c>
      <c r="M827">
        <v>8.6580086580086504E-4</v>
      </c>
      <c r="N827">
        <v>8.7596641909740893E-3</v>
      </c>
      <c r="O827">
        <v>671</v>
      </c>
      <c r="P827">
        <v>4.8716329966329901E-2</v>
      </c>
      <c r="Q827">
        <v>4.8879694238928399E-2</v>
      </c>
      <c r="R827">
        <v>0</v>
      </c>
      <c r="S827">
        <v>0</v>
      </c>
      <c r="T827" t="s">
        <v>53</v>
      </c>
      <c r="U827">
        <v>5.5188679245283E-2</v>
      </c>
      <c r="V827">
        <v>0</v>
      </c>
      <c r="W827">
        <v>0</v>
      </c>
      <c r="X827">
        <v>7.7865281552167098E-2</v>
      </c>
      <c r="Y827">
        <v>3.7199196993060603E-2</v>
      </c>
      <c r="Z827">
        <v>3.27336636561876E-2</v>
      </c>
      <c r="AA827">
        <v>0</v>
      </c>
      <c r="AB827">
        <f t="shared" si="84"/>
        <v>3.2039646030136239E-2</v>
      </c>
      <c r="AC827">
        <f t="shared" si="89"/>
        <v>0.1</v>
      </c>
      <c r="AD827">
        <f t="shared" si="85"/>
        <v>0</v>
      </c>
      <c r="AE827">
        <f t="shared" si="90"/>
        <v>3.5243610633149867E-2</v>
      </c>
      <c r="AF827" t="str">
        <f t="shared" si="86"/>
        <v>Very Low</v>
      </c>
      <c r="AG827" t="str">
        <f t="shared" si="87"/>
        <v>NO ACTION</v>
      </c>
      <c r="AH827" t="str">
        <f t="shared" si="88"/>
        <v/>
      </c>
    </row>
    <row r="828" spans="1:34" x14ac:dyDescent="0.3">
      <c r="A828" t="s">
        <v>855</v>
      </c>
      <c r="B828">
        <v>0.12892249527410199</v>
      </c>
      <c r="C828">
        <v>0.36953165208440503</v>
      </c>
      <c r="D828">
        <v>0</v>
      </c>
      <c r="E828">
        <v>0</v>
      </c>
      <c r="F828">
        <v>0</v>
      </c>
      <c r="G828">
        <v>0.99367929015455603</v>
      </c>
      <c r="H828">
        <v>8</v>
      </c>
      <c r="I828">
        <v>8</v>
      </c>
      <c r="J828">
        <v>8.0864462573350504E-2</v>
      </c>
      <c r="K828">
        <v>5.7096247960848204E-3</v>
      </c>
      <c r="L828">
        <v>1.7982467284970102E-2</v>
      </c>
      <c r="M828">
        <v>1.44300144300144E-3</v>
      </c>
      <c r="N828">
        <v>1.0752058399117199E-2</v>
      </c>
      <c r="O828">
        <v>757</v>
      </c>
      <c r="P828">
        <v>6.2605218855218803E-2</v>
      </c>
      <c r="Q828">
        <v>6.2765174094463305E-2</v>
      </c>
      <c r="R828">
        <v>0</v>
      </c>
      <c r="S828">
        <v>0</v>
      </c>
      <c r="T828" t="s">
        <v>53</v>
      </c>
      <c r="U828">
        <v>1.98113207547169E-2</v>
      </c>
      <c r="V828">
        <v>0</v>
      </c>
      <c r="W828">
        <v>0</v>
      </c>
      <c r="X828">
        <v>0</v>
      </c>
      <c r="Y828">
        <v>2.8389743676890299E-2</v>
      </c>
      <c r="Z828">
        <v>4.1863954672778203E-2</v>
      </c>
      <c r="AA828">
        <v>0</v>
      </c>
      <c r="AB828">
        <f t="shared" si="84"/>
        <v>1.9671035537907181E-2</v>
      </c>
      <c r="AC828">
        <f t="shared" si="89"/>
        <v>0.1</v>
      </c>
      <c r="AD828">
        <f t="shared" si="85"/>
        <v>0</v>
      </c>
      <c r="AE828">
        <f t="shared" si="90"/>
        <v>2.16381390916979E-2</v>
      </c>
      <c r="AF828" t="str">
        <f t="shared" si="86"/>
        <v>Very Low</v>
      </c>
      <c r="AG828" t="str">
        <f t="shared" si="87"/>
        <v>NO ACTION</v>
      </c>
      <c r="AH828" t="str">
        <f t="shared" si="88"/>
        <v/>
      </c>
    </row>
    <row r="829" spans="1:34" x14ac:dyDescent="0.3">
      <c r="A829" t="s">
        <v>856</v>
      </c>
      <c r="B829">
        <v>0.24688090737240001</v>
      </c>
      <c r="C829">
        <v>0.69012988905260997</v>
      </c>
      <c r="D829">
        <v>0.480741106293744</v>
      </c>
      <c r="E829">
        <v>0.20801623541349501</v>
      </c>
      <c r="F829">
        <v>4.5662100456621002E-2</v>
      </c>
      <c r="G829">
        <v>0.45066443768860798</v>
      </c>
      <c r="H829">
        <v>0</v>
      </c>
      <c r="I829">
        <v>23</v>
      </c>
      <c r="J829">
        <v>8.1198416106101803E-2</v>
      </c>
      <c r="K829">
        <v>4.0783034257748704E-3</v>
      </c>
      <c r="L829">
        <v>1.27919467672814E-2</v>
      </c>
      <c r="M829">
        <v>2.59740259740259E-3</v>
      </c>
      <c r="N829">
        <v>1.92743401882241E-2</v>
      </c>
      <c r="O829">
        <v>714</v>
      </c>
      <c r="P829">
        <v>6.2710437710437703E-2</v>
      </c>
      <c r="Q829">
        <v>6.2870367123671902E-2</v>
      </c>
      <c r="R829">
        <v>2.0648967551622401E-2</v>
      </c>
      <c r="S829">
        <v>1</v>
      </c>
      <c r="T829" t="s">
        <v>53</v>
      </c>
      <c r="U829">
        <v>8.4905660377358402E-3</v>
      </c>
      <c r="V829">
        <v>0</v>
      </c>
      <c r="W829">
        <v>1.90614904295438E-2</v>
      </c>
      <c r="X829">
        <v>0.22489204269481999</v>
      </c>
      <c r="Y829">
        <v>2.8417958661328301E-2</v>
      </c>
      <c r="Z829">
        <v>4.5335998701552298E-2</v>
      </c>
      <c r="AA829">
        <v>2.0648967551622401E-2</v>
      </c>
      <c r="AB829">
        <f t="shared" si="84"/>
        <v>6.2415545807232041E-2</v>
      </c>
      <c r="AC829">
        <f t="shared" si="89"/>
        <v>0.1</v>
      </c>
      <c r="AD829">
        <f t="shared" si="85"/>
        <v>0</v>
      </c>
      <c r="AE829">
        <f t="shared" si="90"/>
        <v>6.865710038795525E-2</v>
      </c>
      <c r="AF829" t="str">
        <f t="shared" si="86"/>
        <v>Very Low</v>
      </c>
      <c r="AG829" t="str">
        <f t="shared" si="87"/>
        <v>NO ACTION</v>
      </c>
      <c r="AH829" t="str">
        <f t="shared" si="88"/>
        <v/>
      </c>
    </row>
    <row r="830" spans="1:34" x14ac:dyDescent="0.3">
      <c r="A830" t="s">
        <v>857</v>
      </c>
      <c r="B830">
        <v>0.12892249527410199</v>
      </c>
      <c r="C830">
        <v>0.36953165208440503</v>
      </c>
      <c r="D830">
        <v>0</v>
      </c>
      <c r="E830">
        <v>0</v>
      </c>
      <c r="F830">
        <v>0</v>
      </c>
      <c r="G830">
        <v>0.99368496384670701</v>
      </c>
      <c r="H830">
        <v>8</v>
      </c>
      <c r="I830">
        <v>8</v>
      </c>
      <c r="J830">
        <v>5.8346452936405703E-2</v>
      </c>
      <c r="K830">
        <v>8.1566068515497494E-3</v>
      </c>
      <c r="L830">
        <v>3.5563278716204301E-2</v>
      </c>
      <c r="M830">
        <v>1.7316017316017301E-3</v>
      </c>
      <c r="N830">
        <v>1.78617256793152E-2</v>
      </c>
      <c r="O830">
        <v>642</v>
      </c>
      <c r="P830">
        <v>4.7243265993265997E-2</v>
      </c>
      <c r="Q830">
        <v>4.7406991830008002E-2</v>
      </c>
      <c r="R830">
        <v>0</v>
      </c>
      <c r="S830">
        <v>0</v>
      </c>
      <c r="T830" t="s">
        <v>53</v>
      </c>
      <c r="U830">
        <v>2.4258760107816701E-2</v>
      </c>
      <c r="V830">
        <v>0</v>
      </c>
      <c r="W830">
        <v>0</v>
      </c>
      <c r="X830">
        <v>0</v>
      </c>
      <c r="Y830">
        <v>3.4809447649177802E-2</v>
      </c>
      <c r="Z830">
        <v>3.54906498676857E-2</v>
      </c>
      <c r="AA830">
        <v>0</v>
      </c>
      <c r="AB830">
        <f t="shared" si="84"/>
        <v>1.9684027304721782E-2</v>
      </c>
      <c r="AC830">
        <f t="shared" si="89"/>
        <v>0.1</v>
      </c>
      <c r="AD830">
        <f t="shared" si="85"/>
        <v>0</v>
      </c>
      <c r="AE830">
        <f t="shared" si="90"/>
        <v>2.1652430035193963E-2</v>
      </c>
      <c r="AF830" t="str">
        <f t="shared" si="86"/>
        <v>Very Low</v>
      </c>
      <c r="AG830" t="str">
        <f t="shared" si="87"/>
        <v>NO ACTION</v>
      </c>
      <c r="AH830" t="str">
        <f t="shared" si="88"/>
        <v/>
      </c>
    </row>
    <row r="831" spans="1:34" x14ac:dyDescent="0.3">
      <c r="A831" t="s">
        <v>858</v>
      </c>
      <c r="B831">
        <v>0.12892249527410199</v>
      </c>
      <c r="C831">
        <v>0.284378706169303</v>
      </c>
      <c r="D831">
        <v>7.4902366299490403E-2</v>
      </c>
      <c r="E831">
        <v>0</v>
      </c>
      <c r="F831">
        <v>0</v>
      </c>
      <c r="G831">
        <v>0.99369722116277204</v>
      </c>
      <c r="H831">
        <v>7</v>
      </c>
      <c r="I831">
        <v>8</v>
      </c>
      <c r="J831">
        <v>9.5987786842230804E-2</v>
      </c>
      <c r="K831">
        <v>1.0603588907014599E-2</v>
      </c>
      <c r="L831">
        <v>2.81473565406785E-2</v>
      </c>
      <c r="M831">
        <v>2.0202020202020202E-3</v>
      </c>
      <c r="N831">
        <v>1.26871090678725E-2</v>
      </c>
      <c r="O831">
        <v>944</v>
      </c>
      <c r="P831">
        <v>7.6108305274971894E-2</v>
      </c>
      <c r="Q831">
        <v>7.6264946176233306E-2</v>
      </c>
      <c r="R831">
        <v>0</v>
      </c>
      <c r="S831">
        <v>0</v>
      </c>
      <c r="T831" t="s">
        <v>28</v>
      </c>
      <c r="U831">
        <v>2.75943396226415E-2</v>
      </c>
      <c r="V831">
        <v>0</v>
      </c>
      <c r="W831">
        <v>0</v>
      </c>
      <c r="X831">
        <v>2.2470709889847101E-2</v>
      </c>
      <c r="Y831">
        <v>3.7077368359147198E-2</v>
      </c>
      <c r="Z831">
        <v>5.0739826792132098E-2</v>
      </c>
      <c r="AA831">
        <v>0</v>
      </c>
      <c r="AB831">
        <f t="shared" si="84"/>
        <v>2.8184128224733741E-2</v>
      </c>
      <c r="AC831">
        <f t="shared" si="89"/>
        <v>0.25</v>
      </c>
      <c r="AD831">
        <f t="shared" si="85"/>
        <v>0</v>
      </c>
      <c r="AE831">
        <f t="shared" si="90"/>
        <v>3.5230160280917175E-2</v>
      </c>
      <c r="AF831" t="str">
        <f t="shared" si="86"/>
        <v>Very Low</v>
      </c>
      <c r="AG831" t="str">
        <f t="shared" si="87"/>
        <v>NO ACTION</v>
      </c>
      <c r="AH831" t="str">
        <f t="shared" si="88"/>
        <v/>
      </c>
    </row>
    <row r="832" spans="1:34" x14ac:dyDescent="0.3">
      <c r="A832" t="s">
        <v>859</v>
      </c>
      <c r="B832">
        <v>0.12892249527410199</v>
      </c>
      <c r="C832">
        <v>0.55429747812660801</v>
      </c>
      <c r="D832">
        <v>0</v>
      </c>
      <c r="E832">
        <v>0</v>
      </c>
      <c r="F832">
        <v>0</v>
      </c>
      <c r="G832">
        <v>0.99370383154938302</v>
      </c>
      <c r="H832">
        <v>9</v>
      </c>
      <c r="I832">
        <v>9</v>
      </c>
      <c r="J832">
        <v>8.7304994990696994E-2</v>
      </c>
      <c r="K832">
        <v>8.1566068515497494E-3</v>
      </c>
      <c r="L832">
        <v>2.3799294966484402E-2</v>
      </c>
      <c r="M832">
        <v>5.7720057720057698E-4</v>
      </c>
      <c r="N832">
        <v>3.98441401166196E-3</v>
      </c>
      <c r="O832">
        <v>940</v>
      </c>
      <c r="P832">
        <v>6.7971380471380405E-2</v>
      </c>
      <c r="Q832">
        <v>6.8130018584101795E-2</v>
      </c>
      <c r="R832">
        <v>0</v>
      </c>
      <c r="S832">
        <v>0</v>
      </c>
      <c r="T832" t="s">
        <v>53</v>
      </c>
      <c r="U832">
        <v>5.6603773584905599E-2</v>
      </c>
      <c r="V832">
        <v>0</v>
      </c>
      <c r="W832">
        <v>0</v>
      </c>
      <c r="X832">
        <v>0</v>
      </c>
      <c r="Y832">
        <v>3.0555970684880199E-2</v>
      </c>
      <c r="Z832">
        <v>4.2376593887493E-2</v>
      </c>
      <c r="AA832">
        <v>0</v>
      </c>
      <c r="AB832">
        <f t="shared" si="84"/>
        <v>2.0421118080264498E-2</v>
      </c>
      <c r="AC832">
        <f t="shared" si="89"/>
        <v>0.1</v>
      </c>
      <c r="AD832">
        <f t="shared" si="85"/>
        <v>0</v>
      </c>
      <c r="AE832">
        <f t="shared" si="90"/>
        <v>2.2463229888290949E-2</v>
      </c>
      <c r="AF832" t="str">
        <f t="shared" si="86"/>
        <v>Very Low</v>
      </c>
      <c r="AG832" t="str">
        <f t="shared" si="87"/>
        <v>NO ACTION</v>
      </c>
      <c r="AH832" t="str">
        <f t="shared" si="88"/>
        <v/>
      </c>
    </row>
    <row r="833" spans="1:34" x14ac:dyDescent="0.3">
      <c r="A833" t="s">
        <v>860</v>
      </c>
      <c r="B833">
        <v>0.12892249527410199</v>
      </c>
      <c r="C833">
        <v>0.36953165208440503</v>
      </c>
      <c r="D833">
        <v>0</v>
      </c>
      <c r="E833">
        <v>0</v>
      </c>
      <c r="F833">
        <v>0</v>
      </c>
      <c r="G833">
        <v>0.99365490933592204</v>
      </c>
      <c r="H833">
        <v>8</v>
      </c>
      <c r="I833">
        <v>8</v>
      </c>
      <c r="J833">
        <v>7.3708315442965494E-2</v>
      </c>
      <c r="K833">
        <v>1.2234910277324601E-2</v>
      </c>
      <c r="L833">
        <v>4.2262941545321502E-2</v>
      </c>
      <c r="M833">
        <v>3.7518037518037501E-3</v>
      </c>
      <c r="N833">
        <v>3.066070846716E-2</v>
      </c>
      <c r="O833">
        <v>838</v>
      </c>
      <c r="P833">
        <v>6.1272446689113302E-2</v>
      </c>
      <c r="Q833">
        <v>6.14327290578211E-2</v>
      </c>
      <c r="R833">
        <v>0</v>
      </c>
      <c r="S833">
        <v>0</v>
      </c>
      <c r="T833" t="s">
        <v>53</v>
      </c>
      <c r="U833">
        <v>1.81940700808625E-2</v>
      </c>
      <c r="V833">
        <v>0</v>
      </c>
      <c r="W833">
        <v>0</v>
      </c>
      <c r="X833">
        <v>0</v>
      </c>
      <c r="Y833">
        <v>4.5071346401401799E-2</v>
      </c>
      <c r="Z833">
        <v>4.9027751400331998E-2</v>
      </c>
      <c r="AA833">
        <v>0</v>
      </c>
      <c r="AB833">
        <f t="shared" si="84"/>
        <v>2.6347747384485466E-2</v>
      </c>
      <c r="AC833">
        <f t="shared" si="89"/>
        <v>0.1</v>
      </c>
      <c r="AD833">
        <f t="shared" si="85"/>
        <v>0</v>
      </c>
      <c r="AE833">
        <f t="shared" si="90"/>
        <v>2.8982522122934014E-2</v>
      </c>
      <c r="AF833" t="str">
        <f t="shared" si="86"/>
        <v>Very Low</v>
      </c>
      <c r="AG833" t="str">
        <f t="shared" si="87"/>
        <v>NO ACTION</v>
      </c>
      <c r="AH833" t="str">
        <f t="shared" si="88"/>
        <v/>
      </c>
    </row>
    <row r="834" spans="1:34" x14ac:dyDescent="0.3">
      <c r="A834" t="s">
        <v>861</v>
      </c>
      <c r="B834">
        <v>0.25482041587901699</v>
      </c>
      <c r="C834">
        <v>0.491891321543032</v>
      </c>
      <c r="D834">
        <v>0.362238330987182</v>
      </c>
      <c r="E834">
        <v>0</v>
      </c>
      <c r="F834">
        <v>0.26991150442477801</v>
      </c>
      <c r="G834">
        <v>0.43182010075774402</v>
      </c>
      <c r="H834">
        <v>6</v>
      </c>
      <c r="I834">
        <v>13</v>
      </c>
      <c r="J834">
        <v>6.2497018272028998E-2</v>
      </c>
      <c r="K834">
        <v>6.5252854812398002E-3</v>
      </c>
      <c r="L834">
        <v>2.6568338411254E-2</v>
      </c>
      <c r="M834">
        <v>2.0202020202020202E-3</v>
      </c>
      <c r="N834">
        <v>1.9459999231862299E-2</v>
      </c>
      <c r="O834">
        <v>694</v>
      </c>
      <c r="P834">
        <v>4.9733445566778903E-2</v>
      </c>
      <c r="Q834">
        <v>4.9896560187944798E-2</v>
      </c>
      <c r="R834">
        <v>0</v>
      </c>
      <c r="S834">
        <v>0</v>
      </c>
      <c r="T834" t="s">
        <v>53</v>
      </c>
      <c r="U834">
        <v>1.6981132075471601E-2</v>
      </c>
      <c r="V834">
        <v>0</v>
      </c>
      <c r="W834">
        <v>0</v>
      </c>
      <c r="X834">
        <v>0.21663610106606601</v>
      </c>
      <c r="Y834">
        <v>3.1621572629591498E-2</v>
      </c>
      <c r="Z834">
        <v>3.7624067032812201E-2</v>
      </c>
      <c r="AA834">
        <v>0</v>
      </c>
      <c r="AB834">
        <f t="shared" si="84"/>
        <v>5.4050555276043598E-2</v>
      </c>
      <c r="AC834">
        <f t="shared" si="89"/>
        <v>0.1</v>
      </c>
      <c r="AD834">
        <f t="shared" si="85"/>
        <v>0</v>
      </c>
      <c r="AE834">
        <f t="shared" si="90"/>
        <v>5.945561080364796E-2</v>
      </c>
      <c r="AF834" t="str">
        <f t="shared" si="86"/>
        <v>Very Low</v>
      </c>
      <c r="AG834" t="str">
        <f t="shared" si="87"/>
        <v>NO ACTION</v>
      </c>
      <c r="AH834" t="str">
        <f t="shared" si="88"/>
        <v/>
      </c>
    </row>
    <row r="835" spans="1:34" x14ac:dyDescent="0.3">
      <c r="A835" t="s">
        <v>862</v>
      </c>
      <c r="B835">
        <v>0.12892249527410199</v>
      </c>
      <c r="C835">
        <v>0.36953165208440503</v>
      </c>
      <c r="D835">
        <v>0</v>
      </c>
      <c r="E835">
        <v>0</v>
      </c>
      <c r="F835">
        <v>0</v>
      </c>
      <c r="G835">
        <v>0.993687613353892</v>
      </c>
      <c r="H835">
        <v>8</v>
      </c>
      <c r="I835">
        <v>8</v>
      </c>
      <c r="J835">
        <v>6.8889843041839594E-2</v>
      </c>
      <c r="K835">
        <v>1.0603588907014599E-2</v>
      </c>
      <c r="L835">
        <v>3.9180964901689798E-2</v>
      </c>
      <c r="M835">
        <v>8.6580086580086504E-4</v>
      </c>
      <c r="N835">
        <v>7.5687367612833397E-3</v>
      </c>
      <c r="O835">
        <v>760</v>
      </c>
      <c r="P835">
        <v>5.5625701459034699E-2</v>
      </c>
      <c r="Q835">
        <v>5.5787369823626302E-2</v>
      </c>
      <c r="R835">
        <v>0</v>
      </c>
      <c r="S835">
        <v>0</v>
      </c>
      <c r="T835" t="s">
        <v>53</v>
      </c>
      <c r="U835">
        <v>5.5188679245283E-2</v>
      </c>
      <c r="V835">
        <v>0</v>
      </c>
      <c r="W835">
        <v>0</v>
      </c>
      <c r="X835">
        <v>0</v>
      </c>
      <c r="Y835">
        <v>3.5639072087597798E-2</v>
      </c>
      <c r="Z835">
        <v>3.6402915579934199E-2</v>
      </c>
      <c r="AA835">
        <v>0</v>
      </c>
      <c r="AB835">
        <f t="shared" ref="AB835:AB898" si="91">0.16*X835 + 0.28*Y835 + 0.28*Z835 + 0.28*AA835</f>
        <v>2.0171756546908962E-2</v>
      </c>
      <c r="AC835">
        <f t="shared" si="89"/>
        <v>0.1</v>
      </c>
      <c r="AD835">
        <f t="shared" ref="AD835:AD898" si="92">IF(V835&gt;0.7, 0.1,
 IF(F835&gt;0.5, 0.08,
 IF(E835&gt;0.5, 0.05,
 0)))</f>
        <v>0</v>
      </c>
      <c r="AE835">
        <f t="shared" si="90"/>
        <v>2.218893220159986E-2</v>
      </c>
      <c r="AF835" t="str">
        <f t="shared" ref="AF835:AF898" si="93">IF(MAX(X835, Y835, Z835, AA835)&gt;0.9,
 "Critical",
 IF(AE835&lt;=0.2,"Very Low",
 IF(AE835&lt;=0.4,"Low",
 IF(AE835&lt;=0.6,"Medium",
 IF(AE835&lt;=0.8,"High","Critical")))))</f>
        <v>Very Low</v>
      </c>
      <c r="AG835" t="str">
        <f t="shared" ref="AG835:AG898" si="94">IF(MAX(X835:AA835)&gt;0.9,"CRITICAL ALERT",
 IF(AE835&gt;0.8,"CRITICAL ALERT",
 IF(AE835&gt;0.6,"ALERT",
 IF(AE835&gt;=0.4,"REVIEW","NO ACTION"))))</f>
        <v>NO ACTION</v>
      </c>
      <c r="AH835" t="str">
        <f t="shared" ref="AH835:AH898" si="95">IF(AG835="NO ACTION","",
 IF(_xlfn.TEXTJOIN(", ", TRUE,
  IF(X835&gt;0.7,"Login anomaly",""),
  IF(Y835&gt;0.7,"File anomaly",""),
  IF(Z835&gt;0.7,"Network anomaly",""),
  IF(AA835&gt;0.7,"USB anomaly","")
 )="",
 "General anomaly detected",
 _xlfn.TEXTJOIN(", ", TRUE,
  IF(X835&gt;0.7,"Login anomaly",""),
  IF(Y835&gt;0.7,"File anomaly",""),
  IF(Z835&gt;0.7,"Network anomaly",""),
  IF(AA835&gt;0.7,"USB anomaly","")
 )))</f>
        <v/>
      </c>
    </row>
    <row r="836" spans="1:34" x14ac:dyDescent="0.3">
      <c r="A836" t="s">
        <v>863</v>
      </c>
      <c r="B836">
        <v>0.12892249527410199</v>
      </c>
      <c r="C836">
        <v>0.18476582604220201</v>
      </c>
      <c r="D836">
        <v>0</v>
      </c>
      <c r="E836">
        <v>0</v>
      </c>
      <c r="F836">
        <v>0</v>
      </c>
      <c r="G836">
        <v>0.99367077961632799</v>
      </c>
      <c r="H836">
        <v>7</v>
      </c>
      <c r="I836">
        <v>7</v>
      </c>
      <c r="J836">
        <v>8.6732503220266197E-2</v>
      </c>
      <c r="K836">
        <v>1.2234910277324601E-2</v>
      </c>
      <c r="L836">
        <v>3.59339327456107E-2</v>
      </c>
      <c r="M836">
        <v>1.1544011544011501E-3</v>
      </c>
      <c r="N836">
        <v>8.0212832818427893E-3</v>
      </c>
      <c r="O836">
        <v>944</v>
      </c>
      <c r="P836">
        <v>6.9584736251402907E-2</v>
      </c>
      <c r="Q836">
        <v>6.9742978365300301E-2</v>
      </c>
      <c r="R836">
        <v>0</v>
      </c>
      <c r="S836">
        <v>0</v>
      </c>
      <c r="T836" t="s">
        <v>53</v>
      </c>
      <c r="U836">
        <v>5.0943396226415097E-2</v>
      </c>
      <c r="V836">
        <v>0</v>
      </c>
      <c r="W836">
        <v>0</v>
      </c>
      <c r="X836">
        <v>0</v>
      </c>
      <c r="Y836">
        <v>3.7719852001411397E-2</v>
      </c>
      <c r="Z836">
        <v>4.4959355063578801E-2</v>
      </c>
      <c r="AA836">
        <v>0</v>
      </c>
      <c r="AB836">
        <f t="shared" si="91"/>
        <v>2.315017797819726E-2</v>
      </c>
      <c r="AC836">
        <f t="shared" ref="AC836:AC899" si="96">IF(T836="IT_Admin", 0.25, IF(AND(T836="HR", AA836&gt;0.6), 0.25, IF(AND(T836="General", Z836&gt;0.7), 0.2, 0.1)))</f>
        <v>0.1</v>
      </c>
      <c r="AD836">
        <f t="shared" si="92"/>
        <v>0</v>
      </c>
      <c r="AE836">
        <f t="shared" ref="AE836:AE899" si="97">MIN(1,AB836*(1+AC836+AD836))</f>
        <v>2.546519577601699E-2</v>
      </c>
      <c r="AF836" t="str">
        <f t="shared" si="93"/>
        <v>Very Low</v>
      </c>
      <c r="AG836" t="str">
        <f t="shared" si="94"/>
        <v>NO ACTION</v>
      </c>
      <c r="AH836" t="str">
        <f t="shared" si="95"/>
        <v/>
      </c>
    </row>
    <row r="837" spans="1:34" x14ac:dyDescent="0.3">
      <c r="A837" t="s">
        <v>864</v>
      </c>
      <c r="B837">
        <v>0.12892249527410199</v>
      </c>
      <c r="C837">
        <v>0.18476582604220201</v>
      </c>
      <c r="D837">
        <v>0</v>
      </c>
      <c r="E837">
        <v>0</v>
      </c>
      <c r="F837">
        <v>0</v>
      </c>
      <c r="G837">
        <v>0.99367356293700604</v>
      </c>
      <c r="H837">
        <v>7</v>
      </c>
      <c r="I837">
        <v>7</v>
      </c>
      <c r="J837">
        <v>9.2218882686894696E-2</v>
      </c>
      <c r="K837">
        <v>1.1419249592169599E-2</v>
      </c>
      <c r="L837">
        <v>3.15481882192458E-2</v>
      </c>
      <c r="M837">
        <v>2.59740259740259E-3</v>
      </c>
      <c r="N837">
        <v>1.6976934314395599E-2</v>
      </c>
      <c r="O837">
        <v>641</v>
      </c>
      <c r="P837">
        <v>7.3968855218855198E-2</v>
      </c>
      <c r="Q837">
        <v>7.4126021248991897E-2</v>
      </c>
      <c r="R837">
        <v>0</v>
      </c>
      <c r="S837">
        <v>0</v>
      </c>
      <c r="T837" t="s">
        <v>53</v>
      </c>
      <c r="U837">
        <v>2.3773584905660301E-2</v>
      </c>
      <c r="V837">
        <v>0</v>
      </c>
      <c r="W837">
        <v>0</v>
      </c>
      <c r="X837">
        <v>0</v>
      </c>
      <c r="Y837">
        <v>3.9310950941320498E-2</v>
      </c>
      <c r="Z837">
        <v>5.1172086857071301E-2</v>
      </c>
      <c r="AA837">
        <v>0</v>
      </c>
      <c r="AB837">
        <f t="shared" si="91"/>
        <v>2.5335250583549705E-2</v>
      </c>
      <c r="AC837">
        <f t="shared" si="96"/>
        <v>0.1</v>
      </c>
      <c r="AD837">
        <f t="shared" si="92"/>
        <v>0</v>
      </c>
      <c r="AE837">
        <f t="shared" si="97"/>
        <v>2.7868775641904677E-2</v>
      </c>
      <c r="AF837" t="str">
        <f t="shared" si="93"/>
        <v>Very Low</v>
      </c>
      <c r="AG837" t="str">
        <f t="shared" si="94"/>
        <v>NO ACTION</v>
      </c>
      <c r="AH837" t="str">
        <f t="shared" si="95"/>
        <v/>
      </c>
    </row>
    <row r="838" spans="1:34" x14ac:dyDescent="0.3">
      <c r="A838" t="s">
        <v>865</v>
      </c>
      <c r="B838">
        <v>0.23440453686200299</v>
      </c>
      <c r="C838">
        <v>0.60019283555696301</v>
      </c>
      <c r="D838">
        <v>0.383067159190357</v>
      </c>
      <c r="E838">
        <v>0</v>
      </c>
      <c r="F838">
        <v>0</v>
      </c>
      <c r="G838">
        <v>0.482381769865459</v>
      </c>
      <c r="H838">
        <v>7</v>
      </c>
      <c r="I838">
        <v>13</v>
      </c>
      <c r="J838">
        <v>7.5759744287009198E-2</v>
      </c>
      <c r="K838">
        <v>8.1566068515497494E-3</v>
      </c>
      <c r="L838">
        <v>2.7414755972064601E-2</v>
      </c>
      <c r="M838">
        <v>2.59740259740259E-3</v>
      </c>
      <c r="N838">
        <v>2.0653671501129098E-2</v>
      </c>
      <c r="O838">
        <v>827</v>
      </c>
      <c r="P838">
        <v>6.04657687991021E-2</v>
      </c>
      <c r="Q838">
        <v>6.0626249167221799E-2</v>
      </c>
      <c r="R838">
        <v>0</v>
      </c>
      <c r="S838">
        <v>0</v>
      </c>
      <c r="T838" t="s">
        <v>53</v>
      </c>
      <c r="U838">
        <v>1.6981132075471601E-2</v>
      </c>
      <c r="V838">
        <v>0</v>
      </c>
      <c r="W838">
        <v>0</v>
      </c>
      <c r="X838">
        <v>0.114920147757107</v>
      </c>
      <c r="Y838">
        <v>3.5055428293772797E-2</v>
      </c>
      <c r="Z838">
        <v>4.4540929879912899E-2</v>
      </c>
      <c r="AA838">
        <v>0</v>
      </c>
      <c r="AB838">
        <f t="shared" si="91"/>
        <v>4.0674203929769115E-2</v>
      </c>
      <c r="AC838">
        <f t="shared" si="96"/>
        <v>0.1</v>
      </c>
      <c r="AD838">
        <f t="shared" si="92"/>
        <v>0</v>
      </c>
      <c r="AE838">
        <f t="shared" si="97"/>
        <v>4.4741624322746032E-2</v>
      </c>
      <c r="AF838" t="str">
        <f t="shared" si="93"/>
        <v>Very Low</v>
      </c>
      <c r="AG838" t="str">
        <f t="shared" si="94"/>
        <v>NO ACTION</v>
      </c>
      <c r="AH838" t="str">
        <f t="shared" si="95"/>
        <v/>
      </c>
    </row>
    <row r="839" spans="1:34" x14ac:dyDescent="0.3">
      <c r="A839" t="s">
        <v>866</v>
      </c>
      <c r="B839">
        <v>0.12892249527410199</v>
      </c>
      <c r="C839">
        <v>0.282236493693451</v>
      </c>
      <c r="D839">
        <v>7.5018780494472401E-2</v>
      </c>
      <c r="E839">
        <v>0</v>
      </c>
      <c r="F839">
        <v>0</v>
      </c>
      <c r="G839">
        <v>0.99368094944188301</v>
      </c>
      <c r="H839">
        <v>7</v>
      </c>
      <c r="I839">
        <v>8</v>
      </c>
      <c r="J839">
        <v>6.6027384189685595E-2</v>
      </c>
      <c r="K839">
        <v>1.2234910277324601E-2</v>
      </c>
      <c r="L839">
        <v>4.7161669830992299E-2</v>
      </c>
      <c r="M839">
        <v>2.3088023088023001E-3</v>
      </c>
      <c r="N839">
        <v>2.1055146757090599E-2</v>
      </c>
      <c r="O839">
        <v>722</v>
      </c>
      <c r="P839">
        <v>5.4924242424242403E-2</v>
      </c>
      <c r="Q839">
        <v>5.5086082962235702E-2</v>
      </c>
      <c r="R839">
        <v>0</v>
      </c>
      <c r="S839">
        <v>0</v>
      </c>
      <c r="T839" t="s">
        <v>53</v>
      </c>
      <c r="U839">
        <v>2.83018867924528E-2</v>
      </c>
      <c r="V839">
        <v>0</v>
      </c>
      <c r="W839">
        <v>0</v>
      </c>
      <c r="X839">
        <v>2.25056341483417E-2</v>
      </c>
      <c r="Y839">
        <v>4.3102855780560403E-2</v>
      </c>
      <c r="Z839">
        <v>4.1376604157381598E-2</v>
      </c>
      <c r="AA839">
        <v>0</v>
      </c>
      <c r="AB839">
        <f t="shared" si="91"/>
        <v>2.7255150246358432E-2</v>
      </c>
      <c r="AC839">
        <f t="shared" si="96"/>
        <v>0.1</v>
      </c>
      <c r="AD839">
        <f t="shared" si="92"/>
        <v>0</v>
      </c>
      <c r="AE839">
        <f t="shared" si="97"/>
        <v>2.9980665270994279E-2</v>
      </c>
      <c r="AF839" t="str">
        <f t="shared" si="93"/>
        <v>Very Low</v>
      </c>
      <c r="AG839" t="str">
        <f t="shared" si="94"/>
        <v>NO ACTION</v>
      </c>
      <c r="AH839" t="str">
        <f t="shared" si="95"/>
        <v/>
      </c>
    </row>
    <row r="840" spans="1:34" x14ac:dyDescent="0.3">
      <c r="A840" t="s">
        <v>867</v>
      </c>
      <c r="B840">
        <v>0.27069943289224901</v>
      </c>
      <c r="C840">
        <v>0.71340138388517105</v>
      </c>
      <c r="D840">
        <v>0.371527610025497</v>
      </c>
      <c r="E840">
        <v>0</v>
      </c>
      <c r="F840">
        <v>0</v>
      </c>
      <c r="G840">
        <v>0.39810019059963703</v>
      </c>
      <c r="H840">
        <v>7</v>
      </c>
      <c r="I840">
        <v>15</v>
      </c>
      <c r="J840">
        <v>6.3403463575211094E-2</v>
      </c>
      <c r="K840">
        <v>1.2234910277324601E-2</v>
      </c>
      <c r="L840">
        <v>4.9106116488192103E-2</v>
      </c>
      <c r="M840">
        <v>8.6580086580086504E-4</v>
      </c>
      <c r="N840">
        <v>8.2212140682905201E-3</v>
      </c>
      <c r="O840">
        <v>578</v>
      </c>
      <c r="P840">
        <v>5.2293771043770997E-2</v>
      </c>
      <c r="Q840">
        <v>5.24562572320207E-2</v>
      </c>
      <c r="R840">
        <v>0.75958702064896699</v>
      </c>
      <c r="S840">
        <v>1</v>
      </c>
      <c r="T840" t="s">
        <v>53</v>
      </c>
      <c r="U840">
        <v>6.3679245283018798E-2</v>
      </c>
      <c r="V840">
        <v>0</v>
      </c>
      <c r="W840">
        <v>0</v>
      </c>
      <c r="X840">
        <v>0.111458283007649</v>
      </c>
      <c r="Y840">
        <v>3.9700115179625399E-2</v>
      </c>
      <c r="Z840">
        <v>3.4664748253578799E-2</v>
      </c>
      <c r="AA840">
        <v>0.75958702064896699</v>
      </c>
      <c r="AB840">
        <f t="shared" si="91"/>
        <v>0.25133985282423177</v>
      </c>
      <c r="AC840">
        <f t="shared" si="96"/>
        <v>0.1</v>
      </c>
      <c r="AD840">
        <f t="shared" si="92"/>
        <v>0</v>
      </c>
      <c r="AE840">
        <f t="shared" si="97"/>
        <v>0.27647383810665499</v>
      </c>
      <c r="AF840" t="str">
        <f t="shared" si="93"/>
        <v>Low</v>
      </c>
      <c r="AG840" t="str">
        <f t="shared" si="94"/>
        <v>NO ACTION</v>
      </c>
      <c r="AH840" t="str">
        <f t="shared" si="95"/>
        <v/>
      </c>
    </row>
    <row r="841" spans="1:34" x14ac:dyDescent="0.3">
      <c r="A841" t="s">
        <v>868</v>
      </c>
      <c r="B841">
        <v>0.26238185255198399</v>
      </c>
      <c r="C841">
        <v>0.71523963032382698</v>
      </c>
      <c r="D841">
        <v>0.556642574421781</v>
      </c>
      <c r="E841">
        <v>0.32632919452403603</v>
      </c>
      <c r="F841">
        <v>7.3065902578796499E-2</v>
      </c>
      <c r="G841">
        <v>0.41604371101431398</v>
      </c>
      <c r="H841">
        <v>0</v>
      </c>
      <c r="I841">
        <v>23</v>
      </c>
      <c r="J841">
        <v>7.9576356089881201E-2</v>
      </c>
      <c r="K841">
        <v>4.0783034257748704E-3</v>
      </c>
      <c r="L841">
        <v>1.30519146035561E-2</v>
      </c>
      <c r="M841">
        <v>1.44300144300144E-3</v>
      </c>
      <c r="N841">
        <v>1.0925582354153701E-2</v>
      </c>
      <c r="O841">
        <v>667</v>
      </c>
      <c r="P841">
        <v>6.09567901234567E-2</v>
      </c>
      <c r="Q841">
        <v>6.1117149970195302E-2</v>
      </c>
      <c r="R841">
        <v>0.58702064896755102</v>
      </c>
      <c r="S841">
        <v>1</v>
      </c>
      <c r="T841" t="s">
        <v>53</v>
      </c>
      <c r="U841">
        <v>1.41509433962264E-2</v>
      </c>
      <c r="V841">
        <v>0</v>
      </c>
      <c r="W841">
        <v>3.1120982821649899E-2</v>
      </c>
      <c r="X841">
        <v>0.29411789171526398</v>
      </c>
      <c r="Y841">
        <v>2.57189032260004E-2</v>
      </c>
      <c r="Z841">
        <v>4.0944307015735502E-2</v>
      </c>
      <c r="AA841">
        <v>0.58702064896755102</v>
      </c>
      <c r="AB841">
        <f t="shared" si="91"/>
        <v>0.23009034325304259</v>
      </c>
      <c r="AC841">
        <f t="shared" si="96"/>
        <v>0.1</v>
      </c>
      <c r="AD841">
        <f t="shared" si="92"/>
        <v>0</v>
      </c>
      <c r="AE841">
        <f t="shared" si="97"/>
        <v>0.25309937757834688</v>
      </c>
      <c r="AF841" t="str">
        <f t="shared" si="93"/>
        <v>Low</v>
      </c>
      <c r="AG841" t="str">
        <f t="shared" si="94"/>
        <v>NO ACTION</v>
      </c>
      <c r="AH841" t="str">
        <f t="shared" si="95"/>
        <v/>
      </c>
    </row>
    <row r="842" spans="1:34" x14ac:dyDescent="0.3">
      <c r="A842" t="s">
        <v>869</v>
      </c>
      <c r="B842">
        <v>0.12892249527410199</v>
      </c>
      <c r="C842">
        <v>0.460040129189136</v>
      </c>
      <c r="D842">
        <v>7.51173381640724E-2</v>
      </c>
      <c r="E842">
        <v>0</v>
      </c>
      <c r="F842">
        <v>0</v>
      </c>
      <c r="G842">
        <v>0.99367155573459398</v>
      </c>
      <c r="H842">
        <v>8</v>
      </c>
      <c r="I842">
        <v>9</v>
      </c>
      <c r="J842">
        <v>8.5635227326940497E-2</v>
      </c>
      <c r="K842">
        <v>4.1598694942903698E-2</v>
      </c>
      <c r="L842">
        <v>0.12373650107991301</v>
      </c>
      <c r="M842">
        <v>1.0389610389610299E-2</v>
      </c>
      <c r="N842">
        <v>7.3113997113997103E-2</v>
      </c>
      <c r="O842">
        <v>716</v>
      </c>
      <c r="P842">
        <v>8.5893658810325402E-2</v>
      </c>
      <c r="Q842">
        <v>8.6047897892632896E-2</v>
      </c>
      <c r="R842">
        <v>0</v>
      </c>
      <c r="S842">
        <v>0</v>
      </c>
      <c r="T842" t="s">
        <v>53</v>
      </c>
      <c r="U842">
        <v>2.3406425293217702E-2</v>
      </c>
      <c r="V842">
        <v>0</v>
      </c>
      <c r="W842">
        <v>0</v>
      </c>
      <c r="X842">
        <v>2.2535201449221699E-2</v>
      </c>
      <c r="Y842">
        <v>0.100929495139544</v>
      </c>
      <c r="Z842">
        <v>8.0781794131794094E-2</v>
      </c>
      <c r="AA842">
        <v>0</v>
      </c>
      <c r="AB842">
        <f t="shared" si="91"/>
        <v>5.4484793227850145E-2</v>
      </c>
      <c r="AC842">
        <f t="shared" si="96"/>
        <v>0.1</v>
      </c>
      <c r="AD842">
        <f t="shared" si="92"/>
        <v>0</v>
      </c>
      <c r="AE842">
        <f t="shared" si="97"/>
        <v>5.9933272550635165E-2</v>
      </c>
      <c r="AF842" t="str">
        <f t="shared" si="93"/>
        <v>Very Low</v>
      </c>
      <c r="AG842" t="str">
        <f t="shared" si="94"/>
        <v>NO ACTION</v>
      </c>
      <c r="AH842" t="str">
        <f t="shared" si="95"/>
        <v/>
      </c>
    </row>
    <row r="843" spans="1:34" x14ac:dyDescent="0.3">
      <c r="A843" t="s">
        <v>870</v>
      </c>
      <c r="B843">
        <v>0.12892249527410199</v>
      </c>
      <c r="C843">
        <v>0.36953165208440503</v>
      </c>
      <c r="D843">
        <v>0</v>
      </c>
      <c r="E843">
        <v>0</v>
      </c>
      <c r="F843">
        <v>0</v>
      </c>
      <c r="G843">
        <v>0.99366411570431901</v>
      </c>
      <c r="H843">
        <v>8</v>
      </c>
      <c r="I843">
        <v>8</v>
      </c>
      <c r="J843">
        <v>7.5282667811650203E-2</v>
      </c>
      <c r="K843">
        <v>1.2234910277324601E-2</v>
      </c>
      <c r="L843">
        <v>4.1381907388028001E-2</v>
      </c>
      <c r="M843">
        <v>1.0966810966810899E-2</v>
      </c>
      <c r="N843">
        <v>8.7755271330760901E-2</v>
      </c>
      <c r="O843">
        <v>654</v>
      </c>
      <c r="P843">
        <v>6.5937149270482595E-2</v>
      </c>
      <c r="Q843">
        <v>6.60962866860689E-2</v>
      </c>
      <c r="R843">
        <v>0</v>
      </c>
      <c r="S843">
        <v>0</v>
      </c>
      <c r="T843" t="s">
        <v>53</v>
      </c>
      <c r="U843">
        <v>6.5312046444121899E-3</v>
      </c>
      <c r="V843">
        <v>0</v>
      </c>
      <c r="W843">
        <v>0</v>
      </c>
      <c r="X843">
        <v>0</v>
      </c>
      <c r="Y843">
        <v>6.2074068655572301E-2</v>
      </c>
      <c r="Z843">
        <v>7.4664398094593895E-2</v>
      </c>
      <c r="AA843">
        <v>0</v>
      </c>
      <c r="AB843">
        <f t="shared" si="91"/>
        <v>3.8286770690046538E-2</v>
      </c>
      <c r="AC843">
        <f t="shared" si="96"/>
        <v>0.1</v>
      </c>
      <c r="AD843">
        <f t="shared" si="92"/>
        <v>0</v>
      </c>
      <c r="AE843">
        <f t="shared" si="97"/>
        <v>4.2115447759051197E-2</v>
      </c>
      <c r="AF843" t="str">
        <f t="shared" si="93"/>
        <v>Very Low</v>
      </c>
      <c r="AG843" t="str">
        <f t="shared" si="94"/>
        <v>NO ACTION</v>
      </c>
      <c r="AH843" t="str">
        <f t="shared" si="95"/>
        <v/>
      </c>
    </row>
    <row r="844" spans="1:34" x14ac:dyDescent="0.3">
      <c r="A844" t="s">
        <v>871</v>
      </c>
      <c r="B844">
        <v>0.12892249527410199</v>
      </c>
      <c r="C844">
        <v>0.27955872809863702</v>
      </c>
      <c r="D844">
        <v>7.5107235637207503E-2</v>
      </c>
      <c r="E844">
        <v>0</v>
      </c>
      <c r="F844">
        <v>0</v>
      </c>
      <c r="G844">
        <v>0.99365937870662602</v>
      </c>
      <c r="H844">
        <v>7</v>
      </c>
      <c r="I844">
        <v>8</v>
      </c>
      <c r="J844">
        <v>7.7334096655693907E-2</v>
      </c>
      <c r="K844">
        <v>2.2838499184339299E-2</v>
      </c>
      <c r="L844">
        <v>7.5203430220047301E-2</v>
      </c>
      <c r="M844">
        <v>2.8860028860028799E-3</v>
      </c>
      <c r="N844">
        <v>2.2482778940343499E-2</v>
      </c>
      <c r="O844">
        <v>622</v>
      </c>
      <c r="P844">
        <v>6.8076599326599305E-2</v>
      </c>
      <c r="Q844">
        <v>6.8235211613310406E-2</v>
      </c>
      <c r="R844">
        <v>0</v>
      </c>
      <c r="S844">
        <v>0</v>
      </c>
      <c r="T844" t="s">
        <v>53</v>
      </c>
      <c r="U844">
        <v>4.3224699828473399E-2</v>
      </c>
      <c r="V844">
        <v>0</v>
      </c>
      <c r="W844">
        <v>0</v>
      </c>
      <c r="X844">
        <v>2.2532170691162201E-2</v>
      </c>
      <c r="Y844">
        <v>5.9813368123265501E-2</v>
      </c>
      <c r="Z844">
        <v>4.9839071172097002E-2</v>
      </c>
      <c r="AA844">
        <v>0</v>
      </c>
      <c r="AB844">
        <f t="shared" si="91"/>
        <v>3.4307830313287456E-2</v>
      </c>
      <c r="AC844">
        <f t="shared" si="96"/>
        <v>0.1</v>
      </c>
      <c r="AD844">
        <f t="shared" si="92"/>
        <v>0</v>
      </c>
      <c r="AE844">
        <f t="shared" si="97"/>
        <v>3.7738613344616208E-2</v>
      </c>
      <c r="AF844" t="str">
        <f t="shared" si="93"/>
        <v>Very Low</v>
      </c>
      <c r="AG844" t="str">
        <f t="shared" si="94"/>
        <v>NO ACTION</v>
      </c>
      <c r="AH844" t="str">
        <f t="shared" si="95"/>
        <v/>
      </c>
    </row>
    <row r="845" spans="1:34" x14ac:dyDescent="0.3">
      <c r="A845" t="s">
        <v>872</v>
      </c>
      <c r="B845">
        <v>0.18185255198487699</v>
      </c>
      <c r="C845">
        <v>0.57563126422632604</v>
      </c>
      <c r="D845">
        <v>0.38699299251576302</v>
      </c>
      <c r="E845">
        <v>0</v>
      </c>
      <c r="F845">
        <v>8.2474226804123696E-3</v>
      </c>
      <c r="G845">
        <v>0.47795680680671598</v>
      </c>
      <c r="H845">
        <v>4</v>
      </c>
      <c r="I845">
        <v>23</v>
      </c>
      <c r="J845">
        <v>2.4998807308811599E-2</v>
      </c>
      <c r="K845">
        <v>7.34094616639478E-3</v>
      </c>
      <c r="L845">
        <v>7.4299689295177704E-2</v>
      </c>
      <c r="M845">
        <v>1.1544011544011501E-3</v>
      </c>
      <c r="N845">
        <v>2.7642342954252198E-2</v>
      </c>
      <c r="O845">
        <v>325</v>
      </c>
      <c r="P845">
        <v>2.2095959595959599E-2</v>
      </c>
      <c r="Q845">
        <v>2.2265857849153099E-2</v>
      </c>
      <c r="R845">
        <v>0.37168141592920301</v>
      </c>
      <c r="S845">
        <v>1</v>
      </c>
      <c r="T845" t="s">
        <v>53</v>
      </c>
      <c r="U845">
        <v>3.0566037735849001E-2</v>
      </c>
      <c r="V845">
        <v>0</v>
      </c>
      <c r="W845">
        <v>1.9997217817154699E-2</v>
      </c>
      <c r="X845">
        <v>0.119396866826893</v>
      </c>
      <c r="Y845">
        <v>5.0442308995626801E-2</v>
      </c>
      <c r="Z845">
        <v>2.4314512939276601E-2</v>
      </c>
      <c r="AA845">
        <v>0.37168141592920301</v>
      </c>
      <c r="AB845">
        <f t="shared" si="91"/>
        <v>0.14410620529425269</v>
      </c>
      <c r="AC845">
        <f t="shared" si="96"/>
        <v>0.1</v>
      </c>
      <c r="AD845">
        <f t="shared" si="92"/>
        <v>0</v>
      </c>
      <c r="AE845">
        <f t="shared" si="97"/>
        <v>0.15851682582367799</v>
      </c>
      <c r="AF845" t="str">
        <f t="shared" si="93"/>
        <v>Very Low</v>
      </c>
      <c r="AG845" t="str">
        <f t="shared" si="94"/>
        <v>NO ACTION</v>
      </c>
      <c r="AH845" t="str">
        <f t="shared" si="95"/>
        <v/>
      </c>
    </row>
    <row r="846" spans="1:34" x14ac:dyDescent="0.3">
      <c r="A846" t="s">
        <v>873</v>
      </c>
      <c r="B846">
        <v>0.12892249527410199</v>
      </c>
      <c r="C846">
        <v>0.36953165208440503</v>
      </c>
      <c r="D846">
        <v>0</v>
      </c>
      <c r="E846">
        <v>0</v>
      </c>
      <c r="F846">
        <v>0</v>
      </c>
      <c r="G846">
        <v>0.99364832571201001</v>
      </c>
      <c r="H846">
        <v>8</v>
      </c>
      <c r="I846">
        <v>8</v>
      </c>
      <c r="J846">
        <v>8.1627784933924905E-2</v>
      </c>
      <c r="K846">
        <v>2.0391517128874301E-2</v>
      </c>
      <c r="L846">
        <v>6.3624280686915599E-2</v>
      </c>
      <c r="M846">
        <v>1.7316017316017301E-3</v>
      </c>
      <c r="N846">
        <v>1.27821673276218E-2</v>
      </c>
      <c r="O846">
        <v>818</v>
      </c>
      <c r="P846">
        <v>6.9619809203142494E-2</v>
      </c>
      <c r="Q846">
        <v>6.9778042708369806E-2</v>
      </c>
      <c r="R846">
        <v>0</v>
      </c>
      <c r="S846">
        <v>0</v>
      </c>
      <c r="T846" t="s">
        <v>53</v>
      </c>
      <c r="U846">
        <v>6.0646900269541698E-2</v>
      </c>
      <c r="V846">
        <v>0</v>
      </c>
      <c r="W846">
        <v>0</v>
      </c>
      <c r="X846">
        <v>0</v>
      </c>
      <c r="Y846">
        <v>5.1972347528529299E-2</v>
      </c>
      <c r="Z846">
        <v>4.6884752452934199E-2</v>
      </c>
      <c r="AA846">
        <v>0</v>
      </c>
      <c r="AB846">
        <f t="shared" si="91"/>
        <v>2.7679987994809783E-2</v>
      </c>
      <c r="AC846">
        <f t="shared" si="96"/>
        <v>0.1</v>
      </c>
      <c r="AD846">
        <f t="shared" si="92"/>
        <v>0</v>
      </c>
      <c r="AE846">
        <f t="shared" si="97"/>
        <v>3.0447986794290765E-2</v>
      </c>
      <c r="AF846" t="str">
        <f t="shared" si="93"/>
        <v>Very Low</v>
      </c>
      <c r="AG846" t="str">
        <f t="shared" si="94"/>
        <v>NO ACTION</v>
      </c>
      <c r="AH846" t="str">
        <f t="shared" si="95"/>
        <v/>
      </c>
    </row>
    <row r="847" spans="1:34" x14ac:dyDescent="0.3">
      <c r="A847" t="s">
        <v>874</v>
      </c>
      <c r="B847">
        <v>5.6710775047258896E-3</v>
      </c>
      <c r="C847">
        <v>0.36953165208440503</v>
      </c>
      <c r="D847">
        <v>0</v>
      </c>
      <c r="E847">
        <v>0</v>
      </c>
      <c r="F847">
        <v>0</v>
      </c>
      <c r="G847">
        <v>0.91192796986915103</v>
      </c>
      <c r="H847">
        <v>8</v>
      </c>
      <c r="I847">
        <v>8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</v>
      </c>
      <c r="P847">
        <v>0</v>
      </c>
      <c r="Q847">
        <v>1.75321715347662E-4</v>
      </c>
      <c r="R847">
        <v>0</v>
      </c>
      <c r="S847">
        <v>0</v>
      </c>
      <c r="T847" t="s">
        <v>53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f t="shared" si="91"/>
        <v>0</v>
      </c>
      <c r="AC847">
        <f t="shared" si="96"/>
        <v>0.1</v>
      </c>
      <c r="AD847">
        <f t="shared" si="92"/>
        <v>0</v>
      </c>
      <c r="AE847">
        <f t="shared" si="97"/>
        <v>0</v>
      </c>
      <c r="AF847" t="str">
        <f t="shared" si="93"/>
        <v>Very Low</v>
      </c>
      <c r="AG847" t="str">
        <f t="shared" si="94"/>
        <v>NO ACTION</v>
      </c>
      <c r="AH847" t="str">
        <f t="shared" si="95"/>
        <v/>
      </c>
    </row>
    <row r="848" spans="1:34" x14ac:dyDescent="0.3">
      <c r="A848" t="s">
        <v>875</v>
      </c>
      <c r="B848">
        <v>0.12892249527410199</v>
      </c>
      <c r="C848">
        <v>0.36953165208440503</v>
      </c>
      <c r="D848">
        <v>0</v>
      </c>
      <c r="E848">
        <v>0</v>
      </c>
      <c r="F848">
        <v>0</v>
      </c>
      <c r="G848">
        <v>0.99366518621227196</v>
      </c>
      <c r="H848">
        <v>8</v>
      </c>
      <c r="I848">
        <v>8</v>
      </c>
      <c r="J848">
        <v>9.6751109202805205E-2</v>
      </c>
      <c r="K848">
        <v>9.7879282218597003E-3</v>
      </c>
      <c r="L848">
        <v>2.5777691842694801E-2</v>
      </c>
      <c r="M848">
        <v>5.7720057720057698E-4</v>
      </c>
      <c r="N848">
        <v>3.5963599170682199E-3</v>
      </c>
      <c r="O848">
        <v>857</v>
      </c>
      <c r="P848">
        <v>7.5617283950617301E-2</v>
      </c>
      <c r="Q848">
        <v>7.5774045373259893E-2</v>
      </c>
      <c r="R848">
        <v>0</v>
      </c>
      <c r="S848">
        <v>0</v>
      </c>
      <c r="T848" t="s">
        <v>28</v>
      </c>
      <c r="U848">
        <v>6.7924528301886694E-2</v>
      </c>
      <c r="V848">
        <v>0</v>
      </c>
      <c r="W848">
        <v>0</v>
      </c>
      <c r="X848">
        <v>0</v>
      </c>
      <c r="Y848">
        <v>3.3317975737028903E-2</v>
      </c>
      <c r="Z848">
        <v>4.6808914337197603E-2</v>
      </c>
      <c r="AA848">
        <v>0</v>
      </c>
      <c r="AB848">
        <f t="shared" si="91"/>
        <v>2.2435529220783422E-2</v>
      </c>
      <c r="AC848">
        <f t="shared" si="96"/>
        <v>0.25</v>
      </c>
      <c r="AD848">
        <f t="shared" si="92"/>
        <v>0</v>
      </c>
      <c r="AE848">
        <f t="shared" si="97"/>
        <v>2.8044411525979279E-2</v>
      </c>
      <c r="AF848" t="str">
        <f t="shared" si="93"/>
        <v>Very Low</v>
      </c>
      <c r="AG848" t="str">
        <f t="shared" si="94"/>
        <v>NO ACTION</v>
      </c>
      <c r="AH848" t="str">
        <f t="shared" si="95"/>
        <v/>
      </c>
    </row>
    <row r="849" spans="1:34" x14ac:dyDescent="0.3">
      <c r="A849" t="s">
        <v>876</v>
      </c>
      <c r="B849">
        <v>0.12892249527410199</v>
      </c>
      <c r="C849">
        <v>0.36953165208440503</v>
      </c>
      <c r="D849">
        <v>0</v>
      </c>
      <c r="E849">
        <v>0</v>
      </c>
      <c r="F849">
        <v>0</v>
      </c>
      <c r="G849">
        <v>0.99364661289928502</v>
      </c>
      <c r="H849">
        <v>8</v>
      </c>
      <c r="I849">
        <v>8</v>
      </c>
      <c r="J849">
        <v>6.7601736558370304E-2</v>
      </c>
      <c r="K849">
        <v>4.8939641109298502E-3</v>
      </c>
      <c r="L849">
        <v>1.84268802799573E-2</v>
      </c>
      <c r="M849">
        <v>2.0202020202020202E-3</v>
      </c>
      <c r="N849">
        <v>1.79957095568909E-2</v>
      </c>
      <c r="O849">
        <v>756</v>
      </c>
      <c r="P849">
        <v>5.2784792368125701E-2</v>
      </c>
      <c r="Q849">
        <v>5.2947158034994203E-2</v>
      </c>
      <c r="R849">
        <v>0</v>
      </c>
      <c r="S849">
        <v>0</v>
      </c>
      <c r="T849" t="s">
        <v>53</v>
      </c>
      <c r="U849">
        <v>1.27358490566037E-2</v>
      </c>
      <c r="V849">
        <v>0</v>
      </c>
      <c r="W849">
        <v>0</v>
      </c>
      <c r="X849">
        <v>0</v>
      </c>
      <c r="Y849">
        <v>2.813250031872E-2</v>
      </c>
      <c r="Z849">
        <v>3.8869159243631803E-2</v>
      </c>
      <c r="AA849">
        <v>0</v>
      </c>
      <c r="AB849">
        <f t="shared" si="91"/>
        <v>1.8760464677458503E-2</v>
      </c>
      <c r="AC849">
        <f t="shared" si="96"/>
        <v>0.1</v>
      </c>
      <c r="AD849">
        <f t="shared" si="92"/>
        <v>0</v>
      </c>
      <c r="AE849">
        <f t="shared" si="97"/>
        <v>2.0636511145204355E-2</v>
      </c>
      <c r="AF849" t="str">
        <f t="shared" si="93"/>
        <v>Very Low</v>
      </c>
      <c r="AG849" t="str">
        <f t="shared" si="94"/>
        <v>NO ACTION</v>
      </c>
      <c r="AH849" t="str">
        <f t="shared" si="95"/>
        <v/>
      </c>
    </row>
    <row r="850" spans="1:34" x14ac:dyDescent="0.3">
      <c r="A850" t="s">
        <v>877</v>
      </c>
      <c r="B850">
        <v>0.23213610586011299</v>
      </c>
      <c r="C850">
        <v>0.92412810403956003</v>
      </c>
      <c r="D850">
        <v>0.34748412466642198</v>
      </c>
      <c r="E850">
        <v>0</v>
      </c>
      <c r="F850">
        <v>0</v>
      </c>
      <c r="G850">
        <v>0.48848299518090399</v>
      </c>
      <c r="H850">
        <v>9</v>
      </c>
      <c r="I850">
        <v>15</v>
      </c>
      <c r="J850">
        <v>9.8086923333810402E-2</v>
      </c>
      <c r="K850">
        <v>2.5285481239804199E-2</v>
      </c>
      <c r="L850">
        <v>6.5687670750532098E-2</v>
      </c>
      <c r="M850">
        <v>2.3088023088023001E-3</v>
      </c>
      <c r="N850">
        <v>1.4190004291896499E-2</v>
      </c>
      <c r="O850">
        <v>1031</v>
      </c>
      <c r="P850">
        <v>8.4104938271604895E-2</v>
      </c>
      <c r="Q850">
        <v>8.4259616396086798E-2</v>
      </c>
      <c r="R850">
        <v>0</v>
      </c>
      <c r="S850">
        <v>0</v>
      </c>
      <c r="T850" t="s">
        <v>28</v>
      </c>
      <c r="U850">
        <v>5.8490566037735801E-2</v>
      </c>
      <c r="V850">
        <v>0</v>
      </c>
      <c r="W850">
        <v>0</v>
      </c>
      <c r="X850">
        <v>0.104245237399926</v>
      </c>
      <c r="Y850">
        <v>5.6718221329597099E-2</v>
      </c>
      <c r="Z850">
        <v>5.6138964679721598E-2</v>
      </c>
      <c r="AA850">
        <v>0</v>
      </c>
      <c r="AB850">
        <f t="shared" si="91"/>
        <v>4.8279250066597404E-2</v>
      </c>
      <c r="AC850">
        <f t="shared" si="96"/>
        <v>0.25</v>
      </c>
      <c r="AD850">
        <f t="shared" si="92"/>
        <v>0</v>
      </c>
      <c r="AE850">
        <f t="shared" si="97"/>
        <v>6.0349062583246751E-2</v>
      </c>
      <c r="AF850" t="str">
        <f t="shared" si="93"/>
        <v>Very Low</v>
      </c>
      <c r="AG850" t="str">
        <f t="shared" si="94"/>
        <v>NO ACTION</v>
      </c>
      <c r="AH850" t="str">
        <f t="shared" si="95"/>
        <v/>
      </c>
    </row>
    <row r="851" spans="1:34" x14ac:dyDescent="0.3">
      <c r="A851" t="s">
        <v>878</v>
      </c>
      <c r="B851">
        <v>0.12892249527410199</v>
      </c>
      <c r="C851">
        <v>9.1044030223694103E-2</v>
      </c>
      <c r="D851">
        <v>7.5124914167671697E-2</v>
      </c>
      <c r="E851">
        <v>0</v>
      </c>
      <c r="F851">
        <v>0.50724637681159401</v>
      </c>
      <c r="G851">
        <v>0.99366799629564995</v>
      </c>
      <c r="H851">
        <v>6</v>
      </c>
      <c r="I851">
        <v>7</v>
      </c>
      <c r="J851">
        <v>8.58260579170841E-2</v>
      </c>
      <c r="K851">
        <v>1.0603588907014599E-2</v>
      </c>
      <c r="L851">
        <v>3.1470741764162098E-2</v>
      </c>
      <c r="M851">
        <v>2.88600288600288E-4</v>
      </c>
      <c r="N851">
        <v>2.0264411616961499E-3</v>
      </c>
      <c r="O851">
        <v>691</v>
      </c>
      <c r="P851">
        <v>6.7796015712682303E-2</v>
      </c>
      <c r="Q851">
        <v>6.7954696868754105E-2</v>
      </c>
      <c r="R851">
        <v>0</v>
      </c>
      <c r="S851">
        <v>0</v>
      </c>
      <c r="T851" t="s">
        <v>53</v>
      </c>
      <c r="U851">
        <v>0.110377358490566</v>
      </c>
      <c r="V851">
        <v>0</v>
      </c>
      <c r="W851">
        <v>0</v>
      </c>
      <c r="X851">
        <v>0.225436024974939</v>
      </c>
      <c r="Y851">
        <v>3.3508514814006699E-2</v>
      </c>
      <c r="Z851">
        <v>4.1488185892287803E-2</v>
      </c>
      <c r="AA851">
        <v>0</v>
      </c>
      <c r="AB851">
        <f t="shared" si="91"/>
        <v>5.7068840193752704E-2</v>
      </c>
      <c r="AC851">
        <f t="shared" si="96"/>
        <v>0.1</v>
      </c>
      <c r="AD851">
        <f t="shared" si="92"/>
        <v>0.08</v>
      </c>
      <c r="AE851">
        <f t="shared" si="97"/>
        <v>6.7341231428628204E-2</v>
      </c>
      <c r="AF851" t="str">
        <f t="shared" si="93"/>
        <v>Very Low</v>
      </c>
      <c r="AG851" t="str">
        <f t="shared" si="94"/>
        <v>NO ACTION</v>
      </c>
      <c r="AH851" t="str">
        <f t="shared" si="95"/>
        <v/>
      </c>
    </row>
    <row r="852" spans="1:34" x14ac:dyDescent="0.3">
      <c r="A852" t="s">
        <v>879</v>
      </c>
      <c r="B852">
        <v>0.27826086956521701</v>
      </c>
      <c r="C852">
        <v>0.70360824025260404</v>
      </c>
      <c r="D852">
        <v>0.46759623246048898</v>
      </c>
      <c r="E852">
        <v>0.30780780780780698</v>
      </c>
      <c r="F852">
        <v>4.1891891891891797E-2</v>
      </c>
      <c r="G852">
        <v>0.383374725539251</v>
      </c>
      <c r="H852">
        <v>0</v>
      </c>
      <c r="I852">
        <v>23</v>
      </c>
      <c r="J852">
        <v>7.2658747197175702E-2</v>
      </c>
      <c r="K852">
        <v>8.9722675367047301E-3</v>
      </c>
      <c r="L852">
        <v>3.1439055556183697E-2</v>
      </c>
      <c r="M852">
        <v>3.1746031746031698E-3</v>
      </c>
      <c r="N852">
        <v>2.6317211003074801E-2</v>
      </c>
      <c r="O852">
        <v>373</v>
      </c>
      <c r="P852">
        <v>5.8817340067339997E-2</v>
      </c>
      <c r="Q852">
        <v>5.8978225042953802E-2</v>
      </c>
      <c r="R852">
        <v>0.51622418879055998</v>
      </c>
      <c r="S852">
        <v>1</v>
      </c>
      <c r="T852" t="s">
        <v>53</v>
      </c>
      <c r="U852">
        <v>1.5566037735848999E-2</v>
      </c>
      <c r="V852">
        <v>0</v>
      </c>
      <c r="W852">
        <v>4.2979740797827001E-2</v>
      </c>
      <c r="X852">
        <v>0.249377968837246</v>
      </c>
      <c r="Y852">
        <v>3.8146440518449398E-2</v>
      </c>
      <c r="Z852">
        <v>4.5817288441633901E-2</v>
      </c>
      <c r="AA852">
        <v>0.51622418879055998</v>
      </c>
      <c r="AB852">
        <f t="shared" si="91"/>
        <v>0.2079530919841395</v>
      </c>
      <c r="AC852">
        <f t="shared" si="96"/>
        <v>0.1</v>
      </c>
      <c r="AD852">
        <f t="shared" si="92"/>
        <v>0</v>
      </c>
      <c r="AE852">
        <f t="shared" si="97"/>
        <v>0.22874840118255346</v>
      </c>
      <c r="AF852" t="str">
        <f t="shared" si="93"/>
        <v>Low</v>
      </c>
      <c r="AG852" t="str">
        <f t="shared" si="94"/>
        <v>NO ACTION</v>
      </c>
      <c r="AH852" t="str">
        <f t="shared" si="95"/>
        <v/>
      </c>
    </row>
    <row r="853" spans="1:34" x14ac:dyDescent="0.3">
      <c r="A853" t="s">
        <v>880</v>
      </c>
      <c r="B853">
        <v>0.12892249527410199</v>
      </c>
      <c r="C853">
        <v>0.18476582604220201</v>
      </c>
      <c r="D853">
        <v>0</v>
      </c>
      <c r="E853">
        <v>0</v>
      </c>
      <c r="F853">
        <v>0</v>
      </c>
      <c r="G853">
        <v>0.99367969159503799</v>
      </c>
      <c r="H853">
        <v>7</v>
      </c>
      <c r="I853">
        <v>7</v>
      </c>
      <c r="J853">
        <v>5.7583130575831303E-2</v>
      </c>
      <c r="K853">
        <v>1.1419249592169599E-2</v>
      </c>
      <c r="L853">
        <v>5.04458653208733E-2</v>
      </c>
      <c r="M853">
        <v>1.7316017316017301E-3</v>
      </c>
      <c r="N853">
        <v>1.8097524038117999E-2</v>
      </c>
      <c r="O853">
        <v>659</v>
      </c>
      <c r="P853">
        <v>4.80850168350168E-2</v>
      </c>
      <c r="Q853">
        <v>4.8248536063676802E-2</v>
      </c>
      <c r="R853">
        <v>0</v>
      </c>
      <c r="S853">
        <v>0</v>
      </c>
      <c r="T853" t="s">
        <v>53</v>
      </c>
      <c r="U853">
        <v>3.3962264150943298E-2</v>
      </c>
      <c r="V853">
        <v>0</v>
      </c>
      <c r="W853">
        <v>0</v>
      </c>
      <c r="X853">
        <v>0</v>
      </c>
      <c r="Y853">
        <v>4.2168815987038297E-2</v>
      </c>
      <c r="Z853">
        <v>3.6090019716257297E-2</v>
      </c>
      <c r="AA853">
        <v>0</v>
      </c>
      <c r="AB853">
        <f t="shared" si="91"/>
        <v>2.1912473996922768E-2</v>
      </c>
      <c r="AC853">
        <f t="shared" si="96"/>
        <v>0.1</v>
      </c>
      <c r="AD853">
        <f t="shared" si="92"/>
        <v>0</v>
      </c>
      <c r="AE853">
        <f t="shared" si="97"/>
        <v>2.4103721396615048E-2</v>
      </c>
      <c r="AF853" t="str">
        <f t="shared" si="93"/>
        <v>Very Low</v>
      </c>
      <c r="AG853" t="str">
        <f t="shared" si="94"/>
        <v>NO ACTION</v>
      </c>
      <c r="AH853" t="str">
        <f t="shared" si="95"/>
        <v/>
      </c>
    </row>
    <row r="854" spans="1:34" x14ac:dyDescent="0.3">
      <c r="A854" t="s">
        <v>881</v>
      </c>
      <c r="B854">
        <v>0.12892249527410199</v>
      </c>
      <c r="C854">
        <v>0.18476582604220201</v>
      </c>
      <c r="D854">
        <v>0</v>
      </c>
      <c r="E854">
        <v>0</v>
      </c>
      <c r="F854">
        <v>0</v>
      </c>
      <c r="G854">
        <v>0.99366242965429297</v>
      </c>
      <c r="H854">
        <v>7</v>
      </c>
      <c r="I854">
        <v>7</v>
      </c>
      <c r="J854">
        <v>8.6971041457945694E-2</v>
      </c>
      <c r="K854">
        <v>1.5497553017944501E-2</v>
      </c>
      <c r="L854">
        <v>4.5391817232301901E-2</v>
      </c>
      <c r="M854">
        <v>1.44300144300144E-3</v>
      </c>
      <c r="N854">
        <v>9.9991790363781596E-3</v>
      </c>
      <c r="O854">
        <v>949</v>
      </c>
      <c r="P854">
        <v>7.1303310886644197E-2</v>
      </c>
      <c r="Q854">
        <v>7.1461131175707404E-2</v>
      </c>
      <c r="R854">
        <v>0</v>
      </c>
      <c r="S854">
        <v>0</v>
      </c>
      <c r="T854" t="s">
        <v>53</v>
      </c>
      <c r="U854">
        <v>5.3773584905660303E-2</v>
      </c>
      <c r="V854">
        <v>0</v>
      </c>
      <c r="W854">
        <v>0</v>
      </c>
      <c r="X854">
        <v>0</v>
      </c>
      <c r="Y854">
        <v>4.3089870618653499E-2</v>
      </c>
      <c r="Z854">
        <v>4.67816581465378E-2</v>
      </c>
      <c r="AA854">
        <v>0</v>
      </c>
      <c r="AB854">
        <f t="shared" si="91"/>
        <v>2.5164028054253565E-2</v>
      </c>
      <c r="AC854">
        <f t="shared" si="96"/>
        <v>0.1</v>
      </c>
      <c r="AD854">
        <f t="shared" si="92"/>
        <v>0</v>
      </c>
      <c r="AE854">
        <f t="shared" si="97"/>
        <v>2.7680430859678924E-2</v>
      </c>
      <c r="AF854" t="str">
        <f t="shared" si="93"/>
        <v>Very Low</v>
      </c>
      <c r="AG854" t="str">
        <f t="shared" si="94"/>
        <v>NO ACTION</v>
      </c>
      <c r="AH854" t="str">
        <f t="shared" si="95"/>
        <v/>
      </c>
    </row>
    <row r="855" spans="1:34" x14ac:dyDescent="0.3">
      <c r="A855" t="s">
        <v>882</v>
      </c>
      <c r="B855">
        <v>0.12892249527410199</v>
      </c>
      <c r="C855">
        <v>0.46271789478395098</v>
      </c>
      <c r="D855">
        <v>7.5129964412319103E-2</v>
      </c>
      <c r="E855">
        <v>0</v>
      </c>
      <c r="F855">
        <v>0</v>
      </c>
      <c r="G855">
        <v>0.99366481153448905</v>
      </c>
      <c r="H855">
        <v>8</v>
      </c>
      <c r="I855">
        <v>9</v>
      </c>
      <c r="J855">
        <v>7.2420208959496205E-2</v>
      </c>
      <c r="K855">
        <v>8.9722675367047301E-3</v>
      </c>
      <c r="L855">
        <v>3.15422697897891E-2</v>
      </c>
      <c r="M855">
        <v>4.6176046176046098E-3</v>
      </c>
      <c r="N855">
        <v>3.8405251274588097E-2</v>
      </c>
      <c r="O855">
        <v>637</v>
      </c>
      <c r="P855">
        <v>5.9343434343434302E-2</v>
      </c>
      <c r="Q855">
        <v>5.9504190188996803E-2</v>
      </c>
      <c r="R855">
        <v>0</v>
      </c>
      <c r="S855">
        <v>0</v>
      </c>
      <c r="T855" t="s">
        <v>53</v>
      </c>
      <c r="U855">
        <v>1.09877913429522E-2</v>
      </c>
      <c r="V855">
        <v>0</v>
      </c>
      <c r="W855">
        <v>0</v>
      </c>
      <c r="X855">
        <v>2.2538989323695701E-2</v>
      </c>
      <c r="Y855">
        <v>4.1776752069170198E-2</v>
      </c>
      <c r="Z855">
        <v>5.0968161115895798E-2</v>
      </c>
      <c r="AA855">
        <v>0</v>
      </c>
      <c r="AB855">
        <f t="shared" si="91"/>
        <v>2.9574813983609793E-2</v>
      </c>
      <c r="AC855">
        <f t="shared" si="96"/>
        <v>0.1</v>
      </c>
      <c r="AD855">
        <f t="shared" si="92"/>
        <v>0</v>
      </c>
      <c r="AE855">
        <f t="shared" si="97"/>
        <v>3.2532295381970777E-2</v>
      </c>
      <c r="AF855" t="str">
        <f t="shared" si="93"/>
        <v>Very Low</v>
      </c>
      <c r="AG855" t="str">
        <f t="shared" si="94"/>
        <v>NO ACTION</v>
      </c>
      <c r="AH855" t="str">
        <f t="shared" si="95"/>
        <v/>
      </c>
    </row>
    <row r="856" spans="1:34" x14ac:dyDescent="0.3">
      <c r="A856" t="s">
        <v>883</v>
      </c>
      <c r="B856">
        <v>0.12892249527410199</v>
      </c>
      <c r="C856">
        <v>0.27473875002797099</v>
      </c>
      <c r="D856">
        <v>7.5107235637207503E-2</v>
      </c>
      <c r="E856">
        <v>0</v>
      </c>
      <c r="F856">
        <v>0</v>
      </c>
      <c r="G856">
        <v>0.99369585626513202</v>
      </c>
      <c r="H856">
        <v>7</v>
      </c>
      <c r="I856">
        <v>8</v>
      </c>
      <c r="J856">
        <v>6.6695291255188194E-2</v>
      </c>
      <c r="K856">
        <v>1.30505709624796E-2</v>
      </c>
      <c r="L856">
        <v>4.9803799017532603E-2</v>
      </c>
      <c r="M856">
        <v>1.1544011544011501E-3</v>
      </c>
      <c r="N856">
        <v>1.04225227532426E-2</v>
      </c>
      <c r="O856">
        <v>661</v>
      </c>
      <c r="P856">
        <v>5.5204826038159301E-2</v>
      </c>
      <c r="Q856">
        <v>5.5366597706791899E-2</v>
      </c>
      <c r="R856">
        <v>0</v>
      </c>
      <c r="S856">
        <v>0</v>
      </c>
      <c r="T856" t="s">
        <v>53</v>
      </c>
      <c r="U856">
        <v>5.4339622641509398E-2</v>
      </c>
      <c r="V856">
        <v>0</v>
      </c>
      <c r="W856">
        <v>0</v>
      </c>
      <c r="X856">
        <v>2.2532170691162201E-2</v>
      </c>
      <c r="Y856">
        <v>4.1367714585776698E-2</v>
      </c>
      <c r="Z856">
        <v>3.7291904724192602E-2</v>
      </c>
      <c r="AA856">
        <v>0</v>
      </c>
      <c r="AB856">
        <f t="shared" si="91"/>
        <v>2.562984071737736E-2</v>
      </c>
      <c r="AC856">
        <f t="shared" si="96"/>
        <v>0.1</v>
      </c>
      <c r="AD856">
        <f t="shared" si="92"/>
        <v>0</v>
      </c>
      <c r="AE856">
        <f t="shared" si="97"/>
        <v>2.8192824789115098E-2</v>
      </c>
      <c r="AF856" t="str">
        <f t="shared" si="93"/>
        <v>Very Low</v>
      </c>
      <c r="AG856" t="str">
        <f t="shared" si="94"/>
        <v>NO ACTION</v>
      </c>
      <c r="AH856" t="str">
        <f t="shared" si="95"/>
        <v/>
      </c>
    </row>
    <row r="857" spans="1:34" x14ac:dyDescent="0.3">
      <c r="A857" t="s">
        <v>884</v>
      </c>
      <c r="B857">
        <v>0.24196597353497101</v>
      </c>
      <c r="C857">
        <v>0.60364487265961797</v>
      </c>
      <c r="D857">
        <v>0.38018668054454902</v>
      </c>
      <c r="E857">
        <v>0</v>
      </c>
      <c r="F857">
        <v>0</v>
      </c>
      <c r="G857">
        <v>0.46276536332173501</v>
      </c>
      <c r="H857">
        <v>7</v>
      </c>
      <c r="I857">
        <v>13</v>
      </c>
      <c r="J857">
        <v>5.8060207051190298E-2</v>
      </c>
      <c r="K857">
        <v>5.7096247960848204E-3</v>
      </c>
      <c r="L857">
        <v>2.5016525682855301E-2</v>
      </c>
      <c r="M857">
        <v>1.44300144300144E-3</v>
      </c>
      <c r="N857">
        <v>1.49578553833872E-2</v>
      </c>
      <c r="O857">
        <v>567</v>
      </c>
      <c r="P857">
        <v>4.5840347923681198E-2</v>
      </c>
      <c r="Q857">
        <v>4.6004418107226698E-2</v>
      </c>
      <c r="R857">
        <v>0.38053097345132703</v>
      </c>
      <c r="S857">
        <v>1</v>
      </c>
      <c r="T857" t="s">
        <v>53</v>
      </c>
      <c r="U857">
        <v>1.98113207547169E-2</v>
      </c>
      <c r="V857">
        <v>0</v>
      </c>
      <c r="W857">
        <v>0</v>
      </c>
      <c r="X857">
        <v>0.11405600416336401</v>
      </c>
      <c r="Y857">
        <v>2.86076608666819E-2</v>
      </c>
      <c r="Z857">
        <v>3.34873509075636E-2</v>
      </c>
      <c r="AA857">
        <v>0.38053097345132703</v>
      </c>
      <c r="AB857">
        <f t="shared" si="91"/>
        <v>0.14218423652929857</v>
      </c>
      <c r="AC857">
        <f t="shared" si="96"/>
        <v>0.1</v>
      </c>
      <c r="AD857">
        <f t="shared" si="92"/>
        <v>0</v>
      </c>
      <c r="AE857">
        <f t="shared" si="97"/>
        <v>0.15640266018222843</v>
      </c>
      <c r="AF857" t="str">
        <f t="shared" si="93"/>
        <v>Very Low</v>
      </c>
      <c r="AG857" t="str">
        <f t="shared" si="94"/>
        <v>NO ACTION</v>
      </c>
      <c r="AH857" t="str">
        <f t="shared" si="95"/>
        <v/>
      </c>
    </row>
    <row r="858" spans="1:34" x14ac:dyDescent="0.3">
      <c r="A858" t="s">
        <v>885</v>
      </c>
      <c r="B858">
        <v>0.12892249527410199</v>
      </c>
      <c r="C858">
        <v>0.18476582604220201</v>
      </c>
      <c r="D858">
        <v>0</v>
      </c>
      <c r="E858">
        <v>0</v>
      </c>
      <c r="F858">
        <v>0</v>
      </c>
      <c r="G858">
        <v>0.99367570395291305</v>
      </c>
      <c r="H858">
        <v>7</v>
      </c>
      <c r="I858">
        <v>7</v>
      </c>
      <c r="J858">
        <v>8.5205858499117396E-2</v>
      </c>
      <c r="K858">
        <v>1.6313213703099499E-2</v>
      </c>
      <c r="L858">
        <v>4.8767957859853599E-2</v>
      </c>
      <c r="M858">
        <v>1.7316017316017301E-3</v>
      </c>
      <c r="N858">
        <v>1.22469006891117E-2</v>
      </c>
      <c r="O858">
        <v>860</v>
      </c>
      <c r="P858">
        <v>7.0496632996633002E-2</v>
      </c>
      <c r="Q858">
        <v>7.0654651285108103E-2</v>
      </c>
      <c r="R858">
        <v>0</v>
      </c>
      <c r="S858">
        <v>0</v>
      </c>
      <c r="T858" t="s">
        <v>53</v>
      </c>
      <c r="U858">
        <v>4.8517520215633402E-2</v>
      </c>
      <c r="V858">
        <v>0</v>
      </c>
      <c r="W858">
        <v>0</v>
      </c>
      <c r="X858">
        <v>0</v>
      </c>
      <c r="Y858">
        <v>4.5099220836483801E-2</v>
      </c>
      <c r="Z858">
        <v>4.7196740073624399E-2</v>
      </c>
      <c r="AA858">
        <v>0</v>
      </c>
      <c r="AB858">
        <f t="shared" si="91"/>
        <v>2.5842869054830298E-2</v>
      </c>
      <c r="AC858">
        <f t="shared" si="96"/>
        <v>0.1</v>
      </c>
      <c r="AD858">
        <f t="shared" si="92"/>
        <v>0</v>
      </c>
      <c r="AE858">
        <f t="shared" si="97"/>
        <v>2.8427155960313328E-2</v>
      </c>
      <c r="AF858" t="str">
        <f t="shared" si="93"/>
        <v>Very Low</v>
      </c>
      <c r="AG858" t="str">
        <f t="shared" si="94"/>
        <v>NO ACTION</v>
      </c>
      <c r="AH858" t="str">
        <f t="shared" si="95"/>
        <v/>
      </c>
    </row>
    <row r="859" spans="1:34" x14ac:dyDescent="0.3">
      <c r="A859" t="s">
        <v>886</v>
      </c>
      <c r="B859">
        <v>0.166729678638941</v>
      </c>
      <c r="C859">
        <v>0.391537469568083</v>
      </c>
      <c r="D859">
        <v>0.36592855772414901</v>
      </c>
      <c r="E859">
        <v>0</v>
      </c>
      <c r="F859">
        <v>0</v>
      </c>
      <c r="G859">
        <v>0.73640057337172604</v>
      </c>
      <c r="H859">
        <v>7</v>
      </c>
      <c r="I859">
        <v>17</v>
      </c>
      <c r="J859">
        <v>7.8288249606411897E-2</v>
      </c>
      <c r="K859">
        <v>8.1566068515497494E-3</v>
      </c>
      <c r="L859">
        <v>2.65320208162204E-2</v>
      </c>
      <c r="M859">
        <v>3.1746031746031698E-3</v>
      </c>
      <c r="N859">
        <v>2.4430557966402401E-2</v>
      </c>
      <c r="O859">
        <v>784</v>
      </c>
      <c r="P859">
        <v>6.2605218855218803E-2</v>
      </c>
      <c r="Q859">
        <v>6.2765174094463305E-2</v>
      </c>
      <c r="R859">
        <v>0</v>
      </c>
      <c r="S859">
        <v>0</v>
      </c>
      <c r="T859" t="s">
        <v>53</v>
      </c>
      <c r="U859">
        <v>1.41509433962264E-2</v>
      </c>
      <c r="V859">
        <v>0</v>
      </c>
      <c r="W859">
        <v>0</v>
      </c>
      <c r="X859">
        <v>0.109778567317244</v>
      </c>
      <c r="Y859">
        <v>3.6252827719313298E-2</v>
      </c>
      <c r="Z859">
        <v>4.73353544996922E-2</v>
      </c>
      <c r="AA859">
        <v>0</v>
      </c>
      <c r="AB859">
        <f t="shared" si="91"/>
        <v>4.0969261792080582E-2</v>
      </c>
      <c r="AC859">
        <f t="shared" si="96"/>
        <v>0.1</v>
      </c>
      <c r="AD859">
        <f t="shared" si="92"/>
        <v>0</v>
      </c>
      <c r="AE859">
        <f t="shared" si="97"/>
        <v>4.506618797128864E-2</v>
      </c>
      <c r="AF859" t="str">
        <f t="shared" si="93"/>
        <v>Very Low</v>
      </c>
      <c r="AG859" t="str">
        <f t="shared" si="94"/>
        <v>NO ACTION</v>
      </c>
      <c r="AH859" t="str">
        <f t="shared" si="95"/>
        <v/>
      </c>
    </row>
    <row r="860" spans="1:34" x14ac:dyDescent="0.3">
      <c r="A860" t="s">
        <v>887</v>
      </c>
      <c r="B860">
        <v>0.12892249527410199</v>
      </c>
      <c r="C860">
        <v>0.18476582604220201</v>
      </c>
      <c r="D860">
        <v>0</v>
      </c>
      <c r="E860">
        <v>0</v>
      </c>
      <c r="F860">
        <v>0</v>
      </c>
      <c r="G860">
        <v>0.99367021759965202</v>
      </c>
      <c r="H860">
        <v>7</v>
      </c>
      <c r="I860">
        <v>7</v>
      </c>
      <c r="J860">
        <v>8.2247984351891595E-2</v>
      </c>
      <c r="K860">
        <v>7.34094616639478E-3</v>
      </c>
      <c r="L860">
        <v>2.27325249491897E-2</v>
      </c>
      <c r="M860">
        <v>1.1544011544011501E-3</v>
      </c>
      <c r="N860">
        <v>8.4573738709077008E-3</v>
      </c>
      <c r="O860">
        <v>570</v>
      </c>
      <c r="P860">
        <v>6.4183501683501606E-2</v>
      </c>
      <c r="Q860">
        <v>6.4343069532592306E-2</v>
      </c>
      <c r="R860">
        <v>0</v>
      </c>
      <c r="S860">
        <v>0</v>
      </c>
      <c r="T860" t="s">
        <v>53</v>
      </c>
      <c r="U860">
        <v>3.0566037735849001E-2</v>
      </c>
      <c r="V860">
        <v>0</v>
      </c>
      <c r="W860">
        <v>0</v>
      </c>
      <c r="X860">
        <v>0</v>
      </c>
      <c r="Y860">
        <v>3.0353071506245399E-2</v>
      </c>
      <c r="Z860">
        <v>4.1893050558463998E-2</v>
      </c>
      <c r="AA860">
        <v>0</v>
      </c>
      <c r="AB860">
        <f t="shared" si="91"/>
        <v>2.0228914178118632E-2</v>
      </c>
      <c r="AC860">
        <f t="shared" si="96"/>
        <v>0.1</v>
      </c>
      <c r="AD860">
        <f t="shared" si="92"/>
        <v>0</v>
      </c>
      <c r="AE860">
        <f t="shared" si="97"/>
        <v>2.2251805595930495E-2</v>
      </c>
      <c r="AF860" t="str">
        <f t="shared" si="93"/>
        <v>Very Low</v>
      </c>
      <c r="AG860" t="str">
        <f t="shared" si="94"/>
        <v>NO ACTION</v>
      </c>
      <c r="AH860" t="str">
        <f t="shared" si="95"/>
        <v/>
      </c>
    </row>
    <row r="861" spans="1:34" x14ac:dyDescent="0.3">
      <c r="A861" t="s">
        <v>888</v>
      </c>
      <c r="B861">
        <v>0.262759924385633</v>
      </c>
      <c r="C861">
        <v>0.76840380014976095</v>
      </c>
      <c r="D861">
        <v>0.52494796340607297</v>
      </c>
      <c r="E861">
        <v>0.26068987442378</v>
      </c>
      <c r="F861">
        <v>7.43919885550786E-2</v>
      </c>
      <c r="G861">
        <v>0.414539988936381</v>
      </c>
      <c r="H861">
        <v>0</v>
      </c>
      <c r="I861">
        <v>23</v>
      </c>
      <c r="J861">
        <v>0.104002671628262</v>
      </c>
      <c r="K861">
        <v>2.6916802610114102E-2</v>
      </c>
      <c r="L861">
        <v>6.59572680409823E-2</v>
      </c>
      <c r="M861">
        <v>2.1067821067820999E-2</v>
      </c>
      <c r="N861">
        <v>0.12213551005313</v>
      </c>
      <c r="O861">
        <v>561</v>
      </c>
      <c r="P861">
        <v>9.8274410774410695E-2</v>
      </c>
      <c r="Q861">
        <v>9.8425610996177901E-2</v>
      </c>
      <c r="R861">
        <v>0.89823008849557495</v>
      </c>
      <c r="S861">
        <v>1</v>
      </c>
      <c r="T861" t="s">
        <v>28</v>
      </c>
      <c r="U861">
        <v>7.57266700662927E-3</v>
      </c>
      <c r="V861">
        <v>0</v>
      </c>
      <c r="W861">
        <v>0.16012279175414301</v>
      </c>
      <c r="X861">
        <v>0.26544814677098699</v>
      </c>
      <c r="Y861">
        <v>9.0419821362082597E-2</v>
      </c>
      <c r="Z861">
        <v>0.107818850485898</v>
      </c>
      <c r="AA861">
        <v>0.89823008849557495</v>
      </c>
      <c r="AB861">
        <f t="shared" si="91"/>
        <v>0.34948295637955351</v>
      </c>
      <c r="AC861">
        <f t="shared" si="96"/>
        <v>0.25</v>
      </c>
      <c r="AD861">
        <f t="shared" si="92"/>
        <v>0</v>
      </c>
      <c r="AE861">
        <f t="shared" si="97"/>
        <v>0.43685369547444186</v>
      </c>
      <c r="AF861" t="str">
        <f t="shared" si="93"/>
        <v>Medium</v>
      </c>
      <c r="AG861" t="str">
        <f t="shared" si="94"/>
        <v>REVIEW</v>
      </c>
      <c r="AH861" t="str">
        <f t="shared" si="95"/>
        <v>USB anomaly</v>
      </c>
    </row>
    <row r="862" spans="1:34" x14ac:dyDescent="0.3">
      <c r="A862" t="s">
        <v>889</v>
      </c>
      <c r="B862">
        <v>0.12892249527410199</v>
      </c>
      <c r="C862">
        <v>0</v>
      </c>
      <c r="D862">
        <v>0</v>
      </c>
      <c r="E862">
        <v>0</v>
      </c>
      <c r="F862">
        <v>1</v>
      </c>
      <c r="G862">
        <v>0.99367155573459398</v>
      </c>
      <c r="H862">
        <v>6</v>
      </c>
      <c r="I862">
        <v>6</v>
      </c>
      <c r="J862">
        <v>7.3135823672534697E-2</v>
      </c>
      <c r="K862">
        <v>7.34094616639478E-3</v>
      </c>
      <c r="L862">
        <v>2.5555614848601398E-2</v>
      </c>
      <c r="M862">
        <v>8.6580086580086504E-4</v>
      </c>
      <c r="N862">
        <v>7.1307539447981504E-3</v>
      </c>
      <c r="O862">
        <v>739</v>
      </c>
      <c r="P862">
        <v>5.7344276094276003E-2</v>
      </c>
      <c r="Q862">
        <v>5.7505522634033399E-2</v>
      </c>
      <c r="R862">
        <v>0</v>
      </c>
      <c r="S862">
        <v>0</v>
      </c>
      <c r="T862" t="s">
        <v>53</v>
      </c>
      <c r="U862">
        <v>3.8207547169811298E-2</v>
      </c>
      <c r="V862">
        <v>0</v>
      </c>
      <c r="W862">
        <v>0</v>
      </c>
      <c r="X862">
        <v>0.4</v>
      </c>
      <c r="Y862">
        <v>2.9544198342247099E-2</v>
      </c>
      <c r="Z862">
        <v>3.7258867234484898E-2</v>
      </c>
      <c r="AA862">
        <v>0</v>
      </c>
      <c r="AB862">
        <f t="shared" si="91"/>
        <v>8.2704858361484959E-2</v>
      </c>
      <c r="AC862">
        <f t="shared" si="96"/>
        <v>0.1</v>
      </c>
      <c r="AD862">
        <f t="shared" si="92"/>
        <v>0.08</v>
      </c>
      <c r="AE862">
        <f t="shared" si="97"/>
        <v>9.7591732866552261E-2</v>
      </c>
      <c r="AF862" t="str">
        <f t="shared" si="93"/>
        <v>Very Low</v>
      </c>
      <c r="AG862" t="str">
        <f t="shared" si="94"/>
        <v>NO ACTION</v>
      </c>
      <c r="AH862" t="str">
        <f t="shared" si="95"/>
        <v/>
      </c>
    </row>
    <row r="863" spans="1:34" x14ac:dyDescent="0.3">
      <c r="A863" t="s">
        <v>890</v>
      </c>
      <c r="B863">
        <v>0.12892249527410199</v>
      </c>
      <c r="C863">
        <v>0.36953165208440503</v>
      </c>
      <c r="D863">
        <v>0</v>
      </c>
      <c r="E863">
        <v>0</v>
      </c>
      <c r="F863">
        <v>0</v>
      </c>
      <c r="G863">
        <v>0.99367557013941799</v>
      </c>
      <c r="H863">
        <v>8</v>
      </c>
      <c r="I863">
        <v>8</v>
      </c>
      <c r="J863">
        <v>7.5855159582081E-2</v>
      </c>
      <c r="K863">
        <v>1.38662316476345E-2</v>
      </c>
      <c r="L863">
        <v>4.6546646174262102E-2</v>
      </c>
      <c r="M863">
        <v>1.44300144300144E-3</v>
      </c>
      <c r="N863">
        <v>1.14598741557989E-2</v>
      </c>
      <c r="O863">
        <v>842</v>
      </c>
      <c r="P863">
        <v>6.2429854096520701E-2</v>
      </c>
      <c r="Q863">
        <v>6.2589852379115601E-2</v>
      </c>
      <c r="R863">
        <v>0</v>
      </c>
      <c r="S863">
        <v>0</v>
      </c>
      <c r="T863" t="s">
        <v>53</v>
      </c>
      <c r="U863">
        <v>4.8113207547169801E-2</v>
      </c>
      <c r="V863">
        <v>0</v>
      </c>
      <c r="W863">
        <v>0</v>
      </c>
      <c r="X863">
        <v>0</v>
      </c>
      <c r="Y863">
        <v>4.1882317250286898E-2</v>
      </c>
      <c r="Z863">
        <v>4.2041862120231997E-2</v>
      </c>
      <c r="AA863">
        <v>0</v>
      </c>
      <c r="AB863">
        <f t="shared" si="91"/>
        <v>2.3498770223745295E-2</v>
      </c>
      <c r="AC863">
        <f t="shared" si="96"/>
        <v>0.1</v>
      </c>
      <c r="AD863">
        <f t="shared" si="92"/>
        <v>0</v>
      </c>
      <c r="AE863">
        <f t="shared" si="97"/>
        <v>2.5848647246119828E-2</v>
      </c>
      <c r="AF863" t="str">
        <f t="shared" si="93"/>
        <v>Very Low</v>
      </c>
      <c r="AG863" t="str">
        <f t="shared" si="94"/>
        <v>NO ACTION</v>
      </c>
      <c r="AH863" t="str">
        <f t="shared" si="95"/>
        <v/>
      </c>
    </row>
    <row r="864" spans="1:34" x14ac:dyDescent="0.3">
      <c r="A864" t="s">
        <v>891</v>
      </c>
      <c r="B864">
        <v>0.241209829867674</v>
      </c>
      <c r="C864">
        <v>0.61214472272860598</v>
      </c>
      <c r="D864">
        <v>0.38481692873427098</v>
      </c>
      <c r="E864">
        <v>0</v>
      </c>
      <c r="F864">
        <v>0</v>
      </c>
      <c r="G864">
        <v>0.46442073585222599</v>
      </c>
      <c r="H864">
        <v>7</v>
      </c>
      <c r="I864">
        <v>13</v>
      </c>
      <c r="J864">
        <v>5.6438147034969702E-2</v>
      </c>
      <c r="K864">
        <v>1.9575856443719401E-2</v>
      </c>
      <c r="L864">
        <v>8.8225669219189701E-2</v>
      </c>
      <c r="M864">
        <v>8.6580086580086504E-4</v>
      </c>
      <c r="N864">
        <v>9.2315652921713502E-3</v>
      </c>
      <c r="O864">
        <v>581</v>
      </c>
      <c r="P864">
        <v>5.0329685746352402E-2</v>
      </c>
      <c r="Q864">
        <v>5.0492654020126898E-2</v>
      </c>
      <c r="R864">
        <v>0.182890855457227</v>
      </c>
      <c r="S864">
        <v>1</v>
      </c>
      <c r="T864" t="s">
        <v>53</v>
      </c>
      <c r="U864">
        <v>0.10188679245283</v>
      </c>
      <c r="V864">
        <v>0</v>
      </c>
      <c r="W864">
        <v>0</v>
      </c>
      <c r="X864">
        <v>0.115445078620281</v>
      </c>
      <c r="Y864">
        <v>5.81699336042402E-2</v>
      </c>
      <c r="Z864">
        <v>3.3890437564679902E-2</v>
      </c>
      <c r="AA864">
        <v>0.182890855457227</v>
      </c>
      <c r="AB864">
        <f t="shared" si="91"/>
        <v>9.5457556034566154E-2</v>
      </c>
      <c r="AC864">
        <f t="shared" si="96"/>
        <v>0.1</v>
      </c>
      <c r="AD864">
        <f t="shared" si="92"/>
        <v>0</v>
      </c>
      <c r="AE864">
        <f t="shared" si="97"/>
        <v>0.10500331163802278</v>
      </c>
      <c r="AF864" t="str">
        <f t="shared" si="93"/>
        <v>Very Low</v>
      </c>
      <c r="AG864" t="str">
        <f t="shared" si="94"/>
        <v>NO ACTION</v>
      </c>
      <c r="AH864" t="str">
        <f t="shared" si="95"/>
        <v/>
      </c>
    </row>
    <row r="865" spans="1:34" x14ac:dyDescent="0.3">
      <c r="A865" t="s">
        <v>892</v>
      </c>
      <c r="B865">
        <v>0.23629489603024501</v>
      </c>
      <c r="C865">
        <v>0.92764781977945299</v>
      </c>
      <c r="D865">
        <v>0.34399690706868302</v>
      </c>
      <c r="E865">
        <v>0</v>
      </c>
      <c r="F865">
        <v>0</v>
      </c>
      <c r="G865">
        <v>0.47740129367983097</v>
      </c>
      <c r="H865">
        <v>9</v>
      </c>
      <c r="I865">
        <v>15</v>
      </c>
      <c r="J865">
        <v>0.104479748103621</v>
      </c>
      <c r="K865">
        <v>1.0603588907014599E-2</v>
      </c>
      <c r="L865">
        <v>2.58647918644868E-2</v>
      </c>
      <c r="M865">
        <v>0</v>
      </c>
      <c r="N865">
        <v>0</v>
      </c>
      <c r="O865">
        <v>450</v>
      </c>
      <c r="P865">
        <v>8.1369248035914707E-2</v>
      </c>
      <c r="Q865">
        <v>8.1524597636663199E-2</v>
      </c>
      <c r="R865">
        <v>0</v>
      </c>
      <c r="S865">
        <v>0</v>
      </c>
      <c r="T865" t="s">
        <v>28</v>
      </c>
      <c r="U865">
        <v>0.220754716981132</v>
      </c>
      <c r="V865">
        <v>0</v>
      </c>
      <c r="W865">
        <v>0</v>
      </c>
      <c r="X865">
        <v>0.103199072120605</v>
      </c>
      <c r="Y865">
        <v>3.3828345552967598E-2</v>
      </c>
      <c r="Z865">
        <v>4.8821548821548801E-2</v>
      </c>
      <c r="AA865">
        <v>0</v>
      </c>
      <c r="AB865">
        <f t="shared" si="91"/>
        <v>3.9653821964161395E-2</v>
      </c>
      <c r="AC865">
        <f t="shared" si="96"/>
        <v>0.25</v>
      </c>
      <c r="AD865">
        <f t="shared" si="92"/>
        <v>0</v>
      </c>
      <c r="AE865">
        <f t="shared" si="97"/>
        <v>4.9567277455201744E-2</v>
      </c>
      <c r="AF865" t="str">
        <f t="shared" si="93"/>
        <v>Very Low</v>
      </c>
      <c r="AG865" t="str">
        <f t="shared" si="94"/>
        <v>NO ACTION</v>
      </c>
      <c r="AH865" t="str">
        <f t="shared" si="95"/>
        <v/>
      </c>
    </row>
    <row r="866" spans="1:34" x14ac:dyDescent="0.3">
      <c r="A866" t="s">
        <v>893</v>
      </c>
      <c r="B866">
        <v>0.12892249527410199</v>
      </c>
      <c r="C866">
        <v>0.18476582604220201</v>
      </c>
      <c r="D866">
        <v>0</v>
      </c>
      <c r="E866">
        <v>0</v>
      </c>
      <c r="F866">
        <v>0</v>
      </c>
      <c r="G866">
        <v>0.99367824640930102</v>
      </c>
      <c r="H866">
        <v>7</v>
      </c>
      <c r="I866">
        <v>7</v>
      </c>
      <c r="J866">
        <v>8.4681074376222507E-2</v>
      </c>
      <c r="K866">
        <v>8.9722675367047301E-3</v>
      </c>
      <c r="L866">
        <v>2.6988133084184698E-2</v>
      </c>
      <c r="M866">
        <v>2.8860028860028799E-3</v>
      </c>
      <c r="N866">
        <v>2.0537639638763198E-2</v>
      </c>
      <c r="O866">
        <v>942</v>
      </c>
      <c r="P866">
        <v>6.7515432098765399E-2</v>
      </c>
      <c r="Q866">
        <v>6.7674182124197901E-2</v>
      </c>
      <c r="R866">
        <v>0</v>
      </c>
      <c r="S866">
        <v>0</v>
      </c>
      <c r="T866" t="s">
        <v>53</v>
      </c>
      <c r="U866">
        <v>1.6981132075471601E-2</v>
      </c>
      <c r="V866">
        <v>0</v>
      </c>
      <c r="W866">
        <v>0</v>
      </c>
      <c r="X866">
        <v>0</v>
      </c>
      <c r="Y866">
        <v>3.65915733089658E-2</v>
      </c>
      <c r="Z866">
        <v>4.8724315114764501E-2</v>
      </c>
      <c r="AA866">
        <v>0</v>
      </c>
      <c r="AB866">
        <f t="shared" si="91"/>
        <v>2.3888448758644487E-2</v>
      </c>
      <c r="AC866">
        <f t="shared" si="96"/>
        <v>0.1</v>
      </c>
      <c r="AD866">
        <f t="shared" si="92"/>
        <v>0</v>
      </c>
      <c r="AE866">
        <f t="shared" si="97"/>
        <v>2.6277293634508939E-2</v>
      </c>
      <c r="AF866" t="str">
        <f t="shared" si="93"/>
        <v>Very Low</v>
      </c>
      <c r="AG866" t="str">
        <f t="shared" si="94"/>
        <v>NO ACTION</v>
      </c>
      <c r="AH866" t="str">
        <f t="shared" si="95"/>
        <v/>
      </c>
    </row>
    <row r="867" spans="1:34" x14ac:dyDescent="0.3">
      <c r="A867" t="s">
        <v>894</v>
      </c>
      <c r="B867">
        <v>0.235538752362948</v>
      </c>
      <c r="C867">
        <v>0.59820514651622203</v>
      </c>
      <c r="D867">
        <v>0.38002912375558401</v>
      </c>
      <c r="E867">
        <v>0</v>
      </c>
      <c r="F867">
        <v>0</v>
      </c>
      <c r="G867">
        <v>0.47938214858568001</v>
      </c>
      <c r="H867">
        <v>7</v>
      </c>
      <c r="I867">
        <v>13</v>
      </c>
      <c r="J867">
        <v>7.6904727827870806E-2</v>
      </c>
      <c r="K867">
        <v>9.7879282218597003E-3</v>
      </c>
      <c r="L867">
        <v>3.24094295090901E-2</v>
      </c>
      <c r="M867">
        <v>3.7518037518037501E-3</v>
      </c>
      <c r="N867">
        <v>2.9390289501606701E-2</v>
      </c>
      <c r="O867">
        <v>838</v>
      </c>
      <c r="P867">
        <v>6.2570145903479202E-2</v>
      </c>
      <c r="Q867">
        <v>6.2730109751393801E-2</v>
      </c>
      <c r="R867">
        <v>0.77876106194690198</v>
      </c>
      <c r="S867">
        <v>1</v>
      </c>
      <c r="T867" t="s">
        <v>53</v>
      </c>
      <c r="U867">
        <v>1.4555256064690001E-2</v>
      </c>
      <c r="V867">
        <v>0</v>
      </c>
      <c r="W867">
        <v>0</v>
      </c>
      <c r="X867">
        <v>0.114008737126675</v>
      </c>
      <c r="Y867">
        <v>4.0402747170601203E-2</v>
      </c>
      <c r="Z867">
        <v>4.9298203342730197E-2</v>
      </c>
      <c r="AA867">
        <v>0.77876106194690198</v>
      </c>
      <c r="AB867">
        <f t="shared" si="91"/>
        <v>0.26141076142913333</v>
      </c>
      <c r="AC867">
        <f t="shared" si="96"/>
        <v>0.1</v>
      </c>
      <c r="AD867">
        <f t="shared" si="92"/>
        <v>0</v>
      </c>
      <c r="AE867">
        <f t="shared" si="97"/>
        <v>0.28755183757204666</v>
      </c>
      <c r="AF867" t="str">
        <f t="shared" si="93"/>
        <v>Low</v>
      </c>
      <c r="AG867" t="str">
        <f t="shared" si="94"/>
        <v>NO ACTION</v>
      </c>
      <c r="AH867" t="str">
        <f t="shared" si="95"/>
        <v/>
      </c>
    </row>
    <row r="868" spans="1:34" x14ac:dyDescent="0.3">
      <c r="A868" t="s">
        <v>895</v>
      </c>
      <c r="B868">
        <v>0.23251417769376101</v>
      </c>
      <c r="C868">
        <v>0.57489334564989003</v>
      </c>
      <c r="D868">
        <v>0.36361934628977799</v>
      </c>
      <c r="E868">
        <v>0</v>
      </c>
      <c r="F868">
        <v>0</v>
      </c>
      <c r="G868">
        <v>0.487526989638359</v>
      </c>
      <c r="H868">
        <v>7</v>
      </c>
      <c r="I868">
        <v>13</v>
      </c>
      <c r="J868">
        <v>7.7334096655693907E-2</v>
      </c>
      <c r="K868">
        <v>1.0603588907014599E-2</v>
      </c>
      <c r="L868">
        <v>3.4915878316450502E-2</v>
      </c>
      <c r="M868">
        <v>5.7720057720057703E-3</v>
      </c>
      <c r="N868">
        <v>4.4965557880686999E-2</v>
      </c>
      <c r="O868">
        <v>583</v>
      </c>
      <c r="P868">
        <v>6.4218574635241304E-2</v>
      </c>
      <c r="Q868">
        <v>6.4378133875661797E-2</v>
      </c>
      <c r="R868">
        <v>0.96755162241887904</v>
      </c>
      <c r="S868">
        <v>1</v>
      </c>
      <c r="T868" t="s">
        <v>53</v>
      </c>
      <c r="U868">
        <v>1.05121293800539E-2</v>
      </c>
      <c r="V868">
        <v>0</v>
      </c>
      <c r="W868">
        <v>0</v>
      </c>
      <c r="X868">
        <v>0.10908580388693299</v>
      </c>
      <c r="Y868">
        <v>4.6414425853570099E-2</v>
      </c>
      <c r="Z868">
        <v>5.6517367933419597E-2</v>
      </c>
      <c r="AA868">
        <v>0.96755162241887904</v>
      </c>
      <c r="AB868">
        <f t="shared" si="91"/>
        <v>0.31718908515955258</v>
      </c>
      <c r="AC868">
        <f t="shared" si="96"/>
        <v>0.1</v>
      </c>
      <c r="AD868">
        <f t="shared" si="92"/>
        <v>0</v>
      </c>
      <c r="AE868">
        <f t="shared" si="97"/>
        <v>0.34890799367550784</v>
      </c>
      <c r="AF868" t="str">
        <f t="shared" si="93"/>
        <v>Critical</v>
      </c>
      <c r="AG868" t="str">
        <f t="shared" si="94"/>
        <v>CRITICAL ALERT</v>
      </c>
      <c r="AH868" t="str">
        <f t="shared" si="95"/>
        <v>USB anomaly</v>
      </c>
    </row>
    <row r="869" spans="1:34" x14ac:dyDescent="0.3">
      <c r="A869" t="s">
        <v>896</v>
      </c>
      <c r="B869">
        <v>0.12892249527410199</v>
      </c>
      <c r="C869">
        <v>0.27741651562278502</v>
      </c>
      <c r="D869">
        <v>7.5132489407342906E-2</v>
      </c>
      <c r="E869">
        <v>0</v>
      </c>
      <c r="F869">
        <v>0</v>
      </c>
      <c r="G869">
        <v>0.99367931691725497</v>
      </c>
      <c r="H869">
        <v>7</v>
      </c>
      <c r="I869">
        <v>8</v>
      </c>
      <c r="J869">
        <v>8.6064596154763598E-2</v>
      </c>
      <c r="K869">
        <v>1.0603588907014599E-2</v>
      </c>
      <c r="L869">
        <v>3.1383757956079901E-2</v>
      </c>
      <c r="M869">
        <v>5.7720057720057698E-4</v>
      </c>
      <c r="N869">
        <v>4.0416803269207897E-3</v>
      </c>
      <c r="O869">
        <v>359</v>
      </c>
      <c r="P869">
        <v>6.8111672278338906E-2</v>
      </c>
      <c r="Q869">
        <v>6.8270275956379897E-2</v>
      </c>
      <c r="R869">
        <v>0</v>
      </c>
      <c r="S869">
        <v>0</v>
      </c>
      <c r="T869" t="s">
        <v>53</v>
      </c>
      <c r="U869">
        <v>7.3584905660377301E-2</v>
      </c>
      <c r="V869">
        <v>0</v>
      </c>
      <c r="W869">
        <v>0</v>
      </c>
      <c r="X869">
        <v>2.2539746822202798E-2</v>
      </c>
      <c r="Y869">
        <v>3.41173023070689E-2</v>
      </c>
      <c r="Z869">
        <v>4.2483675497771697E-2</v>
      </c>
      <c r="AA869">
        <v>0</v>
      </c>
      <c r="AB869">
        <f t="shared" si="91"/>
        <v>2.5054633276907816E-2</v>
      </c>
      <c r="AC869">
        <f t="shared" si="96"/>
        <v>0.1</v>
      </c>
      <c r="AD869">
        <f t="shared" si="92"/>
        <v>0</v>
      </c>
      <c r="AE869">
        <f t="shared" si="97"/>
        <v>2.75600966045986E-2</v>
      </c>
      <c r="AF869" t="str">
        <f t="shared" si="93"/>
        <v>Very Low</v>
      </c>
      <c r="AG869" t="str">
        <f t="shared" si="94"/>
        <v>NO ACTION</v>
      </c>
      <c r="AH869" t="str">
        <f t="shared" si="95"/>
        <v/>
      </c>
    </row>
    <row r="870" spans="1:34" x14ac:dyDescent="0.3">
      <c r="A870" t="s">
        <v>897</v>
      </c>
      <c r="B870">
        <v>0.12892249527410199</v>
      </c>
      <c r="C870">
        <v>0.27580985626589599</v>
      </c>
      <c r="D870">
        <v>7.5124914167671697E-2</v>
      </c>
      <c r="E870">
        <v>0</v>
      </c>
      <c r="F870">
        <v>0</v>
      </c>
      <c r="G870">
        <v>0.99368343837287398</v>
      </c>
      <c r="H870">
        <v>7</v>
      </c>
      <c r="I870">
        <v>8</v>
      </c>
      <c r="J870">
        <v>7.7858880778588796E-2</v>
      </c>
      <c r="K870">
        <v>4.8939641109298502E-3</v>
      </c>
      <c r="L870">
        <v>1.6006734122235401E-2</v>
      </c>
      <c r="M870">
        <v>2.88600288600288E-4</v>
      </c>
      <c r="N870">
        <v>2.2331703455710701E-3</v>
      </c>
      <c r="O870">
        <v>349</v>
      </c>
      <c r="P870">
        <v>5.9483726150392803E-2</v>
      </c>
      <c r="Q870">
        <v>5.9644447561274898E-2</v>
      </c>
      <c r="R870">
        <v>0</v>
      </c>
      <c r="S870">
        <v>0</v>
      </c>
      <c r="T870" t="s">
        <v>53</v>
      </c>
      <c r="U870">
        <v>5.0943396226415097E-2</v>
      </c>
      <c r="V870">
        <v>0</v>
      </c>
      <c r="W870">
        <v>0</v>
      </c>
      <c r="X870">
        <v>2.25374742503015E-2</v>
      </c>
      <c r="Y870">
        <v>2.4245094320506699E-2</v>
      </c>
      <c r="Z870">
        <v>3.6583503828464099E-2</v>
      </c>
      <c r="AA870">
        <v>0</v>
      </c>
      <c r="AB870">
        <f t="shared" si="91"/>
        <v>2.0638003361760065E-2</v>
      </c>
      <c r="AC870">
        <f t="shared" si="96"/>
        <v>0.1</v>
      </c>
      <c r="AD870">
        <f t="shared" si="92"/>
        <v>0</v>
      </c>
      <c r="AE870">
        <f t="shared" si="97"/>
        <v>2.2701803697936073E-2</v>
      </c>
      <c r="AF870" t="str">
        <f t="shared" si="93"/>
        <v>Very Low</v>
      </c>
      <c r="AG870" t="str">
        <f t="shared" si="94"/>
        <v>NO ACTION</v>
      </c>
      <c r="AH870" t="str">
        <f t="shared" si="95"/>
        <v/>
      </c>
    </row>
    <row r="871" spans="1:34" x14ac:dyDescent="0.3">
      <c r="A871" t="s">
        <v>898</v>
      </c>
      <c r="B871">
        <v>0.23591682419659701</v>
      </c>
      <c r="C871">
        <v>0.55812224841092095</v>
      </c>
      <c r="D871">
        <v>0.34489633624923699</v>
      </c>
      <c r="E871">
        <v>0</v>
      </c>
      <c r="F871">
        <v>0</v>
      </c>
      <c r="G871">
        <v>0.47828430497508101</v>
      </c>
      <c r="H871">
        <v>7</v>
      </c>
      <c r="I871">
        <v>13</v>
      </c>
      <c r="J871">
        <v>9.0692237965745895E-2</v>
      </c>
      <c r="K871">
        <v>1.6313213703099501E-3</v>
      </c>
      <c r="L871">
        <v>4.5825504998424802E-3</v>
      </c>
      <c r="M871">
        <v>8.6580086580086504E-4</v>
      </c>
      <c r="N871">
        <v>5.75398718105958E-3</v>
      </c>
      <c r="O871">
        <v>588</v>
      </c>
      <c r="P871">
        <v>6.7796015712682303E-2</v>
      </c>
      <c r="Q871">
        <v>6.7954696868754105E-2</v>
      </c>
      <c r="R871">
        <v>0</v>
      </c>
      <c r="S871">
        <v>0</v>
      </c>
      <c r="T871" t="s">
        <v>53</v>
      </c>
      <c r="U871">
        <v>8.4905660377358402E-3</v>
      </c>
      <c r="V871">
        <v>0</v>
      </c>
      <c r="W871">
        <v>0</v>
      </c>
      <c r="X871">
        <v>0.10346890087477099</v>
      </c>
      <c r="Y871">
        <v>2.2155918997388301E-2</v>
      </c>
      <c r="Z871">
        <v>4.29792043000332E-2</v>
      </c>
      <c r="AA871">
        <v>0</v>
      </c>
      <c r="AB871">
        <f t="shared" si="91"/>
        <v>3.4792858663241381E-2</v>
      </c>
      <c r="AC871">
        <f t="shared" si="96"/>
        <v>0.1</v>
      </c>
      <c r="AD871">
        <f t="shared" si="92"/>
        <v>0</v>
      </c>
      <c r="AE871">
        <f t="shared" si="97"/>
        <v>3.8272144529565524E-2</v>
      </c>
      <c r="AF871" t="str">
        <f t="shared" si="93"/>
        <v>Very Low</v>
      </c>
      <c r="AG871" t="str">
        <f t="shared" si="94"/>
        <v>NO ACTION</v>
      </c>
      <c r="AH871" t="str">
        <f t="shared" si="95"/>
        <v/>
      </c>
    </row>
    <row r="872" spans="1:34" x14ac:dyDescent="0.3">
      <c r="A872" t="s">
        <v>899</v>
      </c>
      <c r="B872">
        <v>0.170510396975425</v>
      </c>
      <c r="C872">
        <v>0.471863494200087</v>
      </c>
      <c r="D872">
        <v>0.34458985595424102</v>
      </c>
      <c r="E872">
        <v>0</v>
      </c>
      <c r="F872">
        <v>0</v>
      </c>
      <c r="G872">
        <v>0.71755529282075303</v>
      </c>
      <c r="H872">
        <v>7</v>
      </c>
      <c r="I872">
        <v>16</v>
      </c>
      <c r="J872">
        <v>7.4614760746147604E-2</v>
      </c>
      <c r="K872">
        <v>1.6313213703099499E-2</v>
      </c>
      <c r="L872">
        <v>5.5668204287442798E-2</v>
      </c>
      <c r="M872">
        <v>5.4834054834054799E-3</v>
      </c>
      <c r="N872">
        <v>4.4269150578902003E-2</v>
      </c>
      <c r="O872">
        <v>793</v>
      </c>
      <c r="P872">
        <v>6.4534231200897796E-2</v>
      </c>
      <c r="Q872">
        <v>6.4693712963287603E-2</v>
      </c>
      <c r="R872">
        <v>0</v>
      </c>
      <c r="S872">
        <v>0</v>
      </c>
      <c r="T872" t="s">
        <v>53</v>
      </c>
      <c r="U872">
        <v>1.6981132075471601E-2</v>
      </c>
      <c r="V872">
        <v>0</v>
      </c>
      <c r="W872">
        <v>0</v>
      </c>
      <c r="X872">
        <v>0.103376956786272</v>
      </c>
      <c r="Y872">
        <v>5.6037799466621498E-2</v>
      </c>
      <c r="Z872">
        <v>5.6428198952099502E-2</v>
      </c>
      <c r="AA872">
        <v>0</v>
      </c>
      <c r="AB872">
        <f t="shared" si="91"/>
        <v>4.8030792643045411E-2</v>
      </c>
      <c r="AC872">
        <f t="shared" si="96"/>
        <v>0.1</v>
      </c>
      <c r="AD872">
        <f t="shared" si="92"/>
        <v>0</v>
      </c>
      <c r="AE872">
        <f t="shared" si="97"/>
        <v>5.2833871907349957E-2</v>
      </c>
      <c r="AF872" t="str">
        <f t="shared" si="93"/>
        <v>Very Low</v>
      </c>
      <c r="AG872" t="str">
        <f t="shared" si="94"/>
        <v>NO ACTION</v>
      </c>
      <c r="AH872" t="str">
        <f t="shared" si="95"/>
        <v/>
      </c>
    </row>
    <row r="873" spans="1:34" x14ac:dyDescent="0.3">
      <c r="A873" t="s">
        <v>900</v>
      </c>
      <c r="B873">
        <v>0.12892249527410199</v>
      </c>
      <c r="C873">
        <v>0.18476582604220201</v>
      </c>
      <c r="D873">
        <v>0</v>
      </c>
      <c r="E873">
        <v>0</v>
      </c>
      <c r="F873">
        <v>0</v>
      </c>
      <c r="G873">
        <v>0.99370471471844402</v>
      </c>
      <c r="H873">
        <v>7</v>
      </c>
      <c r="I873">
        <v>7</v>
      </c>
      <c r="J873">
        <v>6.7554028910834396E-2</v>
      </c>
      <c r="K873">
        <v>0.104404567699836</v>
      </c>
      <c r="L873">
        <v>0.393383420248266</v>
      </c>
      <c r="M873">
        <v>1.0678210678210599E-2</v>
      </c>
      <c r="N873">
        <v>9.5187117987962394E-2</v>
      </c>
      <c r="O873">
        <v>574</v>
      </c>
      <c r="P873">
        <v>9.9747474747474696E-2</v>
      </c>
      <c r="Q873">
        <v>9.9898313405098305E-2</v>
      </c>
      <c r="R873">
        <v>0</v>
      </c>
      <c r="S873">
        <v>0</v>
      </c>
      <c r="T873" t="s">
        <v>53</v>
      </c>
      <c r="U873">
        <v>5.71996027805362E-2</v>
      </c>
      <c r="V873">
        <v>0</v>
      </c>
      <c r="W873">
        <v>0</v>
      </c>
      <c r="X873">
        <v>0</v>
      </c>
      <c r="Y873">
        <v>0.238758651302688</v>
      </c>
      <c r="Z873">
        <v>9.7923332043669806E-2</v>
      </c>
      <c r="AA873">
        <v>0</v>
      </c>
      <c r="AB873">
        <f t="shared" si="91"/>
        <v>9.4270955336980197E-2</v>
      </c>
      <c r="AC873">
        <f t="shared" si="96"/>
        <v>0.1</v>
      </c>
      <c r="AD873">
        <f t="shared" si="92"/>
        <v>0</v>
      </c>
      <c r="AE873">
        <f t="shared" si="97"/>
        <v>0.10369805087067822</v>
      </c>
      <c r="AF873" t="str">
        <f t="shared" si="93"/>
        <v>Very Low</v>
      </c>
      <c r="AG873" t="str">
        <f t="shared" si="94"/>
        <v>NO ACTION</v>
      </c>
      <c r="AH873" t="str">
        <f t="shared" si="95"/>
        <v/>
      </c>
    </row>
    <row r="874" spans="1:34" x14ac:dyDescent="0.3">
      <c r="A874" t="s">
        <v>901</v>
      </c>
      <c r="B874">
        <v>0.226843100189035</v>
      </c>
      <c r="C874">
        <v>0.58580555773314202</v>
      </c>
      <c r="D874">
        <v>0.38381159144882698</v>
      </c>
      <c r="E874">
        <v>0</v>
      </c>
      <c r="F874">
        <v>0</v>
      </c>
      <c r="G874">
        <v>0.50329691141907296</v>
      </c>
      <c r="H874">
        <v>7</v>
      </c>
      <c r="I874">
        <v>13</v>
      </c>
      <c r="J874">
        <v>6.74109059682267E-2</v>
      </c>
      <c r="K874">
        <v>2.6101141924959201E-2</v>
      </c>
      <c r="L874">
        <v>9.8553921045977794E-2</v>
      </c>
      <c r="M874">
        <v>1.3852813852813801E-2</v>
      </c>
      <c r="N874">
        <v>0.123747244762759</v>
      </c>
      <c r="O874">
        <v>433</v>
      </c>
      <c r="P874">
        <v>6.7515432098765399E-2</v>
      </c>
      <c r="Q874">
        <v>6.7674182124197901E-2</v>
      </c>
      <c r="R874">
        <v>0</v>
      </c>
      <c r="S874">
        <v>0</v>
      </c>
      <c r="T874" t="s">
        <v>53</v>
      </c>
      <c r="U874">
        <v>1.10897189064304E-2</v>
      </c>
      <c r="V874">
        <v>0</v>
      </c>
      <c r="W874">
        <v>0</v>
      </c>
      <c r="X874">
        <v>0.11514347743464801</v>
      </c>
      <c r="Y874">
        <v>9.9883315145462101E-2</v>
      </c>
      <c r="Z874">
        <v>9.0008157164363098E-2</v>
      </c>
      <c r="AA874">
        <v>0</v>
      </c>
      <c r="AB874">
        <f t="shared" si="91"/>
        <v>7.1592568636294748E-2</v>
      </c>
      <c r="AC874">
        <f t="shared" si="96"/>
        <v>0.1</v>
      </c>
      <c r="AD874">
        <f t="shared" si="92"/>
        <v>0</v>
      </c>
      <c r="AE874">
        <f t="shared" si="97"/>
        <v>7.8751825499924225E-2</v>
      </c>
      <c r="AF874" t="str">
        <f t="shared" si="93"/>
        <v>Very Low</v>
      </c>
      <c r="AG874" t="str">
        <f t="shared" si="94"/>
        <v>NO ACTION</v>
      </c>
      <c r="AH874" t="str">
        <f t="shared" si="95"/>
        <v/>
      </c>
    </row>
    <row r="875" spans="1:34" x14ac:dyDescent="0.3">
      <c r="A875" t="s">
        <v>902</v>
      </c>
      <c r="B875">
        <v>0.22986767485822299</v>
      </c>
      <c r="C875">
        <v>0.73091187066694796</v>
      </c>
      <c r="D875">
        <v>0.34283961206111402</v>
      </c>
      <c r="E875">
        <v>0</v>
      </c>
      <c r="F875">
        <v>0</v>
      </c>
      <c r="G875">
        <v>0.49483242501767699</v>
      </c>
      <c r="H875">
        <v>8</v>
      </c>
      <c r="I875">
        <v>14</v>
      </c>
      <c r="J875">
        <v>8.2820476122322406E-2</v>
      </c>
      <c r="K875">
        <v>8.9722675367047301E-3</v>
      </c>
      <c r="L875">
        <v>2.75926920676903E-2</v>
      </c>
      <c r="M875">
        <v>2.0202020202020202E-3</v>
      </c>
      <c r="N875">
        <v>1.4698391148707E-2</v>
      </c>
      <c r="O875">
        <v>896</v>
      </c>
      <c r="P875">
        <v>6.5726711560044906E-2</v>
      </c>
      <c r="Q875">
        <v>6.5885900627651706E-2</v>
      </c>
      <c r="R875">
        <v>0</v>
      </c>
      <c r="S875">
        <v>0</v>
      </c>
      <c r="T875" t="s">
        <v>53</v>
      </c>
      <c r="U875">
        <v>2.33490566037735E-2</v>
      </c>
      <c r="V875">
        <v>0</v>
      </c>
      <c r="W875">
        <v>0</v>
      </c>
      <c r="X875">
        <v>0.102851883618334</v>
      </c>
      <c r="Y875">
        <v>3.4769958602921702E-2</v>
      </c>
      <c r="Z875">
        <v>4.5315383395509702E-2</v>
      </c>
      <c r="AA875">
        <v>0</v>
      </c>
      <c r="AB875">
        <f t="shared" si="91"/>
        <v>3.8880197138494235E-2</v>
      </c>
      <c r="AC875">
        <f t="shared" si="96"/>
        <v>0.1</v>
      </c>
      <c r="AD875">
        <f t="shared" si="92"/>
        <v>0</v>
      </c>
      <c r="AE875">
        <f t="shared" si="97"/>
        <v>4.2768216852343659E-2</v>
      </c>
      <c r="AF875" t="str">
        <f t="shared" si="93"/>
        <v>Very Low</v>
      </c>
      <c r="AG875" t="str">
        <f t="shared" si="94"/>
        <v>NO ACTION</v>
      </c>
      <c r="AH875" t="str">
        <f t="shared" si="95"/>
        <v/>
      </c>
    </row>
    <row r="876" spans="1:34" x14ac:dyDescent="0.3">
      <c r="A876" t="s">
        <v>903</v>
      </c>
      <c r="B876">
        <v>0.12892249527410199</v>
      </c>
      <c r="C876">
        <v>0.36953165208440503</v>
      </c>
      <c r="D876">
        <v>0</v>
      </c>
      <c r="E876">
        <v>0</v>
      </c>
      <c r="F876">
        <v>0</v>
      </c>
      <c r="G876">
        <v>0.99366309872176395</v>
      </c>
      <c r="H876">
        <v>8</v>
      </c>
      <c r="I876">
        <v>8</v>
      </c>
      <c r="J876">
        <v>6.9987118935165293E-2</v>
      </c>
      <c r="K876">
        <v>6.5252854812398002E-3</v>
      </c>
      <c r="L876">
        <v>2.3734622969292799E-2</v>
      </c>
      <c r="M876">
        <v>1.44300144300144E-3</v>
      </c>
      <c r="N876">
        <v>1.24174587489804E-2</v>
      </c>
      <c r="O876">
        <v>559</v>
      </c>
      <c r="P876">
        <v>5.4959315375981997E-2</v>
      </c>
      <c r="Q876">
        <v>5.51211473053052E-2</v>
      </c>
      <c r="R876">
        <v>0</v>
      </c>
      <c r="S876">
        <v>0</v>
      </c>
      <c r="T876" t="s">
        <v>53</v>
      </c>
      <c r="U876">
        <v>2.26415094339622E-2</v>
      </c>
      <c r="V876">
        <v>0</v>
      </c>
      <c r="W876">
        <v>0</v>
      </c>
      <c r="X876">
        <v>0</v>
      </c>
      <c r="Y876">
        <v>2.9589972896373599E-2</v>
      </c>
      <c r="Z876">
        <v>3.7942572725181402E-2</v>
      </c>
      <c r="AA876">
        <v>0</v>
      </c>
      <c r="AB876">
        <f t="shared" si="91"/>
        <v>1.8909112774035404E-2</v>
      </c>
      <c r="AC876">
        <f t="shared" si="96"/>
        <v>0.1</v>
      </c>
      <c r="AD876">
        <f t="shared" si="92"/>
        <v>0</v>
      </c>
      <c r="AE876">
        <f t="shared" si="97"/>
        <v>2.0800024051438947E-2</v>
      </c>
      <c r="AF876" t="str">
        <f t="shared" si="93"/>
        <v>Very Low</v>
      </c>
      <c r="AG876" t="str">
        <f t="shared" si="94"/>
        <v>NO ACTION</v>
      </c>
      <c r="AH876" t="str">
        <f t="shared" si="95"/>
        <v/>
      </c>
    </row>
    <row r="877" spans="1:34" x14ac:dyDescent="0.3">
      <c r="A877" t="s">
        <v>904</v>
      </c>
      <c r="B877">
        <v>0.12892249527410199</v>
      </c>
      <c r="C877">
        <v>0.28277204681241402</v>
      </c>
      <c r="D877">
        <v>7.4993488433305694E-2</v>
      </c>
      <c r="E877">
        <v>0</v>
      </c>
      <c r="F877">
        <v>0</v>
      </c>
      <c r="G877">
        <v>0.99365664891134597</v>
      </c>
      <c r="H877">
        <v>7</v>
      </c>
      <c r="I877">
        <v>8</v>
      </c>
      <c r="J877">
        <v>9.6369448022517998E-2</v>
      </c>
      <c r="K877">
        <v>6.5252854812398002E-3</v>
      </c>
      <c r="L877">
        <v>1.7253019758419301E-2</v>
      </c>
      <c r="M877">
        <v>1.6450216450216399E-2</v>
      </c>
      <c r="N877">
        <v>0.102901181123403</v>
      </c>
      <c r="O877">
        <v>540</v>
      </c>
      <c r="P877">
        <v>8.1649831649831597E-2</v>
      </c>
      <c r="Q877">
        <v>8.18051123812195E-2</v>
      </c>
      <c r="R877">
        <v>0</v>
      </c>
      <c r="S877">
        <v>0</v>
      </c>
      <c r="T877" t="s">
        <v>28</v>
      </c>
      <c r="U877">
        <v>2.3422251138581602E-3</v>
      </c>
      <c r="V877">
        <v>0</v>
      </c>
      <c r="W877">
        <v>0</v>
      </c>
      <c r="X877">
        <v>2.2498046529991701E-2</v>
      </c>
      <c r="Y877">
        <v>5.8770753820734198E-2</v>
      </c>
      <c r="Z877">
        <v>9.0150371439260302E-2</v>
      </c>
      <c r="AA877">
        <v>0</v>
      </c>
      <c r="AB877">
        <f t="shared" si="91"/>
        <v>4.5297602517597138E-2</v>
      </c>
      <c r="AC877">
        <f t="shared" si="96"/>
        <v>0.25</v>
      </c>
      <c r="AD877">
        <f t="shared" si="92"/>
        <v>0</v>
      </c>
      <c r="AE877">
        <f t="shared" si="97"/>
        <v>5.6622003146996419E-2</v>
      </c>
      <c r="AF877" t="str">
        <f t="shared" si="93"/>
        <v>Very Low</v>
      </c>
      <c r="AG877" t="str">
        <f t="shared" si="94"/>
        <v>NO ACTION</v>
      </c>
      <c r="AH877" t="str">
        <f t="shared" si="95"/>
        <v/>
      </c>
    </row>
    <row r="878" spans="1:34" x14ac:dyDescent="0.3">
      <c r="A878" t="s">
        <v>905</v>
      </c>
      <c r="B878">
        <v>0.12892249527410199</v>
      </c>
      <c r="C878">
        <v>0.28705647176411703</v>
      </c>
      <c r="D878">
        <v>7.4699474706394001E-2</v>
      </c>
      <c r="E878">
        <v>0</v>
      </c>
      <c r="F878">
        <v>0</v>
      </c>
      <c r="G878">
        <v>0.99368156498395599</v>
      </c>
      <c r="H878">
        <v>7</v>
      </c>
      <c r="I878">
        <v>8</v>
      </c>
      <c r="J878">
        <v>8.0625924335671006E-2</v>
      </c>
      <c r="K878">
        <v>1.1419249592169599E-2</v>
      </c>
      <c r="L878">
        <v>3.6071025822358903E-2</v>
      </c>
      <c r="M878">
        <v>2.3088023088023001E-3</v>
      </c>
      <c r="N878">
        <v>1.7254040616872399E-2</v>
      </c>
      <c r="O878">
        <v>852</v>
      </c>
      <c r="P878">
        <v>6.5305836139169404E-2</v>
      </c>
      <c r="Q878">
        <v>6.5465128510817303E-2</v>
      </c>
      <c r="R878">
        <v>0</v>
      </c>
      <c r="S878">
        <v>0</v>
      </c>
      <c r="T878" t="s">
        <v>53</v>
      </c>
      <c r="U878">
        <v>2.6415094339622601E-2</v>
      </c>
      <c r="V878">
        <v>0</v>
      </c>
      <c r="W878">
        <v>0</v>
      </c>
      <c r="X878">
        <v>2.24098424119182E-2</v>
      </c>
      <c r="Y878">
        <v>3.9336909963375397E-2</v>
      </c>
      <c r="Z878">
        <v>4.6085117930250601E-2</v>
      </c>
      <c r="AA878">
        <v>0</v>
      </c>
      <c r="AB878">
        <f t="shared" si="91"/>
        <v>2.7503742596122191E-2</v>
      </c>
      <c r="AC878">
        <f t="shared" si="96"/>
        <v>0.1</v>
      </c>
      <c r="AD878">
        <f t="shared" si="92"/>
        <v>0</v>
      </c>
      <c r="AE878">
        <f t="shared" si="97"/>
        <v>3.0254116855734411E-2</v>
      </c>
      <c r="AF878" t="str">
        <f t="shared" si="93"/>
        <v>Very Low</v>
      </c>
      <c r="AG878" t="str">
        <f t="shared" si="94"/>
        <v>NO ACTION</v>
      </c>
      <c r="AH878" t="str">
        <f t="shared" si="95"/>
        <v/>
      </c>
    </row>
    <row r="879" spans="1:34" x14ac:dyDescent="0.3">
      <c r="A879" t="s">
        <v>906</v>
      </c>
      <c r="B879">
        <v>0.16181474480151201</v>
      </c>
      <c r="C879">
        <v>0.47217933321896199</v>
      </c>
      <c r="D879">
        <v>0.20476619086525599</v>
      </c>
      <c r="E879">
        <v>0</v>
      </c>
      <c r="F879">
        <v>0</v>
      </c>
      <c r="G879">
        <v>0.76310591397887595</v>
      </c>
      <c r="H879">
        <v>8</v>
      </c>
      <c r="I879">
        <v>14</v>
      </c>
      <c r="J879">
        <v>5.08086446257335E-2</v>
      </c>
      <c r="K879">
        <v>5.7096247960848204E-3</v>
      </c>
      <c r="L879">
        <v>2.8570275125653501E-2</v>
      </c>
      <c r="M879">
        <v>5.7720057720057698E-4</v>
      </c>
      <c r="N879">
        <v>6.8330838424296297E-3</v>
      </c>
      <c r="O879">
        <v>488</v>
      </c>
      <c r="P879">
        <v>4.0088383838383798E-2</v>
      </c>
      <c r="Q879">
        <v>4.02538658438234E-2</v>
      </c>
      <c r="R879">
        <v>0.289085545722713</v>
      </c>
      <c r="S879">
        <v>1</v>
      </c>
      <c r="T879" t="s">
        <v>53</v>
      </c>
      <c r="U879">
        <v>3.9622641509433898E-2</v>
      </c>
      <c r="V879">
        <v>0</v>
      </c>
      <c r="W879">
        <v>0</v>
      </c>
      <c r="X879">
        <v>6.1429857259577003E-2</v>
      </c>
      <c r="Y879">
        <v>2.6496791640702299E-2</v>
      </c>
      <c r="Z879">
        <v>2.67862638400021E-2</v>
      </c>
      <c r="AA879">
        <v>0.289085545722713</v>
      </c>
      <c r="AB879">
        <f t="shared" si="91"/>
        <v>0.10569198549848921</v>
      </c>
      <c r="AC879">
        <f t="shared" si="96"/>
        <v>0.1</v>
      </c>
      <c r="AD879">
        <f t="shared" si="92"/>
        <v>0</v>
      </c>
      <c r="AE879">
        <f t="shared" si="97"/>
        <v>0.11626118404833814</v>
      </c>
      <c r="AF879" t="str">
        <f t="shared" si="93"/>
        <v>Very Low</v>
      </c>
      <c r="AG879" t="str">
        <f t="shared" si="94"/>
        <v>NO ACTION</v>
      </c>
      <c r="AH879" t="str">
        <f t="shared" si="95"/>
        <v/>
      </c>
    </row>
    <row r="880" spans="1:34" x14ac:dyDescent="0.3">
      <c r="A880" t="s">
        <v>907</v>
      </c>
      <c r="B880">
        <v>0.24083175803402601</v>
      </c>
      <c r="C880">
        <v>0.66930771929796296</v>
      </c>
      <c r="D880">
        <v>0.36497750191747902</v>
      </c>
      <c r="E880">
        <v>0</v>
      </c>
      <c r="F880">
        <v>0</v>
      </c>
      <c r="G880">
        <v>0.46555745704683899</v>
      </c>
      <c r="H880">
        <v>7</v>
      </c>
      <c r="I880">
        <v>14</v>
      </c>
      <c r="J880">
        <v>6.9510042459806298E-2</v>
      </c>
      <c r="K880">
        <v>4.8939641109298502E-3</v>
      </c>
      <c r="L880">
        <v>1.7922724868741E-2</v>
      </c>
      <c r="M880">
        <v>6.0606060606060597E-3</v>
      </c>
      <c r="N880">
        <v>5.2510052646851497E-2</v>
      </c>
      <c r="O880">
        <v>750</v>
      </c>
      <c r="P880">
        <v>5.6151795735128997E-2</v>
      </c>
      <c r="Q880">
        <v>5.6313334969669303E-2</v>
      </c>
      <c r="R880">
        <v>0.762536873156342</v>
      </c>
      <c r="S880">
        <v>1</v>
      </c>
      <c r="T880" t="s">
        <v>53</v>
      </c>
      <c r="U880">
        <v>4.6312178387650001E-3</v>
      </c>
      <c r="V880">
        <v>0</v>
      </c>
      <c r="W880">
        <v>0</v>
      </c>
      <c r="X880">
        <v>0.10949325057524301</v>
      </c>
      <c r="Y880">
        <v>3.8616386720387197E-2</v>
      </c>
      <c r="Z880">
        <v>5.4695098499817997E-2</v>
      </c>
      <c r="AA880">
        <v>0.762536873156342</v>
      </c>
      <c r="AB880">
        <f t="shared" si="91"/>
        <v>0.25715646043747209</v>
      </c>
      <c r="AC880">
        <f t="shared" si="96"/>
        <v>0.1</v>
      </c>
      <c r="AD880">
        <f t="shared" si="92"/>
        <v>0</v>
      </c>
      <c r="AE880">
        <f t="shared" si="97"/>
        <v>0.2828721064812193</v>
      </c>
      <c r="AF880" t="str">
        <f t="shared" si="93"/>
        <v>Low</v>
      </c>
      <c r="AG880" t="str">
        <f t="shared" si="94"/>
        <v>NO ACTION</v>
      </c>
      <c r="AH880" t="str">
        <f t="shared" si="95"/>
        <v/>
      </c>
    </row>
    <row r="881" spans="1:34" x14ac:dyDescent="0.3">
      <c r="A881" t="s">
        <v>908</v>
      </c>
      <c r="B881">
        <v>0.26427221172022602</v>
      </c>
      <c r="C881">
        <v>0.68912659442767499</v>
      </c>
      <c r="D881">
        <v>0.48015819484181599</v>
      </c>
      <c r="E881">
        <v>0.45361150624308499</v>
      </c>
      <c r="F881">
        <v>4.69416785206258E-2</v>
      </c>
      <c r="G881">
        <v>0.41212068189697298</v>
      </c>
      <c r="H881">
        <v>0</v>
      </c>
      <c r="I881">
        <v>23</v>
      </c>
      <c r="J881">
        <v>0.105720146939554</v>
      </c>
      <c r="K881">
        <v>8.1566068515497494E-3</v>
      </c>
      <c r="L881">
        <v>1.9663082513957101E-2</v>
      </c>
      <c r="M881">
        <v>4.3290043290043203E-3</v>
      </c>
      <c r="N881">
        <v>2.4689553280278099E-2</v>
      </c>
      <c r="O881">
        <v>932</v>
      </c>
      <c r="P881">
        <v>8.3333333333333301E-2</v>
      </c>
      <c r="Q881">
        <v>8.3488200848557098E-2</v>
      </c>
      <c r="R881">
        <v>2.0648967551622401E-2</v>
      </c>
      <c r="S881">
        <v>1</v>
      </c>
      <c r="T881" t="s">
        <v>28</v>
      </c>
      <c r="U881">
        <v>1.06132075471698E-2</v>
      </c>
      <c r="V881">
        <v>0</v>
      </c>
      <c r="W881">
        <v>3.01213576865434E-2</v>
      </c>
      <c r="X881">
        <v>0.29890758173372001</v>
      </c>
      <c r="Y881">
        <v>3.83824366289729E-2</v>
      </c>
      <c r="Z881">
        <v>5.9875821312111201E-2</v>
      </c>
      <c r="AA881">
        <v>2.0648967551622401E-2</v>
      </c>
      <c r="AB881">
        <f t="shared" si="91"/>
        <v>8.1119236215353024E-2</v>
      </c>
      <c r="AC881">
        <f t="shared" si="96"/>
        <v>0.25</v>
      </c>
      <c r="AD881">
        <f t="shared" si="92"/>
        <v>0</v>
      </c>
      <c r="AE881">
        <f t="shared" si="97"/>
        <v>0.10139904526919127</v>
      </c>
      <c r="AF881" t="str">
        <f t="shared" si="93"/>
        <v>Very Low</v>
      </c>
      <c r="AG881" t="str">
        <f t="shared" si="94"/>
        <v>NO ACTION</v>
      </c>
      <c r="AH881" t="str">
        <f t="shared" si="95"/>
        <v/>
      </c>
    </row>
    <row r="882" spans="1:34" x14ac:dyDescent="0.3">
      <c r="A882" t="s">
        <v>909</v>
      </c>
      <c r="B882">
        <v>0.12892249527410199</v>
      </c>
      <c r="C882">
        <v>0.36953165208440503</v>
      </c>
      <c r="D882">
        <v>0</v>
      </c>
      <c r="E882">
        <v>0</v>
      </c>
      <c r="F882">
        <v>0</v>
      </c>
      <c r="G882">
        <v>0.99367495459734501</v>
      </c>
      <c r="H882">
        <v>8</v>
      </c>
      <c r="I882">
        <v>8</v>
      </c>
      <c r="J882">
        <v>7.4710176041219406E-2</v>
      </c>
      <c r="K882">
        <v>8.1566068515497494E-3</v>
      </c>
      <c r="L882">
        <v>2.77986672587517E-2</v>
      </c>
      <c r="M882">
        <v>7.5036075036075001E-3</v>
      </c>
      <c r="N882">
        <v>6.05017162623782E-2</v>
      </c>
      <c r="O882">
        <v>546</v>
      </c>
      <c r="P882">
        <v>6.2079124579124498E-2</v>
      </c>
      <c r="Q882">
        <v>6.2239208948420298E-2</v>
      </c>
      <c r="R882">
        <v>0</v>
      </c>
      <c r="S882">
        <v>0</v>
      </c>
      <c r="T882" t="s">
        <v>53</v>
      </c>
      <c r="U882">
        <v>6.2893081761006197E-3</v>
      </c>
      <c r="V882">
        <v>0</v>
      </c>
      <c r="W882">
        <v>0</v>
      </c>
      <c r="X882">
        <v>0</v>
      </c>
      <c r="Y882">
        <v>4.6991883716333199E-2</v>
      </c>
      <c r="Z882">
        <v>6.1448161252425998E-2</v>
      </c>
      <c r="AA882">
        <v>0</v>
      </c>
      <c r="AB882">
        <f t="shared" si="91"/>
        <v>3.0363212591252579E-2</v>
      </c>
      <c r="AC882">
        <f t="shared" si="96"/>
        <v>0.1</v>
      </c>
      <c r="AD882">
        <f t="shared" si="92"/>
        <v>0</v>
      </c>
      <c r="AE882">
        <f t="shared" si="97"/>
        <v>3.339953385037784E-2</v>
      </c>
      <c r="AF882" t="str">
        <f t="shared" si="93"/>
        <v>Very Low</v>
      </c>
      <c r="AG882" t="str">
        <f t="shared" si="94"/>
        <v>NO ACTION</v>
      </c>
      <c r="AH882" t="str">
        <f t="shared" si="95"/>
        <v/>
      </c>
    </row>
    <row r="883" spans="1:34" x14ac:dyDescent="0.3">
      <c r="A883" t="s">
        <v>910</v>
      </c>
      <c r="B883">
        <v>0.235538752362948</v>
      </c>
      <c r="C883">
        <v>0.86312456854483499</v>
      </c>
      <c r="D883">
        <v>0.37434269099477302</v>
      </c>
      <c r="E883">
        <v>0</v>
      </c>
      <c r="F883">
        <v>0</v>
      </c>
      <c r="G883">
        <v>0.479333690144994</v>
      </c>
      <c r="H883">
        <v>8</v>
      </c>
      <c r="I883">
        <v>15</v>
      </c>
      <c r="J883">
        <v>8.4203997900863498E-2</v>
      </c>
      <c r="K883">
        <v>4.0783034257748704E-3</v>
      </c>
      <c r="L883">
        <v>1.2336640187429001E-2</v>
      </c>
      <c r="M883">
        <v>2.88600288600288E-4</v>
      </c>
      <c r="N883">
        <v>2.0653671501129102E-3</v>
      </c>
      <c r="O883">
        <v>391</v>
      </c>
      <c r="P883">
        <v>6.3797699214365802E-2</v>
      </c>
      <c r="Q883">
        <v>6.3957361758827394E-2</v>
      </c>
      <c r="R883">
        <v>0</v>
      </c>
      <c r="S883">
        <v>0</v>
      </c>
      <c r="T883" t="s">
        <v>53</v>
      </c>
      <c r="U883">
        <v>4.2452830188679201E-2</v>
      </c>
      <c r="V883">
        <v>0</v>
      </c>
      <c r="W883">
        <v>0</v>
      </c>
      <c r="X883">
        <v>0.11230280729843101</v>
      </c>
      <c r="Y883">
        <v>2.3628729818921099E-2</v>
      </c>
      <c r="Z883">
        <v>3.9104766388664697E-2</v>
      </c>
      <c r="AA883">
        <v>0</v>
      </c>
      <c r="AB883">
        <f t="shared" si="91"/>
        <v>3.5533828105872987E-2</v>
      </c>
      <c r="AC883">
        <f t="shared" si="96"/>
        <v>0.1</v>
      </c>
      <c r="AD883">
        <f t="shared" si="92"/>
        <v>0</v>
      </c>
      <c r="AE883">
        <f t="shared" si="97"/>
        <v>3.9087210916460287E-2</v>
      </c>
      <c r="AF883" t="str">
        <f t="shared" si="93"/>
        <v>Very Low</v>
      </c>
      <c r="AG883" t="str">
        <f t="shared" si="94"/>
        <v>NO ACTION</v>
      </c>
      <c r="AH883" t="str">
        <f t="shared" si="95"/>
        <v/>
      </c>
    </row>
    <row r="884" spans="1:34" x14ac:dyDescent="0.3">
      <c r="A884" t="s">
        <v>911</v>
      </c>
      <c r="B884">
        <v>0.12892249527410199</v>
      </c>
      <c r="C884">
        <v>0.46378900102187598</v>
      </c>
      <c r="D884">
        <v>7.51173381640724E-2</v>
      </c>
      <c r="E884">
        <v>0</v>
      </c>
      <c r="F884">
        <v>0</v>
      </c>
      <c r="G884">
        <v>0.99370316248191204</v>
      </c>
      <c r="H884">
        <v>8</v>
      </c>
      <c r="I884">
        <v>9</v>
      </c>
      <c r="J884">
        <v>8.4013167310719894E-2</v>
      </c>
      <c r="K884">
        <v>8.9722675367047301E-3</v>
      </c>
      <c r="L884">
        <v>2.7202082044082001E-2</v>
      </c>
      <c r="M884">
        <v>2.8860028860028799E-3</v>
      </c>
      <c r="N884">
        <v>2.0700452184030799E-2</v>
      </c>
      <c r="O884">
        <v>927</v>
      </c>
      <c r="P884">
        <v>6.7024410774410695E-2</v>
      </c>
      <c r="Q884">
        <v>6.7183281321224406E-2</v>
      </c>
      <c r="R884">
        <v>0</v>
      </c>
      <c r="S884">
        <v>0</v>
      </c>
      <c r="T884" t="s">
        <v>53</v>
      </c>
      <c r="U884">
        <v>1.6981132075471601E-2</v>
      </c>
      <c r="V884">
        <v>0</v>
      </c>
      <c r="W884">
        <v>0</v>
      </c>
      <c r="X884">
        <v>2.2535201449221699E-2</v>
      </c>
      <c r="Y884">
        <v>3.6613810139394201E-2</v>
      </c>
      <c r="Z884">
        <v>4.84948273382588E-2</v>
      </c>
      <c r="AA884">
        <v>0</v>
      </c>
      <c r="AB884">
        <f t="shared" si="91"/>
        <v>2.7436050725618315E-2</v>
      </c>
      <c r="AC884">
        <f t="shared" si="96"/>
        <v>0.1</v>
      </c>
      <c r="AD884">
        <f t="shared" si="92"/>
        <v>0</v>
      </c>
      <c r="AE884">
        <f t="shared" si="97"/>
        <v>3.017965579818015E-2</v>
      </c>
      <c r="AF884" t="str">
        <f t="shared" si="93"/>
        <v>Very Low</v>
      </c>
      <c r="AG884" t="str">
        <f t="shared" si="94"/>
        <v>NO ACTION</v>
      </c>
      <c r="AH884" t="str">
        <f t="shared" si="95"/>
        <v/>
      </c>
    </row>
    <row r="885" spans="1:34" x14ac:dyDescent="0.3">
      <c r="A885" t="s">
        <v>912</v>
      </c>
      <c r="B885">
        <v>0.12892249527410199</v>
      </c>
      <c r="C885">
        <v>0.18476582604220201</v>
      </c>
      <c r="D885">
        <v>0</v>
      </c>
      <c r="E885">
        <v>0</v>
      </c>
      <c r="F885">
        <v>0</v>
      </c>
      <c r="G885">
        <v>0.993675784241009</v>
      </c>
      <c r="H885">
        <v>7</v>
      </c>
      <c r="I885">
        <v>7</v>
      </c>
      <c r="J885">
        <v>9.0596822670674093E-2</v>
      </c>
      <c r="K885">
        <v>1.7944535073409401E-2</v>
      </c>
      <c r="L885">
        <v>5.0461005136395801E-2</v>
      </c>
      <c r="M885">
        <v>2.8860028860028799E-3</v>
      </c>
      <c r="N885">
        <v>1.9200104284137799E-2</v>
      </c>
      <c r="O885">
        <v>993</v>
      </c>
      <c r="P885">
        <v>7.5722502805836103E-2</v>
      </c>
      <c r="Q885">
        <v>7.5879238402468505E-2</v>
      </c>
      <c r="R885">
        <v>0</v>
      </c>
      <c r="S885">
        <v>0</v>
      </c>
      <c r="T885" t="s">
        <v>53</v>
      </c>
      <c r="U885">
        <v>3.3962264150943298E-2</v>
      </c>
      <c r="V885">
        <v>0</v>
      </c>
      <c r="W885">
        <v>0</v>
      </c>
      <c r="X885">
        <v>0</v>
      </c>
      <c r="Y885">
        <v>4.9109898387574097E-2</v>
      </c>
      <c r="Z885">
        <v>5.31135433971568E-2</v>
      </c>
      <c r="AA885">
        <v>0</v>
      </c>
      <c r="AB885">
        <f t="shared" si="91"/>
        <v>2.8622563699724653E-2</v>
      </c>
      <c r="AC885">
        <f t="shared" si="96"/>
        <v>0.1</v>
      </c>
      <c r="AD885">
        <f t="shared" si="92"/>
        <v>0</v>
      </c>
      <c r="AE885">
        <f t="shared" si="97"/>
        <v>3.148482006969712E-2</v>
      </c>
      <c r="AF885" t="str">
        <f t="shared" si="93"/>
        <v>Very Low</v>
      </c>
      <c r="AG885" t="str">
        <f t="shared" si="94"/>
        <v>NO ACTION</v>
      </c>
      <c r="AH885" t="str">
        <f t="shared" si="95"/>
        <v/>
      </c>
    </row>
    <row r="886" spans="1:34" x14ac:dyDescent="0.3">
      <c r="A886" t="s">
        <v>913</v>
      </c>
      <c r="B886">
        <v>0.26918714555765599</v>
      </c>
      <c r="C886">
        <v>0.69880706274062099</v>
      </c>
      <c r="D886">
        <v>0.36719786701191098</v>
      </c>
      <c r="E886">
        <v>0</v>
      </c>
      <c r="F886">
        <v>0</v>
      </c>
      <c r="G886">
        <v>0.40118634753884302</v>
      </c>
      <c r="H886">
        <v>7</v>
      </c>
      <c r="I886">
        <v>15</v>
      </c>
      <c r="J886">
        <v>6.22584800343495E-2</v>
      </c>
      <c r="K886">
        <v>8.9722675367047301E-3</v>
      </c>
      <c r="L886">
        <v>3.6670898389197501E-2</v>
      </c>
      <c r="M886">
        <v>2.3088023088023001E-3</v>
      </c>
      <c r="N886">
        <v>2.2324884614960901E-2</v>
      </c>
      <c r="O886">
        <v>622</v>
      </c>
      <c r="P886">
        <v>5.0750561167227801E-2</v>
      </c>
      <c r="Q886">
        <v>5.0913426136961301E-2</v>
      </c>
      <c r="R886">
        <v>0</v>
      </c>
      <c r="S886">
        <v>0</v>
      </c>
      <c r="T886" t="s">
        <v>53</v>
      </c>
      <c r="U886">
        <v>2.0754716981132001E-2</v>
      </c>
      <c r="V886">
        <v>0</v>
      </c>
      <c r="W886">
        <v>0</v>
      </c>
      <c r="X886">
        <v>0.110159360103573</v>
      </c>
      <c r="Y886">
        <v>3.7484610585956903E-2</v>
      </c>
      <c r="Z886">
        <v>3.9380290546321001E-2</v>
      </c>
      <c r="AA886">
        <v>0</v>
      </c>
      <c r="AB886">
        <f t="shared" si="91"/>
        <v>3.9147669933609491E-2</v>
      </c>
      <c r="AC886">
        <f t="shared" si="96"/>
        <v>0.1</v>
      </c>
      <c r="AD886">
        <f t="shared" si="92"/>
        <v>0</v>
      </c>
      <c r="AE886">
        <f t="shared" si="97"/>
        <v>4.3062436926970447E-2</v>
      </c>
      <c r="AF886" t="str">
        <f t="shared" si="93"/>
        <v>Very Low</v>
      </c>
      <c r="AG886" t="str">
        <f t="shared" si="94"/>
        <v>NO ACTION</v>
      </c>
      <c r="AH886" t="str">
        <f t="shared" si="95"/>
        <v/>
      </c>
    </row>
    <row r="887" spans="1:34" x14ac:dyDescent="0.3">
      <c r="A887" t="s">
        <v>914</v>
      </c>
      <c r="B887">
        <v>3.7429111531190898E-2</v>
      </c>
      <c r="C887">
        <v>0.27804566054894497</v>
      </c>
      <c r="D887">
        <v>7.5387151572007705E-2</v>
      </c>
      <c r="E887">
        <v>0</v>
      </c>
      <c r="F887">
        <v>0</v>
      </c>
      <c r="G887">
        <v>0.96656541958679099</v>
      </c>
      <c r="H887">
        <v>7</v>
      </c>
      <c r="I887">
        <v>8</v>
      </c>
      <c r="J887">
        <v>9.3029912695005001E-3</v>
      </c>
      <c r="K887">
        <v>2.4469820554649199E-3</v>
      </c>
      <c r="L887">
        <v>6.5507559395248299E-2</v>
      </c>
      <c r="M887">
        <v>0</v>
      </c>
      <c r="N887">
        <v>0</v>
      </c>
      <c r="O887">
        <v>145</v>
      </c>
      <c r="P887">
        <v>7.8914141414141402E-3</v>
      </c>
      <c r="Q887">
        <v>8.0647989059924909E-3</v>
      </c>
      <c r="R887">
        <v>0</v>
      </c>
      <c r="S887">
        <v>0</v>
      </c>
      <c r="T887" t="s">
        <v>53</v>
      </c>
      <c r="U887">
        <v>5.0943396226415097E-2</v>
      </c>
      <c r="V887">
        <v>0</v>
      </c>
      <c r="W887">
        <v>0</v>
      </c>
      <c r="X887">
        <v>2.26161454716023E-2</v>
      </c>
      <c r="Y887">
        <v>3.4614377951524201E-2</v>
      </c>
      <c r="Z887">
        <v>4.7348484848484798E-3</v>
      </c>
      <c r="AA887">
        <v>0</v>
      </c>
      <c r="AB887">
        <f t="shared" si="91"/>
        <v>1.4636366677640719E-2</v>
      </c>
      <c r="AC887">
        <f t="shared" si="96"/>
        <v>0.1</v>
      </c>
      <c r="AD887">
        <f t="shared" si="92"/>
        <v>0</v>
      </c>
      <c r="AE887">
        <f t="shared" si="97"/>
        <v>1.6100003345404793E-2</v>
      </c>
      <c r="AF887" t="str">
        <f t="shared" si="93"/>
        <v>Very Low</v>
      </c>
      <c r="AG887" t="str">
        <f t="shared" si="94"/>
        <v>NO ACTION</v>
      </c>
      <c r="AH887" t="str">
        <f t="shared" si="95"/>
        <v/>
      </c>
    </row>
    <row r="888" spans="1:34" x14ac:dyDescent="0.3">
      <c r="A888" t="s">
        <v>915</v>
      </c>
      <c r="B888">
        <v>0.12892249527410199</v>
      </c>
      <c r="C888">
        <v>0.18476582604220201</v>
      </c>
      <c r="D888">
        <v>0</v>
      </c>
      <c r="E888">
        <v>0</v>
      </c>
      <c r="F888">
        <v>0</v>
      </c>
      <c r="G888">
        <v>0.99368592730386596</v>
      </c>
      <c r="H888">
        <v>7</v>
      </c>
      <c r="I888">
        <v>7</v>
      </c>
      <c r="J888">
        <v>6.2687848862172602E-2</v>
      </c>
      <c r="K888">
        <v>6.5252854812398002E-3</v>
      </c>
      <c r="L888">
        <v>2.6487767256102399E-2</v>
      </c>
      <c r="M888">
        <v>2.88600288600288E-4</v>
      </c>
      <c r="N888">
        <v>2.7715692613342301E-3</v>
      </c>
      <c r="O888">
        <v>325</v>
      </c>
      <c r="P888">
        <v>4.9031986531986503E-2</v>
      </c>
      <c r="Q888">
        <v>4.9195273326554198E-2</v>
      </c>
      <c r="R888">
        <v>0</v>
      </c>
      <c r="S888">
        <v>0</v>
      </c>
      <c r="T888" t="s">
        <v>53</v>
      </c>
      <c r="U888">
        <v>6.7924528301886694E-2</v>
      </c>
      <c r="V888">
        <v>0</v>
      </c>
      <c r="W888">
        <v>0</v>
      </c>
      <c r="X888">
        <v>0</v>
      </c>
      <c r="Y888">
        <v>2.6612924178885999E-2</v>
      </c>
      <c r="Z888">
        <v>3.05278196237256E-2</v>
      </c>
      <c r="AA888">
        <v>0</v>
      </c>
      <c r="AB888">
        <f t="shared" si="91"/>
        <v>1.599940826473125E-2</v>
      </c>
      <c r="AC888">
        <f t="shared" si="96"/>
        <v>0.1</v>
      </c>
      <c r="AD888">
        <f t="shared" si="92"/>
        <v>0</v>
      </c>
      <c r="AE888">
        <f t="shared" si="97"/>
        <v>1.7599349091204378E-2</v>
      </c>
      <c r="AF888" t="str">
        <f t="shared" si="93"/>
        <v>Very Low</v>
      </c>
      <c r="AG888" t="str">
        <f t="shared" si="94"/>
        <v>NO ACTION</v>
      </c>
      <c r="AH888" t="str">
        <f t="shared" si="95"/>
        <v/>
      </c>
    </row>
    <row r="889" spans="1:34" x14ac:dyDescent="0.3">
      <c r="A889" t="s">
        <v>916</v>
      </c>
      <c r="B889">
        <v>0.12892249527410199</v>
      </c>
      <c r="C889">
        <v>9.8006220770211899E-2</v>
      </c>
      <c r="D889">
        <v>7.4993488433305694E-2</v>
      </c>
      <c r="E889">
        <v>0</v>
      </c>
      <c r="F889">
        <v>0.46956521739130402</v>
      </c>
      <c r="G889">
        <v>0.99366168029872604</v>
      </c>
      <c r="H889">
        <v>6</v>
      </c>
      <c r="I889">
        <v>7</v>
      </c>
      <c r="J889">
        <v>8.1389246696245393E-2</v>
      </c>
      <c r="K889">
        <v>1.2234910277324601E-2</v>
      </c>
      <c r="L889">
        <v>3.8286124719607399E-2</v>
      </c>
      <c r="M889">
        <v>1.7316017316017301E-3</v>
      </c>
      <c r="N889">
        <v>1.28195202420801E-2</v>
      </c>
      <c r="O889">
        <v>869</v>
      </c>
      <c r="P889">
        <v>6.5937149270482595E-2</v>
      </c>
      <c r="Q889">
        <v>6.60962866860689E-2</v>
      </c>
      <c r="R889">
        <v>0</v>
      </c>
      <c r="S889">
        <v>0</v>
      </c>
      <c r="T889" t="s">
        <v>53</v>
      </c>
      <c r="U889">
        <v>3.6388140161725001E-2</v>
      </c>
      <c r="V889">
        <v>0</v>
      </c>
      <c r="W889">
        <v>0</v>
      </c>
      <c r="X889">
        <v>0.21032413348651299</v>
      </c>
      <c r="Y889">
        <v>3.92667677716768E-2</v>
      </c>
      <c r="Z889">
        <v>4.4690097659121603E-2</v>
      </c>
      <c r="AA889">
        <v>0</v>
      </c>
      <c r="AB889">
        <f t="shared" si="91"/>
        <v>5.7159783678465637E-2</v>
      </c>
      <c r="AC889">
        <f t="shared" si="96"/>
        <v>0.1</v>
      </c>
      <c r="AD889">
        <f t="shared" si="92"/>
        <v>0</v>
      </c>
      <c r="AE889">
        <f t="shared" si="97"/>
        <v>6.2875762046312206E-2</v>
      </c>
      <c r="AF889" t="str">
        <f t="shared" si="93"/>
        <v>Very Low</v>
      </c>
      <c r="AG889" t="str">
        <f t="shared" si="94"/>
        <v>NO ACTION</v>
      </c>
      <c r="AH889" t="str">
        <f t="shared" si="95"/>
        <v/>
      </c>
    </row>
    <row r="890" spans="1:34" x14ac:dyDescent="0.3">
      <c r="A890" t="s">
        <v>917</v>
      </c>
      <c r="B890">
        <v>0.25633270321361001</v>
      </c>
      <c r="C890">
        <v>0.78376471369514999</v>
      </c>
      <c r="D890">
        <v>0.50083314980890203</v>
      </c>
      <c r="E890">
        <v>0.267188009123493</v>
      </c>
      <c r="F890">
        <v>6.1583577712609902E-2</v>
      </c>
      <c r="G890">
        <v>0.42869081634756001</v>
      </c>
      <c r="H890">
        <v>0</v>
      </c>
      <c r="I890">
        <v>23</v>
      </c>
      <c r="J890">
        <v>9.1503267973856203E-2</v>
      </c>
      <c r="K890">
        <v>1.38662316476345E-2</v>
      </c>
      <c r="L890">
        <v>3.8607332630238203E-2</v>
      </c>
      <c r="M890">
        <v>8.6580086580086493E-3</v>
      </c>
      <c r="N890">
        <v>5.70311989968776E-2</v>
      </c>
      <c r="O890">
        <v>711</v>
      </c>
      <c r="P890">
        <v>7.7441077441077394E-2</v>
      </c>
      <c r="Q890">
        <v>7.7597391212875594E-2</v>
      </c>
      <c r="R890">
        <v>0.396755162241887</v>
      </c>
      <c r="S890">
        <v>1</v>
      </c>
      <c r="T890" t="s">
        <v>53</v>
      </c>
      <c r="U890">
        <v>9.31223371880705E-3</v>
      </c>
      <c r="V890">
        <v>0</v>
      </c>
      <c r="W890">
        <v>7.7588800861737306E-2</v>
      </c>
      <c r="X890">
        <v>0.25503977876476203</v>
      </c>
      <c r="Y890">
        <v>5.4713679608953597E-2</v>
      </c>
      <c r="Z890">
        <v>6.9277126063397504E-2</v>
      </c>
      <c r="AA890">
        <v>0.396755162241887</v>
      </c>
      <c r="AB890">
        <f t="shared" si="91"/>
        <v>0.18661523561834861</v>
      </c>
      <c r="AC890">
        <f t="shared" si="96"/>
        <v>0.1</v>
      </c>
      <c r="AD890">
        <f t="shared" si="92"/>
        <v>0</v>
      </c>
      <c r="AE890">
        <f t="shared" si="97"/>
        <v>0.20527675918018348</v>
      </c>
      <c r="AF890" t="str">
        <f t="shared" si="93"/>
        <v>Low</v>
      </c>
      <c r="AG890" t="str">
        <f t="shared" si="94"/>
        <v>NO ACTION</v>
      </c>
      <c r="AH890" t="str">
        <f t="shared" si="95"/>
        <v/>
      </c>
    </row>
    <row r="891" spans="1:34" x14ac:dyDescent="0.3">
      <c r="A891" t="s">
        <v>918</v>
      </c>
      <c r="B891">
        <v>0.12892249527410199</v>
      </c>
      <c r="C891">
        <v>0.18476582604220201</v>
      </c>
      <c r="D891">
        <v>0</v>
      </c>
      <c r="E891">
        <v>0</v>
      </c>
      <c r="F891">
        <v>0</v>
      </c>
      <c r="G891">
        <v>0.99366762161786604</v>
      </c>
      <c r="H891">
        <v>7</v>
      </c>
      <c r="I891">
        <v>7</v>
      </c>
      <c r="J891">
        <v>8.0148847860311997E-2</v>
      </c>
      <c r="K891">
        <v>1.2234910277324601E-2</v>
      </c>
      <c r="L891">
        <v>3.8876889848811998E-2</v>
      </c>
      <c r="M891">
        <v>3.1746031746031698E-3</v>
      </c>
      <c r="N891">
        <v>2.3865102915548001E-2</v>
      </c>
      <c r="O891">
        <v>864</v>
      </c>
      <c r="P891">
        <v>6.5726711560044906E-2</v>
      </c>
      <c r="Q891">
        <v>6.5885900627651706E-2</v>
      </c>
      <c r="R891">
        <v>0</v>
      </c>
      <c r="S891">
        <v>0</v>
      </c>
      <c r="T891" t="s">
        <v>53</v>
      </c>
      <c r="U891">
        <v>2.1226415094339601E-2</v>
      </c>
      <c r="V891">
        <v>0</v>
      </c>
      <c r="W891">
        <v>0</v>
      </c>
      <c r="X891">
        <v>0</v>
      </c>
      <c r="Y891">
        <v>4.26277453711328E-2</v>
      </c>
      <c r="Z891">
        <v>4.8982068102246097E-2</v>
      </c>
      <c r="AA891">
        <v>0</v>
      </c>
      <c r="AB891">
        <f t="shared" si="91"/>
        <v>2.5650747772546091E-2</v>
      </c>
      <c r="AC891">
        <f t="shared" si="96"/>
        <v>0.1</v>
      </c>
      <c r="AD891">
        <f t="shared" si="92"/>
        <v>0</v>
      </c>
      <c r="AE891">
        <f t="shared" si="97"/>
        <v>2.8215822549800703E-2</v>
      </c>
      <c r="AF891" t="str">
        <f t="shared" si="93"/>
        <v>Very Low</v>
      </c>
      <c r="AG891" t="str">
        <f t="shared" si="94"/>
        <v>NO ACTION</v>
      </c>
      <c r="AH891" t="str">
        <f t="shared" si="95"/>
        <v/>
      </c>
    </row>
    <row r="892" spans="1:34" x14ac:dyDescent="0.3">
      <c r="A892" t="s">
        <v>919</v>
      </c>
      <c r="B892">
        <v>0.12892249527410199</v>
      </c>
      <c r="C892">
        <v>0.36953165208440503</v>
      </c>
      <c r="D892">
        <v>0</v>
      </c>
      <c r="E892">
        <v>0</v>
      </c>
      <c r="F892">
        <v>0</v>
      </c>
      <c r="G892">
        <v>0.99366422275511401</v>
      </c>
      <c r="H892">
        <v>8</v>
      </c>
      <c r="I892">
        <v>8</v>
      </c>
      <c r="J892">
        <v>7.6189113114832299E-2</v>
      </c>
      <c r="K892">
        <v>6.5252854812398002E-3</v>
      </c>
      <c r="L892">
        <v>2.18085923912603E-2</v>
      </c>
      <c r="M892">
        <v>1.44300144300144E-3</v>
      </c>
      <c r="N892">
        <v>1.1409799799312901E-2</v>
      </c>
      <c r="O892">
        <v>505</v>
      </c>
      <c r="P892">
        <v>5.9518799102132397E-2</v>
      </c>
      <c r="Q892">
        <v>5.9679511904344403E-2</v>
      </c>
      <c r="R892">
        <v>0</v>
      </c>
      <c r="S892">
        <v>0</v>
      </c>
      <c r="T892" t="s">
        <v>53</v>
      </c>
      <c r="U892">
        <v>2.26415094339622E-2</v>
      </c>
      <c r="V892">
        <v>0</v>
      </c>
      <c r="W892">
        <v>0</v>
      </c>
      <c r="X892">
        <v>0</v>
      </c>
      <c r="Y892">
        <v>2.9565058758390501E-2</v>
      </c>
      <c r="Z892">
        <v>4.0275199381004601E-2</v>
      </c>
      <c r="AA892">
        <v>0</v>
      </c>
      <c r="AB892">
        <f t="shared" si="91"/>
        <v>1.955527227903063E-2</v>
      </c>
      <c r="AC892">
        <f t="shared" si="96"/>
        <v>0.1</v>
      </c>
      <c r="AD892">
        <f t="shared" si="92"/>
        <v>0</v>
      </c>
      <c r="AE892">
        <f t="shared" si="97"/>
        <v>2.1510799506933697E-2</v>
      </c>
      <c r="AF892" t="str">
        <f t="shared" si="93"/>
        <v>Very Low</v>
      </c>
      <c r="AG892" t="str">
        <f t="shared" si="94"/>
        <v>NO ACTION</v>
      </c>
      <c r="AH892" t="str">
        <f t="shared" si="95"/>
        <v/>
      </c>
    </row>
    <row r="893" spans="1:34" x14ac:dyDescent="0.3">
      <c r="A893" t="s">
        <v>920</v>
      </c>
      <c r="B893">
        <v>0.12892249527410199</v>
      </c>
      <c r="C893">
        <v>0.18476582604220201</v>
      </c>
      <c r="D893">
        <v>0</v>
      </c>
      <c r="E893">
        <v>0</v>
      </c>
      <c r="F893">
        <v>0</v>
      </c>
      <c r="G893">
        <v>0.99366151972253303</v>
      </c>
      <c r="H893">
        <v>7</v>
      </c>
      <c r="I893">
        <v>7</v>
      </c>
      <c r="J893">
        <v>9.0549115023138199E-2</v>
      </c>
      <c r="K893">
        <v>1.30505709624796E-2</v>
      </c>
      <c r="L893">
        <v>3.67181975941136E-2</v>
      </c>
      <c r="M893">
        <v>2.0202020202020202E-3</v>
      </c>
      <c r="N893">
        <v>1.34471355700993E-2</v>
      </c>
      <c r="O893">
        <v>971</v>
      </c>
      <c r="P893">
        <v>7.3162177328844002E-2</v>
      </c>
      <c r="Q893">
        <v>7.3319541358392595E-2</v>
      </c>
      <c r="R893">
        <v>0</v>
      </c>
      <c r="S893">
        <v>0</v>
      </c>
      <c r="T893" t="s">
        <v>53</v>
      </c>
      <c r="U893">
        <v>3.3962264150943298E-2</v>
      </c>
      <c r="V893">
        <v>0</v>
      </c>
      <c r="W893">
        <v>0</v>
      </c>
      <c r="X893">
        <v>0</v>
      </c>
      <c r="Y893">
        <v>4.0503062472714201E-2</v>
      </c>
      <c r="Z893">
        <v>4.9276160625346101E-2</v>
      </c>
      <c r="AA893">
        <v>0</v>
      </c>
      <c r="AB893">
        <f t="shared" si="91"/>
        <v>2.5138182467456888E-2</v>
      </c>
      <c r="AC893">
        <f t="shared" si="96"/>
        <v>0.1</v>
      </c>
      <c r="AD893">
        <f t="shared" si="92"/>
        <v>0</v>
      </c>
      <c r="AE893">
        <f t="shared" si="97"/>
        <v>2.7652000714202579E-2</v>
      </c>
      <c r="AF893" t="str">
        <f t="shared" si="93"/>
        <v>Very Low</v>
      </c>
      <c r="AG893" t="str">
        <f t="shared" si="94"/>
        <v>NO ACTION</v>
      </c>
      <c r="AH893" t="str">
        <f t="shared" si="95"/>
        <v/>
      </c>
    </row>
    <row r="894" spans="1:34" x14ac:dyDescent="0.3">
      <c r="A894" t="s">
        <v>921</v>
      </c>
      <c r="B894">
        <v>0.13724007561436599</v>
      </c>
      <c r="C894">
        <v>3.4737989092403297E-2</v>
      </c>
      <c r="D894">
        <v>0.13124684612050599</v>
      </c>
      <c r="E894">
        <v>0</v>
      </c>
      <c r="F894">
        <v>0.942779291553133</v>
      </c>
      <c r="G894">
        <v>0.92501424400388199</v>
      </c>
      <c r="H894">
        <v>6</v>
      </c>
      <c r="I894">
        <v>12</v>
      </c>
      <c r="J894">
        <v>4.6371833404894799E-2</v>
      </c>
      <c r="K894">
        <v>2.4469820554649199E-3</v>
      </c>
      <c r="L894">
        <v>1.3409940510798E-2</v>
      </c>
      <c r="M894">
        <v>4.6176046176046098E-3</v>
      </c>
      <c r="N894">
        <v>5.98681654976434E-2</v>
      </c>
      <c r="O894">
        <v>338</v>
      </c>
      <c r="P894">
        <v>3.7387766554433197E-2</v>
      </c>
      <c r="Q894">
        <v>3.7553911427469402E-2</v>
      </c>
      <c r="R894">
        <v>0</v>
      </c>
      <c r="S894">
        <v>0</v>
      </c>
      <c r="T894" t="s">
        <v>53</v>
      </c>
      <c r="U894">
        <v>2.99667036625971E-3</v>
      </c>
      <c r="V894">
        <v>0</v>
      </c>
      <c r="W894">
        <v>0</v>
      </c>
      <c r="X894">
        <v>0.41648577045740498</v>
      </c>
      <c r="Y894">
        <v>3.3939786585670997E-2</v>
      </c>
      <c r="Z894">
        <v>4.6379926131717299E-2</v>
      </c>
      <c r="AA894">
        <v>0</v>
      </c>
      <c r="AB894">
        <f t="shared" si="91"/>
        <v>8.912724283405353E-2</v>
      </c>
      <c r="AC894">
        <f t="shared" si="96"/>
        <v>0.1</v>
      </c>
      <c r="AD894">
        <f t="shared" si="92"/>
        <v>0.08</v>
      </c>
      <c r="AE894">
        <f t="shared" si="97"/>
        <v>0.10517014654418318</v>
      </c>
      <c r="AF894" t="str">
        <f t="shared" si="93"/>
        <v>Very Low</v>
      </c>
      <c r="AG894" t="str">
        <f t="shared" si="94"/>
        <v>NO ACTION</v>
      </c>
      <c r="AH894" t="str">
        <f t="shared" si="95"/>
        <v/>
      </c>
    </row>
    <row r="895" spans="1:34" x14ac:dyDescent="0.3">
      <c r="A895" t="s">
        <v>922</v>
      </c>
      <c r="B895">
        <v>0.137996219281663</v>
      </c>
      <c r="C895">
        <v>0.61037816245377996</v>
      </c>
      <c r="D895">
        <v>0.203065926867256</v>
      </c>
      <c r="E895">
        <v>0</v>
      </c>
      <c r="F895">
        <v>0</v>
      </c>
      <c r="G895">
        <v>0.91919812391303002</v>
      </c>
      <c r="H895">
        <v>9</v>
      </c>
      <c r="I895">
        <v>18</v>
      </c>
      <c r="J895">
        <v>7.6713897237727202E-2</v>
      </c>
      <c r="K895">
        <v>7.34094616639478E-3</v>
      </c>
      <c r="L895">
        <v>2.43673500540291E-2</v>
      </c>
      <c r="M895">
        <v>5.7720057720057698E-4</v>
      </c>
      <c r="N895">
        <v>4.5327958533166197E-3</v>
      </c>
      <c r="O895">
        <v>363</v>
      </c>
      <c r="P895">
        <v>5.9834455667788999E-2</v>
      </c>
      <c r="Q895">
        <v>5.9995090991970201E-2</v>
      </c>
      <c r="R895">
        <v>0.37463126843657801</v>
      </c>
      <c r="S895">
        <v>1</v>
      </c>
      <c r="T895" t="s">
        <v>53</v>
      </c>
      <c r="U895">
        <v>5.0943396226415097E-2</v>
      </c>
      <c r="V895">
        <v>0</v>
      </c>
      <c r="W895">
        <v>0</v>
      </c>
      <c r="X895">
        <v>6.0919778060176802E-2</v>
      </c>
      <c r="Y895">
        <v>2.8886293230554999E-2</v>
      </c>
      <c r="Z895">
        <v>3.7713791742E-2</v>
      </c>
      <c r="AA895">
        <v>0.37463126843657801</v>
      </c>
      <c r="AB895">
        <f t="shared" si="91"/>
        <v>0.13329194344418555</v>
      </c>
      <c r="AC895">
        <f t="shared" si="96"/>
        <v>0.1</v>
      </c>
      <c r="AD895">
        <f t="shared" si="92"/>
        <v>0</v>
      </c>
      <c r="AE895">
        <f t="shared" si="97"/>
        <v>0.14662113778860411</v>
      </c>
      <c r="AF895" t="str">
        <f t="shared" si="93"/>
        <v>Very Low</v>
      </c>
      <c r="AG895" t="str">
        <f t="shared" si="94"/>
        <v>NO ACTION</v>
      </c>
      <c r="AH895" t="str">
        <f t="shared" si="95"/>
        <v/>
      </c>
    </row>
    <row r="896" spans="1:34" x14ac:dyDescent="0.3">
      <c r="A896" t="s">
        <v>923</v>
      </c>
      <c r="B896">
        <v>0.12892249527410199</v>
      </c>
      <c r="C896">
        <v>0.55429747812660801</v>
      </c>
      <c r="D896">
        <v>0</v>
      </c>
      <c r="E896">
        <v>0</v>
      </c>
      <c r="F896">
        <v>0</v>
      </c>
      <c r="G896">
        <v>0.99367888871407295</v>
      </c>
      <c r="H896">
        <v>9</v>
      </c>
      <c r="I896">
        <v>9</v>
      </c>
      <c r="J896">
        <v>5.9729974714946801E-2</v>
      </c>
      <c r="K896">
        <v>6.5252854812398002E-3</v>
      </c>
      <c r="L896">
        <v>2.77942442408903E-2</v>
      </c>
      <c r="M896">
        <v>1.7316017316017301E-3</v>
      </c>
      <c r="N896">
        <v>1.7449641315989702E-2</v>
      </c>
      <c r="O896">
        <v>713</v>
      </c>
      <c r="P896">
        <v>4.7558922558922502E-2</v>
      </c>
      <c r="Q896">
        <v>4.7722570917633801E-2</v>
      </c>
      <c r="R896">
        <v>0</v>
      </c>
      <c r="S896">
        <v>0</v>
      </c>
      <c r="T896" t="s">
        <v>53</v>
      </c>
      <c r="U896">
        <v>1.94070080862533E-2</v>
      </c>
      <c r="V896">
        <v>0</v>
      </c>
      <c r="W896">
        <v>0</v>
      </c>
      <c r="X896">
        <v>0</v>
      </c>
      <c r="Y896">
        <v>3.1078009458231401E-2</v>
      </c>
      <c r="Z896">
        <v>3.5515210061749403E-2</v>
      </c>
      <c r="AA896">
        <v>0</v>
      </c>
      <c r="AB896">
        <f t="shared" si="91"/>
        <v>1.8646101465594627E-2</v>
      </c>
      <c r="AC896">
        <f t="shared" si="96"/>
        <v>0.1</v>
      </c>
      <c r="AD896">
        <f t="shared" si="92"/>
        <v>0</v>
      </c>
      <c r="AE896">
        <f t="shared" si="97"/>
        <v>2.0510711612154092E-2</v>
      </c>
      <c r="AF896" t="str">
        <f t="shared" si="93"/>
        <v>Very Low</v>
      </c>
      <c r="AG896" t="str">
        <f t="shared" si="94"/>
        <v>NO ACTION</v>
      </c>
      <c r="AH896" t="str">
        <f t="shared" si="95"/>
        <v/>
      </c>
    </row>
    <row r="897" spans="1:34" x14ac:dyDescent="0.3">
      <c r="A897" t="s">
        <v>924</v>
      </c>
      <c r="B897">
        <v>0.104347826086956</v>
      </c>
      <c r="C897">
        <v>0.27978825086390602</v>
      </c>
      <c r="D897">
        <v>7.5127485878450806E-2</v>
      </c>
      <c r="E897">
        <v>0</v>
      </c>
      <c r="F897">
        <v>0</v>
      </c>
      <c r="G897">
        <v>0.99751693704155198</v>
      </c>
      <c r="H897">
        <v>7</v>
      </c>
      <c r="I897">
        <v>8</v>
      </c>
      <c r="J897">
        <v>2.80043891035733E-2</v>
      </c>
      <c r="K897">
        <v>1.6313213703099501E-3</v>
      </c>
      <c r="L897">
        <v>1.4753954818749601E-2</v>
      </c>
      <c r="M897">
        <v>2.88600288600288E-4</v>
      </c>
      <c r="N897">
        <v>6.1751686751686701E-3</v>
      </c>
      <c r="O897">
        <v>172</v>
      </c>
      <c r="P897">
        <v>2.1429573512906801E-2</v>
      </c>
      <c r="Q897">
        <v>2.1599635330832E-2</v>
      </c>
      <c r="R897">
        <v>0</v>
      </c>
      <c r="S897">
        <v>0</v>
      </c>
      <c r="T897" t="s">
        <v>53</v>
      </c>
      <c r="U897">
        <v>1.6981132075471601E-2</v>
      </c>
      <c r="V897">
        <v>0</v>
      </c>
      <c r="W897">
        <v>0</v>
      </c>
      <c r="X897">
        <v>2.2538245763535199E-2</v>
      </c>
      <c r="Y897">
        <v>1.483040583264E-2</v>
      </c>
      <c r="Z897">
        <v>1.53278115778115E-2</v>
      </c>
      <c r="AA897">
        <v>0</v>
      </c>
      <c r="AB897">
        <f t="shared" si="91"/>
        <v>1.2050420197092052E-2</v>
      </c>
      <c r="AC897">
        <f t="shared" si="96"/>
        <v>0.1</v>
      </c>
      <c r="AD897">
        <f t="shared" si="92"/>
        <v>0</v>
      </c>
      <c r="AE897">
        <f t="shared" si="97"/>
        <v>1.3255462216801258E-2</v>
      </c>
      <c r="AF897" t="str">
        <f t="shared" si="93"/>
        <v>Very Low</v>
      </c>
      <c r="AG897" t="str">
        <f t="shared" si="94"/>
        <v>NO ACTION</v>
      </c>
      <c r="AH897" t="str">
        <f t="shared" si="95"/>
        <v/>
      </c>
    </row>
    <row r="898" spans="1:34" x14ac:dyDescent="0.3">
      <c r="A898" t="s">
        <v>925</v>
      </c>
      <c r="B898">
        <v>0.12892249527410199</v>
      </c>
      <c r="C898">
        <v>0.457897916713284</v>
      </c>
      <c r="D898">
        <v>7.5061757440099602E-2</v>
      </c>
      <c r="E898">
        <v>0</v>
      </c>
      <c r="F898">
        <v>0</v>
      </c>
      <c r="G898">
        <v>0.99367733647754097</v>
      </c>
      <c r="H898">
        <v>8</v>
      </c>
      <c r="I898">
        <v>9</v>
      </c>
      <c r="J898">
        <v>6.9843995992557598E-2</v>
      </c>
      <c r="K898">
        <v>6.3621533442088096E-2</v>
      </c>
      <c r="L898">
        <v>0.23188516600087899</v>
      </c>
      <c r="M898">
        <v>1.01010101010101E-2</v>
      </c>
      <c r="N898">
        <v>8.7099724267865802E-2</v>
      </c>
      <c r="O898">
        <v>323</v>
      </c>
      <c r="P898">
        <v>8.3613916947250205E-2</v>
      </c>
      <c r="Q898">
        <v>8.3768715593113302E-2</v>
      </c>
      <c r="R898">
        <v>0</v>
      </c>
      <c r="S898">
        <v>0</v>
      </c>
      <c r="T898" t="s">
        <v>53</v>
      </c>
      <c r="U898">
        <v>3.6792452830188602E-2</v>
      </c>
      <c r="V898">
        <v>0</v>
      </c>
      <c r="W898">
        <v>0</v>
      </c>
      <c r="X898">
        <v>2.2518527232029802E-2</v>
      </c>
      <c r="Y898">
        <v>0.15604129947931</v>
      </c>
      <c r="Z898">
        <v>8.5008239875496494E-2</v>
      </c>
      <c r="AA898">
        <v>0</v>
      </c>
      <c r="AB898">
        <f t="shared" si="91"/>
        <v>7.1096835376470602E-2</v>
      </c>
      <c r="AC898">
        <f t="shared" si="96"/>
        <v>0.1</v>
      </c>
      <c r="AD898">
        <f t="shared" si="92"/>
        <v>0</v>
      </c>
      <c r="AE898">
        <f t="shared" si="97"/>
        <v>7.8206518914117673E-2</v>
      </c>
      <c r="AF898" t="str">
        <f t="shared" si="93"/>
        <v>Very Low</v>
      </c>
      <c r="AG898" t="str">
        <f t="shared" si="94"/>
        <v>NO ACTION</v>
      </c>
      <c r="AH898" t="str">
        <f t="shared" si="95"/>
        <v/>
      </c>
    </row>
    <row r="899" spans="1:34" x14ac:dyDescent="0.3">
      <c r="A899" t="s">
        <v>926</v>
      </c>
      <c r="B899">
        <v>0.12892249527410199</v>
      </c>
      <c r="C899">
        <v>0.27473875002797099</v>
      </c>
      <c r="D899">
        <v>7.5107235637207503E-2</v>
      </c>
      <c r="E899">
        <v>0</v>
      </c>
      <c r="F899">
        <v>0</v>
      </c>
      <c r="G899">
        <v>0.99367436581797097</v>
      </c>
      <c r="H899">
        <v>7</v>
      </c>
      <c r="I899">
        <v>8</v>
      </c>
      <c r="J899">
        <v>7.8574495491627303E-2</v>
      </c>
      <c r="K899">
        <v>7.34094616639478E-3</v>
      </c>
      <c r="L899">
        <v>2.37920917900417E-2</v>
      </c>
      <c r="M899">
        <v>2.88600288600288E-4</v>
      </c>
      <c r="N899">
        <v>2.2128933751209699E-3</v>
      </c>
      <c r="O899">
        <v>373</v>
      </c>
      <c r="P899">
        <v>6.10620089786756E-2</v>
      </c>
      <c r="Q899">
        <v>6.1222342999403899E-2</v>
      </c>
      <c r="R899">
        <v>0</v>
      </c>
      <c r="S899">
        <v>0</v>
      </c>
      <c r="T899" t="s">
        <v>53</v>
      </c>
      <c r="U899">
        <v>7.6415094339622597E-2</v>
      </c>
      <c r="V899">
        <v>0</v>
      </c>
      <c r="W899">
        <v>0</v>
      </c>
      <c r="X899">
        <v>2.2532170691162201E-2</v>
      </c>
      <c r="Y899">
        <v>2.8274813005882599E-2</v>
      </c>
      <c r="Z899">
        <v>3.7522362737253699E-2</v>
      </c>
      <c r="AA899">
        <v>0</v>
      </c>
      <c r="AB899">
        <f t="shared" ref="AB899:AB962" si="98">0.16*X899 + 0.28*Y899 + 0.28*Z899 + 0.28*AA899</f>
        <v>2.2028356518664118E-2</v>
      </c>
      <c r="AC899">
        <f t="shared" si="96"/>
        <v>0.1</v>
      </c>
      <c r="AD899">
        <f t="shared" ref="AD899:AD962" si="99">IF(V899&gt;0.7, 0.1,
 IF(F899&gt;0.5, 0.08,
 IF(E899&gt;0.5, 0.05,
 0)))</f>
        <v>0</v>
      </c>
      <c r="AE899">
        <f t="shared" si="97"/>
        <v>2.4231192170530533E-2</v>
      </c>
      <c r="AF899" t="str">
        <f t="shared" ref="AF899:AF962" si="100">IF(MAX(X899, Y899, Z899, AA899)&gt;0.9,
 "Critical",
 IF(AE899&lt;=0.2,"Very Low",
 IF(AE899&lt;=0.4,"Low",
 IF(AE899&lt;=0.6,"Medium",
 IF(AE899&lt;=0.8,"High","Critical")))))</f>
        <v>Very Low</v>
      </c>
      <c r="AG899" t="str">
        <f t="shared" ref="AG899:AG962" si="101">IF(MAX(X899:AA899)&gt;0.9,"CRITICAL ALERT",
 IF(AE899&gt;0.8,"CRITICAL ALERT",
 IF(AE899&gt;0.6,"ALERT",
 IF(AE899&gt;=0.4,"REVIEW","NO ACTION"))))</f>
        <v>NO ACTION</v>
      </c>
      <c r="AH899" t="str">
        <f t="shared" ref="AH899:AH962" si="102">IF(AG899="NO ACTION","",
 IF(_xlfn.TEXTJOIN(", ", TRUE,
  IF(X899&gt;0.7,"Login anomaly",""),
  IF(Y899&gt;0.7,"File anomaly",""),
  IF(Z899&gt;0.7,"Network anomaly",""),
  IF(AA899&gt;0.7,"USB anomaly","")
 )="",
 "General anomaly detected",
 _xlfn.TEXTJOIN(", ", TRUE,
  IF(X899&gt;0.7,"Login anomaly",""),
  IF(Y899&gt;0.7,"File anomaly",""),
  IF(Z899&gt;0.7,"Network anomaly",""),
  IF(AA899&gt;0.7,"USB anomaly","")
 )))</f>
        <v/>
      </c>
    </row>
    <row r="900" spans="1:34" x14ac:dyDescent="0.3">
      <c r="A900" t="s">
        <v>927</v>
      </c>
      <c r="B900">
        <v>0.12892249527410199</v>
      </c>
      <c r="C900">
        <v>0.45896902295121</v>
      </c>
      <c r="D900">
        <v>7.50946055673926E-2</v>
      </c>
      <c r="E900">
        <v>0</v>
      </c>
      <c r="F900">
        <v>0</v>
      </c>
      <c r="G900">
        <v>0.99370158348268101</v>
      </c>
      <c r="H900">
        <v>8</v>
      </c>
      <c r="I900">
        <v>9</v>
      </c>
      <c r="J900">
        <v>6.6695291255188194E-2</v>
      </c>
      <c r="K900">
        <v>8.9722675367047301E-3</v>
      </c>
      <c r="L900">
        <v>3.4240111824553603E-2</v>
      </c>
      <c r="M900">
        <v>1.44300144300144E-3</v>
      </c>
      <c r="N900">
        <v>1.3028153441553199E-2</v>
      </c>
      <c r="O900">
        <v>458</v>
      </c>
      <c r="P900">
        <v>5.3591470258136903E-2</v>
      </c>
      <c r="Q900">
        <v>5.37536379255934E-2</v>
      </c>
      <c r="R900">
        <v>0</v>
      </c>
      <c r="S900">
        <v>0</v>
      </c>
      <c r="T900" t="s">
        <v>53</v>
      </c>
      <c r="U900">
        <v>3.1132075471698099E-2</v>
      </c>
      <c r="V900">
        <v>0</v>
      </c>
      <c r="W900">
        <v>0</v>
      </c>
      <c r="X900">
        <v>2.2528381670217701E-2</v>
      </c>
      <c r="Y900">
        <v>3.4367560195780397E-2</v>
      </c>
      <c r="Z900">
        <v>3.7366143531503401E-2</v>
      </c>
      <c r="AA900">
        <v>0</v>
      </c>
      <c r="AB900">
        <f t="shared" si="98"/>
        <v>2.3689978110874296E-2</v>
      </c>
      <c r="AC900">
        <f t="shared" ref="AC900:AC963" si="103">IF(T900="IT_Admin", 0.25, IF(AND(T900="HR", AA900&gt;0.6), 0.25, IF(AND(T900="General", Z900&gt;0.7), 0.2, 0.1)))</f>
        <v>0.1</v>
      </c>
      <c r="AD900">
        <f t="shared" si="99"/>
        <v>0</v>
      </c>
      <c r="AE900">
        <f t="shared" ref="AE900:AE963" si="104">MIN(1,AB900*(1+AC900+AD900))</f>
        <v>2.6058975921961727E-2</v>
      </c>
      <c r="AF900" t="str">
        <f t="shared" si="100"/>
        <v>Very Low</v>
      </c>
      <c r="AG900" t="str">
        <f t="shared" si="101"/>
        <v>NO ACTION</v>
      </c>
      <c r="AH900" t="str">
        <f t="shared" si="102"/>
        <v/>
      </c>
    </row>
    <row r="901" spans="1:34" x14ac:dyDescent="0.3">
      <c r="A901" t="s">
        <v>928</v>
      </c>
      <c r="B901">
        <v>0.12892249527410199</v>
      </c>
      <c r="C901">
        <v>8.3546286558213195E-2</v>
      </c>
      <c r="D901">
        <v>7.4788307505895393E-2</v>
      </c>
      <c r="E901">
        <v>0</v>
      </c>
      <c r="F901">
        <v>0.54782608695652102</v>
      </c>
      <c r="G901">
        <v>0.99364888772868498</v>
      </c>
      <c r="H901">
        <v>6</v>
      </c>
      <c r="I901">
        <v>7</v>
      </c>
      <c r="J901">
        <v>5.9014360001908302E-2</v>
      </c>
      <c r="K901">
        <v>3.3442088091353898E-2</v>
      </c>
      <c r="L901">
        <v>0.144165858035704</v>
      </c>
      <c r="M901">
        <v>1.44300144300144E-3</v>
      </c>
      <c r="N901">
        <v>1.4716988146939799E-2</v>
      </c>
      <c r="O901">
        <v>489</v>
      </c>
      <c r="P901">
        <v>5.8466610549943801E-2</v>
      </c>
      <c r="Q901">
        <v>5.8627581612258402E-2</v>
      </c>
      <c r="R901">
        <v>0</v>
      </c>
      <c r="S901">
        <v>0</v>
      </c>
      <c r="T901" t="s">
        <v>53</v>
      </c>
      <c r="U901">
        <v>0.116037735849056</v>
      </c>
      <c r="V901">
        <v>0</v>
      </c>
      <c r="W901">
        <v>0</v>
      </c>
      <c r="X901">
        <v>0.24156692703437699</v>
      </c>
      <c r="Y901">
        <v>8.8300897462315994E-2</v>
      </c>
      <c r="Z901">
        <v>4.0966761588742198E-2</v>
      </c>
      <c r="AA901">
        <v>0</v>
      </c>
      <c r="AB901">
        <f t="shared" si="98"/>
        <v>7.4845652859796608E-2</v>
      </c>
      <c r="AC901">
        <f t="shared" si="103"/>
        <v>0.1</v>
      </c>
      <c r="AD901">
        <f t="shared" si="99"/>
        <v>0.08</v>
      </c>
      <c r="AE901">
        <f t="shared" si="104"/>
        <v>8.8317870374560015E-2</v>
      </c>
      <c r="AF901" t="str">
        <f t="shared" si="100"/>
        <v>Very Low</v>
      </c>
      <c r="AG901" t="str">
        <f t="shared" si="101"/>
        <v>NO ACTION</v>
      </c>
      <c r="AH901" t="str">
        <f t="shared" si="102"/>
        <v/>
      </c>
    </row>
    <row r="902" spans="1:34" x14ac:dyDescent="0.3">
      <c r="A902" t="s">
        <v>929</v>
      </c>
      <c r="B902">
        <v>0.26691871455576499</v>
      </c>
      <c r="C902">
        <v>0.64615992403209699</v>
      </c>
      <c r="D902">
        <v>0.39652840183010502</v>
      </c>
      <c r="E902">
        <v>0</v>
      </c>
      <c r="F902">
        <v>0</v>
      </c>
      <c r="G902">
        <v>0.40581804746189198</v>
      </c>
      <c r="H902">
        <v>7</v>
      </c>
      <c r="I902">
        <v>15</v>
      </c>
      <c r="J902">
        <v>6.96054577548781E-2</v>
      </c>
      <c r="K902">
        <v>5.4649265905383299E-2</v>
      </c>
      <c r="L902">
        <v>0.19986368303650401</v>
      </c>
      <c r="M902">
        <v>1.1544011544011501E-3</v>
      </c>
      <c r="N902">
        <v>9.9882509718575204E-3</v>
      </c>
      <c r="O902">
        <v>346</v>
      </c>
      <c r="P902">
        <v>7.5231481481481496E-2</v>
      </c>
      <c r="Q902">
        <v>7.5388337599494995E-2</v>
      </c>
      <c r="R902">
        <v>0</v>
      </c>
      <c r="S902">
        <v>0</v>
      </c>
      <c r="T902" t="s">
        <v>53</v>
      </c>
      <c r="U902">
        <v>0.22754716981132</v>
      </c>
      <c r="V902">
        <v>0</v>
      </c>
      <c r="W902">
        <v>0</v>
      </c>
      <c r="X902">
        <v>0.118958520549031</v>
      </c>
      <c r="Y902">
        <v>0.116849408360785</v>
      </c>
      <c r="Z902">
        <v>4.9134189277631898E-2</v>
      </c>
      <c r="AA902">
        <v>0</v>
      </c>
      <c r="AB902">
        <f t="shared" si="98"/>
        <v>6.5508770626601695E-2</v>
      </c>
      <c r="AC902">
        <f t="shared" si="103"/>
        <v>0.1</v>
      </c>
      <c r="AD902">
        <f t="shared" si="99"/>
        <v>0</v>
      </c>
      <c r="AE902">
        <f t="shared" si="104"/>
        <v>7.2059647689261874E-2</v>
      </c>
      <c r="AF902" t="str">
        <f t="shared" si="100"/>
        <v>Very Low</v>
      </c>
      <c r="AG902" t="str">
        <f t="shared" si="101"/>
        <v>NO ACTION</v>
      </c>
      <c r="AH902" t="str">
        <f t="shared" si="102"/>
        <v/>
      </c>
    </row>
    <row r="903" spans="1:34" x14ac:dyDescent="0.3">
      <c r="A903" t="s">
        <v>930</v>
      </c>
      <c r="B903">
        <v>0.12892249527410199</v>
      </c>
      <c r="C903">
        <v>0.46646676661669101</v>
      </c>
      <c r="D903">
        <v>7.5041536061111899E-2</v>
      </c>
      <c r="E903">
        <v>0</v>
      </c>
      <c r="F903">
        <v>0</v>
      </c>
      <c r="G903">
        <v>0.99367532927512903</v>
      </c>
      <c r="H903">
        <v>8</v>
      </c>
      <c r="I903">
        <v>9</v>
      </c>
      <c r="J903">
        <v>7.6809312532799004E-2</v>
      </c>
      <c r="K903">
        <v>1.30505709624796E-2</v>
      </c>
      <c r="L903">
        <v>4.3266086700680002E-2</v>
      </c>
      <c r="M903">
        <v>8.6580086580086504E-4</v>
      </c>
      <c r="N903">
        <v>6.7907737257582399E-3</v>
      </c>
      <c r="O903">
        <v>799</v>
      </c>
      <c r="P903">
        <v>6.25E-2</v>
      </c>
      <c r="Q903">
        <v>6.2659981065254694E-2</v>
      </c>
      <c r="R903">
        <v>0</v>
      </c>
      <c r="S903">
        <v>0</v>
      </c>
      <c r="T903" t="s">
        <v>53</v>
      </c>
      <c r="U903">
        <v>6.7924528301886694E-2</v>
      </c>
      <c r="V903">
        <v>0</v>
      </c>
      <c r="W903">
        <v>0</v>
      </c>
      <c r="X903">
        <v>2.25124608183335E-2</v>
      </c>
      <c r="Y903">
        <v>3.9032137974627297E-2</v>
      </c>
      <c r="Z903">
        <v>4.0216309490303297E-2</v>
      </c>
      <c r="AA903">
        <v>0</v>
      </c>
      <c r="AB903">
        <f t="shared" si="98"/>
        <v>2.5791559021113929E-2</v>
      </c>
      <c r="AC903">
        <f t="shared" si="103"/>
        <v>0.1</v>
      </c>
      <c r="AD903">
        <f t="shared" si="99"/>
        <v>0</v>
      </c>
      <c r="AE903">
        <f t="shared" si="104"/>
        <v>2.8370714923225324E-2</v>
      </c>
      <c r="AF903" t="str">
        <f t="shared" si="100"/>
        <v>Very Low</v>
      </c>
      <c r="AG903" t="str">
        <f t="shared" si="101"/>
        <v>NO ACTION</v>
      </c>
      <c r="AH903" t="str">
        <f t="shared" si="102"/>
        <v/>
      </c>
    </row>
    <row r="904" spans="1:34" x14ac:dyDescent="0.3">
      <c r="A904" t="s">
        <v>931</v>
      </c>
      <c r="B904">
        <v>0.13421550094517901</v>
      </c>
      <c r="C904">
        <v>0.478126608337621</v>
      </c>
      <c r="D904">
        <v>0.127128391706574</v>
      </c>
      <c r="E904">
        <v>0</v>
      </c>
      <c r="F904">
        <v>0</v>
      </c>
      <c r="G904">
        <v>0.94898169967662505</v>
      </c>
      <c r="H904">
        <v>8</v>
      </c>
      <c r="I904">
        <v>14</v>
      </c>
      <c r="J904">
        <v>5.7344592338151798E-2</v>
      </c>
      <c r="K904">
        <v>5.7096247960848204E-3</v>
      </c>
      <c r="L904">
        <v>2.5327418711225499E-2</v>
      </c>
      <c r="M904">
        <v>1.44300144300144E-3</v>
      </c>
      <c r="N904">
        <v>1.5143744224108699E-2</v>
      </c>
      <c r="O904">
        <v>659</v>
      </c>
      <c r="P904">
        <v>4.53142536475869E-2</v>
      </c>
      <c r="Q904">
        <v>4.5478452961183698E-2</v>
      </c>
      <c r="R904">
        <v>0</v>
      </c>
      <c r="S904">
        <v>0</v>
      </c>
      <c r="T904" t="s">
        <v>53</v>
      </c>
      <c r="U904">
        <v>1.98113207547169E-2</v>
      </c>
      <c r="V904">
        <v>0</v>
      </c>
      <c r="W904">
        <v>0</v>
      </c>
      <c r="X904">
        <v>3.8138517511972198E-2</v>
      </c>
      <c r="Y904">
        <v>2.8675751090475699E-2</v>
      </c>
      <c r="Z904">
        <v>3.3246049878195599E-2</v>
      </c>
      <c r="AA904">
        <v>0</v>
      </c>
      <c r="AB904">
        <f t="shared" si="98"/>
        <v>2.3440267073143516E-2</v>
      </c>
      <c r="AC904">
        <f t="shared" si="103"/>
        <v>0.1</v>
      </c>
      <c r="AD904">
        <f t="shared" si="99"/>
        <v>0</v>
      </c>
      <c r="AE904">
        <f t="shared" si="104"/>
        <v>2.5784293780457872E-2</v>
      </c>
      <c r="AF904" t="str">
        <f t="shared" si="100"/>
        <v>Very Low</v>
      </c>
      <c r="AG904" t="str">
        <f t="shared" si="101"/>
        <v>NO ACTION</v>
      </c>
      <c r="AH904" t="str">
        <f t="shared" si="102"/>
        <v/>
      </c>
    </row>
    <row r="905" spans="1:34" x14ac:dyDescent="0.3">
      <c r="A905" t="s">
        <v>932</v>
      </c>
      <c r="B905">
        <v>0.12892249527410199</v>
      </c>
      <c r="C905">
        <v>0.46164678854602498</v>
      </c>
      <c r="D905">
        <v>7.5132489407342906E-2</v>
      </c>
      <c r="E905">
        <v>0</v>
      </c>
      <c r="F905">
        <v>0</v>
      </c>
      <c r="G905">
        <v>0.99369569568893801</v>
      </c>
      <c r="H905">
        <v>8</v>
      </c>
      <c r="I905">
        <v>9</v>
      </c>
      <c r="J905">
        <v>5.9205190592051898E-2</v>
      </c>
      <c r="K905">
        <v>6.5252854812398002E-3</v>
      </c>
      <c r="L905">
        <v>2.80396187887633E-2</v>
      </c>
      <c r="M905">
        <v>1.1544011544011501E-2</v>
      </c>
      <c r="N905">
        <v>0.11735794079293201</v>
      </c>
      <c r="O905">
        <v>383</v>
      </c>
      <c r="P905">
        <v>5.19430415263748E-2</v>
      </c>
      <c r="Q905">
        <v>5.2105613801325397E-2</v>
      </c>
      <c r="R905">
        <v>0</v>
      </c>
      <c r="S905">
        <v>0</v>
      </c>
      <c r="T905" t="s">
        <v>53</v>
      </c>
      <c r="U905">
        <v>3.3133916244822799E-3</v>
      </c>
      <c r="V905">
        <v>0</v>
      </c>
      <c r="W905">
        <v>0</v>
      </c>
      <c r="X905">
        <v>2.2539746822202798E-2</v>
      </c>
      <c r="Y905">
        <v>6.1068229750671797E-2</v>
      </c>
      <c r="Z905">
        <v>7.8109001232997993E-2</v>
      </c>
      <c r="AA905">
        <v>0</v>
      </c>
      <c r="AB905">
        <f t="shared" si="98"/>
        <v>4.2575984166979997E-2</v>
      </c>
      <c r="AC905">
        <f t="shared" si="103"/>
        <v>0.1</v>
      </c>
      <c r="AD905">
        <f t="shared" si="99"/>
        <v>0</v>
      </c>
      <c r="AE905">
        <f t="shared" si="104"/>
        <v>4.6833582583678E-2</v>
      </c>
      <c r="AF905" t="str">
        <f t="shared" si="100"/>
        <v>Very Low</v>
      </c>
      <c r="AG905" t="str">
        <f t="shared" si="101"/>
        <v>NO ACTION</v>
      </c>
      <c r="AH905" t="str">
        <f t="shared" si="102"/>
        <v/>
      </c>
    </row>
    <row r="906" spans="1:34" x14ac:dyDescent="0.3">
      <c r="A906" t="s">
        <v>933</v>
      </c>
      <c r="B906">
        <v>0.12892249527410199</v>
      </c>
      <c r="C906">
        <v>0.36953165208440503</v>
      </c>
      <c r="D906">
        <v>0</v>
      </c>
      <c r="E906">
        <v>0</v>
      </c>
      <c r="F906">
        <v>0</v>
      </c>
      <c r="G906">
        <v>0.99365333033669101</v>
      </c>
      <c r="H906">
        <v>8</v>
      </c>
      <c r="I906">
        <v>8</v>
      </c>
      <c r="J906">
        <v>6.5311769476647102E-2</v>
      </c>
      <c r="K906">
        <v>2.8548123980424101E-2</v>
      </c>
      <c r="L906">
        <v>0.111245248851707</v>
      </c>
      <c r="M906">
        <v>8.6580086580086504E-4</v>
      </c>
      <c r="N906">
        <v>7.9818774141918198E-3</v>
      </c>
      <c r="O906">
        <v>553</v>
      </c>
      <c r="P906">
        <v>6.0711279461279397E-2</v>
      </c>
      <c r="Q906">
        <v>6.0871699568708498E-2</v>
      </c>
      <c r="R906">
        <v>0</v>
      </c>
      <c r="S906">
        <v>0</v>
      </c>
      <c r="T906" t="s">
        <v>53</v>
      </c>
      <c r="U906">
        <v>0.14858490566037699</v>
      </c>
      <c r="V906">
        <v>0</v>
      </c>
      <c r="W906">
        <v>0</v>
      </c>
      <c r="X906">
        <v>0</v>
      </c>
      <c r="Y906">
        <v>7.1079541545440703E-2</v>
      </c>
      <c r="Z906">
        <v>3.9619518642444403E-2</v>
      </c>
      <c r="AA906">
        <v>0</v>
      </c>
      <c r="AB906">
        <f t="shared" si="98"/>
        <v>3.0995736852607831E-2</v>
      </c>
      <c r="AC906">
        <f t="shared" si="103"/>
        <v>0.1</v>
      </c>
      <c r="AD906">
        <f t="shared" si="99"/>
        <v>0</v>
      </c>
      <c r="AE906">
        <f t="shared" si="104"/>
        <v>3.4095310537868614E-2</v>
      </c>
      <c r="AF906" t="str">
        <f t="shared" si="100"/>
        <v>Very Low</v>
      </c>
      <c r="AG906" t="str">
        <f t="shared" si="101"/>
        <v>NO ACTION</v>
      </c>
      <c r="AH906" t="str">
        <f t="shared" si="102"/>
        <v/>
      </c>
    </row>
    <row r="907" spans="1:34" x14ac:dyDescent="0.3">
      <c r="A907" t="s">
        <v>934</v>
      </c>
      <c r="B907">
        <v>0.244990548204158</v>
      </c>
      <c r="C907">
        <v>0.74331405170045595</v>
      </c>
      <c r="D907">
        <v>0.38458370772903699</v>
      </c>
      <c r="E907">
        <v>6.9870483980913403E-2</v>
      </c>
      <c r="F907">
        <v>1.07361963190184E-2</v>
      </c>
      <c r="G907">
        <v>0.45520658136422498</v>
      </c>
      <c r="H907">
        <v>0</v>
      </c>
      <c r="I907">
        <v>21</v>
      </c>
      <c r="J907">
        <v>5.7583130575831303E-2</v>
      </c>
      <c r="K907">
        <v>1.38662316476345E-2</v>
      </c>
      <c r="L907">
        <v>6.1255693603917603E-2</v>
      </c>
      <c r="M907">
        <v>5.7720057720057698E-4</v>
      </c>
      <c r="N907">
        <v>6.0325080127060296E-3</v>
      </c>
      <c r="O907">
        <v>602</v>
      </c>
      <c r="P907">
        <v>4.8576038159371497E-2</v>
      </c>
      <c r="Q907">
        <v>4.8739436866650297E-2</v>
      </c>
      <c r="R907">
        <v>0</v>
      </c>
      <c r="S907">
        <v>0</v>
      </c>
      <c r="T907" t="s">
        <v>53</v>
      </c>
      <c r="U907">
        <v>9.6226415094339601E-2</v>
      </c>
      <c r="V907">
        <v>0</v>
      </c>
      <c r="W907">
        <v>0</v>
      </c>
      <c r="X907">
        <v>0.14063073604059201</v>
      </c>
      <c r="Y907">
        <v>4.3954225320936798E-2</v>
      </c>
      <c r="Z907">
        <v>3.1558626100705298E-2</v>
      </c>
      <c r="AA907">
        <v>0</v>
      </c>
      <c r="AB907">
        <f t="shared" si="98"/>
        <v>4.3644516164554503E-2</v>
      </c>
      <c r="AC907">
        <f t="shared" si="103"/>
        <v>0.1</v>
      </c>
      <c r="AD907">
        <f t="shared" si="99"/>
        <v>0</v>
      </c>
      <c r="AE907">
        <f t="shared" si="104"/>
        <v>4.8008967781009958E-2</v>
      </c>
      <c r="AF907" t="str">
        <f t="shared" si="100"/>
        <v>Very Low</v>
      </c>
      <c r="AG907" t="str">
        <f t="shared" si="101"/>
        <v>NO ACTION</v>
      </c>
      <c r="AH907" t="str">
        <f t="shared" si="102"/>
        <v/>
      </c>
    </row>
    <row r="908" spans="1:34" x14ac:dyDescent="0.3">
      <c r="A908" t="s">
        <v>935</v>
      </c>
      <c r="B908">
        <v>0.12892249527410199</v>
      </c>
      <c r="C908">
        <v>0.28009428121759899</v>
      </c>
      <c r="D908">
        <v>7.50946055673926E-2</v>
      </c>
      <c r="E908">
        <v>0</v>
      </c>
      <c r="F908">
        <v>0</v>
      </c>
      <c r="G908">
        <v>0.99367963806963999</v>
      </c>
      <c r="H908">
        <v>7</v>
      </c>
      <c r="I908">
        <v>8</v>
      </c>
      <c r="J908">
        <v>9.2791374457325507E-2</v>
      </c>
      <c r="K908">
        <v>9.7879282218597003E-3</v>
      </c>
      <c r="L908">
        <v>2.6874896162153099E-2</v>
      </c>
      <c r="M908">
        <v>1.44300144300144E-3</v>
      </c>
      <c r="N908">
        <v>9.3735893735893694E-3</v>
      </c>
      <c r="O908">
        <v>724</v>
      </c>
      <c r="P908">
        <v>7.3127104377104304E-2</v>
      </c>
      <c r="Q908">
        <v>7.3284477015323105E-2</v>
      </c>
      <c r="R908">
        <v>0</v>
      </c>
      <c r="S908">
        <v>0</v>
      </c>
      <c r="T908" t="s">
        <v>53</v>
      </c>
      <c r="U908">
        <v>3.3962264150943298E-2</v>
      </c>
      <c r="V908">
        <v>0</v>
      </c>
      <c r="W908">
        <v>0</v>
      </c>
      <c r="X908">
        <v>2.2528381670217701E-2</v>
      </c>
      <c r="Y908">
        <v>3.4807799784618502E-2</v>
      </c>
      <c r="Z908">
        <v>4.76256983756983E-2</v>
      </c>
      <c r="AA908">
        <v>0</v>
      </c>
      <c r="AB908">
        <f t="shared" si="98"/>
        <v>2.6685920552123536E-2</v>
      </c>
      <c r="AC908">
        <f t="shared" si="103"/>
        <v>0.1</v>
      </c>
      <c r="AD908">
        <f t="shared" si="99"/>
        <v>0</v>
      </c>
      <c r="AE908">
        <f t="shared" si="104"/>
        <v>2.9354512607335893E-2</v>
      </c>
      <c r="AF908" t="str">
        <f t="shared" si="100"/>
        <v>Very Low</v>
      </c>
      <c r="AG908" t="str">
        <f t="shared" si="101"/>
        <v>NO ACTION</v>
      </c>
      <c r="AH908" t="str">
        <f t="shared" si="102"/>
        <v/>
      </c>
    </row>
    <row r="909" spans="1:34" x14ac:dyDescent="0.3">
      <c r="A909" t="s">
        <v>936</v>
      </c>
      <c r="B909">
        <v>0.25557655954631298</v>
      </c>
      <c r="C909">
        <v>0.61733523054100603</v>
      </c>
      <c r="D909">
        <v>0.54606329984286195</v>
      </c>
      <c r="E909">
        <v>0.334967320261437</v>
      </c>
      <c r="F909">
        <v>7.3529411764705802E-2</v>
      </c>
      <c r="G909">
        <v>0.43072603543870802</v>
      </c>
      <c r="H909">
        <v>0</v>
      </c>
      <c r="I909">
        <v>23</v>
      </c>
      <c r="J909">
        <v>9.9613568054959203E-2</v>
      </c>
      <c r="K909">
        <v>2.0391517128874301E-2</v>
      </c>
      <c r="L909">
        <v>5.2164006525918398E-2</v>
      </c>
      <c r="M909">
        <v>1.0966810966810899E-2</v>
      </c>
      <c r="N909">
        <v>6.6371999291253897E-2</v>
      </c>
      <c r="O909">
        <v>850</v>
      </c>
      <c r="P909">
        <v>8.7331649831649802E-2</v>
      </c>
      <c r="Q909">
        <v>8.7485535958483795E-2</v>
      </c>
      <c r="R909">
        <v>8.5545722713864306E-2</v>
      </c>
      <c r="S909">
        <v>1</v>
      </c>
      <c r="T909" t="s">
        <v>28</v>
      </c>
      <c r="U909">
        <v>1.08853410740203E-2</v>
      </c>
      <c r="V909">
        <v>0</v>
      </c>
      <c r="W909">
        <v>0.12516887790793599</v>
      </c>
      <c r="X909">
        <v>0.29372095073717203</v>
      </c>
      <c r="Y909">
        <v>6.5916316661327204E-2</v>
      </c>
      <c r="Z909">
        <v>7.8947789615491398E-2</v>
      </c>
      <c r="AA909">
        <v>8.5545722713864306E-2</v>
      </c>
      <c r="AB909">
        <f t="shared" si="98"/>
        <v>0.11151010423533875</v>
      </c>
      <c r="AC909">
        <f t="shared" si="103"/>
        <v>0.25</v>
      </c>
      <c r="AD909">
        <f t="shared" si="99"/>
        <v>0</v>
      </c>
      <c r="AE909">
        <f t="shared" si="104"/>
        <v>0.13938763029417345</v>
      </c>
      <c r="AF909" t="str">
        <f t="shared" si="100"/>
        <v>Very Low</v>
      </c>
      <c r="AG909" t="str">
        <f t="shared" si="101"/>
        <v>NO ACTION</v>
      </c>
      <c r="AH909" t="str">
        <f t="shared" si="102"/>
        <v/>
      </c>
    </row>
    <row r="910" spans="1:34" x14ac:dyDescent="0.3">
      <c r="A910" t="s">
        <v>937</v>
      </c>
      <c r="B910">
        <v>0.15425330812854399</v>
      </c>
      <c r="C910">
        <v>0.464605329562431</v>
      </c>
      <c r="D910">
        <v>0.20281639718785899</v>
      </c>
      <c r="E910">
        <v>0</v>
      </c>
      <c r="F910">
        <v>0</v>
      </c>
      <c r="G910">
        <v>0.80747977160652296</v>
      </c>
      <c r="H910">
        <v>8</v>
      </c>
      <c r="I910">
        <v>14</v>
      </c>
      <c r="J910">
        <v>5.2239874051810499E-2</v>
      </c>
      <c r="K910">
        <v>9.7879282218597003E-3</v>
      </c>
      <c r="L910">
        <v>4.7641861378362398E-2</v>
      </c>
      <c r="M910">
        <v>2.3088023088023001E-3</v>
      </c>
      <c r="N910">
        <v>2.6586908041453399E-2</v>
      </c>
      <c r="O910">
        <v>607</v>
      </c>
      <c r="P910">
        <v>4.3735970819304103E-2</v>
      </c>
      <c r="Q910">
        <v>4.3900557523054801E-2</v>
      </c>
      <c r="R910">
        <v>0.46607669616519098</v>
      </c>
      <c r="S910">
        <v>1</v>
      </c>
      <c r="T910" t="s">
        <v>53</v>
      </c>
      <c r="U910">
        <v>2.26415094339622E-2</v>
      </c>
      <c r="V910">
        <v>0</v>
      </c>
      <c r="W910">
        <v>0</v>
      </c>
      <c r="X910">
        <v>6.0844919156357702E-2</v>
      </c>
      <c r="Y910">
        <v>4.2244977911979301E-2</v>
      </c>
      <c r="Z910">
        <v>3.6876345708163803E-2</v>
      </c>
      <c r="AA910">
        <v>0.46607669616519098</v>
      </c>
      <c r="AB910">
        <f t="shared" si="98"/>
        <v>0.1623906326049108</v>
      </c>
      <c r="AC910">
        <f t="shared" si="103"/>
        <v>0.1</v>
      </c>
      <c r="AD910">
        <f t="shared" si="99"/>
        <v>0</v>
      </c>
      <c r="AE910">
        <f t="shared" si="104"/>
        <v>0.17862969586540189</v>
      </c>
      <c r="AF910" t="str">
        <f t="shared" si="100"/>
        <v>Very Low</v>
      </c>
      <c r="AG910" t="str">
        <f t="shared" si="101"/>
        <v>NO ACTION</v>
      </c>
      <c r="AH910" t="str">
        <f t="shared" si="102"/>
        <v/>
      </c>
    </row>
    <row r="911" spans="1:34" x14ac:dyDescent="0.3">
      <c r="A911" t="s">
        <v>938</v>
      </c>
      <c r="B911">
        <v>0.12892249527410199</v>
      </c>
      <c r="C911">
        <v>0.27795206874174799</v>
      </c>
      <c r="D911">
        <v>7.5129964412319103E-2</v>
      </c>
      <c r="E911">
        <v>0</v>
      </c>
      <c r="F911">
        <v>0</v>
      </c>
      <c r="G911">
        <v>0.99368557938878099</v>
      </c>
      <c r="H911">
        <v>7</v>
      </c>
      <c r="I911">
        <v>8</v>
      </c>
      <c r="J911">
        <v>6.4262201230857297E-2</v>
      </c>
      <c r="K911">
        <v>7.34094616639478E-3</v>
      </c>
      <c r="L911">
        <v>2.9071402098482999E-2</v>
      </c>
      <c r="M911">
        <v>1.44300144300144E-3</v>
      </c>
      <c r="N911">
        <v>1.35196000580615E-2</v>
      </c>
      <c r="O911">
        <v>322</v>
      </c>
      <c r="P911">
        <v>5.1101290684623997E-2</v>
      </c>
      <c r="Q911">
        <v>5.1264069567656598E-2</v>
      </c>
      <c r="R911">
        <v>0</v>
      </c>
      <c r="S911">
        <v>0</v>
      </c>
      <c r="T911" t="s">
        <v>53</v>
      </c>
      <c r="U911">
        <v>2.54716981132075E-2</v>
      </c>
      <c r="V911">
        <v>0</v>
      </c>
      <c r="W911">
        <v>0</v>
      </c>
      <c r="X911">
        <v>2.2538989323695701E-2</v>
      </c>
      <c r="Y911">
        <v>3.1444021312831402E-2</v>
      </c>
      <c r="Z911">
        <v>3.6068614433999002E-2</v>
      </c>
      <c r="AA911">
        <v>0</v>
      </c>
      <c r="AB911">
        <f t="shared" si="98"/>
        <v>2.2509776300903828E-2</v>
      </c>
      <c r="AC911">
        <f t="shared" si="103"/>
        <v>0.1</v>
      </c>
      <c r="AD911">
        <f t="shared" si="99"/>
        <v>0</v>
      </c>
      <c r="AE911">
        <f t="shared" si="104"/>
        <v>2.4760753930994212E-2</v>
      </c>
      <c r="AF911" t="str">
        <f t="shared" si="100"/>
        <v>Very Low</v>
      </c>
      <c r="AG911" t="str">
        <f t="shared" si="101"/>
        <v>NO ACTION</v>
      </c>
      <c r="AH911" t="str">
        <f t="shared" si="102"/>
        <v/>
      </c>
    </row>
    <row r="912" spans="1:34" x14ac:dyDescent="0.3">
      <c r="A912" t="s">
        <v>939</v>
      </c>
      <c r="B912">
        <v>0.12892249527410199</v>
      </c>
      <c r="C912">
        <v>0.18476582604220201</v>
      </c>
      <c r="D912">
        <v>0</v>
      </c>
      <c r="E912">
        <v>0</v>
      </c>
      <c r="F912">
        <v>0</v>
      </c>
      <c r="G912">
        <v>0.99366138590903896</v>
      </c>
      <c r="H912">
        <v>7</v>
      </c>
      <c r="I912">
        <v>7</v>
      </c>
      <c r="J912">
        <v>7.3517484852821904E-2</v>
      </c>
      <c r="K912">
        <v>8.9722675367047301E-3</v>
      </c>
      <c r="L912">
        <v>3.1073012218530899E-2</v>
      </c>
      <c r="M912">
        <v>3.1746031746031698E-3</v>
      </c>
      <c r="N912">
        <v>2.60108010431425E-2</v>
      </c>
      <c r="O912">
        <v>612</v>
      </c>
      <c r="P912">
        <v>5.9448653198653202E-2</v>
      </c>
      <c r="Q912">
        <v>5.96093832182054E-2</v>
      </c>
      <c r="R912">
        <v>0</v>
      </c>
      <c r="S912">
        <v>0</v>
      </c>
      <c r="T912" t="s">
        <v>53</v>
      </c>
      <c r="U912">
        <v>1.5566037735848999E-2</v>
      </c>
      <c r="V912">
        <v>0</v>
      </c>
      <c r="W912">
        <v>0</v>
      </c>
      <c r="X912">
        <v>0</v>
      </c>
      <c r="Y912">
        <v>3.8043243392772597E-2</v>
      </c>
      <c r="Z912">
        <v>4.60735123364489E-2</v>
      </c>
      <c r="AA912">
        <v>0</v>
      </c>
      <c r="AB912">
        <f t="shared" si="98"/>
        <v>2.3552691604182024E-2</v>
      </c>
      <c r="AC912">
        <f t="shared" si="103"/>
        <v>0.1</v>
      </c>
      <c r="AD912">
        <f t="shared" si="99"/>
        <v>0</v>
      </c>
      <c r="AE912">
        <f t="shared" si="104"/>
        <v>2.5907960764600228E-2</v>
      </c>
      <c r="AF912" t="str">
        <f t="shared" si="100"/>
        <v>Very Low</v>
      </c>
      <c r="AG912" t="str">
        <f t="shared" si="101"/>
        <v>NO ACTION</v>
      </c>
      <c r="AH912" t="str">
        <f t="shared" si="102"/>
        <v/>
      </c>
    </row>
    <row r="913" spans="1:34" x14ac:dyDescent="0.3">
      <c r="A913" t="s">
        <v>940</v>
      </c>
      <c r="B913">
        <v>0.13875236294896001</v>
      </c>
      <c r="C913">
        <v>0.42531001466318302</v>
      </c>
      <c r="D913">
        <v>0.18429727875426299</v>
      </c>
      <c r="E913">
        <v>0</v>
      </c>
      <c r="F913">
        <v>0</v>
      </c>
      <c r="G913">
        <v>0.913411638341596</v>
      </c>
      <c r="H913">
        <v>8</v>
      </c>
      <c r="I913">
        <v>15</v>
      </c>
      <c r="J913">
        <v>6.5502600066790706E-2</v>
      </c>
      <c r="K913">
        <v>1.0603588907014599E-2</v>
      </c>
      <c r="L913">
        <v>4.1199722890093299E-2</v>
      </c>
      <c r="M913">
        <v>5.7720057720057698E-4</v>
      </c>
      <c r="N913">
        <v>5.3058053058052997E-3</v>
      </c>
      <c r="O913">
        <v>720</v>
      </c>
      <c r="P913">
        <v>5.2995230078563403E-2</v>
      </c>
      <c r="Q913">
        <v>5.3157544093411398E-2</v>
      </c>
      <c r="R913">
        <v>0.57669616519174005</v>
      </c>
      <c r="S913">
        <v>1</v>
      </c>
      <c r="T913" t="s">
        <v>53</v>
      </c>
      <c r="U913">
        <v>7.3584905660377301E-2</v>
      </c>
      <c r="V913">
        <v>0</v>
      </c>
      <c r="W913">
        <v>0</v>
      </c>
      <c r="X913">
        <v>5.5289183626279097E-2</v>
      </c>
      <c r="Y913">
        <v>3.5292123050146298E-2</v>
      </c>
      <c r="Z913">
        <v>3.3919460169460097E-2</v>
      </c>
      <c r="AA913">
        <v>0.57669616519174005</v>
      </c>
      <c r="AB913">
        <f t="shared" si="98"/>
        <v>0.18970043893538169</v>
      </c>
      <c r="AC913">
        <f t="shared" si="103"/>
        <v>0.1</v>
      </c>
      <c r="AD913">
        <f t="shared" si="99"/>
        <v>0</v>
      </c>
      <c r="AE913">
        <f t="shared" si="104"/>
        <v>0.20867048282891987</v>
      </c>
      <c r="AF913" t="str">
        <f t="shared" si="100"/>
        <v>Low</v>
      </c>
      <c r="AG913" t="str">
        <f t="shared" si="101"/>
        <v>NO ACTION</v>
      </c>
      <c r="AH913" t="str">
        <f t="shared" si="102"/>
        <v/>
      </c>
    </row>
    <row r="914" spans="1:34" x14ac:dyDescent="0.3">
      <c r="A914" t="s">
        <v>941</v>
      </c>
      <c r="B914">
        <v>0.27863894139886503</v>
      </c>
      <c r="C914">
        <v>0.66151651348173202</v>
      </c>
      <c r="D914">
        <v>0.47341628578719602</v>
      </c>
      <c r="E914">
        <v>0.30739241265556999</v>
      </c>
      <c r="F914">
        <v>3.5087719298245598E-2</v>
      </c>
      <c r="G914">
        <v>0.38266512227926103</v>
      </c>
      <c r="H914">
        <v>0</v>
      </c>
      <c r="I914">
        <v>23</v>
      </c>
      <c r="J914">
        <v>7.4662468393683498E-2</v>
      </c>
      <c r="K914">
        <v>7.34094616639478E-3</v>
      </c>
      <c r="L914">
        <v>2.50347360746172E-2</v>
      </c>
      <c r="M914">
        <v>1.26984126984126E-2</v>
      </c>
      <c r="N914">
        <v>0.10245273480942201</v>
      </c>
      <c r="O914">
        <v>460</v>
      </c>
      <c r="P914">
        <v>6.4218574635241304E-2</v>
      </c>
      <c r="Q914">
        <v>6.4378133875661797E-2</v>
      </c>
      <c r="R914">
        <v>1.6224188790560399E-2</v>
      </c>
      <c r="S914">
        <v>1</v>
      </c>
      <c r="T914" t="s">
        <v>53</v>
      </c>
      <c r="U914">
        <v>3.39622641509433E-3</v>
      </c>
      <c r="V914">
        <v>0</v>
      </c>
      <c r="W914">
        <v>2.8665695548431701E-2</v>
      </c>
      <c r="X914">
        <v>0.248277697252128</v>
      </c>
      <c r="Y914">
        <v>5.8185682158872098E-2</v>
      </c>
      <c r="Z914">
        <v>7.9512238704913807E-2</v>
      </c>
      <c r="AA914">
        <v>1.6224188790560399E-2</v>
      </c>
      <c r="AB914">
        <f t="shared" si="98"/>
        <v>8.2822622263557452E-2</v>
      </c>
      <c r="AC914">
        <f t="shared" si="103"/>
        <v>0.1</v>
      </c>
      <c r="AD914">
        <f t="shared" si="99"/>
        <v>0</v>
      </c>
      <c r="AE914">
        <f t="shared" si="104"/>
        <v>9.1104884489913204E-2</v>
      </c>
      <c r="AF914" t="str">
        <f t="shared" si="100"/>
        <v>Very Low</v>
      </c>
      <c r="AG914" t="str">
        <f t="shared" si="101"/>
        <v>NO ACTION</v>
      </c>
      <c r="AH914" t="str">
        <f t="shared" si="102"/>
        <v/>
      </c>
    </row>
    <row r="915" spans="1:34" x14ac:dyDescent="0.3">
      <c r="A915" t="s">
        <v>942</v>
      </c>
      <c r="B915">
        <v>0.13648393194706901</v>
      </c>
      <c r="C915">
        <v>0.13110780532857599</v>
      </c>
      <c r="D915">
        <v>0.16999558329436301</v>
      </c>
      <c r="E915">
        <v>0</v>
      </c>
      <c r="F915">
        <v>0.46301369863013597</v>
      </c>
      <c r="G915">
        <v>0.93090006942090497</v>
      </c>
      <c r="H915">
        <v>6</v>
      </c>
      <c r="I915">
        <v>14</v>
      </c>
      <c r="J915">
        <v>6.3928247698105997E-2</v>
      </c>
      <c r="K915">
        <v>8.1566068515497494E-3</v>
      </c>
      <c r="L915">
        <v>3.2469670084385803E-2</v>
      </c>
      <c r="M915">
        <v>1.21212121212121E-2</v>
      </c>
      <c r="N915">
        <v>0.114155683226315</v>
      </c>
      <c r="O915">
        <v>398</v>
      </c>
      <c r="P915">
        <v>5.6397306397306397E-2</v>
      </c>
      <c r="Q915">
        <v>5.6558785371156002E-2</v>
      </c>
      <c r="R915">
        <v>0</v>
      </c>
      <c r="S915">
        <v>0</v>
      </c>
      <c r="T915" t="s">
        <v>53</v>
      </c>
      <c r="U915">
        <v>3.9491004826678298E-3</v>
      </c>
      <c r="V915">
        <v>0</v>
      </c>
      <c r="W915">
        <v>0</v>
      </c>
      <c r="X915">
        <v>0.236204154440363</v>
      </c>
      <c r="Y915">
        <v>6.32671895497086E-2</v>
      </c>
      <c r="Z915">
        <v>7.9500657128909899E-2</v>
      </c>
      <c r="AA915">
        <v>0</v>
      </c>
      <c r="AB915">
        <f t="shared" si="98"/>
        <v>7.7767661780471259E-2</v>
      </c>
      <c r="AC915">
        <f t="shared" si="103"/>
        <v>0.1</v>
      </c>
      <c r="AD915">
        <f t="shared" si="99"/>
        <v>0</v>
      </c>
      <c r="AE915">
        <f t="shared" si="104"/>
        <v>8.5544427958518396E-2</v>
      </c>
      <c r="AF915" t="str">
        <f t="shared" si="100"/>
        <v>Very Low</v>
      </c>
      <c r="AG915" t="str">
        <f t="shared" si="101"/>
        <v>NO ACTION</v>
      </c>
      <c r="AH915" t="str">
        <f t="shared" si="102"/>
        <v/>
      </c>
    </row>
    <row r="916" spans="1:34" x14ac:dyDescent="0.3">
      <c r="A916" t="s">
        <v>943</v>
      </c>
      <c r="B916">
        <v>0.26805293005670999</v>
      </c>
      <c r="C916">
        <v>0.46333982743822999</v>
      </c>
      <c r="D916">
        <v>0.39484066805225199</v>
      </c>
      <c r="E916">
        <v>0</v>
      </c>
      <c r="F916">
        <v>0.48667601683029399</v>
      </c>
      <c r="G916">
        <v>0.40355287589363298</v>
      </c>
      <c r="H916">
        <v>6</v>
      </c>
      <c r="I916">
        <v>15</v>
      </c>
      <c r="J916">
        <v>7.6236820762368193E-2</v>
      </c>
      <c r="K916">
        <v>6.8515497553017904E-2</v>
      </c>
      <c r="L916">
        <v>0.22884736906636899</v>
      </c>
      <c r="M916">
        <v>4.6176046176046098E-3</v>
      </c>
      <c r="N916">
        <v>3.6488582464876899E-2</v>
      </c>
      <c r="O916">
        <v>334</v>
      </c>
      <c r="P916">
        <v>8.7752525252525193E-2</v>
      </c>
      <c r="Q916">
        <v>8.7906308075318199E-2</v>
      </c>
      <c r="R916">
        <v>0</v>
      </c>
      <c r="S916">
        <v>0</v>
      </c>
      <c r="T916" t="s">
        <v>53</v>
      </c>
      <c r="U916">
        <v>8.3906770255271906E-2</v>
      </c>
      <c r="V916">
        <v>0</v>
      </c>
      <c r="W916">
        <v>0</v>
      </c>
      <c r="X916">
        <v>0.313122607147793</v>
      </c>
      <c r="Y916">
        <v>0.14061762342512099</v>
      </c>
      <c r="Z916">
        <v>6.7246948137465901E-2</v>
      </c>
      <c r="AA916">
        <v>0</v>
      </c>
      <c r="AB916">
        <f t="shared" si="98"/>
        <v>0.10830169718117122</v>
      </c>
      <c r="AC916">
        <f t="shared" si="103"/>
        <v>0.1</v>
      </c>
      <c r="AD916">
        <f t="shared" si="99"/>
        <v>0</v>
      </c>
      <c r="AE916">
        <f t="shared" si="104"/>
        <v>0.11913186689928836</v>
      </c>
      <c r="AF916" t="str">
        <f t="shared" si="100"/>
        <v>Very Low</v>
      </c>
      <c r="AG916" t="str">
        <f t="shared" si="101"/>
        <v>NO ACTION</v>
      </c>
      <c r="AH916" t="str">
        <f t="shared" si="102"/>
        <v/>
      </c>
    </row>
    <row r="917" spans="1:34" x14ac:dyDescent="0.3">
      <c r="A917" t="s">
        <v>944</v>
      </c>
      <c r="B917">
        <v>0.12892249527410199</v>
      </c>
      <c r="C917">
        <v>0.18476582604220201</v>
      </c>
      <c r="D917">
        <v>0</v>
      </c>
      <c r="E917">
        <v>0</v>
      </c>
      <c r="F917">
        <v>0</v>
      </c>
      <c r="G917">
        <v>0.99366280433207599</v>
      </c>
      <c r="H917">
        <v>7</v>
      </c>
      <c r="I917">
        <v>7</v>
      </c>
      <c r="J917">
        <v>7.4996421926434798E-2</v>
      </c>
      <c r="K917">
        <v>1.6313213703099501E-3</v>
      </c>
      <c r="L917">
        <v>5.53858037584006E-3</v>
      </c>
      <c r="M917">
        <v>1.1544011544011501E-3</v>
      </c>
      <c r="N917">
        <v>9.27254243677832E-3</v>
      </c>
      <c r="O917">
        <v>623</v>
      </c>
      <c r="P917">
        <v>5.6397306397306397E-2</v>
      </c>
      <c r="Q917">
        <v>5.6558785371156002E-2</v>
      </c>
      <c r="R917">
        <v>0</v>
      </c>
      <c r="S917">
        <v>0</v>
      </c>
      <c r="T917" t="s">
        <v>53</v>
      </c>
      <c r="U917">
        <v>6.7924528301886696E-3</v>
      </c>
      <c r="V917">
        <v>0</v>
      </c>
      <c r="W917">
        <v>0</v>
      </c>
      <c r="X917">
        <v>0</v>
      </c>
      <c r="Y917">
        <v>2.0550337304240399E-2</v>
      </c>
      <c r="Z917">
        <v>3.75474008130951E-2</v>
      </c>
      <c r="AA917">
        <v>0</v>
      </c>
      <c r="AB917">
        <f t="shared" si="98"/>
        <v>1.6267366672853941E-2</v>
      </c>
      <c r="AC917">
        <f t="shared" si="103"/>
        <v>0.1</v>
      </c>
      <c r="AD917">
        <f t="shared" si="99"/>
        <v>0</v>
      </c>
      <c r="AE917">
        <f t="shared" si="104"/>
        <v>1.7894103340139338E-2</v>
      </c>
      <c r="AF917" t="str">
        <f t="shared" si="100"/>
        <v>Very Low</v>
      </c>
      <c r="AG917" t="str">
        <f t="shared" si="101"/>
        <v>NO ACTION</v>
      </c>
      <c r="AH917" t="str">
        <f t="shared" si="102"/>
        <v/>
      </c>
    </row>
    <row r="918" spans="1:34" x14ac:dyDescent="0.3">
      <c r="A918" t="s">
        <v>945</v>
      </c>
      <c r="B918">
        <v>5.9357277882797703E-2</v>
      </c>
      <c r="C918">
        <v>0.18476582604220201</v>
      </c>
      <c r="D918">
        <v>0</v>
      </c>
      <c r="E918">
        <v>0</v>
      </c>
      <c r="F918">
        <v>0</v>
      </c>
      <c r="G918">
        <v>0.97990192505623097</v>
      </c>
      <c r="H918">
        <v>7</v>
      </c>
      <c r="I918">
        <v>7</v>
      </c>
      <c r="J918">
        <v>1.41691713181623E-2</v>
      </c>
      <c r="K918">
        <v>0</v>
      </c>
      <c r="L918">
        <v>0</v>
      </c>
      <c r="M918">
        <v>1.1544011544011501E-3</v>
      </c>
      <c r="N918">
        <v>4.8419865638408603E-2</v>
      </c>
      <c r="O918">
        <v>198</v>
      </c>
      <c r="P918">
        <v>1.0977833894500501E-2</v>
      </c>
      <c r="Q918">
        <v>1.11504610961113E-2</v>
      </c>
      <c r="R918">
        <v>0</v>
      </c>
      <c r="S918">
        <v>0</v>
      </c>
      <c r="T918" t="s">
        <v>53</v>
      </c>
      <c r="U918">
        <v>0</v>
      </c>
      <c r="V918">
        <v>0</v>
      </c>
      <c r="W918">
        <v>0</v>
      </c>
      <c r="X918">
        <v>0</v>
      </c>
      <c r="Y918">
        <v>1.7359793955154999E-2</v>
      </c>
      <c r="Z918">
        <v>2.5954646592063799E-2</v>
      </c>
      <c r="AA918">
        <v>0</v>
      </c>
      <c r="AB918">
        <f t="shared" si="98"/>
        <v>1.2128043353221265E-2</v>
      </c>
      <c r="AC918">
        <f t="shared" si="103"/>
        <v>0.1</v>
      </c>
      <c r="AD918">
        <f t="shared" si="99"/>
        <v>0</v>
      </c>
      <c r="AE918">
        <f t="shared" si="104"/>
        <v>1.3340847688543392E-2</v>
      </c>
      <c r="AF918" t="str">
        <f t="shared" si="100"/>
        <v>Very Low</v>
      </c>
      <c r="AG918" t="str">
        <f t="shared" si="101"/>
        <v>NO ACTION</v>
      </c>
      <c r="AH918" t="str">
        <f t="shared" si="102"/>
        <v/>
      </c>
    </row>
    <row r="919" spans="1:34" x14ac:dyDescent="0.3">
      <c r="A919" t="s">
        <v>946</v>
      </c>
      <c r="B919">
        <v>0.12892249527410199</v>
      </c>
      <c r="C919">
        <v>0.27634540938485902</v>
      </c>
      <c r="D919">
        <v>7.5129964412319103E-2</v>
      </c>
      <c r="E919">
        <v>0</v>
      </c>
      <c r="F919">
        <v>0</v>
      </c>
      <c r="G919">
        <v>0.99367457991956198</v>
      </c>
      <c r="H919">
        <v>7</v>
      </c>
      <c r="I919">
        <v>8</v>
      </c>
      <c r="J919">
        <v>8.0625924335671006E-2</v>
      </c>
      <c r="K919">
        <v>1.0603588907014599E-2</v>
      </c>
      <c r="L919">
        <v>3.34945239779047E-2</v>
      </c>
      <c r="M919">
        <v>5.1948051948051896E-3</v>
      </c>
      <c r="N919">
        <v>3.8821591387962998E-2</v>
      </c>
      <c r="O919">
        <v>854</v>
      </c>
      <c r="P919">
        <v>6.6358024691358E-2</v>
      </c>
      <c r="Q919">
        <v>6.6517058802903303E-2</v>
      </c>
      <c r="R919">
        <v>0</v>
      </c>
      <c r="S919">
        <v>0</v>
      </c>
      <c r="T919" t="s">
        <v>53</v>
      </c>
      <c r="U919">
        <v>1.1618669314796401E-2</v>
      </c>
      <c r="V919">
        <v>0</v>
      </c>
      <c r="W919">
        <v>0</v>
      </c>
      <c r="X919">
        <v>2.2538989323695701E-2</v>
      </c>
      <c r="Y919">
        <v>4.4518924272475502E-2</v>
      </c>
      <c r="Z919">
        <v>5.5343451369999998E-2</v>
      </c>
      <c r="AA919">
        <v>0</v>
      </c>
      <c r="AB919">
        <f t="shared" si="98"/>
        <v>3.1567703471684458E-2</v>
      </c>
      <c r="AC919">
        <f t="shared" si="103"/>
        <v>0.1</v>
      </c>
      <c r="AD919">
        <f t="shared" si="99"/>
        <v>0</v>
      </c>
      <c r="AE919">
        <f t="shared" si="104"/>
        <v>3.4724473818852908E-2</v>
      </c>
      <c r="AF919" t="str">
        <f t="shared" si="100"/>
        <v>Very Low</v>
      </c>
      <c r="AG919" t="str">
        <f t="shared" si="101"/>
        <v>NO ACTION</v>
      </c>
      <c r="AH919" t="str">
        <f t="shared" si="102"/>
        <v/>
      </c>
    </row>
    <row r="920" spans="1:34" x14ac:dyDescent="0.3">
      <c r="A920" t="s">
        <v>947</v>
      </c>
      <c r="B920">
        <v>0.231758034026465</v>
      </c>
      <c r="C920">
        <v>0.65850899751507896</v>
      </c>
      <c r="D920">
        <v>0.36613148425602099</v>
      </c>
      <c r="E920">
        <v>0</v>
      </c>
      <c r="F920">
        <v>0</v>
      </c>
      <c r="G920">
        <v>0.489506758451976</v>
      </c>
      <c r="H920">
        <v>7</v>
      </c>
      <c r="I920">
        <v>14</v>
      </c>
      <c r="J920">
        <v>8.7829779113591896E-2</v>
      </c>
      <c r="K920">
        <v>9.7879282218597003E-3</v>
      </c>
      <c r="L920">
        <v>2.8388974819175801E-2</v>
      </c>
      <c r="M920">
        <v>1.7316017316017301E-3</v>
      </c>
      <c r="N920">
        <v>1.18820146989161E-2</v>
      </c>
      <c r="O920">
        <v>851</v>
      </c>
      <c r="P920">
        <v>6.9619809203142494E-2</v>
      </c>
      <c r="Q920">
        <v>6.9778042708369806E-2</v>
      </c>
      <c r="R920">
        <v>0</v>
      </c>
      <c r="S920">
        <v>0</v>
      </c>
      <c r="T920" t="s">
        <v>53</v>
      </c>
      <c r="U920">
        <v>2.9110512129380001E-2</v>
      </c>
      <c r="V920">
        <v>0</v>
      </c>
      <c r="W920">
        <v>0</v>
      </c>
      <c r="X920">
        <v>0.109839445276806</v>
      </c>
      <c r="Y920">
        <v>3.5325047641981099E-2</v>
      </c>
      <c r="Z920">
        <v>4.6524691401451899E-2</v>
      </c>
      <c r="AA920">
        <v>0</v>
      </c>
      <c r="AB920">
        <f t="shared" si="98"/>
        <v>4.0492238176450202E-2</v>
      </c>
      <c r="AC920">
        <f t="shared" si="103"/>
        <v>0.1</v>
      </c>
      <c r="AD920">
        <f t="shared" si="99"/>
        <v>0</v>
      </c>
      <c r="AE920">
        <f t="shared" si="104"/>
        <v>4.4541461994095227E-2</v>
      </c>
      <c r="AF920" t="str">
        <f t="shared" si="100"/>
        <v>Very Low</v>
      </c>
      <c r="AG920" t="str">
        <f t="shared" si="101"/>
        <v>NO ACTION</v>
      </c>
      <c r="AH920" t="str">
        <f t="shared" si="102"/>
        <v/>
      </c>
    </row>
    <row r="921" spans="1:34" x14ac:dyDescent="0.3">
      <c r="A921" t="s">
        <v>948</v>
      </c>
      <c r="B921">
        <v>0.12892249527410199</v>
      </c>
      <c r="C921">
        <v>0.285449812407229</v>
      </c>
      <c r="D921">
        <v>7.4828881661874E-2</v>
      </c>
      <c r="E921">
        <v>0</v>
      </c>
      <c r="F921">
        <v>0</v>
      </c>
      <c r="G921">
        <v>0.99367602510529796</v>
      </c>
      <c r="H921">
        <v>7</v>
      </c>
      <c r="I921">
        <v>8</v>
      </c>
      <c r="J921">
        <v>9.4031773293258902E-2</v>
      </c>
      <c r="K921">
        <v>1.5497553017944501E-2</v>
      </c>
      <c r="L921">
        <v>4.1992025253364297E-2</v>
      </c>
      <c r="M921">
        <v>4.3290043290043203E-3</v>
      </c>
      <c r="N921">
        <v>2.77507580139159E-2</v>
      </c>
      <c r="O921">
        <v>949</v>
      </c>
      <c r="P921">
        <v>7.7897025813692497E-2</v>
      </c>
      <c r="Q921">
        <v>7.8053227672779502E-2</v>
      </c>
      <c r="R921">
        <v>0</v>
      </c>
      <c r="S921">
        <v>0</v>
      </c>
      <c r="T921" t="s">
        <v>53</v>
      </c>
      <c r="U921">
        <v>2.0165094339622599E-2</v>
      </c>
      <c r="V921">
        <v>0</v>
      </c>
      <c r="W921">
        <v>0</v>
      </c>
      <c r="X921">
        <v>2.2448664498562199E-2</v>
      </c>
      <c r="Y921">
        <v>4.8127594689508703E-2</v>
      </c>
      <c r="Z921">
        <v>5.7838518693781801E-2</v>
      </c>
      <c r="AA921">
        <v>0</v>
      </c>
      <c r="AB921">
        <f t="shared" si="98"/>
        <v>3.32622980670913E-2</v>
      </c>
      <c r="AC921">
        <f t="shared" si="103"/>
        <v>0.1</v>
      </c>
      <c r="AD921">
        <f t="shared" si="99"/>
        <v>0</v>
      </c>
      <c r="AE921">
        <f t="shared" si="104"/>
        <v>3.658852787380043E-2</v>
      </c>
      <c r="AF921" t="str">
        <f t="shared" si="100"/>
        <v>Very Low</v>
      </c>
      <c r="AG921" t="str">
        <f t="shared" si="101"/>
        <v>NO ACTION</v>
      </c>
      <c r="AH921" t="str">
        <f t="shared" si="102"/>
        <v/>
      </c>
    </row>
    <row r="922" spans="1:34" x14ac:dyDescent="0.3">
      <c r="A922" t="s">
        <v>949</v>
      </c>
      <c r="B922">
        <v>0.26880907372400697</v>
      </c>
      <c r="C922">
        <v>0.65197787287339504</v>
      </c>
      <c r="D922">
        <v>0.41387246416357798</v>
      </c>
      <c r="E922">
        <v>6.3714063714063698E-2</v>
      </c>
      <c r="F922">
        <v>8.3916083916083899E-3</v>
      </c>
      <c r="G922">
        <v>0.40197385317908302</v>
      </c>
      <c r="H922">
        <v>1</v>
      </c>
      <c r="I922">
        <v>20</v>
      </c>
      <c r="J922">
        <v>7.6761604885263096E-2</v>
      </c>
      <c r="K922">
        <v>1.2234910277324601E-2</v>
      </c>
      <c r="L922">
        <v>4.05870876054822E-2</v>
      </c>
      <c r="M922">
        <v>1.7316017316017301E-3</v>
      </c>
      <c r="N922">
        <v>1.3589962288847001E-2</v>
      </c>
      <c r="O922">
        <v>884</v>
      </c>
      <c r="P922">
        <v>6.2535072951739601E-2</v>
      </c>
      <c r="Q922">
        <v>6.2695045408324199E-2</v>
      </c>
      <c r="R922">
        <v>0</v>
      </c>
      <c r="S922">
        <v>0</v>
      </c>
      <c r="T922" t="s">
        <v>53</v>
      </c>
      <c r="U922">
        <v>3.6388140161725001E-2</v>
      </c>
      <c r="V922">
        <v>0</v>
      </c>
      <c r="W922">
        <v>0</v>
      </c>
      <c r="X922">
        <v>0.146632601719936</v>
      </c>
      <c r="Y922">
        <v>3.9722853466447799E-2</v>
      </c>
      <c r="Z922">
        <v>4.29570286865825E-2</v>
      </c>
      <c r="AA922">
        <v>0</v>
      </c>
      <c r="AB922">
        <f t="shared" si="98"/>
        <v>4.6611583278038243E-2</v>
      </c>
      <c r="AC922">
        <f t="shared" si="103"/>
        <v>0.1</v>
      </c>
      <c r="AD922">
        <f t="shared" si="99"/>
        <v>0</v>
      </c>
      <c r="AE922">
        <f t="shared" si="104"/>
        <v>5.1272741605842075E-2</v>
      </c>
      <c r="AF922" t="str">
        <f t="shared" si="100"/>
        <v>Very Low</v>
      </c>
      <c r="AG922" t="str">
        <f t="shared" si="101"/>
        <v>NO ACTION</v>
      </c>
      <c r="AH922" t="str">
        <f t="shared" si="102"/>
        <v/>
      </c>
    </row>
    <row r="923" spans="1:34" x14ac:dyDescent="0.3">
      <c r="A923" t="s">
        <v>950</v>
      </c>
      <c r="B923">
        <v>0.12892249527410199</v>
      </c>
      <c r="C923">
        <v>0.36953165208440503</v>
      </c>
      <c r="D923">
        <v>0</v>
      </c>
      <c r="E923">
        <v>0</v>
      </c>
      <c r="F923">
        <v>0</v>
      </c>
      <c r="G923">
        <v>0.99364765664453902</v>
      </c>
      <c r="H923">
        <v>8</v>
      </c>
      <c r="I923">
        <v>8</v>
      </c>
      <c r="J923">
        <v>8.32021373026096E-2</v>
      </c>
      <c r="K923">
        <v>1.5497553017944501E-2</v>
      </c>
      <c r="L923">
        <v>4.7442105146168E-2</v>
      </c>
      <c r="M923">
        <v>2.0202020202020202E-3</v>
      </c>
      <c r="N923">
        <v>1.4631160085705501E-2</v>
      </c>
      <c r="O923">
        <v>905</v>
      </c>
      <c r="P923">
        <v>6.8813131313131298E-2</v>
      </c>
      <c r="Q923">
        <v>6.8971562817770601E-2</v>
      </c>
      <c r="R923">
        <v>0</v>
      </c>
      <c r="S923">
        <v>0</v>
      </c>
      <c r="T923" t="s">
        <v>53</v>
      </c>
      <c r="U923">
        <v>4.0330188679245198E-2</v>
      </c>
      <c r="V923">
        <v>0</v>
      </c>
      <c r="W923">
        <v>0</v>
      </c>
      <c r="X923">
        <v>0</v>
      </c>
      <c r="Y923">
        <v>4.4750828059317599E-2</v>
      </c>
      <c r="Z923">
        <v>4.7140342822161001E-2</v>
      </c>
      <c r="AA923">
        <v>0</v>
      </c>
      <c r="AB923">
        <f t="shared" si="98"/>
        <v>2.572952784681401E-2</v>
      </c>
      <c r="AC923">
        <f t="shared" si="103"/>
        <v>0.1</v>
      </c>
      <c r="AD923">
        <f t="shared" si="99"/>
        <v>0</v>
      </c>
      <c r="AE923">
        <f t="shared" si="104"/>
        <v>2.8302480631495413E-2</v>
      </c>
      <c r="AF923" t="str">
        <f t="shared" si="100"/>
        <v>Very Low</v>
      </c>
      <c r="AG923" t="str">
        <f t="shared" si="101"/>
        <v>NO ACTION</v>
      </c>
      <c r="AH923" t="str">
        <f t="shared" si="102"/>
        <v/>
      </c>
    </row>
    <row r="924" spans="1:34" x14ac:dyDescent="0.3">
      <c r="A924" t="s">
        <v>951</v>
      </c>
      <c r="B924">
        <v>0.12892249527410199</v>
      </c>
      <c r="C924">
        <v>0.18476582604220201</v>
      </c>
      <c r="D924">
        <v>0</v>
      </c>
      <c r="E924">
        <v>0</v>
      </c>
      <c r="F924">
        <v>0</v>
      </c>
      <c r="G924">
        <v>0.993664062178922</v>
      </c>
      <c r="H924">
        <v>7</v>
      </c>
      <c r="I924">
        <v>7</v>
      </c>
      <c r="J924">
        <v>5.3480272887743902E-2</v>
      </c>
      <c r="K924">
        <v>5.7096247960848204E-3</v>
      </c>
      <c r="L924">
        <v>2.7149373343205298E-2</v>
      </c>
      <c r="M924">
        <v>0</v>
      </c>
      <c r="N924">
        <v>0</v>
      </c>
      <c r="O924">
        <v>448</v>
      </c>
      <c r="P924">
        <v>4.1771885521885502E-2</v>
      </c>
      <c r="Q924">
        <v>4.1936954311160901E-2</v>
      </c>
      <c r="R924">
        <v>0</v>
      </c>
      <c r="S924">
        <v>0</v>
      </c>
      <c r="T924" t="s">
        <v>53</v>
      </c>
      <c r="U924">
        <v>0.118867924528301</v>
      </c>
      <c r="V924">
        <v>0</v>
      </c>
      <c r="W924">
        <v>0</v>
      </c>
      <c r="X924">
        <v>0</v>
      </c>
      <c r="Y924">
        <v>2.4270741249151399E-2</v>
      </c>
      <c r="Z924">
        <v>2.5063131313131301E-2</v>
      </c>
      <c r="AA924">
        <v>0</v>
      </c>
      <c r="AB924">
        <f t="shared" si="98"/>
        <v>1.3813484317439157E-2</v>
      </c>
      <c r="AC924">
        <f t="shared" si="103"/>
        <v>0.1</v>
      </c>
      <c r="AD924">
        <f t="shared" si="99"/>
        <v>0</v>
      </c>
      <c r="AE924">
        <f t="shared" si="104"/>
        <v>1.5194832749183075E-2</v>
      </c>
      <c r="AF924" t="str">
        <f t="shared" si="100"/>
        <v>Very Low</v>
      </c>
      <c r="AG924" t="str">
        <f t="shared" si="101"/>
        <v>NO ACTION</v>
      </c>
      <c r="AH924" t="str">
        <f t="shared" si="102"/>
        <v/>
      </c>
    </row>
    <row r="925" spans="1:34" x14ac:dyDescent="0.3">
      <c r="A925" t="s">
        <v>952</v>
      </c>
      <c r="B925">
        <v>0.12892249527410199</v>
      </c>
      <c r="C925">
        <v>0.18476582604220201</v>
      </c>
      <c r="D925">
        <v>0</v>
      </c>
      <c r="E925">
        <v>0</v>
      </c>
      <c r="F925">
        <v>0</v>
      </c>
      <c r="G925">
        <v>0.99366467772099398</v>
      </c>
      <c r="H925">
        <v>7</v>
      </c>
      <c r="I925">
        <v>7</v>
      </c>
      <c r="J925">
        <v>9.1407852678784401E-2</v>
      </c>
      <c r="K925">
        <v>1.38662316476345E-2</v>
      </c>
      <c r="L925">
        <v>3.8647527666813203E-2</v>
      </c>
      <c r="M925">
        <v>2.0202020202020202E-3</v>
      </c>
      <c r="N925">
        <v>1.3321134299791201E-2</v>
      </c>
      <c r="O925">
        <v>932</v>
      </c>
      <c r="P925">
        <v>7.41442199775533E-2</v>
      </c>
      <c r="Q925">
        <v>7.4301342964339503E-2</v>
      </c>
      <c r="R925">
        <v>0</v>
      </c>
      <c r="S925">
        <v>0</v>
      </c>
      <c r="T925" t="s">
        <v>53</v>
      </c>
      <c r="U925">
        <v>3.6084905660377302E-2</v>
      </c>
      <c r="V925">
        <v>0</v>
      </c>
      <c r="W925">
        <v>0</v>
      </c>
      <c r="X925">
        <v>0</v>
      </c>
      <c r="Y925">
        <v>4.16016746591008E-2</v>
      </c>
      <c r="Z925">
        <v>4.9814985706448399E-2</v>
      </c>
      <c r="AA925">
        <v>0</v>
      </c>
      <c r="AB925">
        <f t="shared" si="98"/>
        <v>2.559666490235378E-2</v>
      </c>
      <c r="AC925">
        <f t="shared" si="103"/>
        <v>0.1</v>
      </c>
      <c r="AD925">
        <f t="shared" si="99"/>
        <v>0</v>
      </c>
      <c r="AE925">
        <f t="shared" si="104"/>
        <v>2.8156331392589159E-2</v>
      </c>
      <c r="AF925" t="str">
        <f t="shared" si="100"/>
        <v>Very Low</v>
      </c>
      <c r="AG925" t="str">
        <f t="shared" si="101"/>
        <v>NO ACTION</v>
      </c>
      <c r="AH925" t="str">
        <f t="shared" si="102"/>
        <v/>
      </c>
    </row>
    <row r="926" spans="1:34" x14ac:dyDescent="0.3">
      <c r="A926" t="s">
        <v>953</v>
      </c>
      <c r="B926">
        <v>0.12892249527410199</v>
      </c>
      <c r="C926">
        <v>0.18476582604220201</v>
      </c>
      <c r="D926">
        <v>0</v>
      </c>
      <c r="E926">
        <v>0</v>
      </c>
      <c r="F926">
        <v>0</v>
      </c>
      <c r="G926">
        <v>0.99364773693263497</v>
      </c>
      <c r="H926">
        <v>7</v>
      </c>
      <c r="I926">
        <v>7</v>
      </c>
      <c r="J926">
        <v>8.1389246696245393E-2</v>
      </c>
      <c r="K926">
        <v>1.1419249592169599E-2</v>
      </c>
      <c r="L926">
        <v>3.5733716404966899E-2</v>
      </c>
      <c r="M926">
        <v>2.3088023088023001E-3</v>
      </c>
      <c r="N926">
        <v>1.70926936561068E-2</v>
      </c>
      <c r="O926">
        <v>865</v>
      </c>
      <c r="P926">
        <v>6.5867003367003296E-2</v>
      </c>
      <c r="Q926">
        <v>6.6026157999929794E-2</v>
      </c>
      <c r="R926">
        <v>0</v>
      </c>
      <c r="S926">
        <v>0</v>
      </c>
      <c r="T926" t="s">
        <v>53</v>
      </c>
      <c r="U926">
        <v>2.6415094339622601E-2</v>
      </c>
      <c r="V926">
        <v>0</v>
      </c>
      <c r="W926">
        <v>0</v>
      </c>
      <c r="X926">
        <v>0</v>
      </c>
      <c r="Y926">
        <v>3.9272515638564598E-2</v>
      </c>
      <c r="Z926">
        <v>4.6357279482644703E-2</v>
      </c>
      <c r="AA926">
        <v>0</v>
      </c>
      <c r="AB926">
        <f t="shared" si="98"/>
        <v>2.3976342633938608E-2</v>
      </c>
      <c r="AC926">
        <f t="shared" si="103"/>
        <v>0.1</v>
      </c>
      <c r="AD926">
        <f t="shared" si="99"/>
        <v>0</v>
      </c>
      <c r="AE926">
        <f t="shared" si="104"/>
        <v>2.6373976897332469E-2</v>
      </c>
      <c r="AF926" t="str">
        <f t="shared" si="100"/>
        <v>Very Low</v>
      </c>
      <c r="AG926" t="str">
        <f t="shared" si="101"/>
        <v>NO ACTION</v>
      </c>
      <c r="AH926" t="str">
        <f t="shared" si="102"/>
        <v/>
      </c>
    </row>
    <row r="927" spans="1:34" x14ac:dyDescent="0.3">
      <c r="A927" t="s">
        <v>954</v>
      </c>
      <c r="B927">
        <v>0.234026465028355</v>
      </c>
      <c r="C927">
        <v>0.76931388884987695</v>
      </c>
      <c r="D927">
        <v>0.36888210024044699</v>
      </c>
      <c r="E927">
        <v>0</v>
      </c>
      <c r="F927">
        <v>0</v>
      </c>
      <c r="G927">
        <v>0.48312984639578499</v>
      </c>
      <c r="H927">
        <v>8</v>
      </c>
      <c r="I927">
        <v>14</v>
      </c>
      <c r="J927">
        <v>7.9671771384953002E-2</v>
      </c>
      <c r="K927">
        <v>1.4681892332789499E-2</v>
      </c>
      <c r="L927">
        <v>4.6930788820476403E-2</v>
      </c>
      <c r="M927">
        <v>1.7316017316017301E-3</v>
      </c>
      <c r="N927">
        <v>1.3095044259223299E-2</v>
      </c>
      <c r="O927">
        <v>786</v>
      </c>
      <c r="P927">
        <v>6.5726711560044906E-2</v>
      </c>
      <c r="Q927">
        <v>6.5885900627651706E-2</v>
      </c>
      <c r="R927">
        <v>0</v>
      </c>
      <c r="S927">
        <v>0</v>
      </c>
      <c r="T927" t="s">
        <v>53</v>
      </c>
      <c r="U927">
        <v>4.3665768194069997E-2</v>
      </c>
      <c r="V927">
        <v>0</v>
      </c>
      <c r="W927">
        <v>0</v>
      </c>
      <c r="X927">
        <v>0.11066463007213399</v>
      </c>
      <c r="Y927">
        <v>4.3328261964995798E-2</v>
      </c>
      <c r="Z927">
        <v>4.46740446397162E-2</v>
      </c>
      <c r="AA927">
        <v>0</v>
      </c>
      <c r="AB927">
        <f t="shared" si="98"/>
        <v>4.23469866608608E-2</v>
      </c>
      <c r="AC927">
        <f t="shared" si="103"/>
        <v>0.1</v>
      </c>
      <c r="AD927">
        <f t="shared" si="99"/>
        <v>0</v>
      </c>
      <c r="AE927">
        <f t="shared" si="104"/>
        <v>4.6581685326946884E-2</v>
      </c>
      <c r="AF927" t="str">
        <f t="shared" si="100"/>
        <v>Very Low</v>
      </c>
      <c r="AG927" t="str">
        <f t="shared" si="101"/>
        <v>NO ACTION</v>
      </c>
      <c r="AH927" t="str">
        <f t="shared" si="102"/>
        <v/>
      </c>
    </row>
    <row r="928" spans="1:34" x14ac:dyDescent="0.3">
      <c r="A928" t="s">
        <v>955</v>
      </c>
      <c r="B928">
        <v>0.12892249527410199</v>
      </c>
      <c r="C928">
        <v>0.55429747812660801</v>
      </c>
      <c r="D928">
        <v>0</v>
      </c>
      <c r="E928">
        <v>0</v>
      </c>
      <c r="F928">
        <v>0</v>
      </c>
      <c r="G928">
        <v>0.99367412495368101</v>
      </c>
      <c r="H928">
        <v>9</v>
      </c>
      <c r="I928">
        <v>9</v>
      </c>
      <c r="J928">
        <v>8.2057153761748006E-2</v>
      </c>
      <c r="K928">
        <v>9.7879282218597003E-3</v>
      </c>
      <c r="L928">
        <v>3.0380317400694901E-2</v>
      </c>
      <c r="M928">
        <v>8.6580086580086504E-4</v>
      </c>
      <c r="N928">
        <v>6.3577388794779999E-3</v>
      </c>
      <c r="O928">
        <v>569</v>
      </c>
      <c r="P928">
        <v>6.4955106621773298E-2</v>
      </c>
      <c r="Q928">
        <v>6.5114485080122006E-2</v>
      </c>
      <c r="R928">
        <v>0</v>
      </c>
      <c r="S928">
        <v>0</v>
      </c>
      <c r="T928" t="s">
        <v>53</v>
      </c>
      <c r="U928">
        <v>5.0943396226415097E-2</v>
      </c>
      <c r="V928">
        <v>0</v>
      </c>
      <c r="W928">
        <v>0</v>
      </c>
      <c r="X928">
        <v>0</v>
      </c>
      <c r="Y928">
        <v>3.3508911116540398E-2</v>
      </c>
      <c r="Z928">
        <v>4.1516159524855101E-2</v>
      </c>
      <c r="AA928">
        <v>0</v>
      </c>
      <c r="AB928">
        <f t="shared" si="98"/>
        <v>2.1007019779590741E-2</v>
      </c>
      <c r="AC928">
        <f t="shared" si="103"/>
        <v>0.1</v>
      </c>
      <c r="AD928">
        <f t="shared" si="99"/>
        <v>0</v>
      </c>
      <c r="AE928">
        <f t="shared" si="104"/>
        <v>2.3107721757549816E-2</v>
      </c>
      <c r="AF928" t="str">
        <f t="shared" si="100"/>
        <v>Very Low</v>
      </c>
      <c r="AG928" t="str">
        <f t="shared" si="101"/>
        <v>NO ACTION</v>
      </c>
      <c r="AH928" t="str">
        <f t="shared" si="102"/>
        <v/>
      </c>
    </row>
    <row r="929" spans="1:34" x14ac:dyDescent="0.3">
      <c r="A929" t="s">
        <v>956</v>
      </c>
      <c r="B929">
        <v>1.51228733459357E-2</v>
      </c>
      <c r="C929">
        <v>0.18476582604220201</v>
      </c>
      <c r="D929">
        <v>0</v>
      </c>
      <c r="E929">
        <v>0</v>
      </c>
      <c r="F929">
        <v>0</v>
      </c>
      <c r="G929">
        <v>0.94272348626028601</v>
      </c>
      <c r="H929">
        <v>7</v>
      </c>
      <c r="I929">
        <v>7</v>
      </c>
      <c r="J929">
        <v>1.1926911883974999E-3</v>
      </c>
      <c r="K929">
        <v>8.1566068515497503E-4</v>
      </c>
      <c r="L929">
        <v>0.14557235421166301</v>
      </c>
      <c r="M929">
        <v>0</v>
      </c>
      <c r="N929">
        <v>0</v>
      </c>
      <c r="O929">
        <v>25</v>
      </c>
      <c r="P929">
        <v>1.2275533108866399E-3</v>
      </c>
      <c r="Q929">
        <v>1.4025737227812999E-3</v>
      </c>
      <c r="R929">
        <v>0</v>
      </c>
      <c r="S929">
        <v>0</v>
      </c>
      <c r="T929" t="s">
        <v>53</v>
      </c>
      <c r="U929">
        <v>1.6981132075471601E-2</v>
      </c>
      <c r="V929">
        <v>0</v>
      </c>
      <c r="W929">
        <v>0</v>
      </c>
      <c r="X929">
        <v>0</v>
      </c>
      <c r="Y929">
        <v>7.3024715343511001E-2</v>
      </c>
      <c r="Z929">
        <v>7.36531986531986E-4</v>
      </c>
      <c r="AA929">
        <v>0</v>
      </c>
      <c r="AB929">
        <f t="shared" si="98"/>
        <v>2.0653149252412038E-2</v>
      </c>
      <c r="AC929">
        <f t="shared" si="103"/>
        <v>0.1</v>
      </c>
      <c r="AD929">
        <f t="shared" si="99"/>
        <v>0</v>
      </c>
      <c r="AE929">
        <f t="shared" si="104"/>
        <v>2.2718464177653244E-2</v>
      </c>
      <c r="AF929" t="str">
        <f t="shared" si="100"/>
        <v>Very Low</v>
      </c>
      <c r="AG929" t="str">
        <f t="shared" si="101"/>
        <v>NO ACTION</v>
      </c>
      <c r="AH929" t="str">
        <f t="shared" si="102"/>
        <v/>
      </c>
    </row>
    <row r="930" spans="1:34" x14ac:dyDescent="0.3">
      <c r="A930" t="s">
        <v>957</v>
      </c>
      <c r="B930">
        <v>0.12892249527410199</v>
      </c>
      <c r="C930">
        <v>0.36953165208440503</v>
      </c>
      <c r="D930">
        <v>0</v>
      </c>
      <c r="E930">
        <v>0</v>
      </c>
      <c r="F930">
        <v>0</v>
      </c>
      <c r="G930">
        <v>0.99367112753141296</v>
      </c>
      <c r="H930">
        <v>8</v>
      </c>
      <c r="I930">
        <v>8</v>
      </c>
      <c r="J930">
        <v>8.0387386097991495E-2</v>
      </c>
      <c r="K930">
        <v>5.7096247960848204E-3</v>
      </c>
      <c r="L930">
        <v>1.8088872416833799E-2</v>
      </c>
      <c r="M930">
        <v>5.7720057720057703E-3</v>
      </c>
      <c r="N930">
        <v>4.3262720185797097E-2</v>
      </c>
      <c r="O930">
        <v>830</v>
      </c>
      <c r="P930">
        <v>6.4358866442199694E-2</v>
      </c>
      <c r="Q930">
        <v>6.4518391247939899E-2</v>
      </c>
      <c r="R930">
        <v>0</v>
      </c>
      <c r="S930">
        <v>0</v>
      </c>
      <c r="T930" t="s">
        <v>53</v>
      </c>
      <c r="U930">
        <v>5.6603773584905596E-3</v>
      </c>
      <c r="V930">
        <v>0</v>
      </c>
      <c r="W930">
        <v>0</v>
      </c>
      <c r="X930">
        <v>0</v>
      </c>
      <c r="Y930">
        <v>3.81007294837543E-2</v>
      </c>
      <c r="Z930">
        <v>5.5920407939638699E-2</v>
      </c>
      <c r="AA930">
        <v>0</v>
      </c>
      <c r="AB930">
        <f t="shared" si="98"/>
        <v>2.6325918478550044E-2</v>
      </c>
      <c r="AC930">
        <f t="shared" si="103"/>
        <v>0.1</v>
      </c>
      <c r="AD930">
        <f t="shared" si="99"/>
        <v>0</v>
      </c>
      <c r="AE930">
        <f t="shared" si="104"/>
        <v>2.8958510326405049E-2</v>
      </c>
      <c r="AF930" t="str">
        <f t="shared" si="100"/>
        <v>Very Low</v>
      </c>
      <c r="AG930" t="str">
        <f t="shared" si="101"/>
        <v>NO ACTION</v>
      </c>
      <c r="AH930" t="str">
        <f t="shared" si="102"/>
        <v/>
      </c>
    </row>
    <row r="931" spans="1:34" x14ac:dyDescent="0.3">
      <c r="A931" t="s">
        <v>958</v>
      </c>
      <c r="B931">
        <v>0.23856332703213601</v>
      </c>
      <c r="C931">
        <v>0.93197628474515803</v>
      </c>
      <c r="D931">
        <v>0.34700322588100002</v>
      </c>
      <c r="E931">
        <v>0</v>
      </c>
      <c r="F931">
        <v>0</v>
      </c>
      <c r="G931">
        <v>0.47149671427942003</v>
      </c>
      <c r="H931">
        <v>9</v>
      </c>
      <c r="I931">
        <v>16</v>
      </c>
      <c r="J931">
        <v>6.7076952435475401E-2</v>
      </c>
      <c r="K931">
        <v>1.2234910277324601E-2</v>
      </c>
      <c r="L931">
        <v>4.6426335503365203E-2</v>
      </c>
      <c r="M931">
        <v>1.1544011544011501E-3</v>
      </c>
      <c r="N931">
        <v>1.0363429782281599E-2</v>
      </c>
      <c r="O931">
        <v>436</v>
      </c>
      <c r="P931">
        <v>5.5134680134680099E-2</v>
      </c>
      <c r="Q931">
        <v>5.5296469020652897E-2</v>
      </c>
      <c r="R931">
        <v>0</v>
      </c>
      <c r="S931">
        <v>0</v>
      </c>
      <c r="T931" t="s">
        <v>53</v>
      </c>
      <c r="U931">
        <v>5.0943396226415097E-2</v>
      </c>
      <c r="V931">
        <v>0</v>
      </c>
      <c r="W931">
        <v>0</v>
      </c>
      <c r="X931">
        <v>0.1041009677643</v>
      </c>
      <c r="Y931">
        <v>3.9737587173462201E-2</v>
      </c>
      <c r="Z931">
        <v>3.7226179993720701E-2</v>
      </c>
      <c r="AA931">
        <v>0</v>
      </c>
      <c r="AB931">
        <f t="shared" si="98"/>
        <v>3.8206009649099211E-2</v>
      </c>
      <c r="AC931">
        <f t="shared" si="103"/>
        <v>0.1</v>
      </c>
      <c r="AD931">
        <f t="shared" si="99"/>
        <v>0</v>
      </c>
      <c r="AE931">
        <f t="shared" si="104"/>
        <v>4.2026610614009134E-2</v>
      </c>
      <c r="AF931" t="str">
        <f t="shared" si="100"/>
        <v>Very Low</v>
      </c>
      <c r="AG931" t="str">
        <f t="shared" si="101"/>
        <v>NO ACTION</v>
      </c>
      <c r="AH931" t="str">
        <f t="shared" si="102"/>
        <v/>
      </c>
    </row>
    <row r="932" spans="1:34" x14ac:dyDescent="0.3">
      <c r="A932" t="s">
        <v>959</v>
      </c>
      <c r="B932">
        <v>0.237807183364839</v>
      </c>
      <c r="C932">
        <v>0.66696668642406398</v>
      </c>
      <c r="D932">
        <v>0.36308469000962701</v>
      </c>
      <c r="E932">
        <v>0</v>
      </c>
      <c r="F932">
        <v>0</v>
      </c>
      <c r="G932">
        <v>0.473378066339535</v>
      </c>
      <c r="H932">
        <v>7</v>
      </c>
      <c r="I932">
        <v>14</v>
      </c>
      <c r="J932">
        <v>6.5741138304470204E-2</v>
      </c>
      <c r="K932">
        <v>1.6313213703099499E-2</v>
      </c>
      <c r="L932">
        <v>6.3155034365146606E-2</v>
      </c>
      <c r="M932">
        <v>2.59740259740259E-3</v>
      </c>
      <c r="N932">
        <v>2.3789803833187701E-2</v>
      </c>
      <c r="O932">
        <v>633</v>
      </c>
      <c r="P932">
        <v>5.66077441077441E-2</v>
      </c>
      <c r="Q932">
        <v>5.6769171429573197E-2</v>
      </c>
      <c r="R932">
        <v>0</v>
      </c>
      <c r="S932">
        <v>0</v>
      </c>
      <c r="T932" t="s">
        <v>53</v>
      </c>
      <c r="U932">
        <v>3.3962264150943298E-2</v>
      </c>
      <c r="V932">
        <v>0</v>
      </c>
      <c r="W932">
        <v>0</v>
      </c>
      <c r="X932">
        <v>0.108925407002888</v>
      </c>
      <c r="Y932">
        <v>5.1862685993423703E-2</v>
      </c>
      <c r="Z932">
        <v>4.34805679979215E-2</v>
      </c>
      <c r="AA932">
        <v>0</v>
      </c>
      <c r="AB932">
        <f t="shared" si="98"/>
        <v>4.4124176238038736E-2</v>
      </c>
      <c r="AC932">
        <f t="shared" si="103"/>
        <v>0.1</v>
      </c>
      <c r="AD932">
        <f t="shared" si="99"/>
        <v>0</v>
      </c>
      <c r="AE932">
        <f t="shared" si="104"/>
        <v>4.8536593861842614E-2</v>
      </c>
      <c r="AF932" t="str">
        <f t="shared" si="100"/>
        <v>Very Low</v>
      </c>
      <c r="AG932" t="str">
        <f t="shared" si="101"/>
        <v>NO ACTION</v>
      </c>
      <c r="AH932" t="str">
        <f t="shared" si="102"/>
        <v/>
      </c>
    </row>
    <row r="933" spans="1:34" x14ac:dyDescent="0.3">
      <c r="A933" t="s">
        <v>960</v>
      </c>
      <c r="B933">
        <v>0.12892249527410199</v>
      </c>
      <c r="C933">
        <v>0.36953165208440503</v>
      </c>
      <c r="D933">
        <v>0</v>
      </c>
      <c r="E933">
        <v>0</v>
      </c>
      <c r="F933">
        <v>0</v>
      </c>
      <c r="G933">
        <v>0.99366360721304103</v>
      </c>
      <c r="H933">
        <v>8</v>
      </c>
      <c r="I933">
        <v>8</v>
      </c>
      <c r="J933">
        <v>7.3708315442965494E-2</v>
      </c>
      <c r="K933">
        <v>1.5497553017944501E-2</v>
      </c>
      <c r="L933">
        <v>5.3533059290740599E-2</v>
      </c>
      <c r="M933">
        <v>4.0404040404040404E-3</v>
      </c>
      <c r="N933">
        <v>3.3019224503095398E-2</v>
      </c>
      <c r="O933">
        <v>819</v>
      </c>
      <c r="P933">
        <v>6.2815656565656505E-2</v>
      </c>
      <c r="Q933">
        <v>6.29755601528805E-2</v>
      </c>
      <c r="R933">
        <v>0</v>
      </c>
      <c r="S933">
        <v>0</v>
      </c>
      <c r="T933" t="s">
        <v>53</v>
      </c>
      <c r="U933">
        <v>2.15094339622641E-2</v>
      </c>
      <c r="V933">
        <v>0</v>
      </c>
      <c r="W933">
        <v>0</v>
      </c>
      <c r="X933">
        <v>0</v>
      </c>
      <c r="Y933">
        <v>5.1413960084891998E-2</v>
      </c>
      <c r="Z933">
        <v>5.08970837406321E-2</v>
      </c>
      <c r="AA933">
        <v>0</v>
      </c>
      <c r="AB933">
        <f t="shared" si="98"/>
        <v>2.864709227114675E-2</v>
      </c>
      <c r="AC933">
        <f t="shared" si="103"/>
        <v>0.1</v>
      </c>
      <c r="AD933">
        <f t="shared" si="99"/>
        <v>0</v>
      </c>
      <c r="AE933">
        <f t="shared" si="104"/>
        <v>3.1511801498261424E-2</v>
      </c>
      <c r="AF933" t="str">
        <f t="shared" si="100"/>
        <v>Very Low</v>
      </c>
      <c r="AG933" t="str">
        <f t="shared" si="101"/>
        <v>NO ACTION</v>
      </c>
      <c r="AH933" t="str">
        <f t="shared" si="102"/>
        <v/>
      </c>
    </row>
    <row r="934" spans="1:34" x14ac:dyDescent="0.3">
      <c r="A934" t="s">
        <v>961</v>
      </c>
      <c r="B934">
        <v>0.124763705103969</v>
      </c>
      <c r="C934">
        <v>0.18476582604220201</v>
      </c>
      <c r="D934">
        <v>0</v>
      </c>
      <c r="E934">
        <v>0</v>
      </c>
      <c r="F934">
        <v>0</v>
      </c>
      <c r="G934">
        <v>0.995577890177891</v>
      </c>
      <c r="H934">
        <v>7</v>
      </c>
      <c r="I934">
        <v>7</v>
      </c>
      <c r="J934">
        <v>8.6398549687514897E-2</v>
      </c>
      <c r="K934">
        <v>1.1419249592169599E-2</v>
      </c>
      <c r="L934">
        <v>3.3667614960847102E-2</v>
      </c>
      <c r="M934">
        <v>1.7316017316017301E-3</v>
      </c>
      <c r="N934">
        <v>1.2078303487995099E-2</v>
      </c>
      <c r="O934">
        <v>885</v>
      </c>
      <c r="P934">
        <v>6.9269079685746304E-2</v>
      </c>
      <c r="Q934">
        <v>6.9427399277674495E-2</v>
      </c>
      <c r="R934">
        <v>0</v>
      </c>
      <c r="S934">
        <v>0</v>
      </c>
      <c r="T934" t="s">
        <v>53</v>
      </c>
      <c r="U934">
        <v>3.3962264150943298E-2</v>
      </c>
      <c r="V934">
        <v>0</v>
      </c>
      <c r="W934">
        <v>0</v>
      </c>
      <c r="X934">
        <v>0</v>
      </c>
      <c r="Y934">
        <v>3.7737008464325102E-2</v>
      </c>
      <c r="Z934">
        <v>4.6392769206645798E-2</v>
      </c>
      <c r="AA934">
        <v>0</v>
      </c>
      <c r="AB934">
        <f t="shared" si="98"/>
        <v>2.3556337747871855E-2</v>
      </c>
      <c r="AC934">
        <f t="shared" si="103"/>
        <v>0.1</v>
      </c>
      <c r="AD934">
        <f t="shared" si="99"/>
        <v>0</v>
      </c>
      <c r="AE934">
        <f t="shared" si="104"/>
        <v>2.5911971522659043E-2</v>
      </c>
      <c r="AF934" t="str">
        <f t="shared" si="100"/>
        <v>Very Low</v>
      </c>
      <c r="AG934" t="str">
        <f t="shared" si="101"/>
        <v>NO ACTION</v>
      </c>
      <c r="AH934" t="str">
        <f t="shared" si="102"/>
        <v/>
      </c>
    </row>
    <row r="935" spans="1:34" x14ac:dyDescent="0.3">
      <c r="A935" t="s">
        <v>962</v>
      </c>
      <c r="B935">
        <v>0.25746691871455502</v>
      </c>
      <c r="C935">
        <v>0.984248903982478</v>
      </c>
      <c r="D935">
        <v>0.38660283551272201</v>
      </c>
      <c r="E935">
        <v>0</v>
      </c>
      <c r="F935">
        <v>1.4598540145985401E-3</v>
      </c>
      <c r="G935">
        <v>0.426067719160241</v>
      </c>
      <c r="H935">
        <v>9</v>
      </c>
      <c r="I935">
        <v>20</v>
      </c>
      <c r="J935">
        <v>9.1073899146033102E-2</v>
      </c>
      <c r="K935">
        <v>1.8760195758564399E-2</v>
      </c>
      <c r="L935">
        <v>5.24790618631387E-2</v>
      </c>
      <c r="M935">
        <v>8.6580086580086504E-4</v>
      </c>
      <c r="N935">
        <v>5.72993707789945E-3</v>
      </c>
      <c r="O935">
        <v>893</v>
      </c>
      <c r="P935">
        <v>7.5441919191919199E-2</v>
      </c>
      <c r="Q935">
        <v>7.5598723657912203E-2</v>
      </c>
      <c r="R935">
        <v>0</v>
      </c>
      <c r="S935">
        <v>0</v>
      </c>
      <c r="T935" t="s">
        <v>53</v>
      </c>
      <c r="U935">
        <v>9.7641509433962201E-2</v>
      </c>
      <c r="V935">
        <v>0</v>
      </c>
      <c r="W935">
        <v>0</v>
      </c>
      <c r="X935">
        <v>0.11656479225965601</v>
      </c>
      <c r="Y935">
        <v>4.6173291884145803E-2</v>
      </c>
      <c r="Z935">
        <v>4.7557126346311297E-2</v>
      </c>
      <c r="AA935">
        <v>0</v>
      </c>
      <c r="AB935">
        <f t="shared" si="98"/>
        <v>4.4894883866072946E-2</v>
      </c>
      <c r="AC935">
        <f t="shared" si="103"/>
        <v>0.1</v>
      </c>
      <c r="AD935">
        <f t="shared" si="99"/>
        <v>0</v>
      </c>
      <c r="AE935">
        <f t="shared" si="104"/>
        <v>4.9384372252680248E-2</v>
      </c>
      <c r="AF935" t="str">
        <f t="shared" si="100"/>
        <v>Very Low</v>
      </c>
      <c r="AG935" t="str">
        <f t="shared" si="101"/>
        <v>NO ACTION</v>
      </c>
      <c r="AH935" t="str">
        <f t="shared" si="102"/>
        <v/>
      </c>
    </row>
    <row r="936" spans="1:34" x14ac:dyDescent="0.3">
      <c r="A936" t="s">
        <v>963</v>
      </c>
      <c r="B936">
        <v>0.231758034026465</v>
      </c>
      <c r="C936">
        <v>0.65940737268222105</v>
      </c>
      <c r="D936">
        <v>0.36047771286715902</v>
      </c>
      <c r="E936">
        <v>0</v>
      </c>
      <c r="F936">
        <v>0</v>
      </c>
      <c r="G936">
        <v>0.48954509341129299</v>
      </c>
      <c r="H936">
        <v>7</v>
      </c>
      <c r="I936">
        <v>14</v>
      </c>
      <c r="J936">
        <v>8.9022470301989398E-2</v>
      </c>
      <c r="K936">
        <v>1.71288743882544E-2</v>
      </c>
      <c r="L936">
        <v>4.9016880359886501E-2</v>
      </c>
      <c r="M936">
        <v>2.59740259740259E-3</v>
      </c>
      <c r="N936">
        <v>1.7584873704595699E-2</v>
      </c>
      <c r="O936">
        <v>974</v>
      </c>
      <c r="P936">
        <v>7.4074074074074001E-2</v>
      </c>
      <c r="Q936">
        <v>7.4231214278200494E-2</v>
      </c>
      <c r="R936">
        <v>0</v>
      </c>
      <c r="S936">
        <v>0</v>
      </c>
      <c r="T936" t="s">
        <v>53</v>
      </c>
      <c r="U936">
        <v>3.5660377358490501E-2</v>
      </c>
      <c r="V936">
        <v>0</v>
      </c>
      <c r="W936">
        <v>0</v>
      </c>
      <c r="X936">
        <v>0.108143313860147</v>
      </c>
      <c r="Y936">
        <v>4.7588396351719797E-2</v>
      </c>
      <c r="Z936">
        <v>5.1478393926282701E-2</v>
      </c>
      <c r="AA936">
        <v>0</v>
      </c>
      <c r="AB936">
        <f t="shared" si="98"/>
        <v>4.5041631495464224E-2</v>
      </c>
      <c r="AC936">
        <f t="shared" si="103"/>
        <v>0.1</v>
      </c>
      <c r="AD936">
        <f t="shared" si="99"/>
        <v>0</v>
      </c>
      <c r="AE936">
        <f t="shared" si="104"/>
        <v>4.9545794645010653E-2</v>
      </c>
      <c r="AF936" t="str">
        <f t="shared" si="100"/>
        <v>Very Low</v>
      </c>
      <c r="AG936" t="str">
        <f t="shared" si="101"/>
        <v>NO ACTION</v>
      </c>
      <c r="AH936" t="str">
        <f t="shared" si="102"/>
        <v/>
      </c>
    </row>
    <row r="937" spans="1:34" x14ac:dyDescent="0.3">
      <c r="A937" t="s">
        <v>964</v>
      </c>
      <c r="B937">
        <v>0.12892249527410199</v>
      </c>
      <c r="C937">
        <v>0.36953165208440503</v>
      </c>
      <c r="D937">
        <v>0</v>
      </c>
      <c r="E937">
        <v>0</v>
      </c>
      <c r="F937">
        <v>0</v>
      </c>
      <c r="G937">
        <v>0.99367409819098296</v>
      </c>
      <c r="H937">
        <v>8</v>
      </c>
      <c r="I937">
        <v>8</v>
      </c>
      <c r="J937">
        <v>7.5950574877152802E-2</v>
      </c>
      <c r="K937">
        <v>1.1419249592169599E-2</v>
      </c>
      <c r="L937">
        <v>3.8284526467688401E-2</v>
      </c>
      <c r="M937">
        <v>3.7518037518037501E-3</v>
      </c>
      <c r="N937">
        <v>2.97583582492787E-2</v>
      </c>
      <c r="O937">
        <v>772</v>
      </c>
      <c r="P937">
        <v>6.2570145903479202E-2</v>
      </c>
      <c r="Q937">
        <v>6.2730109751393801E-2</v>
      </c>
      <c r="R937">
        <v>0</v>
      </c>
      <c r="S937">
        <v>0</v>
      </c>
      <c r="T937" t="s">
        <v>53</v>
      </c>
      <c r="U937">
        <v>1.6981132075471601E-2</v>
      </c>
      <c r="V937">
        <v>0</v>
      </c>
      <c r="W937">
        <v>0</v>
      </c>
      <c r="X937">
        <v>0</v>
      </c>
      <c r="Y937">
        <v>4.3259885684058398E-2</v>
      </c>
      <c r="Z937">
        <v>4.9445430841798997E-2</v>
      </c>
      <c r="AA937">
        <v>0</v>
      </c>
      <c r="AB937">
        <f t="shared" si="98"/>
        <v>2.5957488627240073E-2</v>
      </c>
      <c r="AC937">
        <f t="shared" si="103"/>
        <v>0.1</v>
      </c>
      <c r="AD937">
        <f t="shared" si="99"/>
        <v>0</v>
      </c>
      <c r="AE937">
        <f t="shared" si="104"/>
        <v>2.8553237489964082E-2</v>
      </c>
      <c r="AF937" t="str">
        <f t="shared" si="100"/>
        <v>Very Low</v>
      </c>
      <c r="AG937" t="str">
        <f t="shared" si="101"/>
        <v>NO ACTION</v>
      </c>
      <c r="AH937" t="str">
        <f t="shared" si="102"/>
        <v/>
      </c>
    </row>
    <row r="938" spans="1:34" x14ac:dyDescent="0.3">
      <c r="A938" t="s">
        <v>965</v>
      </c>
      <c r="B938">
        <v>0.26843100189035901</v>
      </c>
      <c r="C938">
        <v>0.63348283214469503</v>
      </c>
      <c r="D938">
        <v>0.383304896327399</v>
      </c>
      <c r="E938">
        <v>0</v>
      </c>
      <c r="F938">
        <v>0</v>
      </c>
      <c r="G938">
        <v>0.40274852514765103</v>
      </c>
      <c r="H938">
        <v>7</v>
      </c>
      <c r="I938">
        <v>14</v>
      </c>
      <c r="J938">
        <v>5.7964791756118503E-2</v>
      </c>
      <c r="K938">
        <v>8.9722675367047301E-3</v>
      </c>
      <c r="L938">
        <v>3.93761285982367E-2</v>
      </c>
      <c r="M938">
        <v>1.1544011544011501E-3</v>
      </c>
      <c r="N938">
        <v>1.1985901166229E-2</v>
      </c>
      <c r="O938">
        <v>581</v>
      </c>
      <c r="P938">
        <v>4.7032828282828197E-2</v>
      </c>
      <c r="Q938">
        <v>4.7196605771590801E-2</v>
      </c>
      <c r="R938">
        <v>0.498525073746312</v>
      </c>
      <c r="S938">
        <v>1</v>
      </c>
      <c r="T938" t="s">
        <v>53</v>
      </c>
      <c r="U938">
        <v>3.7358490566037697E-2</v>
      </c>
      <c r="V938">
        <v>0</v>
      </c>
      <c r="W938">
        <v>0</v>
      </c>
      <c r="X938">
        <v>0.114991468898219</v>
      </c>
      <c r="Y938">
        <v>3.4876793000210703E-2</v>
      </c>
      <c r="Z938">
        <v>3.3014057436188501E-2</v>
      </c>
      <c r="AA938">
        <v>0.498525073746312</v>
      </c>
      <c r="AB938">
        <f t="shared" si="98"/>
        <v>0.17699509379487421</v>
      </c>
      <c r="AC938">
        <f t="shared" si="103"/>
        <v>0.1</v>
      </c>
      <c r="AD938">
        <f t="shared" si="99"/>
        <v>0</v>
      </c>
      <c r="AE938">
        <f t="shared" si="104"/>
        <v>0.19469460317436166</v>
      </c>
      <c r="AF938" t="str">
        <f t="shared" si="100"/>
        <v>Very Low</v>
      </c>
      <c r="AG938" t="str">
        <f t="shared" si="101"/>
        <v>NO ACTION</v>
      </c>
      <c r="AH938" t="str">
        <f t="shared" si="102"/>
        <v/>
      </c>
    </row>
    <row r="939" spans="1:34" x14ac:dyDescent="0.3">
      <c r="A939" t="s">
        <v>966</v>
      </c>
      <c r="B939">
        <v>0.12892249527410199</v>
      </c>
      <c r="C939">
        <v>0.55429747812660801</v>
      </c>
      <c r="D939">
        <v>0</v>
      </c>
      <c r="E939">
        <v>0</v>
      </c>
      <c r="F939">
        <v>0</v>
      </c>
      <c r="G939">
        <v>0.99365215277794205</v>
      </c>
      <c r="H939">
        <v>9</v>
      </c>
      <c r="I939">
        <v>9</v>
      </c>
      <c r="J939">
        <v>6.5168646534039407E-2</v>
      </c>
      <c r="K939">
        <v>6.5252854812398002E-3</v>
      </c>
      <c r="L939">
        <v>2.54831254637484E-2</v>
      </c>
      <c r="M939">
        <v>5.7720057720057698E-4</v>
      </c>
      <c r="N939">
        <v>5.3328954860683503E-3</v>
      </c>
      <c r="O939">
        <v>557</v>
      </c>
      <c r="P939">
        <v>5.0996071829405097E-2</v>
      </c>
      <c r="Q939">
        <v>5.1158876538448E-2</v>
      </c>
      <c r="R939">
        <v>0</v>
      </c>
      <c r="S939">
        <v>0</v>
      </c>
      <c r="T939" t="s">
        <v>53</v>
      </c>
      <c r="U939">
        <v>4.5283018867924497E-2</v>
      </c>
      <c r="V939">
        <v>0</v>
      </c>
      <c r="W939">
        <v>0</v>
      </c>
      <c r="X939">
        <v>0</v>
      </c>
      <c r="Y939">
        <v>2.73751606845026E-2</v>
      </c>
      <c r="Z939">
        <v>3.2730801292070399E-2</v>
      </c>
      <c r="AA939">
        <v>0</v>
      </c>
      <c r="AB939">
        <f t="shared" si="98"/>
        <v>1.6829669353440442E-2</v>
      </c>
      <c r="AC939">
        <f t="shared" si="103"/>
        <v>0.1</v>
      </c>
      <c r="AD939">
        <f t="shared" si="99"/>
        <v>0</v>
      </c>
      <c r="AE939">
        <f t="shared" si="104"/>
        <v>1.8512636288784488E-2</v>
      </c>
      <c r="AF939" t="str">
        <f t="shared" si="100"/>
        <v>Very Low</v>
      </c>
      <c r="AG939" t="str">
        <f t="shared" si="101"/>
        <v>NO ACTION</v>
      </c>
      <c r="AH939" t="str">
        <f t="shared" si="102"/>
        <v/>
      </c>
    </row>
    <row r="940" spans="1:34" x14ac:dyDescent="0.3">
      <c r="A940" t="s">
        <v>967</v>
      </c>
      <c r="B940">
        <v>0.27637051039697502</v>
      </c>
      <c r="C940">
        <v>0.66390006337068996</v>
      </c>
      <c r="D940">
        <v>0.40050298891363401</v>
      </c>
      <c r="E940">
        <v>0</v>
      </c>
      <c r="F940">
        <v>0</v>
      </c>
      <c r="G940">
        <v>0.38674664587430002</v>
      </c>
      <c r="H940">
        <v>7</v>
      </c>
      <c r="I940">
        <v>16</v>
      </c>
      <c r="J940">
        <v>7.1609178951385896E-2</v>
      </c>
      <c r="K940">
        <v>1.0603588907014599E-2</v>
      </c>
      <c r="L940">
        <v>3.7698020014972501E-2</v>
      </c>
      <c r="M940">
        <v>1.2987012987012899E-2</v>
      </c>
      <c r="N940">
        <v>0.109234059433262</v>
      </c>
      <c r="O940">
        <v>626</v>
      </c>
      <c r="P940">
        <v>6.3517115600448898E-2</v>
      </c>
      <c r="Q940">
        <v>6.3676847014271107E-2</v>
      </c>
      <c r="R940">
        <v>0.55899705014749201</v>
      </c>
      <c r="S940">
        <v>1</v>
      </c>
      <c r="T940" t="s">
        <v>53</v>
      </c>
      <c r="U940">
        <v>4.7990155865463404E-3</v>
      </c>
      <c r="V940">
        <v>0</v>
      </c>
      <c r="W940">
        <v>0</v>
      </c>
      <c r="X940">
        <v>0.12015089667409</v>
      </c>
      <c r="Y940">
        <v>6.59410636277422E-2</v>
      </c>
      <c r="Z940">
        <v>8.1803893133574404E-2</v>
      </c>
      <c r="AA940">
        <v>0.55899705014749201</v>
      </c>
      <c r="AB940">
        <f t="shared" si="98"/>
        <v>0.21711190540232084</v>
      </c>
      <c r="AC940">
        <f t="shared" si="103"/>
        <v>0.1</v>
      </c>
      <c r="AD940">
        <f t="shared" si="99"/>
        <v>0</v>
      </c>
      <c r="AE940">
        <f t="shared" si="104"/>
        <v>0.23882309594255294</v>
      </c>
      <c r="AF940" t="str">
        <f t="shared" si="100"/>
        <v>Low</v>
      </c>
      <c r="AG940" t="str">
        <f t="shared" si="101"/>
        <v>NO ACTION</v>
      </c>
      <c r="AH940" t="str">
        <f t="shared" si="102"/>
        <v/>
      </c>
    </row>
    <row r="941" spans="1:34" x14ac:dyDescent="0.3">
      <c r="A941" t="s">
        <v>968</v>
      </c>
      <c r="B941">
        <v>0.12892249527410199</v>
      </c>
      <c r="C941">
        <v>0.27152543131419299</v>
      </c>
      <c r="D941">
        <v>7.4993488433305694E-2</v>
      </c>
      <c r="E941">
        <v>0</v>
      </c>
      <c r="F941">
        <v>0</v>
      </c>
      <c r="G941">
        <v>0.99366168029872604</v>
      </c>
      <c r="H941">
        <v>7</v>
      </c>
      <c r="I941">
        <v>8</v>
      </c>
      <c r="J941">
        <v>7.3994561328180899E-2</v>
      </c>
      <c r="K941">
        <v>9.7879282218597003E-3</v>
      </c>
      <c r="L941">
        <v>3.3679979123520998E-2</v>
      </c>
      <c r="M941">
        <v>6.9264069264069203E-3</v>
      </c>
      <c r="N941">
        <v>5.6386116026218798E-2</v>
      </c>
      <c r="O941">
        <v>805</v>
      </c>
      <c r="P941">
        <v>6.1973905723905702E-2</v>
      </c>
      <c r="Q941">
        <v>6.2134015919211701E-2</v>
      </c>
      <c r="R941">
        <v>0</v>
      </c>
      <c r="S941">
        <v>0</v>
      </c>
      <c r="T941" t="s">
        <v>53</v>
      </c>
      <c r="U941">
        <v>8.1509433962264101E-3</v>
      </c>
      <c r="V941">
        <v>0</v>
      </c>
      <c r="W941">
        <v>0</v>
      </c>
      <c r="X941">
        <v>2.2498046529991701E-2</v>
      </c>
      <c r="Y941">
        <v>4.8554736635262302E-2</v>
      </c>
      <c r="Z941">
        <v>5.97387898448309E-2</v>
      </c>
      <c r="AA941">
        <v>0</v>
      </c>
      <c r="AB941">
        <f t="shared" si="98"/>
        <v>3.3921874859224765E-2</v>
      </c>
      <c r="AC941">
        <f t="shared" si="103"/>
        <v>0.1</v>
      </c>
      <c r="AD941">
        <f t="shared" si="99"/>
        <v>0</v>
      </c>
      <c r="AE941">
        <f t="shared" si="104"/>
        <v>3.7314062345147246E-2</v>
      </c>
      <c r="AF941" t="str">
        <f t="shared" si="100"/>
        <v>Very Low</v>
      </c>
      <c r="AG941" t="str">
        <f t="shared" si="101"/>
        <v>NO ACTION</v>
      </c>
      <c r="AH941" t="str">
        <f t="shared" si="102"/>
        <v/>
      </c>
    </row>
    <row r="942" spans="1:34" x14ac:dyDescent="0.3">
      <c r="A942" t="s">
        <v>969</v>
      </c>
      <c r="B942">
        <v>0.12892249527410199</v>
      </c>
      <c r="C942">
        <v>0.36953165208440503</v>
      </c>
      <c r="D942">
        <v>0</v>
      </c>
      <c r="E942">
        <v>0</v>
      </c>
      <c r="F942">
        <v>0</v>
      </c>
      <c r="G942">
        <v>0.99367259947984798</v>
      </c>
      <c r="H942">
        <v>8</v>
      </c>
      <c r="I942">
        <v>8</v>
      </c>
      <c r="J942">
        <v>8.5396689089260999E-2</v>
      </c>
      <c r="K942">
        <v>2.2022838499184301E-2</v>
      </c>
      <c r="L942">
        <v>6.5690031705541496E-2</v>
      </c>
      <c r="M942">
        <v>4.6176046176046098E-3</v>
      </c>
      <c r="N942">
        <v>3.2585625454706203E-2</v>
      </c>
      <c r="O942">
        <v>927</v>
      </c>
      <c r="P942">
        <v>7.4494949494949503E-2</v>
      </c>
      <c r="Q942">
        <v>7.46519863950348E-2</v>
      </c>
      <c r="R942">
        <v>0</v>
      </c>
      <c r="S942">
        <v>0</v>
      </c>
      <c r="T942" t="s">
        <v>53</v>
      </c>
      <c r="U942">
        <v>2.69700332963374E-2</v>
      </c>
      <c r="V942">
        <v>0</v>
      </c>
      <c r="W942">
        <v>0</v>
      </c>
      <c r="X942">
        <v>0</v>
      </c>
      <c r="Y942">
        <v>5.9700041307034803E-2</v>
      </c>
      <c r="Z942">
        <v>5.7731219878852102E-2</v>
      </c>
      <c r="AA942">
        <v>0</v>
      </c>
      <c r="AB942">
        <f t="shared" si="98"/>
        <v>3.2880753132048336E-2</v>
      </c>
      <c r="AC942">
        <f t="shared" si="103"/>
        <v>0.1</v>
      </c>
      <c r="AD942">
        <f t="shared" si="99"/>
        <v>0</v>
      </c>
      <c r="AE942">
        <f t="shared" si="104"/>
        <v>3.6168828445253175E-2</v>
      </c>
      <c r="AF942" t="str">
        <f t="shared" si="100"/>
        <v>Very Low</v>
      </c>
      <c r="AG942" t="str">
        <f t="shared" si="101"/>
        <v>NO ACTION</v>
      </c>
      <c r="AH942" t="str">
        <f t="shared" si="102"/>
        <v/>
      </c>
    </row>
    <row r="943" spans="1:34" x14ac:dyDescent="0.3">
      <c r="A943" t="s">
        <v>970</v>
      </c>
      <c r="B943">
        <v>0.12892249527410199</v>
      </c>
      <c r="C943">
        <v>0.283307599931377</v>
      </c>
      <c r="D943">
        <v>7.4965657310309297E-2</v>
      </c>
      <c r="E943">
        <v>0</v>
      </c>
      <c r="F943">
        <v>0</v>
      </c>
      <c r="G943">
        <v>0.99367741676563803</v>
      </c>
      <c r="H943">
        <v>7</v>
      </c>
      <c r="I943">
        <v>8</v>
      </c>
      <c r="J943">
        <v>7.1227517771098703E-2</v>
      </c>
      <c r="K943">
        <v>8.9722675367047301E-3</v>
      </c>
      <c r="L943">
        <v>3.2068676161447797E-2</v>
      </c>
      <c r="M943">
        <v>2.3088023088023001E-3</v>
      </c>
      <c r="N943">
        <v>1.9523096692656099E-2</v>
      </c>
      <c r="O943">
        <v>802</v>
      </c>
      <c r="P943">
        <v>5.7344276094276003E-2</v>
      </c>
      <c r="Q943">
        <v>5.7505522634033399E-2</v>
      </c>
      <c r="R943">
        <v>0</v>
      </c>
      <c r="S943">
        <v>0</v>
      </c>
      <c r="T943" t="s">
        <v>53</v>
      </c>
      <c r="U943">
        <v>2.0754716981132001E-2</v>
      </c>
      <c r="V943">
        <v>0</v>
      </c>
      <c r="W943">
        <v>0</v>
      </c>
      <c r="X943">
        <v>2.2489697193092802E-2</v>
      </c>
      <c r="Y943">
        <v>3.6136770642740401E-2</v>
      </c>
      <c r="Z943">
        <v>4.22158043336281E-2</v>
      </c>
      <c r="AA943">
        <v>0</v>
      </c>
      <c r="AB943">
        <f t="shared" si="98"/>
        <v>2.5537072544278033E-2</v>
      </c>
      <c r="AC943">
        <f t="shared" si="103"/>
        <v>0.1</v>
      </c>
      <c r="AD943">
        <f t="shared" si="99"/>
        <v>0</v>
      </c>
      <c r="AE943">
        <f t="shared" si="104"/>
        <v>2.8090779798705837E-2</v>
      </c>
      <c r="AF943" t="str">
        <f t="shared" si="100"/>
        <v>Very Low</v>
      </c>
      <c r="AG943" t="str">
        <f t="shared" si="101"/>
        <v>NO ACTION</v>
      </c>
      <c r="AH943" t="str">
        <f t="shared" si="102"/>
        <v/>
      </c>
    </row>
    <row r="944" spans="1:34" x14ac:dyDescent="0.3">
      <c r="A944" t="s">
        <v>971</v>
      </c>
      <c r="B944">
        <v>0.12892249527410199</v>
      </c>
      <c r="C944">
        <v>0.36953165208440503</v>
      </c>
      <c r="D944">
        <v>0</v>
      </c>
      <c r="E944">
        <v>0</v>
      </c>
      <c r="F944">
        <v>0</v>
      </c>
      <c r="G944">
        <v>0.99365413321765605</v>
      </c>
      <c r="H944">
        <v>8</v>
      </c>
      <c r="I944">
        <v>8</v>
      </c>
      <c r="J944">
        <v>6.5311769476647102E-2</v>
      </c>
      <c r="K944">
        <v>4.8939641109298502E-3</v>
      </c>
      <c r="L944">
        <v>1.90706140888641E-2</v>
      </c>
      <c r="M944">
        <v>5.7720057720057698E-4</v>
      </c>
      <c r="N944">
        <v>5.3212516094612097E-3</v>
      </c>
      <c r="O944">
        <v>697</v>
      </c>
      <c r="P944">
        <v>5.0399831649831597E-2</v>
      </c>
      <c r="Q944">
        <v>5.0562782706265998E-2</v>
      </c>
      <c r="R944">
        <v>0</v>
      </c>
      <c r="S944">
        <v>0</v>
      </c>
      <c r="T944" t="s">
        <v>53</v>
      </c>
      <c r="U944">
        <v>3.3962264150943298E-2</v>
      </c>
      <c r="V944">
        <v>0</v>
      </c>
      <c r="W944">
        <v>0</v>
      </c>
      <c r="X944">
        <v>0</v>
      </c>
      <c r="Y944">
        <v>2.4194036422599801E-2</v>
      </c>
      <c r="Z944">
        <v>3.2368399633683403E-2</v>
      </c>
      <c r="AA944">
        <v>0</v>
      </c>
      <c r="AB944">
        <f t="shared" si="98"/>
        <v>1.5837482095759296E-2</v>
      </c>
      <c r="AC944">
        <f t="shared" si="103"/>
        <v>0.1</v>
      </c>
      <c r="AD944">
        <f t="shared" si="99"/>
        <v>0</v>
      </c>
      <c r="AE944">
        <f t="shared" si="104"/>
        <v>1.7421230305335229E-2</v>
      </c>
      <c r="AF944" t="str">
        <f t="shared" si="100"/>
        <v>Very Low</v>
      </c>
      <c r="AG944" t="str">
        <f t="shared" si="101"/>
        <v>NO ACTION</v>
      </c>
      <c r="AH944" t="str">
        <f t="shared" si="102"/>
        <v/>
      </c>
    </row>
    <row r="945" spans="1:34" x14ac:dyDescent="0.3">
      <c r="A945" t="s">
        <v>972</v>
      </c>
      <c r="B945">
        <v>0.12892249527410199</v>
      </c>
      <c r="C945">
        <v>0.36953165208440503</v>
      </c>
      <c r="D945">
        <v>0</v>
      </c>
      <c r="E945">
        <v>0</v>
      </c>
      <c r="F945">
        <v>0</v>
      </c>
      <c r="G945">
        <v>0.99368913882772503</v>
      </c>
      <c r="H945">
        <v>8</v>
      </c>
      <c r="I945">
        <v>8</v>
      </c>
      <c r="J945">
        <v>6.5502600066790706E-2</v>
      </c>
      <c r="K945">
        <v>8.1566068515497494E-3</v>
      </c>
      <c r="L945">
        <v>3.1692094530841E-2</v>
      </c>
      <c r="M945">
        <v>5.1948051948051896E-3</v>
      </c>
      <c r="N945">
        <v>4.7752247752247699E-2</v>
      </c>
      <c r="O945">
        <v>695</v>
      </c>
      <c r="P945">
        <v>5.4187710437710403E-2</v>
      </c>
      <c r="Q945">
        <v>5.43497317577755E-2</v>
      </c>
      <c r="R945">
        <v>0.199115044247787</v>
      </c>
      <c r="S945">
        <v>1</v>
      </c>
      <c r="T945" t="s">
        <v>53</v>
      </c>
      <c r="U945">
        <v>8.9374379344587807E-3</v>
      </c>
      <c r="V945">
        <v>0</v>
      </c>
      <c r="W945">
        <v>0</v>
      </c>
      <c r="X945">
        <v>0</v>
      </c>
      <c r="Y945">
        <v>4.32722416044529E-2</v>
      </c>
      <c r="Z945">
        <v>5.1613525363525301E-2</v>
      </c>
      <c r="AA945">
        <v>0.199115044247787</v>
      </c>
      <c r="AB945">
        <f t="shared" si="98"/>
        <v>8.2320227140414259E-2</v>
      </c>
      <c r="AC945">
        <f t="shared" si="103"/>
        <v>0.1</v>
      </c>
      <c r="AD945">
        <f t="shared" si="99"/>
        <v>0</v>
      </c>
      <c r="AE945">
        <f t="shared" si="104"/>
        <v>9.0552249854455688E-2</v>
      </c>
      <c r="AF945" t="str">
        <f t="shared" si="100"/>
        <v>Very Low</v>
      </c>
      <c r="AG945" t="str">
        <f t="shared" si="101"/>
        <v>NO ACTION</v>
      </c>
      <c r="AH945" t="str">
        <f t="shared" si="102"/>
        <v/>
      </c>
    </row>
    <row r="946" spans="1:34" x14ac:dyDescent="0.3">
      <c r="A946" t="s">
        <v>973</v>
      </c>
      <c r="B946">
        <v>0.240075614366729</v>
      </c>
      <c r="C946">
        <v>0.79486894489830195</v>
      </c>
      <c r="D946">
        <v>0.38620689501848099</v>
      </c>
      <c r="E946">
        <v>0</v>
      </c>
      <c r="F946">
        <v>0</v>
      </c>
      <c r="G946">
        <v>0.467487288721182</v>
      </c>
      <c r="H946">
        <v>8</v>
      </c>
      <c r="I946">
        <v>16</v>
      </c>
      <c r="J946">
        <v>7.0511903058060196E-2</v>
      </c>
      <c r="K946">
        <v>9.7879282218597003E-3</v>
      </c>
      <c r="L946">
        <v>3.5337860766148803E-2</v>
      </c>
      <c r="M946">
        <v>1.44300144300144E-3</v>
      </c>
      <c r="N946">
        <v>1.23253535256232E-2</v>
      </c>
      <c r="O946">
        <v>805</v>
      </c>
      <c r="P946">
        <v>5.6748035914702497E-2</v>
      </c>
      <c r="Q946">
        <v>5.6909428801851299E-2</v>
      </c>
      <c r="R946">
        <v>0.58259587020648895</v>
      </c>
      <c r="S946">
        <v>1</v>
      </c>
      <c r="T946" t="s">
        <v>53</v>
      </c>
      <c r="U946">
        <v>3.3962264150943298E-2</v>
      </c>
      <c r="V946">
        <v>0</v>
      </c>
      <c r="W946">
        <v>0</v>
      </c>
      <c r="X946">
        <v>0.11586206850554399</v>
      </c>
      <c r="Y946">
        <v>3.54689170523734E-2</v>
      </c>
      <c r="Z946">
        <v>3.8978962959070801E-2</v>
      </c>
      <c r="AA946">
        <v>0.58259587020648895</v>
      </c>
      <c r="AB946">
        <f t="shared" si="98"/>
        <v>0.20251018102190835</v>
      </c>
      <c r="AC946">
        <f t="shared" si="103"/>
        <v>0.1</v>
      </c>
      <c r="AD946">
        <f t="shared" si="99"/>
        <v>0</v>
      </c>
      <c r="AE946">
        <f t="shared" si="104"/>
        <v>0.2227611991240992</v>
      </c>
      <c r="AF946" t="str">
        <f t="shared" si="100"/>
        <v>Low</v>
      </c>
      <c r="AG946" t="str">
        <f t="shared" si="101"/>
        <v>NO ACTION</v>
      </c>
      <c r="AH946" t="str">
        <f t="shared" si="102"/>
        <v/>
      </c>
    </row>
    <row r="947" spans="1:34" x14ac:dyDescent="0.3">
      <c r="A947" t="s">
        <v>974</v>
      </c>
      <c r="B947">
        <v>7.5992438563327006E-2</v>
      </c>
      <c r="C947">
        <v>0.36953165208440503</v>
      </c>
      <c r="D947">
        <v>0</v>
      </c>
      <c r="E947">
        <v>0</v>
      </c>
      <c r="F947">
        <v>0</v>
      </c>
      <c r="G947">
        <v>0.98215320029067299</v>
      </c>
      <c r="H947">
        <v>8</v>
      </c>
      <c r="I947">
        <v>8</v>
      </c>
      <c r="J947">
        <v>1.4598540145985399E-2</v>
      </c>
      <c r="K947">
        <v>8.1566068515497503E-4</v>
      </c>
      <c r="L947">
        <v>1.40423492808678E-2</v>
      </c>
      <c r="M947">
        <v>8.6580086580086504E-4</v>
      </c>
      <c r="N947">
        <v>3.5263985746300797E-2</v>
      </c>
      <c r="O947">
        <v>216</v>
      </c>
      <c r="P947">
        <v>1.1503928170594801E-2</v>
      </c>
      <c r="Q947">
        <v>1.16764262421543E-2</v>
      </c>
      <c r="R947">
        <v>0</v>
      </c>
      <c r="S947">
        <v>0</v>
      </c>
      <c r="T947" t="s">
        <v>53</v>
      </c>
      <c r="U947">
        <v>4.2452830188679201E-3</v>
      </c>
      <c r="V947">
        <v>0</v>
      </c>
      <c r="W947">
        <v>0</v>
      </c>
      <c r="X947">
        <v>0</v>
      </c>
      <c r="Y947">
        <v>2.0520078393521199E-2</v>
      </c>
      <c r="Z947">
        <v>2.1007951200877201E-2</v>
      </c>
      <c r="AA947">
        <v>0</v>
      </c>
      <c r="AB947">
        <f t="shared" si="98"/>
        <v>1.1627848286431552E-2</v>
      </c>
      <c r="AC947">
        <f t="shared" si="103"/>
        <v>0.1</v>
      </c>
      <c r="AD947">
        <f t="shared" si="99"/>
        <v>0</v>
      </c>
      <c r="AE947">
        <f t="shared" si="104"/>
        <v>1.2790633115074708E-2</v>
      </c>
      <c r="AF947" t="str">
        <f t="shared" si="100"/>
        <v>Very Low</v>
      </c>
      <c r="AG947" t="str">
        <f t="shared" si="101"/>
        <v>NO ACTION</v>
      </c>
      <c r="AH947" t="str">
        <f t="shared" si="102"/>
        <v/>
      </c>
    </row>
    <row r="948" spans="1:34" x14ac:dyDescent="0.3">
      <c r="A948" t="s">
        <v>975</v>
      </c>
      <c r="B948">
        <v>0.172778827977315</v>
      </c>
      <c r="C948">
        <v>0.45009115541300099</v>
      </c>
      <c r="D948">
        <v>0.293445863616008</v>
      </c>
      <c r="E948">
        <v>0</v>
      </c>
      <c r="F948">
        <v>0</v>
      </c>
      <c r="G948">
        <v>0.70586350719146296</v>
      </c>
      <c r="H948">
        <v>7</v>
      </c>
      <c r="I948">
        <v>14</v>
      </c>
      <c r="J948">
        <v>5.6915223510328697E-2</v>
      </c>
      <c r="K948">
        <v>4.0783034257748704E-3</v>
      </c>
      <c r="L948">
        <v>1.8226922480592201E-2</v>
      </c>
      <c r="M948">
        <v>5.7720057720057698E-4</v>
      </c>
      <c r="N948">
        <v>6.1030047674454999E-3</v>
      </c>
      <c r="O948">
        <v>497</v>
      </c>
      <c r="P948">
        <v>4.3876262626262597E-2</v>
      </c>
      <c r="Q948">
        <v>4.4040814895332903E-2</v>
      </c>
      <c r="R948">
        <v>0</v>
      </c>
      <c r="S948">
        <v>0</v>
      </c>
      <c r="T948" t="s">
        <v>53</v>
      </c>
      <c r="U948">
        <v>2.83018867924528E-2</v>
      </c>
      <c r="V948">
        <v>0</v>
      </c>
      <c r="W948">
        <v>0</v>
      </c>
      <c r="X948">
        <v>8.8033759084802404E-2</v>
      </c>
      <c r="Y948">
        <v>2.2327407372595399E-2</v>
      </c>
      <c r="Z948">
        <v>2.87669594827357E-2</v>
      </c>
      <c r="AA948">
        <v>0</v>
      </c>
      <c r="AB948">
        <f t="shared" si="98"/>
        <v>2.8391824173061096E-2</v>
      </c>
      <c r="AC948">
        <f t="shared" si="103"/>
        <v>0.1</v>
      </c>
      <c r="AD948">
        <f t="shared" si="99"/>
        <v>0</v>
      </c>
      <c r="AE948">
        <f t="shared" si="104"/>
        <v>3.1231006590367209E-2</v>
      </c>
      <c r="AF948" t="str">
        <f t="shared" si="100"/>
        <v>Very Low</v>
      </c>
      <c r="AG948" t="str">
        <f t="shared" si="101"/>
        <v>NO ACTION</v>
      </c>
      <c r="AH948" t="str">
        <f t="shared" si="102"/>
        <v/>
      </c>
    </row>
    <row r="949" spans="1:34" x14ac:dyDescent="0.3">
      <c r="A949" t="s">
        <v>976</v>
      </c>
      <c r="B949">
        <v>0.14366729678638901</v>
      </c>
      <c r="C949">
        <v>0.362314237004631</v>
      </c>
      <c r="D949">
        <v>0.38795824631110698</v>
      </c>
      <c r="E949">
        <v>0.59317129629629595</v>
      </c>
      <c r="F949">
        <v>9.6354166666666602E-2</v>
      </c>
      <c r="G949">
        <v>0.877372118483153</v>
      </c>
      <c r="H949">
        <v>0</v>
      </c>
      <c r="I949">
        <v>23</v>
      </c>
      <c r="J949">
        <v>9.7514431563379605E-2</v>
      </c>
      <c r="K949">
        <v>3.6704730831973897E-2</v>
      </c>
      <c r="L949">
        <v>9.5911507167274299E-2</v>
      </c>
      <c r="M949">
        <v>4.0404040404040404E-3</v>
      </c>
      <c r="N949">
        <v>2.4977939472815E-2</v>
      </c>
      <c r="O949">
        <v>981</v>
      </c>
      <c r="P949">
        <v>8.9436026936026897E-2</v>
      </c>
      <c r="Q949">
        <v>8.95893965426557E-2</v>
      </c>
      <c r="R949">
        <v>0.43805309734513198</v>
      </c>
      <c r="S949">
        <v>1</v>
      </c>
      <c r="T949" t="s">
        <v>28</v>
      </c>
      <c r="U949">
        <v>5.0943396226415097E-2</v>
      </c>
      <c r="V949">
        <v>0</v>
      </c>
      <c r="W949">
        <v>0.30158208685791399</v>
      </c>
      <c r="X949">
        <v>0.33288052944888702</v>
      </c>
      <c r="Y949">
        <v>7.4952021738157598E-2</v>
      </c>
      <c r="Z949">
        <v>6.3652791950742096E-2</v>
      </c>
      <c r="AA949">
        <v>0.43805309734513198</v>
      </c>
      <c r="AB949">
        <f t="shared" si="98"/>
        <v>0.21472509980135079</v>
      </c>
      <c r="AC949">
        <f t="shared" si="103"/>
        <v>0.25</v>
      </c>
      <c r="AD949">
        <f t="shared" si="99"/>
        <v>0.05</v>
      </c>
      <c r="AE949">
        <f t="shared" si="104"/>
        <v>0.27914262974175602</v>
      </c>
      <c r="AF949" t="str">
        <f t="shared" si="100"/>
        <v>Low</v>
      </c>
      <c r="AG949" t="str">
        <f t="shared" si="101"/>
        <v>NO ACTION</v>
      </c>
      <c r="AH949" t="str">
        <f t="shared" si="102"/>
        <v/>
      </c>
    </row>
    <row r="950" spans="1:34" x14ac:dyDescent="0.3">
      <c r="A950" t="s">
        <v>977</v>
      </c>
      <c r="B950">
        <v>0.229111531190926</v>
      </c>
      <c r="C950">
        <v>0.65304118188031002</v>
      </c>
      <c r="D950">
        <v>0.36642088236792703</v>
      </c>
      <c r="E950">
        <v>0</v>
      </c>
      <c r="F950">
        <v>0</v>
      </c>
      <c r="G950">
        <v>0.49685363523875897</v>
      </c>
      <c r="H950">
        <v>7</v>
      </c>
      <c r="I950">
        <v>14</v>
      </c>
      <c r="J950">
        <v>8.1961738466676204E-2</v>
      </c>
      <c r="K950">
        <v>1.6313213703099499E-2</v>
      </c>
      <c r="L950">
        <v>5.0692636405686498E-2</v>
      </c>
      <c r="M950">
        <v>1.7316017316017301E-3</v>
      </c>
      <c r="N950">
        <v>1.2730237454555499E-2</v>
      </c>
      <c r="O950">
        <v>919</v>
      </c>
      <c r="P950">
        <v>6.8111672278338906E-2</v>
      </c>
      <c r="Q950">
        <v>6.8270275956379897E-2</v>
      </c>
      <c r="R950">
        <v>0</v>
      </c>
      <c r="S950">
        <v>0</v>
      </c>
      <c r="T950" t="s">
        <v>53</v>
      </c>
      <c r="U950">
        <v>4.8517520215633402E-2</v>
      </c>
      <c r="V950">
        <v>0</v>
      </c>
      <c r="W950">
        <v>0</v>
      </c>
      <c r="X950">
        <v>0.109926264710378</v>
      </c>
      <c r="Y950">
        <v>4.5557737132545101E-2</v>
      </c>
      <c r="Z950">
        <v>4.59590983488255E-2</v>
      </c>
      <c r="AA950">
        <v>0</v>
      </c>
      <c r="AB950">
        <f t="shared" si="98"/>
        <v>4.3212916288444252E-2</v>
      </c>
      <c r="AC950">
        <f t="shared" si="103"/>
        <v>0.1</v>
      </c>
      <c r="AD950">
        <f t="shared" si="99"/>
        <v>0</v>
      </c>
      <c r="AE950">
        <f t="shared" si="104"/>
        <v>4.7534207917288678E-2</v>
      </c>
      <c r="AF950" t="str">
        <f t="shared" si="100"/>
        <v>Very Low</v>
      </c>
      <c r="AG950" t="str">
        <f t="shared" si="101"/>
        <v>NO ACTION</v>
      </c>
      <c r="AH950" t="str">
        <f t="shared" si="102"/>
        <v/>
      </c>
    </row>
    <row r="951" spans="1:34" x14ac:dyDescent="0.3">
      <c r="A951" t="s">
        <v>978</v>
      </c>
      <c r="B951">
        <v>0.12892249527410199</v>
      </c>
      <c r="C951">
        <v>0.36953165208440503</v>
      </c>
      <c r="D951">
        <v>0</v>
      </c>
      <c r="E951">
        <v>0</v>
      </c>
      <c r="F951">
        <v>0</v>
      </c>
      <c r="G951">
        <v>0.99367120781950902</v>
      </c>
      <c r="H951">
        <v>8</v>
      </c>
      <c r="I951">
        <v>8</v>
      </c>
      <c r="J951">
        <v>7.5855159582081E-2</v>
      </c>
      <c r="K951">
        <v>1.71288743882544E-2</v>
      </c>
      <c r="L951">
        <v>5.7498798215264997E-2</v>
      </c>
      <c r="M951">
        <v>2.3088023088023001E-3</v>
      </c>
      <c r="N951">
        <v>1.8335798649278201E-2</v>
      </c>
      <c r="O951">
        <v>841</v>
      </c>
      <c r="P951">
        <v>6.4253647586980905E-2</v>
      </c>
      <c r="Q951">
        <v>6.4413198218731302E-2</v>
      </c>
      <c r="R951">
        <v>0</v>
      </c>
      <c r="S951">
        <v>0</v>
      </c>
      <c r="T951" t="s">
        <v>53</v>
      </c>
      <c r="U951">
        <v>3.9622641509433898E-2</v>
      </c>
      <c r="V951">
        <v>0</v>
      </c>
      <c r="W951">
        <v>0</v>
      </c>
      <c r="X951">
        <v>0</v>
      </c>
      <c r="Y951">
        <v>4.9421170618832201E-2</v>
      </c>
      <c r="Z951">
        <v>4.58865080118998E-2</v>
      </c>
      <c r="AA951">
        <v>0</v>
      </c>
      <c r="AB951">
        <f t="shared" si="98"/>
        <v>2.6686150016604966E-2</v>
      </c>
      <c r="AC951">
        <f t="shared" si="103"/>
        <v>0.1</v>
      </c>
      <c r="AD951">
        <f t="shared" si="99"/>
        <v>0</v>
      </c>
      <c r="AE951">
        <f t="shared" si="104"/>
        <v>2.9354765018265463E-2</v>
      </c>
      <c r="AF951" t="str">
        <f t="shared" si="100"/>
        <v>Very Low</v>
      </c>
      <c r="AG951" t="str">
        <f t="shared" si="101"/>
        <v>NO ACTION</v>
      </c>
      <c r="AH951" t="str">
        <f t="shared" si="102"/>
        <v/>
      </c>
    </row>
    <row r="952" spans="1:34" x14ac:dyDescent="0.3">
      <c r="A952" t="s">
        <v>979</v>
      </c>
      <c r="B952">
        <v>0.12892249527410199</v>
      </c>
      <c r="C952">
        <v>0.27473875002797099</v>
      </c>
      <c r="D952">
        <v>7.5107235637207503E-2</v>
      </c>
      <c r="E952">
        <v>0</v>
      </c>
      <c r="F952">
        <v>0</v>
      </c>
      <c r="G952">
        <v>0.99366339311145102</v>
      </c>
      <c r="H952">
        <v>7</v>
      </c>
      <c r="I952">
        <v>8</v>
      </c>
      <c r="J952">
        <v>7.9862601975096606E-2</v>
      </c>
      <c r="K952">
        <v>2.0391517128874301E-2</v>
      </c>
      <c r="L952">
        <v>6.5026364299432496E-2</v>
      </c>
      <c r="M952">
        <v>8.6580086580086504E-4</v>
      </c>
      <c r="N952">
        <v>6.5319235063130204E-3</v>
      </c>
      <c r="O952">
        <v>792</v>
      </c>
      <c r="P952">
        <v>6.7901234567901203E-2</v>
      </c>
      <c r="Q952">
        <v>6.8059889897962703E-2</v>
      </c>
      <c r="R952">
        <v>0</v>
      </c>
      <c r="S952">
        <v>0</v>
      </c>
      <c r="T952" t="s">
        <v>53</v>
      </c>
      <c r="U952">
        <v>0.10613207547169801</v>
      </c>
      <c r="V952">
        <v>0</v>
      </c>
      <c r="W952">
        <v>0</v>
      </c>
      <c r="X952">
        <v>2.2532170691162201E-2</v>
      </c>
      <c r="Y952">
        <v>5.0445279596629498E-2</v>
      </c>
      <c r="Z952">
        <v>4.3353510143265897E-2</v>
      </c>
      <c r="AA952">
        <v>0</v>
      </c>
      <c r="AB952">
        <f t="shared" si="98"/>
        <v>2.9868808437756661E-2</v>
      </c>
      <c r="AC952">
        <f t="shared" si="103"/>
        <v>0.1</v>
      </c>
      <c r="AD952">
        <f t="shared" si="99"/>
        <v>0</v>
      </c>
      <c r="AE952">
        <f t="shared" si="104"/>
        <v>3.2855689281532333E-2</v>
      </c>
      <c r="AF952" t="str">
        <f t="shared" si="100"/>
        <v>Very Low</v>
      </c>
      <c r="AG952" t="str">
        <f t="shared" si="101"/>
        <v>NO ACTION</v>
      </c>
      <c r="AH952" t="str">
        <f t="shared" si="102"/>
        <v/>
      </c>
    </row>
    <row r="953" spans="1:34" x14ac:dyDescent="0.3">
      <c r="A953" t="s">
        <v>980</v>
      </c>
      <c r="B953">
        <v>0.12892249527410199</v>
      </c>
      <c r="C953">
        <v>0.18476582604220201</v>
      </c>
      <c r="D953">
        <v>0</v>
      </c>
      <c r="E953">
        <v>0</v>
      </c>
      <c r="F953">
        <v>0</v>
      </c>
      <c r="G953">
        <v>0.99366181411221999</v>
      </c>
      <c r="H953">
        <v>7</v>
      </c>
      <c r="I953">
        <v>7</v>
      </c>
      <c r="J953">
        <v>8.7925194408663698E-2</v>
      </c>
      <c r="K953">
        <v>1.1419249592169599E-2</v>
      </c>
      <c r="L953">
        <v>3.30846259571961E-2</v>
      </c>
      <c r="M953">
        <v>2.3088023088023001E-3</v>
      </c>
      <c r="N953">
        <v>1.5825540500865098E-2</v>
      </c>
      <c r="O953">
        <v>856</v>
      </c>
      <c r="P953">
        <v>7.0671997755331104E-2</v>
      </c>
      <c r="Q953">
        <v>7.0829973000455806E-2</v>
      </c>
      <c r="R953">
        <v>0</v>
      </c>
      <c r="S953">
        <v>0</v>
      </c>
      <c r="T953" t="s">
        <v>53</v>
      </c>
      <c r="U953">
        <v>2.6415094339622601E-2</v>
      </c>
      <c r="V953">
        <v>0</v>
      </c>
      <c r="W953">
        <v>0</v>
      </c>
      <c r="X953">
        <v>0</v>
      </c>
      <c r="Y953">
        <v>3.8875014010590299E-2</v>
      </c>
      <c r="Z953">
        <v>4.8733414853544703E-2</v>
      </c>
      <c r="AA953">
        <v>0</v>
      </c>
      <c r="AB953">
        <f t="shared" si="98"/>
        <v>2.4530360081957803E-2</v>
      </c>
      <c r="AC953">
        <f t="shared" si="103"/>
        <v>0.1</v>
      </c>
      <c r="AD953">
        <f t="shared" si="99"/>
        <v>0</v>
      </c>
      <c r="AE953">
        <f t="shared" si="104"/>
        <v>2.6983396090153586E-2</v>
      </c>
      <c r="AF953" t="str">
        <f t="shared" si="100"/>
        <v>Very Low</v>
      </c>
      <c r="AG953" t="str">
        <f t="shared" si="101"/>
        <v>NO ACTION</v>
      </c>
      <c r="AH953" t="str">
        <f t="shared" si="102"/>
        <v/>
      </c>
    </row>
    <row r="954" spans="1:34" x14ac:dyDescent="0.3">
      <c r="A954" t="s">
        <v>981</v>
      </c>
      <c r="B954">
        <v>0.12892249527410199</v>
      </c>
      <c r="C954">
        <v>0.27313209067108202</v>
      </c>
      <c r="D954">
        <v>7.5061757440099602E-2</v>
      </c>
      <c r="E954">
        <v>0</v>
      </c>
      <c r="F954">
        <v>0</v>
      </c>
      <c r="G954">
        <v>0.99365994072330199</v>
      </c>
      <c r="H954">
        <v>7</v>
      </c>
      <c r="I954">
        <v>8</v>
      </c>
      <c r="J954">
        <v>6.3403463575211094E-2</v>
      </c>
      <c r="K954">
        <v>7.34094616639478E-3</v>
      </c>
      <c r="L954">
        <v>2.9463669892915299E-2</v>
      </c>
      <c r="M954">
        <v>2.59740259740259E-3</v>
      </c>
      <c r="N954">
        <v>2.4663642204871501E-2</v>
      </c>
      <c r="O954">
        <v>721</v>
      </c>
      <c r="P954">
        <v>5.1031144781144698E-2</v>
      </c>
      <c r="Q954">
        <v>5.1193940881517498E-2</v>
      </c>
      <c r="R954">
        <v>0</v>
      </c>
      <c r="S954">
        <v>0</v>
      </c>
      <c r="T954" t="s">
        <v>53</v>
      </c>
      <c r="U954">
        <v>1.52830188679245E-2</v>
      </c>
      <c r="V954">
        <v>0</v>
      </c>
      <c r="W954">
        <v>0</v>
      </c>
      <c r="X954">
        <v>2.2518527232029802E-2</v>
      </c>
      <c r="Y954">
        <v>3.4811620322961298E-2</v>
      </c>
      <c r="Z954">
        <v>4.0484143750635498E-2</v>
      </c>
      <c r="AA954">
        <v>0</v>
      </c>
      <c r="AB954">
        <f t="shared" si="98"/>
        <v>2.4685778297731872E-2</v>
      </c>
      <c r="AC954">
        <f t="shared" si="103"/>
        <v>0.1</v>
      </c>
      <c r="AD954">
        <f t="shared" si="99"/>
        <v>0</v>
      </c>
      <c r="AE954">
        <f t="shared" si="104"/>
        <v>2.7154356127505063E-2</v>
      </c>
      <c r="AF954" t="str">
        <f t="shared" si="100"/>
        <v>Very Low</v>
      </c>
      <c r="AG954" t="str">
        <f t="shared" si="101"/>
        <v>NO ACTION</v>
      </c>
      <c r="AH954" t="str">
        <f t="shared" si="102"/>
        <v/>
      </c>
    </row>
    <row r="955" spans="1:34" x14ac:dyDescent="0.3">
      <c r="A955" t="s">
        <v>982</v>
      </c>
      <c r="B955">
        <v>0.12892249527410199</v>
      </c>
      <c r="C955">
        <v>0.36953165208440503</v>
      </c>
      <c r="D955">
        <v>0</v>
      </c>
      <c r="E955">
        <v>0</v>
      </c>
      <c r="F955">
        <v>0</v>
      </c>
      <c r="G955">
        <v>0.99368070857759305</v>
      </c>
      <c r="H955">
        <v>8</v>
      </c>
      <c r="I955">
        <v>8</v>
      </c>
      <c r="J955">
        <v>8.7686656170984201E-2</v>
      </c>
      <c r="K955">
        <v>1.2234910277324601E-2</v>
      </c>
      <c r="L955">
        <v>3.55439823088705E-2</v>
      </c>
      <c r="M955">
        <v>2.0202020202020202E-3</v>
      </c>
      <c r="N955">
        <v>1.3884915349918E-2</v>
      </c>
      <c r="O955">
        <v>888</v>
      </c>
      <c r="P955">
        <v>7.0707070707070704E-2</v>
      </c>
      <c r="Q955">
        <v>7.0865037343525297E-2</v>
      </c>
      <c r="R955">
        <v>0</v>
      </c>
      <c r="S955">
        <v>0</v>
      </c>
      <c r="T955" t="s">
        <v>53</v>
      </c>
      <c r="U955">
        <v>3.1839622641509399E-2</v>
      </c>
      <c r="V955">
        <v>0</v>
      </c>
      <c r="W955">
        <v>0</v>
      </c>
      <c r="X955">
        <v>0</v>
      </c>
      <c r="Y955">
        <v>3.9474796993607501E-2</v>
      </c>
      <c r="Z955">
        <v>4.7978208564209597E-2</v>
      </c>
      <c r="AA955">
        <v>0</v>
      </c>
      <c r="AB955">
        <f t="shared" si="98"/>
        <v>2.4486841556188792E-2</v>
      </c>
      <c r="AC955">
        <f t="shared" si="103"/>
        <v>0.1</v>
      </c>
      <c r="AD955">
        <f t="shared" si="99"/>
        <v>0</v>
      </c>
      <c r="AE955">
        <f t="shared" si="104"/>
        <v>2.6935525711807674E-2</v>
      </c>
      <c r="AF955" t="str">
        <f t="shared" si="100"/>
        <v>Very Low</v>
      </c>
      <c r="AG955" t="str">
        <f t="shared" si="101"/>
        <v>NO ACTION</v>
      </c>
      <c r="AH955" t="str">
        <f t="shared" si="102"/>
        <v/>
      </c>
    </row>
    <row r="956" spans="1:34" x14ac:dyDescent="0.3">
      <c r="A956" t="s">
        <v>983</v>
      </c>
      <c r="B956">
        <v>0.13875236294896001</v>
      </c>
      <c r="C956">
        <v>0.188749994797829</v>
      </c>
      <c r="D956">
        <v>0.28574375898142501</v>
      </c>
      <c r="E956">
        <v>0.49116501946690599</v>
      </c>
      <c r="F956">
        <v>5.1212938005390798E-2</v>
      </c>
      <c r="G956">
        <v>0.91341736121924799</v>
      </c>
      <c r="H956">
        <v>0</v>
      </c>
      <c r="I956">
        <v>22</v>
      </c>
      <c r="J956">
        <v>8.9499546777348393E-2</v>
      </c>
      <c r="K956">
        <v>1.7944535073409401E-2</v>
      </c>
      <c r="L956">
        <v>5.1078019021636098E-2</v>
      </c>
      <c r="M956">
        <v>4.0404040404040404E-3</v>
      </c>
      <c r="N956">
        <v>2.72088240190313E-2</v>
      </c>
      <c r="O956">
        <v>989</v>
      </c>
      <c r="P956">
        <v>7.54769921436588E-2</v>
      </c>
      <c r="Q956">
        <v>7.5633788000981805E-2</v>
      </c>
      <c r="R956">
        <v>0.29351032448377501</v>
      </c>
      <c r="S956">
        <v>1</v>
      </c>
      <c r="T956" t="s">
        <v>53</v>
      </c>
      <c r="U956">
        <v>2.4905660377358401E-2</v>
      </c>
      <c r="V956">
        <v>0</v>
      </c>
      <c r="W956">
        <v>8.5364649916114393E-2</v>
      </c>
      <c r="X956">
        <v>0.25355780873665501</v>
      </c>
      <c r="Y956">
        <v>5.1601566071997097E-2</v>
      </c>
      <c r="Z956">
        <v>5.6169724893807803E-2</v>
      </c>
      <c r="AA956">
        <v>0.29351032448377501</v>
      </c>
      <c r="AB956">
        <f t="shared" si="98"/>
        <v>0.15292810172374721</v>
      </c>
      <c r="AC956">
        <f t="shared" si="103"/>
        <v>0.1</v>
      </c>
      <c r="AD956">
        <f t="shared" si="99"/>
        <v>0</v>
      </c>
      <c r="AE956">
        <f t="shared" si="104"/>
        <v>0.16822091189612196</v>
      </c>
      <c r="AF956" t="str">
        <f t="shared" si="100"/>
        <v>Very Low</v>
      </c>
      <c r="AG956" t="str">
        <f t="shared" si="101"/>
        <v>NO ACTION</v>
      </c>
      <c r="AH956" t="str">
        <f t="shared" si="102"/>
        <v/>
      </c>
    </row>
    <row r="957" spans="1:34" x14ac:dyDescent="0.3">
      <c r="A957" t="s">
        <v>984</v>
      </c>
      <c r="B957">
        <v>0.12892249527410199</v>
      </c>
      <c r="C957">
        <v>0.36953165208440503</v>
      </c>
      <c r="D957">
        <v>0</v>
      </c>
      <c r="E957">
        <v>0</v>
      </c>
      <c r="F957">
        <v>0</v>
      </c>
      <c r="G957">
        <v>0.993675784241009</v>
      </c>
      <c r="H957">
        <v>8</v>
      </c>
      <c r="I957">
        <v>8</v>
      </c>
      <c r="J957">
        <v>7.6666189590191294E-2</v>
      </c>
      <c r="K957">
        <v>1.2234910277324601E-2</v>
      </c>
      <c r="L957">
        <v>4.0637443793578303E-2</v>
      </c>
      <c r="M957">
        <v>2.8860028860028799E-3</v>
      </c>
      <c r="N957">
        <v>2.2678038807071001E-2</v>
      </c>
      <c r="O957">
        <v>514</v>
      </c>
      <c r="P957">
        <v>6.3026094276094194E-2</v>
      </c>
      <c r="Q957">
        <v>6.3185946211297694E-2</v>
      </c>
      <c r="R957">
        <v>0</v>
      </c>
      <c r="S957">
        <v>0</v>
      </c>
      <c r="T957" t="s">
        <v>53</v>
      </c>
      <c r="U957">
        <v>2.3156089193824999E-2</v>
      </c>
      <c r="V957">
        <v>0</v>
      </c>
      <c r="W957">
        <v>0</v>
      </c>
      <c r="X957">
        <v>0</v>
      </c>
      <c r="Y957">
        <v>4.24553714569487E-2</v>
      </c>
      <c r="Z957">
        <v>4.6886872088485E-2</v>
      </c>
      <c r="AA957">
        <v>0</v>
      </c>
      <c r="AB957">
        <f t="shared" si="98"/>
        <v>2.501582819272144E-2</v>
      </c>
      <c r="AC957">
        <f t="shared" si="103"/>
        <v>0.1</v>
      </c>
      <c r="AD957">
        <f t="shared" si="99"/>
        <v>0</v>
      </c>
      <c r="AE957">
        <f t="shared" si="104"/>
        <v>2.7517411011993585E-2</v>
      </c>
      <c r="AF957" t="str">
        <f t="shared" si="100"/>
        <v>Very Low</v>
      </c>
      <c r="AG957" t="str">
        <f t="shared" si="101"/>
        <v>NO ACTION</v>
      </c>
      <c r="AH957" t="str">
        <f t="shared" si="102"/>
        <v/>
      </c>
    </row>
    <row r="958" spans="1:34" x14ac:dyDescent="0.3">
      <c r="A958" t="s">
        <v>985</v>
      </c>
      <c r="B958">
        <v>0.12892249527410199</v>
      </c>
      <c r="C958">
        <v>0.36953165208440503</v>
      </c>
      <c r="D958">
        <v>0</v>
      </c>
      <c r="E958">
        <v>0</v>
      </c>
      <c r="F958">
        <v>0</v>
      </c>
      <c r="G958">
        <v>0.99367899576486896</v>
      </c>
      <c r="H958">
        <v>8</v>
      </c>
      <c r="I958">
        <v>8</v>
      </c>
      <c r="J958">
        <v>6.3880540050570103E-2</v>
      </c>
      <c r="K958">
        <v>6.4437194127242997E-2</v>
      </c>
      <c r="L958">
        <v>0.25670124961431601</v>
      </c>
      <c r="M958">
        <v>6.63780663780663E-3</v>
      </c>
      <c r="N958">
        <v>6.25603397924826E-2</v>
      </c>
      <c r="O958">
        <v>640</v>
      </c>
      <c r="P958">
        <v>7.7897025813692497E-2</v>
      </c>
      <c r="Q958">
        <v>7.8053227672779502E-2</v>
      </c>
      <c r="R958">
        <v>0</v>
      </c>
      <c r="S958">
        <v>0</v>
      </c>
      <c r="T958" t="s">
        <v>53</v>
      </c>
      <c r="U958">
        <v>5.5896226415094299E-2</v>
      </c>
      <c r="V958">
        <v>0</v>
      </c>
      <c r="W958">
        <v>0</v>
      </c>
      <c r="X958">
        <v>0</v>
      </c>
      <c r="Y958">
        <v>0.15989483475501701</v>
      </c>
      <c r="Z958">
        <v>7.1762351405208494E-2</v>
      </c>
      <c r="AA958">
        <v>0</v>
      </c>
      <c r="AB958">
        <f t="shared" si="98"/>
        <v>6.4864012124863146E-2</v>
      </c>
      <c r="AC958">
        <f t="shared" si="103"/>
        <v>0.1</v>
      </c>
      <c r="AD958">
        <f t="shared" si="99"/>
        <v>0</v>
      </c>
      <c r="AE958">
        <f t="shared" si="104"/>
        <v>7.1350413337349469E-2</v>
      </c>
      <c r="AF958" t="str">
        <f t="shared" si="100"/>
        <v>Very Low</v>
      </c>
      <c r="AG958" t="str">
        <f t="shared" si="101"/>
        <v>NO ACTION</v>
      </c>
      <c r="AH958" t="str">
        <f t="shared" si="102"/>
        <v/>
      </c>
    </row>
    <row r="959" spans="1:34" x14ac:dyDescent="0.3">
      <c r="A959" t="s">
        <v>986</v>
      </c>
      <c r="B959">
        <v>0.25633270321361001</v>
      </c>
      <c r="C959">
        <v>0.74827450370757198</v>
      </c>
      <c r="D959">
        <v>0.34008270876563801</v>
      </c>
      <c r="E959">
        <v>0</v>
      </c>
      <c r="F959">
        <v>0</v>
      </c>
      <c r="G959">
        <v>0.428397010173724</v>
      </c>
      <c r="H959">
        <v>8</v>
      </c>
      <c r="I959">
        <v>15</v>
      </c>
      <c r="J959">
        <v>6.3594294165354698E-2</v>
      </c>
      <c r="K959">
        <v>7.34094616639478E-3</v>
      </c>
      <c r="L959">
        <v>2.9375587172757098E-2</v>
      </c>
      <c r="M959">
        <v>1.7316017316017301E-3</v>
      </c>
      <c r="N959">
        <v>1.6393272895514999E-2</v>
      </c>
      <c r="O959">
        <v>720</v>
      </c>
      <c r="P959">
        <v>5.0750561167227801E-2</v>
      </c>
      <c r="Q959">
        <v>5.0913426136961301E-2</v>
      </c>
      <c r="R959">
        <v>0.87758112094395202</v>
      </c>
      <c r="S959">
        <v>1</v>
      </c>
      <c r="T959" t="s">
        <v>53</v>
      </c>
      <c r="U959">
        <v>2.1832884097034998E-2</v>
      </c>
      <c r="V959">
        <v>0</v>
      </c>
      <c r="W959">
        <v>0</v>
      </c>
      <c r="X959">
        <v>0.102024812629691</v>
      </c>
      <c r="Y959">
        <v>3.2324634288103997E-2</v>
      </c>
      <c r="Z959">
        <v>3.7007645858542701E-2</v>
      </c>
      <c r="AA959">
        <v>0.87758112094395202</v>
      </c>
      <c r="AB959">
        <f t="shared" si="98"/>
        <v>0.28145972232611821</v>
      </c>
      <c r="AC959">
        <f t="shared" si="103"/>
        <v>0.1</v>
      </c>
      <c r="AD959">
        <f t="shared" si="99"/>
        <v>0</v>
      </c>
      <c r="AE959">
        <f t="shared" si="104"/>
        <v>0.30960569455873005</v>
      </c>
      <c r="AF959" t="str">
        <f t="shared" si="100"/>
        <v>Low</v>
      </c>
      <c r="AG959" t="str">
        <f t="shared" si="101"/>
        <v>NO ACTION</v>
      </c>
      <c r="AH959" t="str">
        <f t="shared" si="102"/>
        <v/>
      </c>
    </row>
    <row r="960" spans="1:34" x14ac:dyDescent="0.3">
      <c r="A960" t="s">
        <v>987</v>
      </c>
      <c r="B960">
        <v>0.12892249527410199</v>
      </c>
      <c r="C960">
        <v>0.18476582604220201</v>
      </c>
      <c r="D960">
        <v>0</v>
      </c>
      <c r="E960">
        <v>0</v>
      </c>
      <c r="F960">
        <v>0</v>
      </c>
      <c r="G960">
        <v>0.99366631024562302</v>
      </c>
      <c r="H960">
        <v>7</v>
      </c>
      <c r="I960">
        <v>7</v>
      </c>
      <c r="J960">
        <v>8.1580077286388997E-2</v>
      </c>
      <c r="K960">
        <v>7.34094616639478E-3</v>
      </c>
      <c r="L960">
        <v>2.2918096581427998E-2</v>
      </c>
      <c r="M960">
        <v>0</v>
      </c>
      <c r="N960">
        <v>0</v>
      </c>
      <c r="O960">
        <v>471</v>
      </c>
      <c r="P960">
        <v>6.3131313131313094E-2</v>
      </c>
      <c r="Q960">
        <v>6.3291139240506306E-2</v>
      </c>
      <c r="R960">
        <v>0</v>
      </c>
      <c r="S960">
        <v>0</v>
      </c>
      <c r="T960" t="s">
        <v>53</v>
      </c>
      <c r="U960">
        <v>0.152830188679245</v>
      </c>
      <c r="V960">
        <v>0</v>
      </c>
      <c r="W960">
        <v>0</v>
      </c>
      <c r="X960">
        <v>0</v>
      </c>
      <c r="Y960">
        <v>2.77750637479918E-2</v>
      </c>
      <c r="Z960">
        <v>3.7878787878787797E-2</v>
      </c>
      <c r="AA960">
        <v>0</v>
      </c>
      <c r="AB960">
        <f t="shared" si="98"/>
        <v>1.8383078455498289E-2</v>
      </c>
      <c r="AC960">
        <f t="shared" si="103"/>
        <v>0.1</v>
      </c>
      <c r="AD960">
        <f t="shared" si="99"/>
        <v>0</v>
      </c>
      <c r="AE960">
        <f t="shared" si="104"/>
        <v>2.0221386301048118E-2</v>
      </c>
      <c r="AF960" t="str">
        <f t="shared" si="100"/>
        <v>Very Low</v>
      </c>
      <c r="AG960" t="str">
        <f t="shared" si="101"/>
        <v>NO ACTION</v>
      </c>
      <c r="AH960" t="str">
        <f t="shared" si="102"/>
        <v/>
      </c>
    </row>
    <row r="961" spans="1:34" x14ac:dyDescent="0.3">
      <c r="A961" t="s">
        <v>988</v>
      </c>
      <c r="B961">
        <v>0.109640831758034</v>
      </c>
      <c r="C961">
        <v>0.62468445947601803</v>
      </c>
      <c r="D961">
        <v>0.39837359024565999</v>
      </c>
      <c r="E961">
        <v>0</v>
      </c>
      <c r="F961">
        <v>0</v>
      </c>
      <c r="G961">
        <v>0.43030293426065802</v>
      </c>
      <c r="H961">
        <v>7</v>
      </c>
      <c r="I961">
        <v>16</v>
      </c>
      <c r="J961">
        <v>1.4026048375554601E-2</v>
      </c>
      <c r="K961">
        <v>1.6313213703099501E-3</v>
      </c>
      <c r="L961">
        <v>2.9211843654514302E-2</v>
      </c>
      <c r="M961">
        <v>1.1544011544011501E-3</v>
      </c>
      <c r="N961">
        <v>4.8905683688292297E-2</v>
      </c>
      <c r="O961">
        <v>173</v>
      </c>
      <c r="P961">
        <v>1.1574074074074001E-2</v>
      </c>
      <c r="Q961">
        <v>1.17465549282934E-2</v>
      </c>
      <c r="R961">
        <v>0</v>
      </c>
      <c r="S961">
        <v>0</v>
      </c>
      <c r="T961" t="s">
        <v>53</v>
      </c>
      <c r="U961">
        <v>6.7924528301886696E-3</v>
      </c>
      <c r="V961">
        <v>0</v>
      </c>
      <c r="W961">
        <v>0</v>
      </c>
      <c r="X961">
        <v>0.119512077073698</v>
      </c>
      <c r="Y961">
        <v>3.2082836608855698E-2</v>
      </c>
      <c r="Z961">
        <v>2.6506717919761301E-2</v>
      </c>
      <c r="AA961">
        <v>0</v>
      </c>
      <c r="AB961">
        <f t="shared" si="98"/>
        <v>3.5527007599804449E-2</v>
      </c>
      <c r="AC961">
        <f t="shared" si="103"/>
        <v>0.1</v>
      </c>
      <c r="AD961">
        <f t="shared" si="99"/>
        <v>0</v>
      </c>
      <c r="AE961">
        <f t="shared" si="104"/>
        <v>3.9079708359784894E-2</v>
      </c>
      <c r="AF961" t="str">
        <f t="shared" si="100"/>
        <v>Very Low</v>
      </c>
      <c r="AG961" t="str">
        <f t="shared" si="101"/>
        <v>NO ACTION</v>
      </c>
      <c r="AH961" t="str">
        <f t="shared" si="102"/>
        <v/>
      </c>
    </row>
    <row r="962" spans="1:34" x14ac:dyDescent="0.3">
      <c r="A962" t="s">
        <v>989</v>
      </c>
      <c r="B962">
        <v>0.12892249527410199</v>
      </c>
      <c r="C962">
        <v>0.18476582604220201</v>
      </c>
      <c r="D962">
        <v>0</v>
      </c>
      <c r="E962">
        <v>0</v>
      </c>
      <c r="F962">
        <v>0</v>
      </c>
      <c r="G962">
        <v>0.99366245641699202</v>
      </c>
      <c r="H962">
        <v>7</v>
      </c>
      <c r="I962">
        <v>7</v>
      </c>
      <c r="J962">
        <v>8.4585659081150705E-2</v>
      </c>
      <c r="K962">
        <v>8.1566068515497494E-3</v>
      </c>
      <c r="L962">
        <v>2.4562264490156801E-2</v>
      </c>
      <c r="M962">
        <v>2.59740259740259E-3</v>
      </c>
      <c r="N962">
        <v>1.8504667436051E-2</v>
      </c>
      <c r="O962">
        <v>803</v>
      </c>
      <c r="P962">
        <v>6.6954264870931507E-2</v>
      </c>
      <c r="Q962">
        <v>6.7113152635085299E-2</v>
      </c>
      <c r="R962">
        <v>0</v>
      </c>
      <c r="S962">
        <v>0</v>
      </c>
      <c r="T962" t="s">
        <v>53</v>
      </c>
      <c r="U962">
        <v>1.6981132075471601E-2</v>
      </c>
      <c r="V962">
        <v>0</v>
      </c>
      <c r="W962">
        <v>0</v>
      </c>
      <c r="X962">
        <v>0</v>
      </c>
      <c r="Y962">
        <v>3.4749664292123797E-2</v>
      </c>
      <c r="Z962">
        <v>4.75744258969793E-2</v>
      </c>
      <c r="AA962">
        <v>0</v>
      </c>
      <c r="AB962">
        <f t="shared" si="98"/>
        <v>2.3050745252948868E-2</v>
      </c>
      <c r="AC962">
        <f t="shared" si="103"/>
        <v>0.1</v>
      </c>
      <c r="AD962">
        <f t="shared" si="99"/>
        <v>0</v>
      </c>
      <c r="AE962">
        <f t="shared" si="104"/>
        <v>2.5355819778243756E-2</v>
      </c>
      <c r="AF962" t="str">
        <f t="shared" si="100"/>
        <v>Very Low</v>
      </c>
      <c r="AG962" t="str">
        <f t="shared" si="101"/>
        <v>NO ACTION</v>
      </c>
      <c r="AH962" t="str">
        <f t="shared" si="102"/>
        <v/>
      </c>
    </row>
    <row r="963" spans="1:34" x14ac:dyDescent="0.3">
      <c r="A963" t="s">
        <v>990</v>
      </c>
      <c r="B963">
        <v>0.2351606805293</v>
      </c>
      <c r="C963">
        <v>0.92884673251567396</v>
      </c>
      <c r="D963">
        <v>0.34699839225239698</v>
      </c>
      <c r="E963">
        <v>0</v>
      </c>
      <c r="F963">
        <v>0</v>
      </c>
      <c r="G963">
        <v>0.480297153669279</v>
      </c>
      <c r="H963">
        <v>9</v>
      </c>
      <c r="I963">
        <v>15</v>
      </c>
      <c r="J963">
        <v>6.4166785935785495E-2</v>
      </c>
      <c r="K963">
        <v>7.34094616639478E-3</v>
      </c>
      <c r="L963">
        <v>2.9114470842332599E-2</v>
      </c>
      <c r="M963">
        <v>8.6580086580086504E-4</v>
      </c>
      <c r="N963">
        <v>8.1237774571107802E-3</v>
      </c>
      <c r="O963">
        <v>719</v>
      </c>
      <c r="P963">
        <v>5.0750561167227801E-2</v>
      </c>
      <c r="Q963">
        <v>5.0913426136961301E-2</v>
      </c>
      <c r="R963">
        <v>0.27876106194690198</v>
      </c>
      <c r="S963">
        <v>1</v>
      </c>
      <c r="T963" t="s">
        <v>53</v>
      </c>
      <c r="U963">
        <v>3.8207547169811298E-2</v>
      </c>
      <c r="V963">
        <v>0</v>
      </c>
      <c r="W963">
        <v>0</v>
      </c>
      <c r="X963">
        <v>0.104099517675719</v>
      </c>
      <c r="Y963">
        <v>2.98277258454566E-2</v>
      </c>
      <c r="Z963">
        <v>3.3699847683181003E-2</v>
      </c>
      <c r="AA963">
        <v>0.27876106194690198</v>
      </c>
      <c r="AB963">
        <f t="shared" ref="AB963:AB1001" si="105">0.16*X963 + 0.28*Y963 + 0.28*Z963 + 0.28*AA963</f>
        <v>0.11249674076126613</v>
      </c>
      <c r="AC963">
        <f t="shared" si="103"/>
        <v>0.1</v>
      </c>
      <c r="AD963">
        <f t="shared" ref="AD963:AD1001" si="106">IF(V963&gt;0.7, 0.1,
 IF(F963&gt;0.5, 0.08,
 IF(E963&gt;0.5, 0.05,
 0)))</f>
        <v>0</v>
      </c>
      <c r="AE963">
        <f t="shared" si="104"/>
        <v>0.12374641483739275</v>
      </c>
      <c r="AF963" t="str">
        <f t="shared" ref="AF963:AF1001" si="107">IF(MAX(X963, Y963, Z963, AA963)&gt;0.9,
 "Critical",
 IF(AE963&lt;=0.2,"Very Low",
 IF(AE963&lt;=0.4,"Low",
 IF(AE963&lt;=0.6,"Medium",
 IF(AE963&lt;=0.8,"High","Critical")))))</f>
        <v>Very Low</v>
      </c>
      <c r="AG963" t="str">
        <f t="shared" ref="AG963:AG1001" si="108">IF(MAX(X963:AA963)&gt;0.9,"CRITICAL ALERT",
 IF(AE963&gt;0.8,"CRITICAL ALERT",
 IF(AE963&gt;0.6,"ALERT",
 IF(AE963&gt;=0.4,"REVIEW","NO ACTION"))))</f>
        <v>NO ACTION</v>
      </c>
      <c r="AH963" t="str">
        <f t="shared" ref="AH963:AH1001" si="109">IF(AG963="NO ACTION","",
 IF(_xlfn.TEXTJOIN(", ", TRUE,
  IF(X963&gt;0.7,"Login anomaly",""),
  IF(Y963&gt;0.7,"File anomaly",""),
  IF(Z963&gt;0.7,"Network anomaly",""),
  IF(AA963&gt;0.7,"USB anomaly","")
 )="",
 "General anomaly detected",
 _xlfn.TEXTJOIN(", ", TRUE,
  IF(X963&gt;0.7,"Login anomaly",""),
  IF(Y963&gt;0.7,"File anomaly",""),
  IF(Z963&gt;0.7,"Network anomaly",""),
  IF(AA963&gt;0.7,"USB anomaly","")
 )))</f>
        <v/>
      </c>
    </row>
    <row r="964" spans="1:34" x14ac:dyDescent="0.3">
      <c r="A964" t="s">
        <v>991</v>
      </c>
      <c r="B964">
        <v>0.12892249527410199</v>
      </c>
      <c r="C964">
        <v>0.27420319690900702</v>
      </c>
      <c r="D964">
        <v>7.50946055673926E-2</v>
      </c>
      <c r="E964">
        <v>0</v>
      </c>
      <c r="F964">
        <v>0</v>
      </c>
      <c r="G964">
        <v>0.99366384807733099</v>
      </c>
      <c r="H964">
        <v>7</v>
      </c>
      <c r="I964">
        <v>8</v>
      </c>
      <c r="J964">
        <v>6.3928247698105997E-2</v>
      </c>
      <c r="K964">
        <v>8.9722675367047301E-3</v>
      </c>
      <c r="L964">
        <v>3.5716637092824299E-2</v>
      </c>
      <c r="M964">
        <v>5.7720057720057698E-4</v>
      </c>
      <c r="N964">
        <v>5.4359849155388102E-3</v>
      </c>
      <c r="O964">
        <v>434</v>
      </c>
      <c r="P964">
        <v>5.1136363636363598E-2</v>
      </c>
      <c r="Q964">
        <v>5.1299133910726102E-2</v>
      </c>
      <c r="R964">
        <v>0</v>
      </c>
      <c r="S964">
        <v>0</v>
      </c>
      <c r="T964" t="s">
        <v>53</v>
      </c>
      <c r="U964">
        <v>6.2264150943396199E-2</v>
      </c>
      <c r="V964">
        <v>0</v>
      </c>
      <c r="W964">
        <v>0</v>
      </c>
      <c r="X964">
        <v>2.2528381670217701E-2</v>
      </c>
      <c r="Y964">
        <v>3.2274763560695002E-2</v>
      </c>
      <c r="Z964">
        <v>3.2856212148033699E-2</v>
      </c>
      <c r="AA964">
        <v>0</v>
      </c>
      <c r="AB964">
        <f t="shared" si="105"/>
        <v>2.1841214265678869E-2</v>
      </c>
      <c r="AC964">
        <f t="shared" ref="AC964:AC1001" si="110">IF(T964="IT_Admin", 0.25, IF(AND(T964="HR", AA964&gt;0.6), 0.25, IF(AND(T964="General", Z964&gt;0.7), 0.2, 0.1)))</f>
        <v>0.1</v>
      </c>
      <c r="AD964">
        <f t="shared" si="106"/>
        <v>0</v>
      </c>
      <c r="AE964">
        <f t="shared" ref="AE964:AE1001" si="111">MIN(1,AB964*(1+AC964+AD964))</f>
        <v>2.4025335692246758E-2</v>
      </c>
      <c r="AF964" t="str">
        <f t="shared" si="107"/>
        <v>Very Low</v>
      </c>
      <c r="AG964" t="str">
        <f t="shared" si="108"/>
        <v>NO ACTION</v>
      </c>
      <c r="AH964" t="str">
        <f t="shared" si="109"/>
        <v/>
      </c>
    </row>
    <row r="965" spans="1:34" x14ac:dyDescent="0.3">
      <c r="A965" t="s">
        <v>992</v>
      </c>
      <c r="B965">
        <v>0.22873345935727701</v>
      </c>
      <c r="C965">
        <v>0.91412058105937</v>
      </c>
      <c r="D965">
        <v>0.345002260491658</v>
      </c>
      <c r="E965">
        <v>0</v>
      </c>
      <c r="F965">
        <v>0</v>
      </c>
      <c r="G965">
        <v>0.49769352607237899</v>
      </c>
      <c r="H965">
        <v>9</v>
      </c>
      <c r="I965">
        <v>15</v>
      </c>
      <c r="J965">
        <v>7.8192834311340095E-2</v>
      </c>
      <c r="K965">
        <v>2.4469820554649199E-3</v>
      </c>
      <c r="L965">
        <v>7.9692894641421302E-3</v>
      </c>
      <c r="M965">
        <v>0</v>
      </c>
      <c r="N965">
        <v>0</v>
      </c>
      <c r="O965">
        <v>543</v>
      </c>
      <c r="P965">
        <v>5.85367564534231E-2</v>
      </c>
      <c r="Q965">
        <v>5.8697710298397501E-2</v>
      </c>
      <c r="R965">
        <v>0</v>
      </c>
      <c r="S965">
        <v>0</v>
      </c>
      <c r="T965" t="s">
        <v>53</v>
      </c>
      <c r="U965">
        <v>5.0943396226415097E-2</v>
      </c>
      <c r="V965">
        <v>0</v>
      </c>
      <c r="W965">
        <v>0</v>
      </c>
      <c r="X965">
        <v>0.103500678147497</v>
      </c>
      <c r="Y965">
        <v>1.9623211594339E-2</v>
      </c>
      <c r="Z965">
        <v>3.5122053872053798E-2</v>
      </c>
      <c r="AA965">
        <v>0</v>
      </c>
      <c r="AB965">
        <f t="shared" si="105"/>
        <v>3.1888782834189507E-2</v>
      </c>
      <c r="AC965">
        <f t="shared" si="110"/>
        <v>0.1</v>
      </c>
      <c r="AD965">
        <f t="shared" si="106"/>
        <v>0</v>
      </c>
      <c r="AE965">
        <f t="shared" si="111"/>
        <v>3.5077661117608461E-2</v>
      </c>
      <c r="AF965" t="str">
        <f t="shared" si="107"/>
        <v>Very Low</v>
      </c>
      <c r="AG965" t="str">
        <f t="shared" si="108"/>
        <v>NO ACTION</v>
      </c>
      <c r="AH965" t="str">
        <f t="shared" si="109"/>
        <v/>
      </c>
    </row>
    <row r="966" spans="1:34" x14ac:dyDescent="0.3">
      <c r="A966" t="s">
        <v>993</v>
      </c>
      <c r="B966">
        <v>0.23024574669187101</v>
      </c>
      <c r="C966">
        <v>0.65918900742952202</v>
      </c>
      <c r="D966">
        <v>0.36565569397293002</v>
      </c>
      <c r="E966">
        <v>0</v>
      </c>
      <c r="F966">
        <v>0</v>
      </c>
      <c r="G966">
        <v>0.49366473725703502</v>
      </c>
      <c r="H966">
        <v>7</v>
      </c>
      <c r="I966">
        <v>14</v>
      </c>
      <c r="J966">
        <v>7.5568913696865594E-2</v>
      </c>
      <c r="K966">
        <v>9.7879282218597003E-3</v>
      </c>
      <c r="L966">
        <v>3.2980520777972699E-2</v>
      </c>
      <c r="M966">
        <v>2.3088023088023001E-3</v>
      </c>
      <c r="N966">
        <v>1.8405033886468702E-2</v>
      </c>
      <c r="O966">
        <v>749</v>
      </c>
      <c r="P966">
        <v>6.0886644219977498E-2</v>
      </c>
      <c r="Q966">
        <v>6.1047021284056202E-2</v>
      </c>
      <c r="R966">
        <v>0</v>
      </c>
      <c r="S966">
        <v>0</v>
      </c>
      <c r="T966" t="s">
        <v>53</v>
      </c>
      <c r="U966">
        <v>2.26415094339622E-2</v>
      </c>
      <c r="V966">
        <v>0</v>
      </c>
      <c r="W966">
        <v>0</v>
      </c>
      <c r="X966">
        <v>0.109696708191879</v>
      </c>
      <c r="Y966">
        <v>3.7125553294300097E-2</v>
      </c>
      <c r="Z966">
        <v>4.3894000086574E-2</v>
      </c>
      <c r="AA966">
        <v>0</v>
      </c>
      <c r="AB966">
        <f t="shared" si="105"/>
        <v>4.023694825734539E-2</v>
      </c>
      <c r="AC966">
        <f t="shared" si="110"/>
        <v>0.1</v>
      </c>
      <c r="AD966">
        <f t="shared" si="106"/>
        <v>0</v>
      </c>
      <c r="AE966">
        <f t="shared" si="111"/>
        <v>4.4260643083079934E-2</v>
      </c>
      <c r="AF966" t="str">
        <f t="shared" si="107"/>
        <v>Very Low</v>
      </c>
      <c r="AG966" t="str">
        <f t="shared" si="108"/>
        <v>NO ACTION</v>
      </c>
      <c r="AH966" t="str">
        <f t="shared" si="109"/>
        <v/>
      </c>
    </row>
    <row r="967" spans="1:34" x14ac:dyDescent="0.3">
      <c r="A967" t="s">
        <v>994</v>
      </c>
      <c r="B967">
        <v>0.2351606805293</v>
      </c>
      <c r="C967">
        <v>0.66970233113379796</v>
      </c>
      <c r="D967">
        <v>0.371865544851542</v>
      </c>
      <c r="E967">
        <v>0</v>
      </c>
      <c r="F967">
        <v>0</v>
      </c>
      <c r="G967">
        <v>0.48036722518042602</v>
      </c>
      <c r="H967">
        <v>7</v>
      </c>
      <c r="I967">
        <v>14</v>
      </c>
      <c r="J967">
        <v>6.4739277706216306E-2</v>
      </c>
      <c r="K967">
        <v>8.1566068515497494E-3</v>
      </c>
      <c r="L967">
        <v>3.2064395200806797E-2</v>
      </c>
      <c r="M967">
        <v>2.3088023088023001E-3</v>
      </c>
      <c r="N967">
        <v>2.1472539534213499E-2</v>
      </c>
      <c r="O967">
        <v>771</v>
      </c>
      <c r="P967">
        <v>5.2223625140291802E-2</v>
      </c>
      <c r="Q967">
        <v>5.2386128545881601E-2</v>
      </c>
      <c r="R967">
        <v>0.58259587020648895</v>
      </c>
      <c r="S967">
        <v>1</v>
      </c>
      <c r="T967" t="s">
        <v>53</v>
      </c>
      <c r="U967">
        <v>1.8867924528301799E-2</v>
      </c>
      <c r="V967">
        <v>0</v>
      </c>
      <c r="W967">
        <v>0</v>
      </c>
      <c r="X967">
        <v>0.111559663455462</v>
      </c>
      <c r="Y967">
        <v>3.5421815001910703E-2</v>
      </c>
      <c r="Z967">
        <v>3.9923190897860499E-2</v>
      </c>
      <c r="AA967">
        <v>0.58259587020648895</v>
      </c>
      <c r="AB967">
        <f t="shared" si="105"/>
        <v>0.20207299146262681</v>
      </c>
      <c r="AC967">
        <f t="shared" si="110"/>
        <v>0.1</v>
      </c>
      <c r="AD967">
        <f t="shared" si="106"/>
        <v>0</v>
      </c>
      <c r="AE967">
        <f t="shared" si="111"/>
        <v>0.22228029060888951</v>
      </c>
      <c r="AF967" t="str">
        <f t="shared" si="107"/>
        <v>Low</v>
      </c>
      <c r="AG967" t="str">
        <f t="shared" si="108"/>
        <v>NO ACTION</v>
      </c>
      <c r="AH967" t="str">
        <f t="shared" si="109"/>
        <v/>
      </c>
    </row>
    <row r="968" spans="1:34" x14ac:dyDescent="0.3">
      <c r="A968" t="s">
        <v>995</v>
      </c>
      <c r="B968">
        <v>0.23705103969754199</v>
      </c>
      <c r="C968">
        <v>0.78591359286413898</v>
      </c>
      <c r="D968">
        <v>0.37937872275123002</v>
      </c>
      <c r="E968">
        <v>0</v>
      </c>
      <c r="F968">
        <v>0</v>
      </c>
      <c r="G968">
        <v>0.47511710567494603</v>
      </c>
      <c r="H968">
        <v>8</v>
      </c>
      <c r="I968">
        <v>14</v>
      </c>
      <c r="J968">
        <v>7.3422069557750103E-2</v>
      </c>
      <c r="K968">
        <v>1.4681892332789499E-2</v>
      </c>
      <c r="L968">
        <v>5.0912610928949498E-2</v>
      </c>
      <c r="M968">
        <v>9.8124098124098107E-3</v>
      </c>
      <c r="N968">
        <v>8.0501162625514905E-2</v>
      </c>
      <c r="O968">
        <v>621</v>
      </c>
      <c r="P968">
        <v>6.5060325476992101E-2</v>
      </c>
      <c r="Q968">
        <v>6.5219678109330603E-2</v>
      </c>
      <c r="R968">
        <v>0</v>
      </c>
      <c r="S968">
        <v>0</v>
      </c>
      <c r="T968" t="s">
        <v>53</v>
      </c>
      <c r="U968">
        <v>8.7331536388140108E-3</v>
      </c>
      <c r="V968">
        <v>0</v>
      </c>
      <c r="W968">
        <v>0</v>
      </c>
      <c r="X968">
        <v>0.113813616825369</v>
      </c>
      <c r="Y968">
        <v>6.4291068163679202E-2</v>
      </c>
      <c r="Z968">
        <v>7.1236660336401206E-2</v>
      </c>
      <c r="AA968">
        <v>0</v>
      </c>
      <c r="AB968">
        <f t="shared" si="105"/>
        <v>5.6157942672081559E-2</v>
      </c>
      <c r="AC968">
        <f t="shared" si="110"/>
        <v>0.1</v>
      </c>
      <c r="AD968">
        <f t="shared" si="106"/>
        <v>0</v>
      </c>
      <c r="AE968">
        <f t="shared" si="111"/>
        <v>6.1773736939289718E-2</v>
      </c>
      <c r="AF968" t="str">
        <f t="shared" si="107"/>
        <v>Very Low</v>
      </c>
      <c r="AG968" t="str">
        <f t="shared" si="108"/>
        <v>NO ACTION</v>
      </c>
      <c r="AH968" t="str">
        <f t="shared" si="109"/>
        <v/>
      </c>
    </row>
    <row r="969" spans="1:34" x14ac:dyDescent="0.3">
      <c r="A969" t="s">
        <v>996</v>
      </c>
      <c r="B969">
        <v>0.27183364839319402</v>
      </c>
      <c r="C969">
        <v>0.64680816834414201</v>
      </c>
      <c r="D969">
        <v>0.49333299451134299</v>
      </c>
      <c r="E969">
        <v>0</v>
      </c>
      <c r="F969">
        <v>4.4260027662517201E-2</v>
      </c>
      <c r="G969">
        <v>0.39581735085532999</v>
      </c>
      <c r="H969">
        <v>0</v>
      </c>
      <c r="I969">
        <v>23</v>
      </c>
      <c r="J969">
        <v>6.6075091837221503E-2</v>
      </c>
      <c r="K969">
        <v>5.7096247960848204E-3</v>
      </c>
      <c r="L969">
        <v>2.19929456003231E-2</v>
      </c>
      <c r="M969">
        <v>3.1746031746031698E-3</v>
      </c>
      <c r="N969">
        <v>2.8929998858056399E-2</v>
      </c>
      <c r="O969">
        <v>576</v>
      </c>
      <c r="P969">
        <v>5.2574354657687901E-2</v>
      </c>
      <c r="Q969">
        <v>5.2736771976577002E-2</v>
      </c>
      <c r="R969">
        <v>0.50442477876106195</v>
      </c>
      <c r="S969">
        <v>1</v>
      </c>
      <c r="T969" t="s">
        <v>53</v>
      </c>
      <c r="U969">
        <v>9.9056603773584901E-3</v>
      </c>
      <c r="V969">
        <v>0</v>
      </c>
      <c r="W969">
        <v>3.1765771515397903E-2</v>
      </c>
      <c r="X969">
        <v>0.16570390941841001</v>
      </c>
      <c r="Y969">
        <v>3.2890490825022801E-2</v>
      </c>
      <c r="Z969">
        <v>4.31166123378353E-2</v>
      </c>
      <c r="AA969">
        <v>0.50442477876106195</v>
      </c>
      <c r="AB969">
        <f t="shared" si="105"/>
        <v>0.18903355244564324</v>
      </c>
      <c r="AC969">
        <f t="shared" si="110"/>
        <v>0.1</v>
      </c>
      <c r="AD969">
        <f t="shared" si="106"/>
        <v>0</v>
      </c>
      <c r="AE969">
        <f t="shared" si="111"/>
        <v>0.20793690769020759</v>
      </c>
      <c r="AF969" t="str">
        <f t="shared" si="107"/>
        <v>Low</v>
      </c>
      <c r="AG969" t="str">
        <f t="shared" si="108"/>
        <v>NO ACTION</v>
      </c>
      <c r="AH969" t="str">
        <f t="shared" si="109"/>
        <v/>
      </c>
    </row>
    <row r="970" spans="1:34" x14ac:dyDescent="0.3">
      <c r="A970" t="s">
        <v>997</v>
      </c>
      <c r="B970">
        <v>0.12892249527410199</v>
      </c>
      <c r="C970">
        <v>0.46164678854602498</v>
      </c>
      <c r="D970">
        <v>7.5132489407342906E-2</v>
      </c>
      <c r="E970">
        <v>0</v>
      </c>
      <c r="F970">
        <v>0</v>
      </c>
      <c r="G970">
        <v>0.99367848727359098</v>
      </c>
      <c r="H970">
        <v>8</v>
      </c>
      <c r="I970">
        <v>9</v>
      </c>
      <c r="J970">
        <v>7.4280807213396305E-2</v>
      </c>
      <c r="K970">
        <v>2.77324632952691E-2</v>
      </c>
      <c r="L970">
        <v>9.5060052046028298E-2</v>
      </c>
      <c r="M970">
        <v>1.24098124098124E-2</v>
      </c>
      <c r="N970">
        <v>0.100637063889304</v>
      </c>
      <c r="O970">
        <v>634</v>
      </c>
      <c r="P970">
        <v>7.2565937149270496E-2</v>
      </c>
      <c r="Q970">
        <v>7.2723447526210599E-2</v>
      </c>
      <c r="R970">
        <v>0</v>
      </c>
      <c r="S970">
        <v>0</v>
      </c>
      <c r="T970" t="s">
        <v>53</v>
      </c>
      <c r="U970">
        <v>1.31217838765008E-2</v>
      </c>
      <c r="V970">
        <v>0</v>
      </c>
      <c r="W970">
        <v>0</v>
      </c>
      <c r="X970">
        <v>2.2539746822202798E-2</v>
      </c>
      <c r="Y970">
        <v>9.2577306632484799E-2</v>
      </c>
      <c r="Z970">
        <v>8.3794387845284105E-2</v>
      </c>
      <c r="AA970">
        <v>0</v>
      </c>
      <c r="AB970">
        <f t="shared" si="105"/>
        <v>5.2990433945327743E-2</v>
      </c>
      <c r="AC970">
        <f t="shared" si="110"/>
        <v>0.1</v>
      </c>
      <c r="AD970">
        <f t="shared" si="106"/>
        <v>0</v>
      </c>
      <c r="AE970">
        <f t="shared" si="111"/>
        <v>5.8289477339860521E-2</v>
      </c>
      <c r="AF970" t="str">
        <f t="shared" si="107"/>
        <v>Very Low</v>
      </c>
      <c r="AG970" t="str">
        <f t="shared" si="108"/>
        <v>NO ACTION</v>
      </c>
      <c r="AH970" t="str">
        <f t="shared" si="109"/>
        <v/>
      </c>
    </row>
    <row r="971" spans="1:34" x14ac:dyDescent="0.3">
      <c r="A971" t="s">
        <v>998</v>
      </c>
      <c r="B971">
        <v>0.2351606805293</v>
      </c>
      <c r="C971">
        <v>0.74053906955253401</v>
      </c>
      <c r="D971">
        <v>0.342211879236195</v>
      </c>
      <c r="E971">
        <v>0</v>
      </c>
      <c r="F971">
        <v>0</v>
      </c>
      <c r="G971">
        <v>0.48032385950272599</v>
      </c>
      <c r="H971">
        <v>8</v>
      </c>
      <c r="I971">
        <v>14</v>
      </c>
      <c r="J971">
        <v>6.2687848862172602E-2</v>
      </c>
      <c r="K971">
        <v>9.7879282218597003E-3</v>
      </c>
      <c r="L971">
        <v>3.9731650884153598E-2</v>
      </c>
      <c r="M971">
        <v>2.3088023088023001E-3</v>
      </c>
      <c r="N971">
        <v>2.2172554090673799E-2</v>
      </c>
      <c r="O971">
        <v>634</v>
      </c>
      <c r="P971">
        <v>5.1416947250280502E-2</v>
      </c>
      <c r="Q971">
        <v>5.1579648655282397E-2</v>
      </c>
      <c r="R971">
        <v>0</v>
      </c>
      <c r="S971">
        <v>0</v>
      </c>
      <c r="T971" t="s">
        <v>53</v>
      </c>
      <c r="U971">
        <v>2.26415094339622E-2</v>
      </c>
      <c r="V971">
        <v>0</v>
      </c>
      <c r="W971">
        <v>0</v>
      </c>
      <c r="X971">
        <v>0.102663563770858</v>
      </c>
      <c r="Y971">
        <v>3.9055161441713497E-2</v>
      </c>
      <c r="Z971">
        <v>3.9719189986437899E-2</v>
      </c>
      <c r="AA971">
        <v>0</v>
      </c>
      <c r="AB971">
        <f t="shared" si="105"/>
        <v>3.8482988603219671E-2</v>
      </c>
      <c r="AC971">
        <f t="shared" si="110"/>
        <v>0.1</v>
      </c>
      <c r="AD971">
        <f t="shared" si="106"/>
        <v>0</v>
      </c>
      <c r="AE971">
        <f t="shared" si="111"/>
        <v>4.2331287463541645E-2</v>
      </c>
      <c r="AF971" t="str">
        <f t="shared" si="107"/>
        <v>Very Low</v>
      </c>
      <c r="AG971" t="str">
        <f t="shared" si="108"/>
        <v>NO ACTION</v>
      </c>
      <c r="AH971" t="str">
        <f t="shared" si="109"/>
        <v/>
      </c>
    </row>
    <row r="972" spans="1:34" x14ac:dyDescent="0.3">
      <c r="A972" t="s">
        <v>999</v>
      </c>
      <c r="B972">
        <v>0.14139886578449901</v>
      </c>
      <c r="C972">
        <v>0.244399240796564</v>
      </c>
      <c r="D972">
        <v>0.43307846968152103</v>
      </c>
      <c r="E972">
        <v>0.843621399176954</v>
      </c>
      <c r="F972">
        <v>7.4074074074074001E-2</v>
      </c>
      <c r="G972">
        <v>0.89368382927425105</v>
      </c>
      <c r="H972">
        <v>0</v>
      </c>
      <c r="I972">
        <v>23</v>
      </c>
      <c r="J972">
        <v>6.7267783025619005E-2</v>
      </c>
      <c r="K972">
        <v>1.0603588907014599E-2</v>
      </c>
      <c r="L972">
        <v>4.0122415648444203E-2</v>
      </c>
      <c r="M972">
        <v>1.1544011544011501E-3</v>
      </c>
      <c r="N972">
        <v>1.03341338677027E-2</v>
      </c>
      <c r="O972">
        <v>716</v>
      </c>
      <c r="P972">
        <v>5.45735129068462E-2</v>
      </c>
      <c r="Q972">
        <v>5.4735439531540302E-2</v>
      </c>
      <c r="R972">
        <v>9.5870206489675494E-2</v>
      </c>
      <c r="S972">
        <v>1</v>
      </c>
      <c r="T972" t="s">
        <v>53</v>
      </c>
      <c r="U972">
        <v>4.4150943396226397E-2</v>
      </c>
      <c r="V972">
        <v>0</v>
      </c>
      <c r="W972">
        <v>9.6987916736259103E-2</v>
      </c>
      <c r="X972">
        <v>0.41263959028717201</v>
      </c>
      <c r="Y972">
        <v>3.6615004589656698E-2</v>
      </c>
      <c r="Z972">
        <v>3.6877761291188797E-2</v>
      </c>
      <c r="AA972">
        <v>9.5870206489675494E-2</v>
      </c>
      <c r="AB972">
        <f t="shared" si="105"/>
        <v>0.11344396670969339</v>
      </c>
      <c r="AC972">
        <f t="shared" si="110"/>
        <v>0.1</v>
      </c>
      <c r="AD972">
        <f t="shared" si="106"/>
        <v>0.05</v>
      </c>
      <c r="AE972">
        <f t="shared" si="111"/>
        <v>0.13046056171614742</v>
      </c>
      <c r="AF972" t="str">
        <f t="shared" si="107"/>
        <v>Very Low</v>
      </c>
      <c r="AG972" t="str">
        <f t="shared" si="108"/>
        <v>NO ACTION</v>
      </c>
      <c r="AH972" t="str">
        <f t="shared" si="109"/>
        <v/>
      </c>
    </row>
    <row r="973" spans="1:34" x14ac:dyDescent="0.3">
      <c r="A973" t="s">
        <v>1000</v>
      </c>
      <c r="B973">
        <v>0.12892249527410199</v>
      </c>
      <c r="C973">
        <v>0.45843346983224698</v>
      </c>
      <c r="D973">
        <v>7.5079446679057096E-2</v>
      </c>
      <c r="E973">
        <v>0</v>
      </c>
      <c r="F973">
        <v>0</v>
      </c>
      <c r="G973">
        <v>0.99366218879000301</v>
      </c>
      <c r="H973">
        <v>8</v>
      </c>
      <c r="I973">
        <v>9</v>
      </c>
      <c r="J973">
        <v>7.1370640713706399E-2</v>
      </c>
      <c r="K973">
        <v>1.71288743882544E-2</v>
      </c>
      <c r="L973">
        <v>6.1099655665121697E-2</v>
      </c>
      <c r="M973">
        <v>1.44300144300144E-3</v>
      </c>
      <c r="N973">
        <v>1.21775478204525E-2</v>
      </c>
      <c r="O973">
        <v>755</v>
      </c>
      <c r="P973">
        <v>6.0535914702581302E-2</v>
      </c>
      <c r="Q973">
        <v>6.0696377853360899E-2</v>
      </c>
      <c r="R973">
        <v>0</v>
      </c>
      <c r="S973">
        <v>0</v>
      </c>
      <c r="T973" t="s">
        <v>53</v>
      </c>
      <c r="U973">
        <v>5.9433962264150902E-2</v>
      </c>
      <c r="V973">
        <v>0</v>
      </c>
      <c r="W973">
        <v>0</v>
      </c>
      <c r="X973">
        <v>2.2523834003717099E-2</v>
      </c>
      <c r="Y973">
        <v>4.8477220321437899E-2</v>
      </c>
      <c r="Z973">
        <v>4.1192567949729801E-2</v>
      </c>
      <c r="AA973">
        <v>0</v>
      </c>
      <c r="AB973">
        <f t="shared" si="105"/>
        <v>2.8711354156521696E-2</v>
      </c>
      <c r="AC973">
        <f t="shared" si="110"/>
        <v>0.1</v>
      </c>
      <c r="AD973">
        <f t="shared" si="106"/>
        <v>0</v>
      </c>
      <c r="AE973">
        <f t="shared" si="111"/>
        <v>3.1582489572173869E-2</v>
      </c>
      <c r="AF973" t="str">
        <f t="shared" si="107"/>
        <v>Very Low</v>
      </c>
      <c r="AG973" t="str">
        <f t="shared" si="108"/>
        <v>NO ACTION</v>
      </c>
      <c r="AH973" t="str">
        <f t="shared" si="109"/>
        <v/>
      </c>
    </row>
    <row r="974" spans="1:34" x14ac:dyDescent="0.3">
      <c r="A974" t="s">
        <v>1001</v>
      </c>
      <c r="B974">
        <v>0.152362948960302</v>
      </c>
      <c r="C974">
        <v>0.32095685260893603</v>
      </c>
      <c r="D974">
        <v>0.37625353322944299</v>
      </c>
      <c r="E974">
        <v>0.111930111930111</v>
      </c>
      <c r="F974">
        <v>2.2113022113022102E-2</v>
      </c>
      <c r="G974">
        <v>0.81922682424815296</v>
      </c>
      <c r="H974">
        <v>0</v>
      </c>
      <c r="I974">
        <v>23</v>
      </c>
      <c r="J974">
        <v>7.7763465483516994E-2</v>
      </c>
      <c r="K974">
        <v>3.4257748776508903E-2</v>
      </c>
      <c r="L974">
        <v>0.11218419957596</v>
      </c>
      <c r="M974">
        <v>3.1746031746031698E-3</v>
      </c>
      <c r="N974">
        <v>2.4594922576573901E-2</v>
      </c>
      <c r="O974">
        <v>735</v>
      </c>
      <c r="P974">
        <v>7.3442760942760907E-2</v>
      </c>
      <c r="Q974">
        <v>7.3600056102948896E-2</v>
      </c>
      <c r="R974">
        <v>0</v>
      </c>
      <c r="S974">
        <v>0</v>
      </c>
      <c r="T974" t="s">
        <v>53</v>
      </c>
      <c r="U974">
        <v>5.9433962264150902E-2</v>
      </c>
      <c r="V974">
        <v>0</v>
      </c>
      <c r="W974">
        <v>0</v>
      </c>
      <c r="X974">
        <v>0.15530030239307499</v>
      </c>
      <c r="Y974">
        <v>7.9023269657655798E-2</v>
      </c>
      <c r="Z974">
        <v>5.3903625596286101E-2</v>
      </c>
      <c r="AA974">
        <v>0</v>
      </c>
      <c r="AB974">
        <f t="shared" si="105"/>
        <v>6.2067579053995736E-2</v>
      </c>
      <c r="AC974">
        <f t="shared" si="110"/>
        <v>0.1</v>
      </c>
      <c r="AD974">
        <f t="shared" si="106"/>
        <v>0</v>
      </c>
      <c r="AE974">
        <f t="shared" si="111"/>
        <v>6.8274336959395318E-2</v>
      </c>
      <c r="AF974" t="str">
        <f t="shared" si="107"/>
        <v>Very Low</v>
      </c>
      <c r="AG974" t="str">
        <f t="shared" si="108"/>
        <v>NO ACTION</v>
      </c>
      <c r="AH974" t="str">
        <f t="shared" si="109"/>
        <v/>
      </c>
    </row>
    <row r="975" spans="1:34" x14ac:dyDescent="0.3">
      <c r="A975" t="s">
        <v>1002</v>
      </c>
      <c r="B975">
        <v>0.12892249527410199</v>
      </c>
      <c r="C975">
        <v>0.36953165208440503</v>
      </c>
      <c r="D975">
        <v>0</v>
      </c>
      <c r="E975">
        <v>0</v>
      </c>
      <c r="F975">
        <v>0</v>
      </c>
      <c r="G975">
        <v>0.99366350016224603</v>
      </c>
      <c r="H975">
        <v>8</v>
      </c>
      <c r="I975">
        <v>8</v>
      </c>
      <c r="J975">
        <v>7.8860741376842694E-2</v>
      </c>
      <c r="K975">
        <v>1.4681892332789499E-2</v>
      </c>
      <c r="L975">
        <v>4.7411985087031303E-2</v>
      </c>
      <c r="M975">
        <v>3.1746031746031698E-3</v>
      </c>
      <c r="N975">
        <v>2.4253738487755298E-2</v>
      </c>
      <c r="O975">
        <v>887</v>
      </c>
      <c r="P975">
        <v>6.5831930415263695E-2</v>
      </c>
      <c r="Q975">
        <v>6.5991093656860303E-2</v>
      </c>
      <c r="R975">
        <v>0</v>
      </c>
      <c r="S975">
        <v>0</v>
      </c>
      <c r="T975" t="s">
        <v>53</v>
      </c>
      <c r="U975">
        <v>2.54716981132075E-2</v>
      </c>
      <c r="V975">
        <v>0</v>
      </c>
      <c r="W975">
        <v>0</v>
      </c>
      <c r="X975">
        <v>0</v>
      </c>
      <c r="Y975">
        <v>4.6754262365210797E-2</v>
      </c>
      <c r="Z975">
        <v>4.9200653644260399E-2</v>
      </c>
      <c r="AA975">
        <v>0</v>
      </c>
      <c r="AB975">
        <f t="shared" si="105"/>
        <v>2.6867376482651938E-2</v>
      </c>
      <c r="AC975">
        <f t="shared" si="110"/>
        <v>0.1</v>
      </c>
      <c r="AD975">
        <f t="shared" si="106"/>
        <v>0</v>
      </c>
      <c r="AE975">
        <f t="shared" si="111"/>
        <v>2.9554114130917134E-2</v>
      </c>
      <c r="AF975" t="str">
        <f t="shared" si="107"/>
        <v>Very Low</v>
      </c>
      <c r="AG975" t="str">
        <f t="shared" si="108"/>
        <v>NO ACTION</v>
      </c>
      <c r="AH975" t="str">
        <f t="shared" si="109"/>
        <v/>
      </c>
    </row>
    <row r="976" spans="1:34" x14ac:dyDescent="0.3">
      <c r="A976" t="s">
        <v>1003</v>
      </c>
      <c r="B976">
        <v>0.12892249527410199</v>
      </c>
      <c r="C976">
        <v>0</v>
      </c>
      <c r="D976">
        <v>0</v>
      </c>
      <c r="E976">
        <v>0</v>
      </c>
      <c r="F976">
        <v>1</v>
      </c>
      <c r="G976">
        <v>0.99366047597727802</v>
      </c>
      <c r="H976">
        <v>6</v>
      </c>
      <c r="I976">
        <v>6</v>
      </c>
      <c r="J976">
        <v>7.8956156671914496E-2</v>
      </c>
      <c r="K976">
        <v>8.9722675367047301E-3</v>
      </c>
      <c r="L976">
        <v>2.8939082463764299E-2</v>
      </c>
      <c r="M976">
        <v>1.7316017316017301E-3</v>
      </c>
      <c r="N976">
        <v>1.32133729724091E-2</v>
      </c>
      <c r="O976">
        <v>871</v>
      </c>
      <c r="P976">
        <v>6.2745510662177303E-2</v>
      </c>
      <c r="Q976">
        <v>6.2905431466741393E-2</v>
      </c>
      <c r="R976">
        <v>0</v>
      </c>
      <c r="S976">
        <v>0</v>
      </c>
      <c r="T976" t="s">
        <v>53</v>
      </c>
      <c r="U976">
        <v>2.6684636118598299E-2</v>
      </c>
      <c r="V976">
        <v>0</v>
      </c>
      <c r="W976">
        <v>0</v>
      </c>
      <c r="X976">
        <v>0.4</v>
      </c>
      <c r="Y976">
        <v>3.4224784457987802E-2</v>
      </c>
      <c r="Z976">
        <v>4.2932655586269998E-2</v>
      </c>
      <c r="AA976">
        <v>0</v>
      </c>
      <c r="AB976">
        <f t="shared" si="105"/>
        <v>8.5604083212392185E-2</v>
      </c>
      <c r="AC976">
        <f t="shared" si="110"/>
        <v>0.1</v>
      </c>
      <c r="AD976">
        <f t="shared" si="106"/>
        <v>0.08</v>
      </c>
      <c r="AE976">
        <f t="shared" si="111"/>
        <v>0.10101281819062279</v>
      </c>
      <c r="AF976" t="str">
        <f t="shared" si="107"/>
        <v>Very Low</v>
      </c>
      <c r="AG976" t="str">
        <f t="shared" si="108"/>
        <v>NO ACTION</v>
      </c>
      <c r="AH976" t="str">
        <f t="shared" si="109"/>
        <v/>
      </c>
    </row>
    <row r="977" spans="1:34" x14ac:dyDescent="0.3">
      <c r="A977" t="s">
        <v>1004</v>
      </c>
      <c r="B977">
        <v>0.134593572778827</v>
      </c>
      <c r="C977">
        <v>0.28690026877108699</v>
      </c>
      <c r="D977">
        <v>0.29086239512074902</v>
      </c>
      <c r="E977">
        <v>0.50617283950617198</v>
      </c>
      <c r="F977">
        <v>4.1666666666666602E-2</v>
      </c>
      <c r="G977">
        <v>0.94594539851988901</v>
      </c>
      <c r="H977">
        <v>0</v>
      </c>
      <c r="I977">
        <v>23</v>
      </c>
      <c r="J977">
        <v>9.24097132770383E-2</v>
      </c>
      <c r="K977">
        <v>6.5252854812398002E-3</v>
      </c>
      <c r="L977">
        <v>1.7990404228011899E-2</v>
      </c>
      <c r="M977">
        <v>1.44300144300144E-3</v>
      </c>
      <c r="N977">
        <v>9.4122035419666704E-3</v>
      </c>
      <c r="O977">
        <v>401</v>
      </c>
      <c r="P977">
        <v>7.1443602693602698E-2</v>
      </c>
      <c r="Q977">
        <v>7.1601388547985506E-2</v>
      </c>
      <c r="R977">
        <v>0</v>
      </c>
      <c r="S977">
        <v>0</v>
      </c>
      <c r="T977" t="s">
        <v>53</v>
      </c>
      <c r="U977">
        <v>2.26415094339622E-2</v>
      </c>
      <c r="V977">
        <v>0</v>
      </c>
      <c r="W977">
        <v>0</v>
      </c>
      <c r="X977">
        <v>0.25577723705474298</v>
      </c>
      <c r="Y977">
        <v>3.0300805832003602E-2</v>
      </c>
      <c r="Z977">
        <v>4.6631043032948197E-2</v>
      </c>
      <c r="AA977">
        <v>0</v>
      </c>
      <c r="AB977">
        <f t="shared" si="105"/>
        <v>6.2465275610945378E-2</v>
      </c>
      <c r="AC977">
        <f t="shared" si="110"/>
        <v>0.1</v>
      </c>
      <c r="AD977">
        <f t="shared" si="106"/>
        <v>0.05</v>
      </c>
      <c r="AE977">
        <f t="shared" si="111"/>
        <v>7.1835066952587193E-2</v>
      </c>
      <c r="AF977" t="str">
        <f t="shared" si="107"/>
        <v>Very Low</v>
      </c>
      <c r="AG977" t="str">
        <f t="shared" si="108"/>
        <v>NO ACTION</v>
      </c>
      <c r="AH977" t="str">
        <f t="shared" si="109"/>
        <v/>
      </c>
    </row>
    <row r="978" spans="1:34" x14ac:dyDescent="0.3">
      <c r="A978" t="s">
        <v>1005</v>
      </c>
      <c r="B978">
        <v>0.12892249527410199</v>
      </c>
      <c r="C978">
        <v>0.27902317497967399</v>
      </c>
      <c r="D978">
        <v>7.51173381640724E-2</v>
      </c>
      <c r="E978">
        <v>0</v>
      </c>
      <c r="F978">
        <v>0</v>
      </c>
      <c r="G978">
        <v>0.99367203746317301</v>
      </c>
      <c r="H978">
        <v>7</v>
      </c>
      <c r="I978">
        <v>8</v>
      </c>
      <c r="J978">
        <v>8.8879347359381702E-2</v>
      </c>
      <c r="K978">
        <v>3.9967373572593799E-2</v>
      </c>
      <c r="L978">
        <v>0.114556402939584</v>
      </c>
      <c r="M978">
        <v>8.6580086580086504E-4</v>
      </c>
      <c r="N978">
        <v>5.8710383121518004E-3</v>
      </c>
      <c r="O978">
        <v>657</v>
      </c>
      <c r="P978">
        <v>8.2947530864197497E-2</v>
      </c>
      <c r="Q978">
        <v>8.31024930747922E-2</v>
      </c>
      <c r="R978">
        <v>0.57079646017699104</v>
      </c>
      <c r="S978">
        <v>1</v>
      </c>
      <c r="T978" t="s">
        <v>53</v>
      </c>
      <c r="U978">
        <v>0.20801886792452801</v>
      </c>
      <c r="V978">
        <v>0</v>
      </c>
      <c r="W978">
        <v>0</v>
      </c>
      <c r="X978">
        <v>2.2535201449221699E-2</v>
      </c>
      <c r="Y978">
        <v>7.68153824353143E-2</v>
      </c>
      <c r="Z978">
        <v>5.2116933843379197E-2</v>
      </c>
      <c r="AA978">
        <v>0.57079646017699104</v>
      </c>
      <c r="AB978">
        <f t="shared" si="105"/>
        <v>0.19952968963946716</v>
      </c>
      <c r="AC978">
        <f t="shared" si="110"/>
        <v>0.1</v>
      </c>
      <c r="AD978">
        <f t="shared" si="106"/>
        <v>0</v>
      </c>
      <c r="AE978">
        <f t="shared" si="111"/>
        <v>0.2194826586034139</v>
      </c>
      <c r="AF978" t="str">
        <f t="shared" si="107"/>
        <v>Low</v>
      </c>
      <c r="AG978" t="str">
        <f t="shared" si="108"/>
        <v>NO ACTION</v>
      </c>
      <c r="AH978" t="str">
        <f t="shared" si="109"/>
        <v/>
      </c>
    </row>
    <row r="979" spans="1:34" x14ac:dyDescent="0.3">
      <c r="A979" t="s">
        <v>1006</v>
      </c>
      <c r="B979">
        <v>0.26918714555765599</v>
      </c>
      <c r="C979">
        <v>0.88692757556850599</v>
      </c>
      <c r="D979">
        <v>0.36798718537610298</v>
      </c>
      <c r="E979">
        <v>0</v>
      </c>
      <c r="F979">
        <v>0</v>
      </c>
      <c r="G979">
        <v>0.40097919781188002</v>
      </c>
      <c r="H979">
        <v>8</v>
      </c>
      <c r="I979">
        <v>16</v>
      </c>
      <c r="J979">
        <v>6.1781403558990498E-2</v>
      </c>
      <c r="K979">
        <v>1.2234910277324601E-2</v>
      </c>
      <c r="L979">
        <v>5.0390430304037198E-2</v>
      </c>
      <c r="M979">
        <v>1.7316017316017301E-3</v>
      </c>
      <c r="N979">
        <v>1.68724608724608E-2</v>
      </c>
      <c r="O979">
        <v>634</v>
      </c>
      <c r="P979">
        <v>5.1522166105499402E-2</v>
      </c>
      <c r="Q979">
        <v>5.1684841684491001E-2</v>
      </c>
      <c r="R979">
        <v>0.50147492625368695</v>
      </c>
      <c r="S979">
        <v>1</v>
      </c>
      <c r="T979" t="s">
        <v>53</v>
      </c>
      <c r="U979">
        <v>3.6388140161725001E-2</v>
      </c>
      <c r="V979">
        <v>0</v>
      </c>
      <c r="W979">
        <v>0</v>
      </c>
      <c r="X979">
        <v>0.110396155612831</v>
      </c>
      <c r="Y979">
        <v>4.26132341255549E-2</v>
      </c>
      <c r="Z979">
        <v>3.7662284012283997E-2</v>
      </c>
      <c r="AA979">
        <v>0.50147492625368695</v>
      </c>
      <c r="AB979">
        <f t="shared" si="105"/>
        <v>0.18055350932768022</v>
      </c>
      <c r="AC979">
        <f t="shared" si="110"/>
        <v>0.1</v>
      </c>
      <c r="AD979">
        <f t="shared" si="106"/>
        <v>0</v>
      </c>
      <c r="AE979">
        <f t="shared" si="111"/>
        <v>0.19860886026044824</v>
      </c>
      <c r="AF979" t="str">
        <f t="shared" si="107"/>
        <v>Very Low</v>
      </c>
      <c r="AG979" t="str">
        <f t="shared" si="108"/>
        <v>NO ACTION</v>
      </c>
      <c r="AH979" t="str">
        <f t="shared" si="109"/>
        <v/>
      </c>
    </row>
    <row r="980" spans="1:34" x14ac:dyDescent="0.3">
      <c r="A980" t="s">
        <v>1007</v>
      </c>
      <c r="B980">
        <v>0.12892249527410199</v>
      </c>
      <c r="C980">
        <v>0.452542385523655</v>
      </c>
      <c r="D980">
        <v>7.4745173332315298E-2</v>
      </c>
      <c r="E980">
        <v>0</v>
      </c>
      <c r="F980">
        <v>0</v>
      </c>
      <c r="G980">
        <v>0.99368830918406104</v>
      </c>
      <c r="H980">
        <v>8</v>
      </c>
      <c r="I980">
        <v>9</v>
      </c>
      <c r="J980">
        <v>7.9958017270168394E-2</v>
      </c>
      <c r="K980">
        <v>1.2234910277324601E-2</v>
      </c>
      <c r="L980">
        <v>3.8969398807405298E-2</v>
      </c>
      <c r="M980">
        <v>3.7518037518037501E-3</v>
      </c>
      <c r="N980">
        <v>2.82713254753706E-2</v>
      </c>
      <c r="O980">
        <v>881</v>
      </c>
      <c r="P980">
        <v>6.5867003367003296E-2</v>
      </c>
      <c r="Q980">
        <v>6.6026157999929794E-2</v>
      </c>
      <c r="R980">
        <v>0</v>
      </c>
      <c r="S980">
        <v>0</v>
      </c>
      <c r="T980" t="s">
        <v>53</v>
      </c>
      <c r="U980">
        <v>1.81940700808625E-2</v>
      </c>
      <c r="V980">
        <v>0</v>
      </c>
      <c r="W980">
        <v>0</v>
      </c>
      <c r="X980">
        <v>2.2423551999694601E-2</v>
      </c>
      <c r="Y980">
        <v>4.3957700500347502E-2</v>
      </c>
      <c r="Z980">
        <v>5.0828732210350197E-2</v>
      </c>
      <c r="AA980">
        <v>0</v>
      </c>
      <c r="AB980">
        <f t="shared" si="105"/>
        <v>3.0127969478946498E-2</v>
      </c>
      <c r="AC980">
        <f t="shared" si="110"/>
        <v>0.1</v>
      </c>
      <c r="AD980">
        <f t="shared" si="106"/>
        <v>0</v>
      </c>
      <c r="AE980">
        <f t="shared" si="111"/>
        <v>3.3140766426841148E-2</v>
      </c>
      <c r="AF980" t="str">
        <f t="shared" si="107"/>
        <v>Very Low</v>
      </c>
      <c r="AG980" t="str">
        <f t="shared" si="108"/>
        <v>NO ACTION</v>
      </c>
      <c r="AH980" t="str">
        <f t="shared" si="109"/>
        <v/>
      </c>
    </row>
    <row r="981" spans="1:34" x14ac:dyDescent="0.3">
      <c r="A981" t="s">
        <v>1008</v>
      </c>
      <c r="B981">
        <v>0.12892249527410199</v>
      </c>
      <c r="C981">
        <v>0.18476582604220201</v>
      </c>
      <c r="D981">
        <v>0</v>
      </c>
      <c r="E981">
        <v>0</v>
      </c>
      <c r="F981">
        <v>0</v>
      </c>
      <c r="G981">
        <v>0.99367166278538899</v>
      </c>
      <c r="H981">
        <v>7</v>
      </c>
      <c r="I981">
        <v>7</v>
      </c>
      <c r="J981">
        <v>8.2009446114212098E-2</v>
      </c>
      <c r="K981">
        <v>2.4469820554649199E-3</v>
      </c>
      <c r="L981">
        <v>7.5994848486367001E-3</v>
      </c>
      <c r="M981">
        <v>4.6176046176046098E-3</v>
      </c>
      <c r="N981">
        <v>3.3927608869604199E-2</v>
      </c>
      <c r="O981">
        <v>304</v>
      </c>
      <c r="P981">
        <v>6.35872615039281E-2</v>
      </c>
      <c r="Q981">
        <v>6.3746975700410199E-2</v>
      </c>
      <c r="R981">
        <v>0</v>
      </c>
      <c r="S981">
        <v>0</v>
      </c>
      <c r="T981" t="s">
        <v>53</v>
      </c>
      <c r="U981">
        <v>2.99667036625971E-3</v>
      </c>
      <c r="V981">
        <v>0</v>
      </c>
      <c r="W981">
        <v>0</v>
      </c>
      <c r="X981">
        <v>0</v>
      </c>
      <c r="Y981">
        <v>3.0379914308041999E-2</v>
      </c>
      <c r="Z981">
        <v>5.1723400450198603E-2</v>
      </c>
      <c r="AA981">
        <v>0</v>
      </c>
      <c r="AB981">
        <f t="shared" si="105"/>
        <v>2.2988928132307372E-2</v>
      </c>
      <c r="AC981">
        <f t="shared" si="110"/>
        <v>0.1</v>
      </c>
      <c r="AD981">
        <f t="shared" si="106"/>
        <v>0</v>
      </c>
      <c r="AE981">
        <f t="shared" si="111"/>
        <v>2.5287820945538112E-2</v>
      </c>
      <c r="AF981" t="str">
        <f t="shared" si="107"/>
        <v>Very Low</v>
      </c>
      <c r="AG981" t="str">
        <f t="shared" si="108"/>
        <v>NO ACTION</v>
      </c>
      <c r="AH981" t="str">
        <f t="shared" si="109"/>
        <v/>
      </c>
    </row>
    <row r="982" spans="1:34" x14ac:dyDescent="0.3">
      <c r="A982" t="s">
        <v>1009</v>
      </c>
      <c r="B982">
        <v>0.23478260869565201</v>
      </c>
      <c r="C982">
        <v>0.59272876994338597</v>
      </c>
      <c r="D982">
        <v>0.37612585128053699</v>
      </c>
      <c r="E982">
        <v>0</v>
      </c>
      <c r="F982">
        <v>0</v>
      </c>
      <c r="G982">
        <v>0.48133127760111</v>
      </c>
      <c r="H982">
        <v>7</v>
      </c>
      <c r="I982">
        <v>13</v>
      </c>
      <c r="J982">
        <v>7.3040408377462895E-2</v>
      </c>
      <c r="K982">
        <v>5.7096247960848204E-3</v>
      </c>
      <c r="L982">
        <v>1.99024703023758E-2</v>
      </c>
      <c r="M982">
        <v>1.1544011544011501E-3</v>
      </c>
      <c r="N982">
        <v>9.5200517075516994E-3</v>
      </c>
      <c r="O982">
        <v>511</v>
      </c>
      <c r="P982">
        <v>5.6712962962962903E-2</v>
      </c>
      <c r="Q982">
        <v>5.6874364458781801E-2</v>
      </c>
      <c r="R982">
        <v>0.96755162241887904</v>
      </c>
      <c r="S982">
        <v>1</v>
      </c>
      <c r="T982" t="s">
        <v>53</v>
      </c>
      <c r="U982">
        <v>2.3773584905660301E-2</v>
      </c>
      <c r="V982">
        <v>0</v>
      </c>
      <c r="W982">
        <v>0</v>
      </c>
      <c r="X982">
        <v>0.11283775538416101</v>
      </c>
      <c r="Y982">
        <v>2.74153323389459E-2</v>
      </c>
      <c r="Z982">
        <v>3.7835798460798403E-2</v>
      </c>
      <c r="AA982">
        <v>0.96755162241887904</v>
      </c>
      <c r="AB982">
        <f t="shared" si="105"/>
        <v>0.30723881176268031</v>
      </c>
      <c r="AC982">
        <f t="shared" si="110"/>
        <v>0.1</v>
      </c>
      <c r="AD982">
        <f t="shared" si="106"/>
        <v>0</v>
      </c>
      <c r="AE982">
        <f t="shared" si="111"/>
        <v>0.33796269293894837</v>
      </c>
      <c r="AF982" t="str">
        <f t="shared" si="107"/>
        <v>Critical</v>
      </c>
      <c r="AG982" t="str">
        <f t="shared" si="108"/>
        <v>CRITICAL ALERT</v>
      </c>
      <c r="AH982" t="str">
        <f t="shared" si="109"/>
        <v>USB anomaly</v>
      </c>
    </row>
    <row r="983" spans="1:34" x14ac:dyDescent="0.3">
      <c r="A983" t="s">
        <v>1010</v>
      </c>
      <c r="B983">
        <v>0.12892249527410199</v>
      </c>
      <c r="C983">
        <v>0.18476582604220201</v>
      </c>
      <c r="D983">
        <v>0</v>
      </c>
      <c r="E983">
        <v>0</v>
      </c>
      <c r="F983">
        <v>0</v>
      </c>
      <c r="G983">
        <v>0.99367771115532499</v>
      </c>
      <c r="H983">
        <v>7</v>
      </c>
      <c r="I983">
        <v>7</v>
      </c>
      <c r="J983">
        <v>7.5998282524688696E-2</v>
      </c>
      <c r="K983">
        <v>9.7879282218597003E-3</v>
      </c>
      <c r="L983">
        <v>3.2794773164079201E-2</v>
      </c>
      <c r="M983">
        <v>1.7316017316017301E-3</v>
      </c>
      <c r="N983">
        <v>1.3726031998873E-2</v>
      </c>
      <c r="O983">
        <v>845</v>
      </c>
      <c r="P983">
        <v>6.0921717171717099E-2</v>
      </c>
      <c r="Q983">
        <v>6.10820856271257E-2</v>
      </c>
      <c r="R983">
        <v>0</v>
      </c>
      <c r="S983">
        <v>0</v>
      </c>
      <c r="T983" t="s">
        <v>53</v>
      </c>
      <c r="U983">
        <v>2.9110512129380001E-2</v>
      </c>
      <c r="V983">
        <v>0</v>
      </c>
      <c r="W983">
        <v>0</v>
      </c>
      <c r="X983">
        <v>0</v>
      </c>
      <c r="Y983">
        <v>3.5714852686639299E-2</v>
      </c>
      <c r="Z983">
        <v>4.20434431025795E-2</v>
      </c>
      <c r="AA983">
        <v>0</v>
      </c>
      <c r="AB983">
        <f t="shared" si="105"/>
        <v>2.1772322820981266E-2</v>
      </c>
      <c r="AC983">
        <f t="shared" si="110"/>
        <v>0.1</v>
      </c>
      <c r="AD983">
        <f t="shared" si="106"/>
        <v>0</v>
      </c>
      <c r="AE983">
        <f t="shared" si="111"/>
        <v>2.3949555103079393E-2</v>
      </c>
      <c r="AF983" t="str">
        <f t="shared" si="107"/>
        <v>Very Low</v>
      </c>
      <c r="AG983" t="str">
        <f t="shared" si="108"/>
        <v>NO ACTION</v>
      </c>
      <c r="AH983" t="str">
        <f t="shared" si="109"/>
        <v/>
      </c>
    </row>
    <row r="984" spans="1:34" x14ac:dyDescent="0.3">
      <c r="A984" t="s">
        <v>1011</v>
      </c>
      <c r="B984">
        <v>0.12892249527410199</v>
      </c>
      <c r="C984">
        <v>8.4081839677176307E-2</v>
      </c>
      <c r="D984">
        <v>7.4828881661874E-2</v>
      </c>
      <c r="E984">
        <v>0</v>
      </c>
      <c r="F984">
        <v>0.54492753623188395</v>
      </c>
      <c r="G984">
        <v>0.99368635550704598</v>
      </c>
      <c r="H984">
        <v>6</v>
      </c>
      <c r="I984">
        <v>7</v>
      </c>
      <c r="J984">
        <v>8.0387386097991495E-2</v>
      </c>
      <c r="K984">
        <v>8.9722675367047301E-3</v>
      </c>
      <c r="L984">
        <v>2.8425370940738898E-2</v>
      </c>
      <c r="M984">
        <v>2.3088023088023001E-3</v>
      </c>
      <c r="N984">
        <v>1.7305088074318801E-2</v>
      </c>
      <c r="O984">
        <v>900</v>
      </c>
      <c r="P984">
        <v>6.4078282828282804E-2</v>
      </c>
      <c r="Q984">
        <v>6.4237876503383695E-2</v>
      </c>
      <c r="R984">
        <v>0</v>
      </c>
      <c r="S984">
        <v>0</v>
      </c>
      <c r="T984" t="s">
        <v>53</v>
      </c>
      <c r="U984">
        <v>2.0754716981132001E-2</v>
      </c>
      <c r="V984">
        <v>0</v>
      </c>
      <c r="W984">
        <v>0</v>
      </c>
      <c r="X984">
        <v>0.240419678991315</v>
      </c>
      <c r="Y984">
        <v>3.5481689112263397E-2</v>
      </c>
      <c r="Z984">
        <v>4.5369004926697203E-2</v>
      </c>
      <c r="AA984">
        <v>0</v>
      </c>
      <c r="AB984">
        <f t="shared" si="105"/>
        <v>6.1105342969519374E-2</v>
      </c>
      <c r="AC984">
        <f t="shared" si="110"/>
        <v>0.1</v>
      </c>
      <c r="AD984">
        <f t="shared" si="106"/>
        <v>0.08</v>
      </c>
      <c r="AE984">
        <f t="shared" si="111"/>
        <v>7.2104304704032868E-2</v>
      </c>
      <c r="AF984" t="str">
        <f t="shared" si="107"/>
        <v>Very Low</v>
      </c>
      <c r="AG984" t="str">
        <f t="shared" si="108"/>
        <v>NO ACTION</v>
      </c>
      <c r="AH984" t="str">
        <f t="shared" si="109"/>
        <v/>
      </c>
    </row>
    <row r="985" spans="1:34" x14ac:dyDescent="0.3">
      <c r="A985" t="s">
        <v>1012</v>
      </c>
      <c r="B985">
        <v>0.12892249527410199</v>
      </c>
      <c r="C985">
        <v>0.27580985626589599</v>
      </c>
      <c r="D985">
        <v>7.5124914167671697E-2</v>
      </c>
      <c r="E985">
        <v>0</v>
      </c>
      <c r="F985">
        <v>0</v>
      </c>
      <c r="G985">
        <v>0.99367548985132204</v>
      </c>
      <c r="H985">
        <v>7</v>
      </c>
      <c r="I985">
        <v>8</v>
      </c>
      <c r="J985">
        <v>5.3432565240208001E-2</v>
      </c>
      <c r="K985">
        <v>5.7096247960848204E-3</v>
      </c>
      <c r="L985">
        <v>2.7173506119510402E-2</v>
      </c>
      <c r="M985">
        <v>5.7720057720057698E-4</v>
      </c>
      <c r="N985">
        <v>6.4990219656886304E-3</v>
      </c>
      <c r="O985">
        <v>479</v>
      </c>
      <c r="P985">
        <v>4.2017396184062798E-2</v>
      </c>
      <c r="Q985">
        <v>4.2182404712647698E-2</v>
      </c>
      <c r="R985">
        <v>0</v>
      </c>
      <c r="S985">
        <v>0</v>
      </c>
      <c r="T985" t="s">
        <v>53</v>
      </c>
      <c r="U985">
        <v>3.9622641509433898E-2</v>
      </c>
      <c r="V985">
        <v>0</v>
      </c>
      <c r="W985">
        <v>0</v>
      </c>
      <c r="X985">
        <v>2.25374742503015E-2</v>
      </c>
      <c r="Y985">
        <v>2.6222972697503399E-2</v>
      </c>
      <c r="Z985">
        <v>2.7810046496713099E-2</v>
      </c>
      <c r="AA985">
        <v>0</v>
      </c>
      <c r="AB985">
        <f t="shared" si="105"/>
        <v>1.873524125442886E-2</v>
      </c>
      <c r="AC985">
        <f t="shared" si="110"/>
        <v>0.1</v>
      </c>
      <c r="AD985">
        <f t="shared" si="106"/>
        <v>0</v>
      </c>
      <c r="AE985">
        <f t="shared" si="111"/>
        <v>2.0608765379871746E-2</v>
      </c>
      <c r="AF985" t="str">
        <f t="shared" si="107"/>
        <v>Very Low</v>
      </c>
      <c r="AG985" t="str">
        <f t="shared" si="108"/>
        <v>NO ACTION</v>
      </c>
      <c r="AH985" t="str">
        <f t="shared" si="109"/>
        <v/>
      </c>
    </row>
    <row r="986" spans="1:34" x14ac:dyDescent="0.3">
      <c r="A986" t="s">
        <v>1013</v>
      </c>
      <c r="B986">
        <v>0.12892249527410199</v>
      </c>
      <c r="C986">
        <v>0.27366764379004499</v>
      </c>
      <c r="D986">
        <v>7.5079446679057096E-2</v>
      </c>
      <c r="E986">
        <v>0</v>
      </c>
      <c r="F986">
        <v>0</v>
      </c>
      <c r="G986">
        <v>0.99365870963915504</v>
      </c>
      <c r="H986">
        <v>7</v>
      </c>
      <c r="I986">
        <v>8</v>
      </c>
      <c r="J986">
        <v>7.2372501311960297E-2</v>
      </c>
      <c r="K986">
        <v>1.30505709624796E-2</v>
      </c>
      <c r="L986">
        <v>4.5909809475425903E-2</v>
      </c>
      <c r="M986">
        <v>2.0202020202020202E-3</v>
      </c>
      <c r="N986">
        <v>1.6813337049867899E-2</v>
      </c>
      <c r="O986">
        <v>814</v>
      </c>
      <c r="P986">
        <v>5.9799382716049301E-2</v>
      </c>
      <c r="Q986">
        <v>5.9960026648900697E-2</v>
      </c>
      <c r="R986">
        <v>0.30383480825958697</v>
      </c>
      <c r="S986">
        <v>1</v>
      </c>
      <c r="T986" t="s">
        <v>53</v>
      </c>
      <c r="U986">
        <v>3.3962264150943298E-2</v>
      </c>
      <c r="V986">
        <v>0</v>
      </c>
      <c r="W986">
        <v>0</v>
      </c>
      <c r="X986">
        <v>2.2523834003717099E-2</v>
      </c>
      <c r="Y986">
        <v>4.24734061150654E-2</v>
      </c>
      <c r="Z986">
        <v>4.2604964449576802E-2</v>
      </c>
      <c r="AA986">
        <v>0.30383480825958697</v>
      </c>
      <c r="AB986">
        <f t="shared" si="105"/>
        <v>0.11249950351137891</v>
      </c>
      <c r="AC986">
        <f t="shared" si="110"/>
        <v>0.1</v>
      </c>
      <c r="AD986">
        <f t="shared" si="106"/>
        <v>0</v>
      </c>
      <c r="AE986">
        <f t="shared" si="111"/>
        <v>0.12374945386251682</v>
      </c>
      <c r="AF986" t="str">
        <f t="shared" si="107"/>
        <v>Very Low</v>
      </c>
      <c r="AG986" t="str">
        <f t="shared" si="108"/>
        <v>NO ACTION</v>
      </c>
      <c r="AH986" t="str">
        <f t="shared" si="109"/>
        <v/>
      </c>
    </row>
    <row r="987" spans="1:34" x14ac:dyDescent="0.3">
      <c r="A987" t="s">
        <v>1014</v>
      </c>
      <c r="B987">
        <v>0.16143667296786299</v>
      </c>
      <c r="C987">
        <v>0.33652244418359401</v>
      </c>
      <c r="D987">
        <v>0.30263572536120598</v>
      </c>
      <c r="E987">
        <v>0</v>
      </c>
      <c r="F987">
        <v>0</v>
      </c>
      <c r="G987">
        <v>0.76522611662752604</v>
      </c>
      <c r="H987">
        <v>7</v>
      </c>
      <c r="I987">
        <v>16</v>
      </c>
      <c r="J987">
        <v>5.63427317398979E-2</v>
      </c>
      <c r="K987">
        <v>8.1566068515497494E-3</v>
      </c>
      <c r="L987">
        <v>3.6822686562815198E-2</v>
      </c>
      <c r="M987">
        <v>8.6580086580086504E-4</v>
      </c>
      <c r="N987">
        <v>9.2471328559018198E-3</v>
      </c>
      <c r="O987">
        <v>463</v>
      </c>
      <c r="P987">
        <v>4.5349326599326598E-2</v>
      </c>
      <c r="Q987">
        <v>4.55135173042533E-2</v>
      </c>
      <c r="R987">
        <v>0</v>
      </c>
      <c r="S987">
        <v>0</v>
      </c>
      <c r="T987" t="s">
        <v>53</v>
      </c>
      <c r="U987">
        <v>4.2452830188679201E-2</v>
      </c>
      <c r="V987">
        <v>0</v>
      </c>
      <c r="W987">
        <v>0</v>
      </c>
      <c r="X987">
        <v>9.0790717608361896E-2</v>
      </c>
      <c r="Y987">
        <v>3.24540294861577E-2</v>
      </c>
      <c r="Z987">
        <v>3.09084491019566E-2</v>
      </c>
      <c r="AA987">
        <v>0</v>
      </c>
      <c r="AB987">
        <f t="shared" si="105"/>
        <v>3.2268008822009905E-2</v>
      </c>
      <c r="AC987">
        <f t="shared" si="110"/>
        <v>0.1</v>
      </c>
      <c r="AD987">
        <f t="shared" si="106"/>
        <v>0</v>
      </c>
      <c r="AE987">
        <f t="shared" si="111"/>
        <v>3.54948097042109E-2</v>
      </c>
      <c r="AF987" t="str">
        <f t="shared" si="107"/>
        <v>Very Low</v>
      </c>
      <c r="AG987" t="str">
        <f t="shared" si="108"/>
        <v>NO ACTION</v>
      </c>
      <c r="AH987" t="str">
        <f t="shared" si="109"/>
        <v/>
      </c>
    </row>
    <row r="988" spans="1:34" x14ac:dyDescent="0.3">
      <c r="A988" t="s">
        <v>1015</v>
      </c>
      <c r="B988">
        <v>0.12892249527410199</v>
      </c>
      <c r="C988">
        <v>0.36953165208440503</v>
      </c>
      <c r="D988">
        <v>0</v>
      </c>
      <c r="E988">
        <v>0</v>
      </c>
      <c r="F988">
        <v>0</v>
      </c>
      <c r="G988">
        <v>0.99368697104911996</v>
      </c>
      <c r="H988">
        <v>8</v>
      </c>
      <c r="I988">
        <v>8</v>
      </c>
      <c r="J988">
        <v>7.8908449024378602E-2</v>
      </c>
      <c r="K988">
        <v>1.38662316476345E-2</v>
      </c>
      <c r="L988">
        <v>4.4750994965610698E-2</v>
      </c>
      <c r="M988">
        <v>1.44300144300144E-3</v>
      </c>
      <c r="N988">
        <v>1.1017781361361801E-2</v>
      </c>
      <c r="O988">
        <v>505</v>
      </c>
      <c r="P988">
        <v>6.4674523007856297E-2</v>
      </c>
      <c r="Q988">
        <v>6.4833970335565705E-2</v>
      </c>
      <c r="R988">
        <v>0</v>
      </c>
      <c r="S988">
        <v>0</v>
      </c>
      <c r="T988" t="s">
        <v>53</v>
      </c>
      <c r="U988">
        <v>4.8113207547169801E-2</v>
      </c>
      <c r="V988">
        <v>0</v>
      </c>
      <c r="W988">
        <v>0</v>
      </c>
      <c r="X988">
        <v>0</v>
      </c>
      <c r="Y988">
        <v>4.1462521696089598E-2</v>
      </c>
      <c r="Z988">
        <v>4.3211826349258499E-2</v>
      </c>
      <c r="AA988">
        <v>0</v>
      </c>
      <c r="AB988">
        <f t="shared" si="105"/>
        <v>2.370881745269747E-2</v>
      </c>
      <c r="AC988">
        <f t="shared" si="110"/>
        <v>0.1</v>
      </c>
      <c r="AD988">
        <f t="shared" si="106"/>
        <v>0</v>
      </c>
      <c r="AE988">
        <f t="shared" si="111"/>
        <v>2.607969919796722E-2</v>
      </c>
      <c r="AF988" t="str">
        <f t="shared" si="107"/>
        <v>Very Low</v>
      </c>
      <c r="AG988" t="str">
        <f t="shared" si="108"/>
        <v>NO ACTION</v>
      </c>
      <c r="AH988" t="str">
        <f t="shared" si="109"/>
        <v/>
      </c>
    </row>
    <row r="989" spans="1:34" x14ac:dyDescent="0.3">
      <c r="A989" t="s">
        <v>1016</v>
      </c>
      <c r="B989">
        <v>0.26011342155009398</v>
      </c>
      <c r="C989">
        <v>0.52492718785978298</v>
      </c>
      <c r="D989">
        <v>0.38564485536395599</v>
      </c>
      <c r="E989">
        <v>0</v>
      </c>
      <c r="F989">
        <v>0.260115606936416</v>
      </c>
      <c r="G989">
        <v>0.42041393722139703</v>
      </c>
      <c r="H989">
        <v>6</v>
      </c>
      <c r="I989">
        <v>15</v>
      </c>
      <c r="J989">
        <v>7.8288249606411897E-2</v>
      </c>
      <c r="K989">
        <v>6.5252854812398002E-3</v>
      </c>
      <c r="L989">
        <v>2.1225616652976301E-2</v>
      </c>
      <c r="M989">
        <v>5.7720057720057698E-4</v>
      </c>
      <c r="N989">
        <v>4.4419196302549801E-3</v>
      </c>
      <c r="O989">
        <v>310</v>
      </c>
      <c r="P989">
        <v>6.0641133557800202E-2</v>
      </c>
      <c r="Q989">
        <v>6.0801570882569503E-2</v>
      </c>
      <c r="R989">
        <v>0.38938053097345099</v>
      </c>
      <c r="S989">
        <v>1</v>
      </c>
      <c r="T989" t="s">
        <v>53</v>
      </c>
      <c r="U989">
        <v>4.5283018867924497E-2</v>
      </c>
      <c r="V989">
        <v>0</v>
      </c>
      <c r="W989">
        <v>0.18017355752106301</v>
      </c>
      <c r="X989">
        <v>0.21973969938375301</v>
      </c>
      <c r="Y989">
        <v>2.7603034136847001E-2</v>
      </c>
      <c r="Z989">
        <v>3.8161447986782102E-2</v>
      </c>
      <c r="AA989">
        <v>0.38938053097345099</v>
      </c>
      <c r="AB989">
        <f t="shared" si="105"/>
        <v>0.16259895556858289</v>
      </c>
      <c r="AC989">
        <f t="shared" si="110"/>
        <v>0.1</v>
      </c>
      <c r="AD989">
        <f t="shared" si="106"/>
        <v>0</v>
      </c>
      <c r="AE989">
        <f t="shared" si="111"/>
        <v>0.1788588511254412</v>
      </c>
      <c r="AF989" t="str">
        <f t="shared" si="107"/>
        <v>Very Low</v>
      </c>
      <c r="AG989" t="str">
        <f t="shared" si="108"/>
        <v>NO ACTION</v>
      </c>
      <c r="AH989" t="str">
        <f t="shared" si="109"/>
        <v/>
      </c>
    </row>
    <row r="990" spans="1:34" x14ac:dyDescent="0.3">
      <c r="A990" t="s">
        <v>1017</v>
      </c>
      <c r="B990">
        <v>0.12892249527410199</v>
      </c>
      <c r="C990">
        <v>0.28277204681241402</v>
      </c>
      <c r="D990">
        <v>7.4993488433305694E-2</v>
      </c>
      <c r="E990">
        <v>0</v>
      </c>
      <c r="F990">
        <v>0</v>
      </c>
      <c r="G990">
        <v>0.993676774460866</v>
      </c>
      <c r="H990">
        <v>7</v>
      </c>
      <c r="I990">
        <v>8</v>
      </c>
      <c r="J990">
        <v>7.9290110204665795E-2</v>
      </c>
      <c r="K990">
        <v>1.8760195758564399E-2</v>
      </c>
      <c r="L990">
        <v>6.0254903662895903E-2</v>
      </c>
      <c r="M990">
        <v>1.7316017316017301E-3</v>
      </c>
      <c r="N990">
        <v>1.31578879029388E-2</v>
      </c>
      <c r="O990">
        <v>869</v>
      </c>
      <c r="P990">
        <v>6.7199775533108796E-2</v>
      </c>
      <c r="Q990">
        <v>6.7358603036572096E-2</v>
      </c>
      <c r="R990">
        <v>0</v>
      </c>
      <c r="S990">
        <v>0</v>
      </c>
      <c r="T990" t="s">
        <v>53</v>
      </c>
      <c r="U990">
        <v>5.5795148247978398E-2</v>
      </c>
      <c r="V990">
        <v>0</v>
      </c>
      <c r="W990">
        <v>0</v>
      </c>
      <c r="X990">
        <v>2.2498046529991701E-2</v>
      </c>
      <c r="Y990">
        <v>4.9932840243262701E-2</v>
      </c>
      <c r="Z990">
        <v>4.5583020481040799E-2</v>
      </c>
      <c r="AA990">
        <v>0</v>
      </c>
      <c r="AB990">
        <f t="shared" si="105"/>
        <v>3.0344128447603654E-2</v>
      </c>
      <c r="AC990">
        <f t="shared" si="110"/>
        <v>0.1</v>
      </c>
      <c r="AD990">
        <f t="shared" si="106"/>
        <v>0</v>
      </c>
      <c r="AE990">
        <f t="shared" si="111"/>
        <v>3.337854129236402E-2</v>
      </c>
      <c r="AF990" t="str">
        <f t="shared" si="107"/>
        <v>Very Low</v>
      </c>
      <c r="AG990" t="str">
        <f t="shared" si="108"/>
        <v>NO ACTION</v>
      </c>
      <c r="AH990" t="str">
        <f t="shared" si="109"/>
        <v/>
      </c>
    </row>
    <row r="991" spans="1:34" x14ac:dyDescent="0.3">
      <c r="A991" t="s">
        <v>1018</v>
      </c>
      <c r="B991">
        <v>0.27069943289224901</v>
      </c>
      <c r="C991">
        <v>0.70108366214902396</v>
      </c>
      <c r="D991">
        <v>0.36701069264613201</v>
      </c>
      <c r="E991">
        <v>0</v>
      </c>
      <c r="F991">
        <v>0</v>
      </c>
      <c r="G991">
        <v>0.398181959540647</v>
      </c>
      <c r="H991">
        <v>7</v>
      </c>
      <c r="I991">
        <v>15</v>
      </c>
      <c r="J991">
        <v>6.0588712370592997E-2</v>
      </c>
      <c r="K991">
        <v>8.1566068515497494E-3</v>
      </c>
      <c r="L991">
        <v>3.42523186380383E-2</v>
      </c>
      <c r="M991">
        <v>1.1544011544011501E-3</v>
      </c>
      <c r="N991">
        <v>1.1468862292391699E-2</v>
      </c>
      <c r="O991">
        <v>417</v>
      </c>
      <c r="P991">
        <v>4.8611111111111098E-2</v>
      </c>
      <c r="Q991">
        <v>4.8774501209719802E-2</v>
      </c>
      <c r="R991">
        <v>0</v>
      </c>
      <c r="S991">
        <v>0</v>
      </c>
      <c r="T991" t="s">
        <v>53</v>
      </c>
      <c r="U991">
        <v>3.3962264150943298E-2</v>
      </c>
      <c r="V991">
        <v>0</v>
      </c>
      <c r="W991">
        <v>0</v>
      </c>
      <c r="X991">
        <v>0.110103207793839</v>
      </c>
      <c r="Y991">
        <v>3.2684560480855301E-2</v>
      </c>
      <c r="Z991">
        <v>3.3754211583623302E-2</v>
      </c>
      <c r="AA991">
        <v>0</v>
      </c>
      <c r="AB991">
        <f t="shared" si="105"/>
        <v>3.6219369425068246E-2</v>
      </c>
      <c r="AC991">
        <f t="shared" si="110"/>
        <v>0.1</v>
      </c>
      <c r="AD991">
        <f t="shared" si="106"/>
        <v>0</v>
      </c>
      <c r="AE991">
        <f t="shared" si="111"/>
        <v>3.9841306367575074E-2</v>
      </c>
      <c r="AF991" t="str">
        <f t="shared" si="107"/>
        <v>Very Low</v>
      </c>
      <c r="AG991" t="str">
        <f t="shared" si="108"/>
        <v>NO ACTION</v>
      </c>
      <c r="AH991" t="str">
        <f t="shared" si="109"/>
        <v/>
      </c>
    </row>
    <row r="992" spans="1:34" x14ac:dyDescent="0.3">
      <c r="A992" t="s">
        <v>1019</v>
      </c>
      <c r="B992">
        <v>0.25141776937618099</v>
      </c>
      <c r="C992">
        <v>0.69874071731954002</v>
      </c>
      <c r="D992">
        <v>0.51273406391816601</v>
      </c>
      <c r="E992">
        <v>0.40857000498256102</v>
      </c>
      <c r="F992">
        <v>6.2780269058295896E-2</v>
      </c>
      <c r="G992">
        <v>0.43963261598999198</v>
      </c>
      <c r="H992">
        <v>0</v>
      </c>
      <c r="I992">
        <v>23</v>
      </c>
      <c r="J992">
        <v>9.2648251514717797E-2</v>
      </c>
      <c r="K992">
        <v>1.71288743882544E-2</v>
      </c>
      <c r="L992">
        <v>4.7103535261092802E-2</v>
      </c>
      <c r="M992">
        <v>5.7720057720057703E-3</v>
      </c>
      <c r="N992">
        <v>3.7552130002052903E-2</v>
      </c>
      <c r="O992">
        <v>987</v>
      </c>
      <c r="P992">
        <v>7.8282828282828204E-2</v>
      </c>
      <c r="Q992">
        <v>7.84389354465444E-2</v>
      </c>
      <c r="R992">
        <v>0.106194690265486</v>
      </c>
      <c r="S992">
        <v>1</v>
      </c>
      <c r="T992" t="s">
        <v>53</v>
      </c>
      <c r="U992">
        <v>1.6981132075471601E-2</v>
      </c>
      <c r="V992">
        <v>0</v>
      </c>
      <c r="W992">
        <v>9.6503041847239304E-2</v>
      </c>
      <c r="X992">
        <v>0.30150332829353599</v>
      </c>
      <c r="Y992">
        <v>5.3347056934105803E-2</v>
      </c>
      <c r="Z992">
        <v>6.1990548970518103E-2</v>
      </c>
      <c r="AA992">
        <v>0.106194690265486</v>
      </c>
      <c r="AB992">
        <f t="shared" si="105"/>
        <v>0.11026957545459655</v>
      </c>
      <c r="AC992">
        <f t="shared" si="110"/>
        <v>0.1</v>
      </c>
      <c r="AD992">
        <f t="shared" si="106"/>
        <v>0</v>
      </c>
      <c r="AE992">
        <f t="shared" si="111"/>
        <v>0.12129653300005622</v>
      </c>
      <c r="AF992" t="str">
        <f t="shared" si="107"/>
        <v>Very Low</v>
      </c>
      <c r="AG992" t="str">
        <f t="shared" si="108"/>
        <v>NO ACTION</v>
      </c>
      <c r="AH992" t="str">
        <f t="shared" si="109"/>
        <v/>
      </c>
    </row>
    <row r="993" spans="1:34" x14ac:dyDescent="0.3">
      <c r="A993" t="s">
        <v>1020</v>
      </c>
      <c r="B993">
        <v>0.12892249527410199</v>
      </c>
      <c r="C993">
        <v>0.36953165208440503</v>
      </c>
      <c r="D993">
        <v>0</v>
      </c>
      <c r="E993">
        <v>0</v>
      </c>
      <c r="F993">
        <v>0</v>
      </c>
      <c r="G993">
        <v>0.99367016407425501</v>
      </c>
      <c r="H993">
        <v>8</v>
      </c>
      <c r="I993">
        <v>8</v>
      </c>
      <c r="J993">
        <v>7.36606077954296E-2</v>
      </c>
      <c r="K993">
        <v>2.77324632952691E-2</v>
      </c>
      <c r="L993">
        <v>9.5857844606776099E-2</v>
      </c>
      <c r="M993">
        <v>8.6580086580086504E-4</v>
      </c>
      <c r="N993">
        <v>7.0801159245316696E-3</v>
      </c>
      <c r="O993">
        <v>602</v>
      </c>
      <c r="P993">
        <v>6.6498316498316501E-2</v>
      </c>
      <c r="Q993">
        <v>6.6657316175181405E-2</v>
      </c>
      <c r="R993">
        <v>0</v>
      </c>
      <c r="S993">
        <v>0</v>
      </c>
      <c r="T993" t="s">
        <v>53</v>
      </c>
      <c r="U993">
        <v>0.14433962264150901</v>
      </c>
      <c r="V993">
        <v>0</v>
      </c>
      <c r="W993">
        <v>0</v>
      </c>
      <c r="X993">
        <v>0</v>
      </c>
      <c r="Y993">
        <v>6.4785078639833502E-2</v>
      </c>
      <c r="Z993">
        <v>4.2731036268802501E-2</v>
      </c>
      <c r="AA993">
        <v>0</v>
      </c>
      <c r="AB993">
        <f t="shared" si="105"/>
        <v>3.0104512174418084E-2</v>
      </c>
      <c r="AC993">
        <f t="shared" si="110"/>
        <v>0.1</v>
      </c>
      <c r="AD993">
        <f t="shared" si="106"/>
        <v>0</v>
      </c>
      <c r="AE993">
        <f t="shared" si="111"/>
        <v>3.3114963391859896E-2</v>
      </c>
      <c r="AF993" t="str">
        <f t="shared" si="107"/>
        <v>Very Low</v>
      </c>
      <c r="AG993" t="str">
        <f t="shared" si="108"/>
        <v>NO ACTION</v>
      </c>
      <c r="AH993" t="str">
        <f t="shared" si="109"/>
        <v/>
      </c>
    </row>
    <row r="994" spans="1:34" x14ac:dyDescent="0.3">
      <c r="A994" t="s">
        <v>1021</v>
      </c>
      <c r="B994">
        <v>0.12892249527410199</v>
      </c>
      <c r="C994">
        <v>9.1579583342656895E-2</v>
      </c>
      <c r="D994">
        <v>7.5129964412319103E-2</v>
      </c>
      <c r="E994">
        <v>0</v>
      </c>
      <c r="F994">
        <v>0.50434782608695605</v>
      </c>
      <c r="G994">
        <v>0.99365892374074605</v>
      </c>
      <c r="H994">
        <v>6</v>
      </c>
      <c r="I994">
        <v>7</v>
      </c>
      <c r="J994">
        <v>6.9319211869662695E-2</v>
      </c>
      <c r="K994">
        <v>1.8760195758564399E-2</v>
      </c>
      <c r="L994">
        <v>6.8892266396466006E-2</v>
      </c>
      <c r="M994">
        <v>1.44300144300144E-3</v>
      </c>
      <c r="N994">
        <v>1.25366936066524E-2</v>
      </c>
      <c r="O994">
        <v>613</v>
      </c>
      <c r="P994">
        <v>5.97292368125701E-2</v>
      </c>
      <c r="Q994">
        <v>5.9889897962761597E-2</v>
      </c>
      <c r="R994">
        <v>0</v>
      </c>
      <c r="S994">
        <v>0</v>
      </c>
      <c r="T994" t="s">
        <v>53</v>
      </c>
      <c r="U994">
        <v>6.5094339622641495E-2</v>
      </c>
      <c r="V994">
        <v>0</v>
      </c>
      <c r="W994">
        <v>0</v>
      </c>
      <c r="X994">
        <v>0.224278119758478</v>
      </c>
      <c r="Y994">
        <v>5.2070983654161199E-2</v>
      </c>
      <c r="Z994">
        <v>4.0852219530203002E-2</v>
      </c>
      <c r="AA994">
        <v>0</v>
      </c>
      <c r="AB994">
        <f t="shared" si="105"/>
        <v>6.1902996052978457E-2</v>
      </c>
      <c r="AC994">
        <f t="shared" si="110"/>
        <v>0.1</v>
      </c>
      <c r="AD994">
        <f t="shared" si="106"/>
        <v>0.08</v>
      </c>
      <c r="AE994">
        <f t="shared" si="111"/>
        <v>7.3045535342514595E-2</v>
      </c>
      <c r="AF994" t="str">
        <f t="shared" si="107"/>
        <v>Very Low</v>
      </c>
      <c r="AG994" t="str">
        <f t="shared" si="108"/>
        <v>NO ACTION</v>
      </c>
      <c r="AH994" t="str">
        <f t="shared" si="109"/>
        <v/>
      </c>
    </row>
    <row r="995" spans="1:34" x14ac:dyDescent="0.3">
      <c r="A995" t="s">
        <v>1022</v>
      </c>
      <c r="B995">
        <v>0.23629489603024501</v>
      </c>
      <c r="C995">
        <v>0.76961282071632897</v>
      </c>
      <c r="D995">
        <v>0.36621147952523098</v>
      </c>
      <c r="E995">
        <v>0</v>
      </c>
      <c r="F995">
        <v>0</v>
      </c>
      <c r="G995">
        <v>0.477389111367509</v>
      </c>
      <c r="H995">
        <v>8</v>
      </c>
      <c r="I995">
        <v>14</v>
      </c>
      <c r="J995">
        <v>6.3546586517818804E-2</v>
      </c>
      <c r="K995">
        <v>7.34094616639478E-3</v>
      </c>
      <c r="L995">
        <v>2.93975584421458E-2</v>
      </c>
      <c r="M995">
        <v>1.7316017316017301E-3</v>
      </c>
      <c r="N995">
        <v>1.64055341317869E-2</v>
      </c>
      <c r="O995">
        <v>677</v>
      </c>
      <c r="P995">
        <v>5.07154882154882E-2</v>
      </c>
      <c r="Q995">
        <v>5.0878361793891699E-2</v>
      </c>
      <c r="R995">
        <v>0</v>
      </c>
      <c r="S995">
        <v>0</v>
      </c>
      <c r="T995" t="s">
        <v>53</v>
      </c>
      <c r="U995">
        <v>2.1832884097034998E-2</v>
      </c>
      <c r="V995">
        <v>0</v>
      </c>
      <c r="W995">
        <v>0</v>
      </c>
      <c r="X995">
        <v>0.10986344385756899</v>
      </c>
      <c r="Y995">
        <v>3.2329756764172699E-2</v>
      </c>
      <c r="Z995">
        <v>3.6991506582007699E-2</v>
      </c>
      <c r="AA995">
        <v>0</v>
      </c>
      <c r="AB995">
        <f t="shared" si="105"/>
        <v>3.6988104754141549E-2</v>
      </c>
      <c r="AC995">
        <f t="shared" si="110"/>
        <v>0.1</v>
      </c>
      <c r="AD995">
        <f t="shared" si="106"/>
        <v>0</v>
      </c>
      <c r="AE995">
        <f t="shared" si="111"/>
        <v>4.0686915229555705E-2</v>
      </c>
      <c r="AF995" t="str">
        <f t="shared" si="107"/>
        <v>Very Low</v>
      </c>
      <c r="AG995" t="str">
        <f t="shared" si="108"/>
        <v>NO ACTION</v>
      </c>
      <c r="AH995" t="str">
        <f t="shared" si="109"/>
        <v/>
      </c>
    </row>
    <row r="996" spans="1:34" x14ac:dyDescent="0.3">
      <c r="A996" t="s">
        <v>1023</v>
      </c>
      <c r="B996">
        <v>0.12892249527410199</v>
      </c>
      <c r="C996">
        <v>0.18476582604220201</v>
      </c>
      <c r="D996">
        <v>0</v>
      </c>
      <c r="E996">
        <v>0</v>
      </c>
      <c r="F996">
        <v>0</v>
      </c>
      <c r="G996">
        <v>0.99368541881258798</v>
      </c>
      <c r="H996">
        <v>7</v>
      </c>
      <c r="I996">
        <v>7</v>
      </c>
      <c r="J996">
        <v>7.1704594246457698E-2</v>
      </c>
      <c r="K996">
        <v>1.4681892332789499E-2</v>
      </c>
      <c r="L996">
        <v>5.2128031349003998E-2</v>
      </c>
      <c r="M996">
        <v>2.0202020202020202E-3</v>
      </c>
      <c r="N996">
        <v>1.6969429038394501E-2</v>
      </c>
      <c r="O996">
        <v>767</v>
      </c>
      <c r="P996">
        <v>6.0009820426486997E-2</v>
      </c>
      <c r="Q996">
        <v>6.0170412707317898E-2</v>
      </c>
      <c r="R996">
        <v>0</v>
      </c>
      <c r="S996">
        <v>0</v>
      </c>
      <c r="T996" t="s">
        <v>53</v>
      </c>
      <c r="U996">
        <v>3.8207547169811298E-2</v>
      </c>
      <c r="V996">
        <v>0</v>
      </c>
      <c r="W996">
        <v>0</v>
      </c>
      <c r="X996">
        <v>0</v>
      </c>
      <c r="Y996">
        <v>4.5495763235311897E-2</v>
      </c>
      <c r="Z996">
        <v>4.2793663871249998E-2</v>
      </c>
      <c r="AA996">
        <v>0</v>
      </c>
      <c r="AB996">
        <f t="shared" si="105"/>
        <v>2.4721039589837332E-2</v>
      </c>
      <c r="AC996">
        <f t="shared" si="110"/>
        <v>0.1</v>
      </c>
      <c r="AD996">
        <f t="shared" si="106"/>
        <v>0</v>
      </c>
      <c r="AE996">
        <f t="shared" si="111"/>
        <v>2.7193143548821068E-2</v>
      </c>
      <c r="AF996" t="str">
        <f t="shared" si="107"/>
        <v>Very Low</v>
      </c>
      <c r="AG996" t="str">
        <f t="shared" si="108"/>
        <v>NO ACTION</v>
      </c>
      <c r="AH996" t="str">
        <f t="shared" si="109"/>
        <v/>
      </c>
    </row>
    <row r="997" spans="1:34" x14ac:dyDescent="0.3">
      <c r="A997" t="s">
        <v>1024</v>
      </c>
      <c r="B997">
        <v>0.235538752362948</v>
      </c>
      <c r="C997">
        <v>0.78356033723479501</v>
      </c>
      <c r="D997">
        <v>0.380362249774438</v>
      </c>
      <c r="E997">
        <v>0</v>
      </c>
      <c r="F997">
        <v>0</v>
      </c>
      <c r="G997">
        <v>0.47933273421217298</v>
      </c>
      <c r="H997">
        <v>8</v>
      </c>
      <c r="I997">
        <v>14</v>
      </c>
      <c r="J997">
        <v>6.9653165402413994E-2</v>
      </c>
      <c r="K997">
        <v>1.5497553017944501E-2</v>
      </c>
      <c r="L997">
        <v>5.66390729697255E-2</v>
      </c>
      <c r="M997">
        <v>2.88600288600288E-4</v>
      </c>
      <c r="N997">
        <v>2.49535826327635E-3</v>
      </c>
      <c r="O997">
        <v>727</v>
      </c>
      <c r="P997">
        <v>5.8010662177328802E-2</v>
      </c>
      <c r="Q997">
        <v>5.8171745152354501E-2</v>
      </c>
      <c r="R997">
        <v>0</v>
      </c>
      <c r="S997">
        <v>0</v>
      </c>
      <c r="T997" t="s">
        <v>53</v>
      </c>
      <c r="U997">
        <v>0.16132075471698101</v>
      </c>
      <c r="V997">
        <v>0</v>
      </c>
      <c r="W997">
        <v>0</v>
      </c>
      <c r="X997">
        <v>0.114108674932331</v>
      </c>
      <c r="Y997">
        <v>4.2998777044328397E-2</v>
      </c>
      <c r="Z997">
        <v>3.5804540611707798E-2</v>
      </c>
      <c r="AA997">
        <v>0</v>
      </c>
      <c r="AB997">
        <f t="shared" si="105"/>
        <v>4.0322316932863096E-2</v>
      </c>
      <c r="AC997">
        <f t="shared" si="110"/>
        <v>0.1</v>
      </c>
      <c r="AD997">
        <f t="shared" si="106"/>
        <v>0</v>
      </c>
      <c r="AE997">
        <f t="shared" si="111"/>
        <v>4.4354548626149411E-2</v>
      </c>
      <c r="AF997" t="str">
        <f t="shared" si="107"/>
        <v>Very Low</v>
      </c>
      <c r="AG997" t="str">
        <f t="shared" si="108"/>
        <v>NO ACTION</v>
      </c>
      <c r="AH997" t="str">
        <f t="shared" si="109"/>
        <v/>
      </c>
    </row>
    <row r="998" spans="1:34" x14ac:dyDescent="0.3">
      <c r="A998" t="s">
        <v>1025</v>
      </c>
      <c r="B998">
        <v>0.23440453686200299</v>
      </c>
      <c r="C998">
        <v>0.58420348522638699</v>
      </c>
      <c r="D998">
        <v>0.37031494554912697</v>
      </c>
      <c r="E998">
        <v>0</v>
      </c>
      <c r="F998">
        <v>0</v>
      </c>
      <c r="G998">
        <v>0.48211883421072999</v>
      </c>
      <c r="H998">
        <v>7</v>
      </c>
      <c r="I998">
        <v>13</v>
      </c>
      <c r="J998">
        <v>9.6798816850341099E-2</v>
      </c>
      <c r="K998">
        <v>8.9722675367047301E-3</v>
      </c>
      <c r="L998">
        <v>2.3617933574163599E-2</v>
      </c>
      <c r="M998">
        <v>2.0202020202020202E-3</v>
      </c>
      <c r="N998">
        <v>1.2581071283136101E-2</v>
      </c>
      <c r="O998">
        <v>988</v>
      </c>
      <c r="P998">
        <v>7.6003086419752994E-2</v>
      </c>
      <c r="Q998">
        <v>7.6159753147024695E-2</v>
      </c>
      <c r="R998">
        <v>0</v>
      </c>
      <c r="S998">
        <v>0</v>
      </c>
      <c r="T998" t="s">
        <v>28</v>
      </c>
      <c r="U998">
        <v>2.33490566037735E-2</v>
      </c>
      <c r="V998">
        <v>0</v>
      </c>
      <c r="W998">
        <v>0</v>
      </c>
      <c r="X998">
        <v>0.11109448366473799</v>
      </c>
      <c r="Y998">
        <v>3.4943051542090799E-2</v>
      </c>
      <c r="Z998">
        <v>5.0634280365106303E-2</v>
      </c>
      <c r="AA998">
        <v>0</v>
      </c>
      <c r="AB998">
        <f t="shared" si="105"/>
        <v>4.1736770320373269E-2</v>
      </c>
      <c r="AC998">
        <f t="shared" si="110"/>
        <v>0.25</v>
      </c>
      <c r="AD998">
        <f t="shared" si="106"/>
        <v>0</v>
      </c>
      <c r="AE998">
        <f t="shared" si="111"/>
        <v>5.2170962900466585E-2</v>
      </c>
      <c r="AF998" t="str">
        <f t="shared" si="107"/>
        <v>Very Low</v>
      </c>
      <c r="AG998" t="str">
        <f t="shared" si="108"/>
        <v>NO ACTION</v>
      </c>
      <c r="AH998" t="str">
        <f t="shared" si="109"/>
        <v/>
      </c>
    </row>
    <row r="999" spans="1:34" x14ac:dyDescent="0.3">
      <c r="A999" t="s">
        <v>1026</v>
      </c>
      <c r="B999">
        <v>0.25330812854442297</v>
      </c>
      <c r="C999">
        <v>0.45506123327901499</v>
      </c>
      <c r="D999">
        <v>0.39936536932404398</v>
      </c>
      <c r="E999">
        <v>0</v>
      </c>
      <c r="F999">
        <v>0.51186943620178005</v>
      </c>
      <c r="G999">
        <v>0.43547116922349</v>
      </c>
      <c r="H999">
        <v>6</v>
      </c>
      <c r="I999">
        <v>16</v>
      </c>
      <c r="J999">
        <v>7.9099279614522205E-2</v>
      </c>
      <c r="K999">
        <v>9.7879282218597003E-3</v>
      </c>
      <c r="L999">
        <v>3.1512957015152498E-2</v>
      </c>
      <c r="M999">
        <v>1.7316017316017301E-3</v>
      </c>
      <c r="N999">
        <v>1.3189536460733E-2</v>
      </c>
      <c r="O999">
        <v>617</v>
      </c>
      <c r="P999">
        <v>6.3201459034792296E-2</v>
      </c>
      <c r="Q999">
        <v>6.3361267926645398E-2</v>
      </c>
      <c r="R999">
        <v>0.3952802359882</v>
      </c>
      <c r="S999">
        <v>1</v>
      </c>
      <c r="T999" t="s">
        <v>53</v>
      </c>
      <c r="U999">
        <v>2.9110512129380001E-2</v>
      </c>
      <c r="V999">
        <v>0</v>
      </c>
      <c r="W999">
        <v>0.52639612348773102</v>
      </c>
      <c r="X999">
        <v>0.32455738527792499</v>
      </c>
      <c r="Y999">
        <v>3.5533195368700601E-2</v>
      </c>
      <c r="Z999">
        <v>4.3196690005168598E-2</v>
      </c>
      <c r="AA999">
        <v>0.3952802359882</v>
      </c>
      <c r="AB999">
        <f t="shared" si="105"/>
        <v>0.18465201562584738</v>
      </c>
      <c r="AC999">
        <f t="shared" si="110"/>
        <v>0.1</v>
      </c>
      <c r="AD999">
        <f t="shared" si="106"/>
        <v>0.08</v>
      </c>
      <c r="AE999">
        <f t="shared" si="111"/>
        <v>0.21788937843849993</v>
      </c>
      <c r="AF999" t="str">
        <f t="shared" si="107"/>
        <v>Low</v>
      </c>
      <c r="AG999" t="str">
        <f t="shared" si="108"/>
        <v>NO ACTION</v>
      </c>
      <c r="AH999" t="str">
        <f t="shared" si="109"/>
        <v/>
      </c>
    </row>
    <row r="1000" spans="1:34" x14ac:dyDescent="0.3">
      <c r="A1000" t="s">
        <v>1027</v>
      </c>
      <c r="B1000">
        <v>0.12892249527410199</v>
      </c>
      <c r="C1000">
        <v>0.36953165208440503</v>
      </c>
      <c r="D1000">
        <v>0</v>
      </c>
      <c r="E1000">
        <v>0</v>
      </c>
      <c r="F1000">
        <v>0</v>
      </c>
      <c r="G1000">
        <v>0.99369331380874204</v>
      </c>
      <c r="H1000">
        <v>8</v>
      </c>
      <c r="I1000">
        <v>8</v>
      </c>
      <c r="J1000">
        <v>8.1961738466676204E-2</v>
      </c>
      <c r="K1000">
        <v>1.30505709624796E-2</v>
      </c>
      <c r="L1000">
        <v>4.0554109124549098E-2</v>
      </c>
      <c r="M1000">
        <v>2.0202020202020202E-3</v>
      </c>
      <c r="N1000">
        <v>1.4851943696981401E-2</v>
      </c>
      <c r="O1000">
        <v>893</v>
      </c>
      <c r="P1000">
        <v>6.6849046015712593E-2</v>
      </c>
      <c r="Q1000">
        <v>6.7007959605876702E-2</v>
      </c>
      <c r="R1000">
        <v>0</v>
      </c>
      <c r="S1000">
        <v>0</v>
      </c>
      <c r="T1000" t="s">
        <v>53</v>
      </c>
      <c r="U1000">
        <v>3.3962264150943298E-2</v>
      </c>
      <c r="V1000">
        <v>0</v>
      </c>
      <c r="W1000">
        <v>0</v>
      </c>
      <c r="X1000">
        <v>0</v>
      </c>
      <c r="Y1000">
        <v>4.11249853647042E-2</v>
      </c>
      <c r="Z1000">
        <v>4.6050205088220102E-2</v>
      </c>
      <c r="AA1000">
        <v>0</v>
      </c>
      <c r="AB1000">
        <f t="shared" si="105"/>
        <v>2.4409053326818808E-2</v>
      </c>
      <c r="AC1000">
        <f t="shared" si="110"/>
        <v>0.1</v>
      </c>
      <c r="AD1000">
        <f t="shared" si="106"/>
        <v>0</v>
      </c>
      <c r="AE1000">
        <f t="shared" si="111"/>
        <v>2.684995865950069E-2</v>
      </c>
      <c r="AF1000" t="str">
        <f t="shared" si="107"/>
        <v>Very Low</v>
      </c>
      <c r="AG1000" t="str">
        <f t="shared" si="108"/>
        <v>NO ACTION</v>
      </c>
      <c r="AH1000" t="str">
        <f t="shared" si="109"/>
        <v/>
      </c>
    </row>
    <row r="1001" spans="1:34" x14ac:dyDescent="0.3">
      <c r="A1001" t="s">
        <v>1028</v>
      </c>
      <c r="B1001">
        <v>0.12892249527410199</v>
      </c>
      <c r="C1001">
        <v>0.55429747812660801</v>
      </c>
      <c r="D1001">
        <v>0</v>
      </c>
      <c r="E1001">
        <v>0</v>
      </c>
      <c r="F1001">
        <v>0</v>
      </c>
      <c r="G1001">
        <v>0.99366414246701795</v>
      </c>
      <c r="H1001">
        <v>9</v>
      </c>
      <c r="I1001">
        <v>9</v>
      </c>
      <c r="J1001">
        <v>6.7124660083011295E-2</v>
      </c>
      <c r="K1001">
        <v>1.30505709624796E-2</v>
      </c>
      <c r="L1001">
        <v>4.9486352706514303E-2</v>
      </c>
      <c r="M1001">
        <v>1.1544011544011501E-3</v>
      </c>
      <c r="N1001">
        <v>1.0356090242775701E-2</v>
      </c>
      <c r="O1001">
        <v>795</v>
      </c>
      <c r="P1001">
        <v>5.5520482603815903E-2</v>
      </c>
      <c r="Q1001">
        <v>5.5682176794417698E-2</v>
      </c>
      <c r="R1001">
        <v>0</v>
      </c>
      <c r="S1001">
        <v>0</v>
      </c>
      <c r="T1001" t="s">
        <v>53</v>
      </c>
      <c r="U1001">
        <v>5.4339622641509398E-2</v>
      </c>
      <c r="V1001">
        <v>0</v>
      </c>
      <c r="W1001">
        <v>0</v>
      </c>
      <c r="X1001">
        <v>0</v>
      </c>
      <c r="Y1001">
        <v>4.1274935442692097E-2</v>
      </c>
      <c r="Z1001">
        <v>3.74547256593998E-2</v>
      </c>
      <c r="AA1001">
        <v>0</v>
      </c>
      <c r="AB1001">
        <f t="shared" si="105"/>
        <v>2.2044305108585731E-2</v>
      </c>
      <c r="AC1001">
        <f t="shared" si="110"/>
        <v>0.1</v>
      </c>
      <c r="AD1001">
        <f t="shared" si="106"/>
        <v>0</v>
      </c>
      <c r="AE1001">
        <f t="shared" si="111"/>
        <v>2.4248735619444305E-2</v>
      </c>
      <c r="AF1001" t="str">
        <f t="shared" si="107"/>
        <v>Very Low</v>
      </c>
      <c r="AG1001" t="str">
        <f t="shared" si="108"/>
        <v>NO ACTION</v>
      </c>
      <c r="AH1001" t="str">
        <f t="shared" si="10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Manogna Chalasani</cp:lastModifiedBy>
  <dcterms:created xsi:type="dcterms:W3CDTF">2026-04-28T05:50:02Z</dcterms:created>
  <dcterms:modified xsi:type="dcterms:W3CDTF">2026-04-28T06:44:32Z</dcterms:modified>
</cp:coreProperties>
</file>