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65a7e6b5eadec5/Documents/STUDY/information security ^0 risk assessment/threat-detection-system/"/>
    </mc:Choice>
  </mc:AlternateContent>
  <xr:revisionPtr revIDLastSave="135" documentId="8_{540DE29A-B2E7-4159-8D08-8C7DFF8BA35D}" xr6:coauthVersionLast="47" xr6:coauthVersionMax="47" xr10:uidLastSave="{6CEF4E70-9AE5-4135-93AB-D8073E7DDAA3}"/>
  <bookViews>
    <workbookView xWindow="-108" yWindow="-108" windowWidth="23256" windowHeight="12456" xr2:uid="{7E3116DF-EC29-4DA6-896A-A75AEC9AD960}"/>
  </bookViews>
  <sheets>
    <sheet name="behavior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2" i="1" l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2" i="1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2" i="1"/>
  <c r="AF2" i="1"/>
  <c r="AM10" i="1"/>
  <c r="AN10" i="1" s="1"/>
  <c r="AM67" i="1"/>
  <c r="AN67" i="1" s="1"/>
  <c r="AM98" i="1"/>
  <c r="AN98" i="1" s="1"/>
  <c r="AM208" i="1"/>
  <c r="AN208" i="1" s="1"/>
  <c r="AM253" i="1"/>
  <c r="AN253" i="1" s="1"/>
  <c r="AM274" i="1"/>
  <c r="AN274" i="1" s="1"/>
  <c r="AM390" i="1"/>
  <c r="AN390" i="1" s="1"/>
  <c r="AM440" i="1"/>
  <c r="AN440" i="1" s="1"/>
  <c r="AM487" i="1"/>
  <c r="AN487" i="1" s="1"/>
  <c r="AM495" i="1"/>
  <c r="AN495" i="1" s="1"/>
  <c r="AM633" i="1"/>
  <c r="AN633" i="1" s="1"/>
  <c r="AM638" i="1"/>
  <c r="AN638" i="1" s="1"/>
  <c r="AM646" i="1"/>
  <c r="AN646" i="1" s="1"/>
  <c r="AM661" i="1"/>
  <c r="AN661" i="1" s="1"/>
  <c r="AM696" i="1"/>
  <c r="AN696" i="1" s="1"/>
  <c r="AM730" i="1"/>
  <c r="AN730" i="1" s="1"/>
  <c r="AM781" i="1"/>
  <c r="AN781" i="1" s="1"/>
  <c r="AM868" i="1"/>
  <c r="AN868" i="1" s="1"/>
  <c r="AM982" i="1"/>
  <c r="AN982" i="1" s="1"/>
  <c r="AL10" i="1"/>
  <c r="AL67" i="1"/>
  <c r="AL98" i="1"/>
  <c r="AL208" i="1"/>
  <c r="AL253" i="1"/>
  <c r="AL274" i="1"/>
  <c r="AL390" i="1"/>
  <c r="AL440" i="1"/>
  <c r="AL487" i="1"/>
  <c r="AL495" i="1"/>
  <c r="AL633" i="1"/>
  <c r="AL638" i="1"/>
  <c r="AL646" i="1"/>
  <c r="AL661" i="1"/>
  <c r="AL696" i="1"/>
  <c r="AL730" i="1"/>
  <c r="AL781" i="1"/>
  <c r="AL868" i="1"/>
  <c r="AL982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3" i="1"/>
  <c r="AH2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2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M249" i="1" s="1"/>
  <c r="AN249" i="1" s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M409" i="1" s="1"/>
  <c r="AN409" i="1" s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4" i="1"/>
  <c r="AF15" i="1"/>
  <c r="AF16" i="1"/>
  <c r="AF17" i="1"/>
  <c r="AF18" i="1"/>
  <c r="AF19" i="1"/>
  <c r="AF20" i="1"/>
  <c r="AF21" i="1"/>
  <c r="AF22" i="1"/>
  <c r="AF23" i="1"/>
  <c r="AF24" i="1"/>
  <c r="AF3" i="1"/>
  <c r="AF4" i="1"/>
  <c r="AF5" i="1"/>
  <c r="AF6" i="1"/>
  <c r="AF7" i="1"/>
  <c r="AF8" i="1"/>
  <c r="AF9" i="1"/>
  <c r="AF10" i="1"/>
  <c r="AF11" i="1"/>
  <c r="AF12" i="1"/>
  <c r="AF13" i="1"/>
  <c r="AM2" i="1"/>
  <c r="AN2" i="1" s="1"/>
  <c r="AL954" i="1" l="1"/>
  <c r="AM946" i="1"/>
  <c r="AN946" i="1" s="1"/>
  <c r="AM922" i="1"/>
  <c r="AN922" i="1" s="1"/>
  <c r="AM906" i="1"/>
  <c r="AN906" i="1" s="1"/>
  <c r="AM898" i="1"/>
  <c r="AN898" i="1" s="1"/>
  <c r="AM890" i="1"/>
  <c r="AN890" i="1" s="1"/>
  <c r="AL882" i="1"/>
  <c r="AL866" i="1"/>
  <c r="AL858" i="1"/>
  <c r="AM850" i="1"/>
  <c r="AN850" i="1" s="1"/>
  <c r="AL842" i="1"/>
  <c r="AM834" i="1"/>
  <c r="AN834" i="1" s="1"/>
  <c r="AM826" i="1"/>
  <c r="AN826" i="1" s="1"/>
  <c r="AM818" i="1"/>
  <c r="AN818" i="1" s="1"/>
  <c r="AM802" i="1"/>
  <c r="AN802" i="1" s="1"/>
  <c r="AM778" i="1"/>
  <c r="AN778" i="1" s="1"/>
  <c r="AL762" i="1"/>
  <c r="AM754" i="1"/>
  <c r="AN754" i="1" s="1"/>
  <c r="AM690" i="1"/>
  <c r="AN690" i="1" s="1"/>
  <c r="AM650" i="1"/>
  <c r="AN650" i="1" s="1"/>
  <c r="AM642" i="1"/>
  <c r="AN642" i="1" s="1"/>
  <c r="AL634" i="1"/>
  <c r="AM626" i="1"/>
  <c r="AN626" i="1" s="1"/>
  <c r="AM602" i="1"/>
  <c r="AN602" i="1" s="1"/>
  <c r="AM594" i="1"/>
  <c r="AN594" i="1" s="1"/>
  <c r="AM570" i="1"/>
  <c r="AN570" i="1" s="1"/>
  <c r="AM562" i="1"/>
  <c r="AN562" i="1" s="1"/>
  <c r="AM522" i="1"/>
  <c r="AN522" i="1" s="1"/>
  <c r="AM514" i="1"/>
  <c r="AN514" i="1" s="1"/>
  <c r="AL506" i="1"/>
  <c r="AM498" i="1"/>
  <c r="AN498" i="1" s="1"/>
  <c r="AM474" i="1"/>
  <c r="AN474" i="1" s="1"/>
  <c r="AM466" i="1"/>
  <c r="AN466" i="1" s="1"/>
  <c r="AL442" i="1"/>
  <c r="AM434" i="1"/>
  <c r="AN434" i="1" s="1"/>
  <c r="AM394" i="1"/>
  <c r="AN394" i="1" s="1"/>
  <c r="AM386" i="1"/>
  <c r="AN386" i="1" s="1"/>
  <c r="AL378" i="1"/>
  <c r="AM370" i="1"/>
  <c r="AN370" i="1" s="1"/>
  <c r="AL346" i="1"/>
  <c r="AL338" i="1"/>
  <c r="AM330" i="1"/>
  <c r="AN330" i="1" s="1"/>
  <c r="AM322" i="1"/>
  <c r="AN322" i="1" s="1"/>
  <c r="AM314" i="1"/>
  <c r="AN314" i="1" s="1"/>
  <c r="AM306" i="1"/>
  <c r="AN306" i="1" s="1"/>
  <c r="AL266" i="1"/>
  <c r="AM258" i="1"/>
  <c r="AN258" i="1" s="1"/>
  <c r="AL250" i="1"/>
  <c r="AM242" i="1"/>
  <c r="AN242" i="1" s="1"/>
  <c r="AL210" i="1"/>
  <c r="AM202" i="1"/>
  <c r="AN202" i="1" s="1"/>
  <c r="AM194" i="1"/>
  <c r="AN194" i="1" s="1"/>
  <c r="AM178" i="1"/>
  <c r="AN178" i="1" s="1"/>
  <c r="AL146" i="1"/>
  <c r="AM138" i="1"/>
  <c r="AN138" i="1" s="1"/>
  <c r="AM130" i="1"/>
  <c r="AN130" i="1" s="1"/>
  <c r="AM114" i="1"/>
  <c r="AN114" i="1" s="1"/>
  <c r="AL74" i="1"/>
  <c r="AM66" i="1"/>
  <c r="AN66" i="1" s="1"/>
  <c r="AM58" i="1"/>
  <c r="AN58" i="1" s="1"/>
  <c r="AM50" i="1"/>
  <c r="AN50" i="1" s="1"/>
  <c r="AL20" i="1"/>
  <c r="AM5" i="1"/>
  <c r="AN5" i="1" s="1"/>
  <c r="AM21" i="1"/>
  <c r="AN21" i="1" s="1"/>
  <c r="AM13" i="1"/>
  <c r="AN13" i="1" s="1"/>
  <c r="AM18" i="1"/>
  <c r="AN18" i="1" s="1"/>
  <c r="AL3" i="1"/>
  <c r="AM997" i="1"/>
  <c r="AN997" i="1" s="1"/>
  <c r="AL981" i="1"/>
  <c r="AL949" i="1"/>
  <c r="AM933" i="1"/>
  <c r="AN933" i="1" s="1"/>
  <c r="AM909" i="1"/>
  <c r="AN909" i="1" s="1"/>
  <c r="AM877" i="1"/>
  <c r="AN877" i="1" s="1"/>
  <c r="AM853" i="1"/>
  <c r="AN853" i="1" s="1"/>
  <c r="AM837" i="1"/>
  <c r="AN837" i="1" s="1"/>
  <c r="AL773" i="1"/>
  <c r="AM741" i="1"/>
  <c r="AN741" i="1" s="1"/>
  <c r="AM597" i="1"/>
  <c r="AN597" i="1" s="1"/>
  <c r="AM533" i="1"/>
  <c r="AN533" i="1" s="1"/>
  <c r="AM469" i="1"/>
  <c r="AN469" i="1" s="1"/>
  <c r="AM453" i="1"/>
  <c r="AN453" i="1" s="1"/>
  <c r="AL333" i="1"/>
  <c r="AM277" i="1"/>
  <c r="AN277" i="1" s="1"/>
  <c r="AL261" i="1"/>
  <c r="AM245" i="1"/>
  <c r="AN245" i="1" s="1"/>
  <c r="AM229" i="1"/>
  <c r="AN229" i="1" s="1"/>
  <c r="AL213" i="1"/>
  <c r="AM197" i="1"/>
  <c r="AN197" i="1" s="1"/>
  <c r="AL173" i="1"/>
  <c r="AM157" i="1"/>
  <c r="AN157" i="1" s="1"/>
  <c r="AM141" i="1"/>
  <c r="AN141" i="1" s="1"/>
  <c r="AL125" i="1"/>
  <c r="AM109" i="1"/>
  <c r="AN109" i="1" s="1"/>
  <c r="AM93" i="1"/>
  <c r="AN93" i="1" s="1"/>
  <c r="AL77" i="1"/>
  <c r="AL61" i="1"/>
  <c r="AM45" i="1"/>
  <c r="AN45" i="1" s="1"/>
  <c r="AM37" i="1"/>
  <c r="AN37" i="1" s="1"/>
  <c r="AM996" i="1"/>
  <c r="AN996" i="1" s="1"/>
  <c r="AM980" i="1"/>
  <c r="AN980" i="1" s="1"/>
  <c r="AM972" i="1"/>
  <c r="AN972" i="1" s="1"/>
  <c r="AL948" i="1"/>
  <c r="AM828" i="1"/>
  <c r="AN828" i="1" s="1"/>
  <c r="AL780" i="1"/>
  <c r="AM764" i="1"/>
  <c r="AN764" i="1" s="1"/>
  <c r="AM732" i="1"/>
  <c r="AN732" i="1" s="1"/>
  <c r="AL716" i="1"/>
  <c r="AM700" i="1"/>
  <c r="AN700" i="1" s="1"/>
  <c r="AL652" i="1"/>
  <c r="AL636" i="1"/>
  <c r="AM572" i="1"/>
  <c r="AN572" i="1" s="1"/>
  <c r="AM524" i="1"/>
  <c r="AN524" i="1" s="1"/>
  <c r="AM508" i="1"/>
  <c r="AN508" i="1" s="1"/>
  <c r="AM396" i="1"/>
  <c r="AN396" i="1" s="1"/>
  <c r="AL380" i="1"/>
  <c r="AM180" i="1"/>
  <c r="AN180" i="1" s="1"/>
  <c r="AM52" i="1"/>
  <c r="AN52" i="1" s="1"/>
  <c r="AM19" i="1"/>
  <c r="AN19" i="1" s="1"/>
  <c r="AL17" i="1"/>
  <c r="AM989" i="1"/>
  <c r="AN989" i="1" s="1"/>
  <c r="AM941" i="1"/>
  <c r="AN941" i="1" s="1"/>
  <c r="AM901" i="1"/>
  <c r="AN901" i="1" s="1"/>
  <c r="AM885" i="1"/>
  <c r="AN885" i="1" s="1"/>
  <c r="AM869" i="1"/>
  <c r="AN869" i="1" s="1"/>
  <c r="AL845" i="1"/>
  <c r="AM805" i="1"/>
  <c r="AN805" i="1" s="1"/>
  <c r="AL789" i="1"/>
  <c r="AM725" i="1"/>
  <c r="AN725" i="1" s="1"/>
  <c r="AM645" i="1"/>
  <c r="AN645" i="1" s="1"/>
  <c r="AM581" i="1"/>
  <c r="AN581" i="1" s="1"/>
  <c r="AM517" i="1"/>
  <c r="AN517" i="1" s="1"/>
  <c r="AM389" i="1"/>
  <c r="AN389" i="1" s="1"/>
  <c r="AM349" i="1"/>
  <c r="AN349" i="1" s="1"/>
  <c r="AM317" i="1"/>
  <c r="AN317" i="1" s="1"/>
  <c r="AM301" i="1"/>
  <c r="AN301" i="1" s="1"/>
  <c r="AL285" i="1"/>
  <c r="AM269" i="1"/>
  <c r="AN269" i="1" s="1"/>
  <c r="AM237" i="1"/>
  <c r="AN237" i="1" s="1"/>
  <c r="AM221" i="1"/>
  <c r="AN221" i="1" s="1"/>
  <c r="AL205" i="1"/>
  <c r="AL189" i="1"/>
  <c r="AM165" i="1"/>
  <c r="AN165" i="1" s="1"/>
  <c r="AL149" i="1"/>
  <c r="AL133" i="1"/>
  <c r="AM117" i="1"/>
  <c r="AN117" i="1" s="1"/>
  <c r="AM101" i="1"/>
  <c r="AN101" i="1" s="1"/>
  <c r="AM85" i="1"/>
  <c r="AN85" i="1" s="1"/>
  <c r="AM69" i="1"/>
  <c r="AN69" i="1" s="1"/>
  <c r="AM995" i="1"/>
  <c r="AN995" i="1" s="1"/>
  <c r="AM987" i="1"/>
  <c r="AN987" i="1" s="1"/>
  <c r="AM979" i="1"/>
  <c r="AN979" i="1" s="1"/>
  <c r="AM971" i="1"/>
  <c r="AN971" i="1" s="1"/>
  <c r="AM963" i="1"/>
  <c r="AN963" i="1" s="1"/>
  <c r="AM947" i="1"/>
  <c r="AN947" i="1" s="1"/>
  <c r="AM931" i="1"/>
  <c r="AN931" i="1" s="1"/>
  <c r="AM923" i="1"/>
  <c r="AN923" i="1" s="1"/>
  <c r="AM915" i="1"/>
  <c r="AN915" i="1" s="1"/>
  <c r="AM907" i="1"/>
  <c r="AN907" i="1" s="1"/>
  <c r="AM899" i="1"/>
  <c r="AN899" i="1" s="1"/>
  <c r="AM891" i="1"/>
  <c r="AN891" i="1" s="1"/>
  <c r="AL883" i="1"/>
  <c r="AM867" i="1"/>
  <c r="AN867" i="1" s="1"/>
  <c r="AL851" i="1"/>
  <c r="AL843" i="1"/>
  <c r="AM835" i="1"/>
  <c r="AN835" i="1" s="1"/>
  <c r="AM819" i="1"/>
  <c r="AN819" i="1" s="1"/>
  <c r="AM787" i="1"/>
  <c r="AN787" i="1" s="1"/>
  <c r="AM771" i="1"/>
  <c r="AN771" i="1" s="1"/>
  <c r="AM723" i="1"/>
  <c r="AN723" i="1" s="1"/>
  <c r="AL707" i="1"/>
  <c r="AM691" i="1"/>
  <c r="AN691" i="1" s="1"/>
  <c r="AM643" i="1"/>
  <c r="AN643" i="1" s="1"/>
  <c r="AM627" i="1"/>
  <c r="AN627" i="1" s="1"/>
  <c r="AM579" i="1"/>
  <c r="AN579" i="1" s="1"/>
  <c r="AM563" i="1"/>
  <c r="AN563" i="1" s="1"/>
  <c r="AL499" i="1"/>
  <c r="AL451" i="1"/>
  <c r="AM435" i="1"/>
  <c r="AN435" i="1" s="1"/>
  <c r="AM387" i="1"/>
  <c r="AN387" i="1" s="1"/>
  <c r="AL371" i="1"/>
  <c r="AL249" i="1"/>
  <c r="AL973" i="1"/>
  <c r="AL965" i="1"/>
  <c r="AM925" i="1"/>
  <c r="AN925" i="1" s="1"/>
  <c r="AM893" i="1"/>
  <c r="AN893" i="1" s="1"/>
  <c r="AL861" i="1"/>
  <c r="AL405" i="1"/>
  <c r="AM956" i="1"/>
  <c r="AN956" i="1" s="1"/>
  <c r="AM796" i="1"/>
  <c r="AN796" i="1" s="1"/>
  <c r="AL588" i="1"/>
  <c r="AM444" i="1"/>
  <c r="AN444" i="1" s="1"/>
  <c r="AM116" i="1"/>
  <c r="AN116" i="1" s="1"/>
  <c r="AM955" i="1"/>
  <c r="AN955" i="1" s="1"/>
  <c r="AM859" i="1"/>
  <c r="AN859" i="1" s="1"/>
  <c r="AM515" i="1"/>
  <c r="AN515" i="1" s="1"/>
  <c r="AM986" i="1"/>
  <c r="AN986" i="1" s="1"/>
  <c r="AL986" i="1"/>
  <c r="AM962" i="1"/>
  <c r="AN962" i="1" s="1"/>
  <c r="AL962" i="1"/>
  <c r="AM938" i="1"/>
  <c r="AN938" i="1" s="1"/>
  <c r="AL938" i="1"/>
  <c r="AL922" i="1"/>
  <c r="AM874" i="1"/>
  <c r="AN874" i="1" s="1"/>
  <c r="AL874" i="1"/>
  <c r="AM858" i="1"/>
  <c r="AN858" i="1" s="1"/>
  <c r="AM810" i="1"/>
  <c r="AN810" i="1" s="1"/>
  <c r="AL810" i="1"/>
  <c r="AM682" i="1"/>
  <c r="AN682" i="1" s="1"/>
  <c r="AL682" i="1"/>
  <c r="AM618" i="1"/>
  <c r="AN618" i="1" s="1"/>
  <c r="AL618" i="1"/>
  <c r="AL490" i="1"/>
  <c r="AM490" i="1"/>
  <c r="AN490" i="1" s="1"/>
  <c r="AM362" i="1"/>
  <c r="AN362" i="1" s="1"/>
  <c r="AL362" i="1"/>
  <c r="AM346" i="1"/>
  <c r="AN346" i="1" s="1"/>
  <c r="AM298" i="1"/>
  <c r="AN298" i="1" s="1"/>
  <c r="AL298" i="1"/>
  <c r="AM282" i="1"/>
  <c r="AN282" i="1" s="1"/>
  <c r="AL282" i="1"/>
  <c r="AM266" i="1"/>
  <c r="AN266" i="1" s="1"/>
  <c r="AM234" i="1"/>
  <c r="AN234" i="1" s="1"/>
  <c r="AL234" i="1"/>
  <c r="AM939" i="1"/>
  <c r="AN939" i="1" s="1"/>
  <c r="AL939" i="1"/>
  <c r="AM875" i="1"/>
  <c r="AN875" i="1" s="1"/>
  <c r="AL875" i="1"/>
  <c r="AM499" i="1"/>
  <c r="AN499" i="1" s="1"/>
  <c r="AM994" i="1"/>
  <c r="AN994" i="1" s="1"/>
  <c r="AL994" i="1"/>
  <c r="AM978" i="1"/>
  <c r="AN978" i="1" s="1"/>
  <c r="AL978" i="1"/>
  <c r="AM970" i="1"/>
  <c r="AN970" i="1" s="1"/>
  <c r="AL970" i="1"/>
  <c r="AM954" i="1"/>
  <c r="AN954" i="1" s="1"/>
  <c r="AM930" i="1"/>
  <c r="AN930" i="1" s="1"/>
  <c r="AL930" i="1"/>
  <c r="AL906" i="1"/>
  <c r="AL890" i="1"/>
  <c r="AM866" i="1"/>
  <c r="AN866" i="1" s="1"/>
  <c r="AL778" i="1"/>
  <c r="AM714" i="1"/>
  <c r="AN714" i="1" s="1"/>
  <c r="AL714" i="1"/>
  <c r="AM634" i="1"/>
  <c r="AN634" i="1" s="1"/>
  <c r="AM426" i="1"/>
  <c r="AN426" i="1" s="1"/>
  <c r="AL426" i="1"/>
  <c r="AM7" i="1"/>
  <c r="AN7" i="1" s="1"/>
  <c r="AL7" i="1"/>
  <c r="AM985" i="1"/>
  <c r="AN985" i="1" s="1"/>
  <c r="AL985" i="1"/>
  <c r="AM977" i="1"/>
  <c r="AN977" i="1" s="1"/>
  <c r="AL977" i="1"/>
  <c r="AM969" i="1"/>
  <c r="AN969" i="1" s="1"/>
  <c r="AL969" i="1"/>
  <c r="AM961" i="1"/>
  <c r="AN961" i="1" s="1"/>
  <c r="AL961" i="1"/>
  <c r="AM953" i="1"/>
  <c r="AN953" i="1" s="1"/>
  <c r="AL953" i="1"/>
  <c r="AM945" i="1"/>
  <c r="AN945" i="1" s="1"/>
  <c r="AL945" i="1"/>
  <c r="AM929" i="1"/>
  <c r="AN929" i="1" s="1"/>
  <c r="AL929" i="1"/>
  <c r="AM921" i="1"/>
  <c r="AN921" i="1" s="1"/>
  <c r="AL921" i="1"/>
  <c r="AM913" i="1"/>
  <c r="AN913" i="1" s="1"/>
  <c r="AL913" i="1"/>
  <c r="AM897" i="1"/>
  <c r="AN897" i="1" s="1"/>
  <c r="AL897" i="1"/>
  <c r="AM889" i="1"/>
  <c r="AN889" i="1" s="1"/>
  <c r="AL889" i="1"/>
  <c r="AM881" i="1"/>
  <c r="AN881" i="1" s="1"/>
  <c r="AL881" i="1"/>
  <c r="AM865" i="1"/>
  <c r="AN865" i="1" s="1"/>
  <c r="AL865" i="1"/>
  <c r="AM857" i="1"/>
  <c r="AN857" i="1" s="1"/>
  <c r="AL857" i="1"/>
  <c r="AM849" i="1"/>
  <c r="AN849" i="1" s="1"/>
  <c r="AL849" i="1"/>
  <c r="AM833" i="1"/>
  <c r="AN833" i="1" s="1"/>
  <c r="AL833" i="1"/>
  <c r="AM801" i="1"/>
  <c r="AN801" i="1" s="1"/>
  <c r="AL801" i="1"/>
  <c r="AM753" i="1"/>
  <c r="AN753" i="1" s="1"/>
  <c r="AL753" i="1"/>
  <c r="AM737" i="1"/>
  <c r="AN737" i="1" s="1"/>
  <c r="AL737" i="1"/>
  <c r="AM705" i="1"/>
  <c r="AN705" i="1" s="1"/>
  <c r="AL705" i="1"/>
  <c r="AM689" i="1"/>
  <c r="AN689" i="1" s="1"/>
  <c r="AL689" i="1"/>
  <c r="AM673" i="1"/>
  <c r="AN673" i="1" s="1"/>
  <c r="AL673" i="1"/>
  <c r="AM609" i="1"/>
  <c r="AN609" i="1" s="1"/>
  <c r="AL609" i="1"/>
  <c r="AM561" i="1"/>
  <c r="AN561" i="1" s="1"/>
  <c r="AL561" i="1"/>
  <c r="AM545" i="1"/>
  <c r="AN545" i="1" s="1"/>
  <c r="AL545" i="1"/>
  <c r="AM497" i="1"/>
  <c r="AN497" i="1" s="1"/>
  <c r="AL497" i="1"/>
  <c r="AM433" i="1"/>
  <c r="AN433" i="1" s="1"/>
  <c r="AL433" i="1"/>
  <c r="AM417" i="1"/>
  <c r="AN417" i="1" s="1"/>
  <c r="AL417" i="1"/>
  <c r="AM716" i="1"/>
  <c r="AN716" i="1" s="1"/>
  <c r="AM460" i="1"/>
  <c r="AN460" i="1" s="1"/>
  <c r="AL460" i="1"/>
  <c r="AM20" i="1"/>
  <c r="AN20" i="1" s="1"/>
  <c r="AM984" i="1"/>
  <c r="AN984" i="1" s="1"/>
  <c r="AL984" i="1"/>
  <c r="AM952" i="1"/>
  <c r="AN952" i="1" s="1"/>
  <c r="AL952" i="1"/>
  <c r="AM920" i="1"/>
  <c r="AN920" i="1" s="1"/>
  <c r="AL920" i="1"/>
  <c r="AM872" i="1"/>
  <c r="AN872" i="1" s="1"/>
  <c r="AL872" i="1"/>
  <c r="AM848" i="1"/>
  <c r="AN848" i="1" s="1"/>
  <c r="AL848" i="1"/>
  <c r="AM824" i="1"/>
  <c r="AN824" i="1" s="1"/>
  <c r="AL824" i="1"/>
  <c r="AM784" i="1"/>
  <c r="AN784" i="1" s="1"/>
  <c r="AL784" i="1"/>
  <c r="AM752" i="1"/>
  <c r="AN752" i="1" s="1"/>
  <c r="AL752" i="1"/>
  <c r="AM720" i="1"/>
  <c r="AN720" i="1" s="1"/>
  <c r="AL720" i="1"/>
  <c r="AM680" i="1"/>
  <c r="AN680" i="1" s="1"/>
  <c r="AL680" i="1"/>
  <c r="AM648" i="1"/>
  <c r="AN648" i="1" s="1"/>
  <c r="AL648" i="1"/>
  <c r="AM616" i="1"/>
  <c r="AN616" i="1" s="1"/>
  <c r="AL616" i="1"/>
  <c r="AM584" i="1"/>
  <c r="AN584" i="1" s="1"/>
  <c r="AL584" i="1"/>
  <c r="AM552" i="1"/>
  <c r="AN552" i="1" s="1"/>
  <c r="AL552" i="1"/>
  <c r="AM512" i="1"/>
  <c r="AN512" i="1" s="1"/>
  <c r="AL512" i="1"/>
  <c r="AM488" i="1"/>
  <c r="AN488" i="1" s="1"/>
  <c r="AL488" i="1"/>
  <c r="AM456" i="1"/>
  <c r="AN456" i="1" s="1"/>
  <c r="AL456" i="1"/>
  <c r="AM416" i="1"/>
  <c r="AN416" i="1" s="1"/>
  <c r="AL416" i="1"/>
  <c r="AM384" i="1"/>
  <c r="AN384" i="1" s="1"/>
  <c r="AL384" i="1"/>
  <c r="AM352" i="1"/>
  <c r="AN352" i="1" s="1"/>
  <c r="AL352" i="1"/>
  <c r="AM320" i="1"/>
  <c r="AN320" i="1" s="1"/>
  <c r="AL320" i="1"/>
  <c r="AM288" i="1"/>
  <c r="AN288" i="1" s="1"/>
  <c r="AL288" i="1"/>
  <c r="AM264" i="1"/>
  <c r="AN264" i="1" s="1"/>
  <c r="AL264" i="1"/>
  <c r="AM232" i="1"/>
  <c r="AN232" i="1" s="1"/>
  <c r="AL232" i="1"/>
  <c r="AM224" i="1"/>
  <c r="AN224" i="1" s="1"/>
  <c r="AL224" i="1"/>
  <c r="AM216" i="1"/>
  <c r="AN216" i="1" s="1"/>
  <c r="AL216" i="1"/>
  <c r="AM192" i="1"/>
  <c r="AN192" i="1" s="1"/>
  <c r="AL192" i="1"/>
  <c r="AM168" i="1"/>
  <c r="AN168" i="1" s="1"/>
  <c r="AL168" i="1"/>
  <c r="AM160" i="1"/>
  <c r="AN160" i="1" s="1"/>
  <c r="AL160" i="1"/>
  <c r="AM152" i="1"/>
  <c r="AN152" i="1" s="1"/>
  <c r="AL152" i="1"/>
  <c r="AM144" i="1"/>
  <c r="AN144" i="1" s="1"/>
  <c r="AL144" i="1"/>
  <c r="AM136" i="1"/>
  <c r="AN136" i="1" s="1"/>
  <c r="AL136" i="1"/>
  <c r="AM128" i="1"/>
  <c r="AN128" i="1" s="1"/>
  <c r="AL128" i="1"/>
  <c r="AM120" i="1"/>
  <c r="AN120" i="1" s="1"/>
  <c r="AL120" i="1"/>
  <c r="AM112" i="1"/>
  <c r="AN112" i="1" s="1"/>
  <c r="AL112" i="1"/>
  <c r="AM104" i="1"/>
  <c r="AN104" i="1" s="1"/>
  <c r="AL104" i="1"/>
  <c r="AM96" i="1"/>
  <c r="AN96" i="1" s="1"/>
  <c r="AL96" i="1"/>
  <c r="AM88" i="1"/>
  <c r="AN88" i="1" s="1"/>
  <c r="AL88" i="1"/>
  <c r="AM80" i="1"/>
  <c r="AN80" i="1" s="1"/>
  <c r="AL80" i="1"/>
  <c r="AM72" i="1"/>
  <c r="AN72" i="1" s="1"/>
  <c r="AL72" i="1"/>
  <c r="AM64" i="1"/>
  <c r="AN64" i="1" s="1"/>
  <c r="AL64" i="1"/>
  <c r="AM56" i="1"/>
  <c r="AN56" i="1" s="1"/>
  <c r="AL56" i="1"/>
  <c r="AM48" i="1"/>
  <c r="AN48" i="1" s="1"/>
  <c r="AL48" i="1"/>
  <c r="AM40" i="1"/>
  <c r="AN40" i="1" s="1"/>
  <c r="AL40" i="1"/>
  <c r="AM32" i="1"/>
  <c r="AN32" i="1" s="1"/>
  <c r="AL32" i="1"/>
  <c r="AL444" i="1"/>
  <c r="AL116" i="1"/>
  <c r="AL396" i="1"/>
  <c r="AL180" i="1"/>
  <c r="AM6" i="1"/>
  <c r="AN6" i="1" s="1"/>
  <c r="AL6" i="1"/>
  <c r="AM976" i="1"/>
  <c r="AN976" i="1" s="1"/>
  <c r="AL976" i="1"/>
  <c r="AM944" i="1"/>
  <c r="AN944" i="1" s="1"/>
  <c r="AL944" i="1"/>
  <c r="AM904" i="1"/>
  <c r="AN904" i="1" s="1"/>
  <c r="AL904" i="1"/>
  <c r="AM888" i="1"/>
  <c r="AN888" i="1" s="1"/>
  <c r="AL888" i="1"/>
  <c r="AM840" i="1"/>
  <c r="AN840" i="1" s="1"/>
  <c r="AL840" i="1"/>
  <c r="AM808" i="1"/>
  <c r="AN808" i="1" s="1"/>
  <c r="AL808" i="1"/>
  <c r="AM776" i="1"/>
  <c r="AN776" i="1" s="1"/>
  <c r="AL776" i="1"/>
  <c r="AM744" i="1"/>
  <c r="AN744" i="1" s="1"/>
  <c r="AL744" i="1"/>
  <c r="AM712" i="1"/>
  <c r="AN712" i="1" s="1"/>
  <c r="AL712" i="1"/>
  <c r="AM688" i="1"/>
  <c r="AN688" i="1" s="1"/>
  <c r="AL688" i="1"/>
  <c r="AM656" i="1"/>
  <c r="AN656" i="1" s="1"/>
  <c r="AL656" i="1"/>
  <c r="AM624" i="1"/>
  <c r="AN624" i="1" s="1"/>
  <c r="AL624" i="1"/>
  <c r="AM600" i="1"/>
  <c r="AN600" i="1" s="1"/>
  <c r="AL600" i="1"/>
  <c r="AM576" i="1"/>
  <c r="AN576" i="1" s="1"/>
  <c r="AL576" i="1"/>
  <c r="AM544" i="1"/>
  <c r="AN544" i="1" s="1"/>
  <c r="AL544" i="1"/>
  <c r="AM520" i="1"/>
  <c r="AN520" i="1" s="1"/>
  <c r="AL520" i="1"/>
  <c r="AM480" i="1"/>
  <c r="AN480" i="1" s="1"/>
  <c r="AL480" i="1"/>
  <c r="AM448" i="1"/>
  <c r="AN448" i="1" s="1"/>
  <c r="AL448" i="1"/>
  <c r="AM424" i="1"/>
  <c r="AN424" i="1" s="1"/>
  <c r="AL424" i="1"/>
  <c r="AM392" i="1"/>
  <c r="AN392" i="1" s="1"/>
  <c r="AL392" i="1"/>
  <c r="AM360" i="1"/>
  <c r="AN360" i="1" s="1"/>
  <c r="AL360" i="1"/>
  <c r="AM328" i="1"/>
  <c r="AN328" i="1" s="1"/>
  <c r="AL328" i="1"/>
  <c r="AL296" i="1"/>
  <c r="AM296" i="1"/>
  <c r="AN296" i="1" s="1"/>
  <c r="AM256" i="1"/>
  <c r="AN256" i="1" s="1"/>
  <c r="AL256" i="1"/>
  <c r="AM200" i="1"/>
  <c r="AN200" i="1" s="1"/>
  <c r="AL200" i="1"/>
  <c r="AM991" i="1"/>
  <c r="AN991" i="1" s="1"/>
  <c r="AL991" i="1"/>
  <c r="AM967" i="1"/>
  <c r="AN967" i="1" s="1"/>
  <c r="AL967" i="1"/>
  <c r="AM943" i="1"/>
  <c r="AN943" i="1" s="1"/>
  <c r="AL943" i="1"/>
  <c r="AM919" i="1"/>
  <c r="AN919" i="1" s="1"/>
  <c r="AL919" i="1"/>
  <c r="AM887" i="1"/>
  <c r="AN887" i="1" s="1"/>
  <c r="AL887" i="1"/>
  <c r="AM863" i="1"/>
  <c r="AN863" i="1" s="1"/>
  <c r="AL863" i="1"/>
  <c r="AM839" i="1"/>
  <c r="AN839" i="1" s="1"/>
  <c r="AL839" i="1"/>
  <c r="AM815" i="1"/>
  <c r="AN815" i="1" s="1"/>
  <c r="AL815" i="1"/>
  <c r="AM791" i="1"/>
  <c r="AN791" i="1" s="1"/>
  <c r="AL791" i="1"/>
  <c r="AM767" i="1"/>
  <c r="AN767" i="1" s="1"/>
  <c r="AL767" i="1"/>
  <c r="AM735" i="1"/>
  <c r="AN735" i="1" s="1"/>
  <c r="AL735" i="1"/>
  <c r="AM671" i="1"/>
  <c r="AN671" i="1" s="1"/>
  <c r="AL671" i="1"/>
  <c r="AM655" i="1"/>
  <c r="AN655" i="1" s="1"/>
  <c r="AL655" i="1"/>
  <c r="AL607" i="1"/>
  <c r="AM607" i="1"/>
  <c r="AN607" i="1" s="1"/>
  <c r="AM591" i="1"/>
  <c r="AN591" i="1" s="1"/>
  <c r="AL591" i="1"/>
  <c r="AM543" i="1"/>
  <c r="AN543" i="1" s="1"/>
  <c r="AL543" i="1"/>
  <c r="AM527" i="1"/>
  <c r="AN527" i="1" s="1"/>
  <c r="AL527" i="1"/>
  <c r="AM479" i="1"/>
  <c r="AN479" i="1" s="1"/>
  <c r="AL479" i="1"/>
  <c r="AM463" i="1"/>
  <c r="AN463" i="1" s="1"/>
  <c r="AL463" i="1"/>
  <c r="AM415" i="1"/>
  <c r="AN415" i="1" s="1"/>
  <c r="AL415" i="1"/>
  <c r="AM399" i="1"/>
  <c r="AN399" i="1" s="1"/>
  <c r="AL399" i="1"/>
  <c r="AM359" i="1"/>
  <c r="AN359" i="1" s="1"/>
  <c r="AL359" i="1"/>
  <c r="AM199" i="1"/>
  <c r="AN199" i="1" s="1"/>
  <c r="AL199" i="1"/>
  <c r="AM135" i="1"/>
  <c r="AN135" i="1" s="1"/>
  <c r="AL135" i="1"/>
  <c r="AM71" i="1"/>
  <c r="AN71" i="1" s="1"/>
  <c r="AL71" i="1"/>
  <c r="AM964" i="1"/>
  <c r="AN964" i="1" s="1"/>
  <c r="AL964" i="1"/>
  <c r="AM1000" i="1"/>
  <c r="AN1000" i="1" s="1"/>
  <c r="AL1000" i="1"/>
  <c r="AM968" i="1"/>
  <c r="AN968" i="1" s="1"/>
  <c r="AL968" i="1"/>
  <c r="AM936" i="1"/>
  <c r="AN936" i="1" s="1"/>
  <c r="AL936" i="1"/>
  <c r="AM912" i="1"/>
  <c r="AN912" i="1" s="1"/>
  <c r="AL912" i="1"/>
  <c r="AM880" i="1"/>
  <c r="AN880" i="1" s="1"/>
  <c r="AL880" i="1"/>
  <c r="AM856" i="1"/>
  <c r="AN856" i="1" s="1"/>
  <c r="AL856" i="1"/>
  <c r="AM816" i="1"/>
  <c r="AN816" i="1" s="1"/>
  <c r="AL816" i="1"/>
  <c r="AM792" i="1"/>
  <c r="AN792" i="1" s="1"/>
  <c r="AL792" i="1"/>
  <c r="AM760" i="1"/>
  <c r="AN760" i="1" s="1"/>
  <c r="AL760" i="1"/>
  <c r="AM728" i="1"/>
  <c r="AN728" i="1" s="1"/>
  <c r="AL728" i="1"/>
  <c r="AM664" i="1"/>
  <c r="AN664" i="1" s="1"/>
  <c r="AL664" i="1"/>
  <c r="AM632" i="1"/>
  <c r="AN632" i="1" s="1"/>
  <c r="AL632" i="1"/>
  <c r="AM592" i="1"/>
  <c r="AN592" i="1" s="1"/>
  <c r="AL592" i="1"/>
  <c r="AM560" i="1"/>
  <c r="AN560" i="1" s="1"/>
  <c r="AL560" i="1"/>
  <c r="AM528" i="1"/>
  <c r="AN528" i="1" s="1"/>
  <c r="AL528" i="1"/>
  <c r="AM496" i="1"/>
  <c r="AN496" i="1" s="1"/>
  <c r="AL496" i="1"/>
  <c r="AM464" i="1"/>
  <c r="AN464" i="1" s="1"/>
  <c r="AL464" i="1"/>
  <c r="AM432" i="1"/>
  <c r="AN432" i="1" s="1"/>
  <c r="AL432" i="1"/>
  <c r="AM400" i="1"/>
  <c r="AN400" i="1" s="1"/>
  <c r="AL400" i="1"/>
  <c r="AM368" i="1"/>
  <c r="AN368" i="1" s="1"/>
  <c r="AL368" i="1"/>
  <c r="AM336" i="1"/>
  <c r="AN336" i="1" s="1"/>
  <c r="AL336" i="1"/>
  <c r="AM304" i="1"/>
  <c r="AN304" i="1" s="1"/>
  <c r="AL304" i="1"/>
  <c r="AL272" i="1"/>
  <c r="AM272" i="1"/>
  <c r="AN272" i="1" s="1"/>
  <c r="AM248" i="1"/>
  <c r="AN248" i="1" s="1"/>
  <c r="AL248" i="1"/>
  <c r="AM184" i="1"/>
  <c r="AN184" i="1" s="1"/>
  <c r="AL184" i="1"/>
  <c r="AM999" i="1"/>
  <c r="AN999" i="1" s="1"/>
  <c r="AL999" i="1"/>
  <c r="AM983" i="1"/>
  <c r="AN983" i="1" s="1"/>
  <c r="AL983" i="1"/>
  <c r="AM959" i="1"/>
  <c r="AN959" i="1" s="1"/>
  <c r="AL959" i="1"/>
  <c r="AM935" i="1"/>
  <c r="AN935" i="1" s="1"/>
  <c r="AL935" i="1"/>
  <c r="AM911" i="1"/>
  <c r="AN911" i="1" s="1"/>
  <c r="AL911" i="1"/>
  <c r="AM895" i="1"/>
  <c r="AN895" i="1" s="1"/>
  <c r="AL895" i="1"/>
  <c r="AM871" i="1"/>
  <c r="AN871" i="1" s="1"/>
  <c r="AL871" i="1"/>
  <c r="AM855" i="1"/>
  <c r="AN855" i="1" s="1"/>
  <c r="AL855" i="1"/>
  <c r="AM831" i="1"/>
  <c r="AN831" i="1" s="1"/>
  <c r="AL831" i="1"/>
  <c r="AM807" i="1"/>
  <c r="AN807" i="1" s="1"/>
  <c r="AL807" i="1"/>
  <c r="AM775" i="1"/>
  <c r="AN775" i="1" s="1"/>
  <c r="AL775" i="1"/>
  <c r="AM998" i="1"/>
  <c r="AN998" i="1" s="1"/>
  <c r="AL998" i="1"/>
  <c r="AM990" i="1"/>
  <c r="AN990" i="1" s="1"/>
  <c r="AL990" i="1"/>
  <c r="AM966" i="1"/>
  <c r="AN966" i="1" s="1"/>
  <c r="AL966" i="1"/>
  <c r="AM958" i="1"/>
  <c r="AN958" i="1" s="1"/>
  <c r="AL958" i="1"/>
  <c r="AM950" i="1"/>
  <c r="AN950" i="1" s="1"/>
  <c r="AL950" i="1"/>
  <c r="AM942" i="1"/>
  <c r="AN942" i="1" s="1"/>
  <c r="AL942" i="1"/>
  <c r="AM934" i="1"/>
  <c r="AN934" i="1" s="1"/>
  <c r="AL934" i="1"/>
  <c r="AM918" i="1"/>
  <c r="AN918" i="1" s="1"/>
  <c r="AL918" i="1"/>
  <c r="AM910" i="1"/>
  <c r="AN910" i="1" s="1"/>
  <c r="AL910" i="1"/>
  <c r="AM902" i="1"/>
  <c r="AN902" i="1" s="1"/>
  <c r="AL902" i="1"/>
  <c r="AM886" i="1"/>
  <c r="AN886" i="1" s="1"/>
  <c r="AL886" i="1"/>
  <c r="AM878" i="1"/>
  <c r="AN878" i="1" s="1"/>
  <c r="AL878" i="1"/>
  <c r="AM870" i="1"/>
  <c r="AN870" i="1" s="1"/>
  <c r="AL870" i="1"/>
  <c r="AM862" i="1"/>
  <c r="AN862" i="1" s="1"/>
  <c r="AL862" i="1"/>
  <c r="AM988" i="1"/>
  <c r="AN988" i="1" s="1"/>
  <c r="AL988" i="1"/>
  <c r="AL867" i="1"/>
  <c r="AM755" i="1"/>
  <c r="AN755" i="1" s="1"/>
  <c r="AL755" i="1"/>
  <c r="AM992" i="1"/>
  <c r="AN992" i="1" s="1"/>
  <c r="AL992" i="1"/>
  <c r="AM960" i="1"/>
  <c r="AN960" i="1" s="1"/>
  <c r="AL960" i="1"/>
  <c r="AM928" i="1"/>
  <c r="AN928" i="1" s="1"/>
  <c r="AL928" i="1"/>
  <c r="AM896" i="1"/>
  <c r="AN896" i="1" s="1"/>
  <c r="AL896" i="1"/>
  <c r="AM864" i="1"/>
  <c r="AN864" i="1" s="1"/>
  <c r="AL864" i="1"/>
  <c r="AM832" i="1"/>
  <c r="AN832" i="1" s="1"/>
  <c r="AL832" i="1"/>
  <c r="AM800" i="1"/>
  <c r="AN800" i="1" s="1"/>
  <c r="AL800" i="1"/>
  <c r="AM768" i="1"/>
  <c r="AN768" i="1" s="1"/>
  <c r="AL768" i="1"/>
  <c r="AM736" i="1"/>
  <c r="AN736" i="1" s="1"/>
  <c r="AL736" i="1"/>
  <c r="AM704" i="1"/>
  <c r="AN704" i="1" s="1"/>
  <c r="AL704" i="1"/>
  <c r="AM672" i="1"/>
  <c r="AN672" i="1" s="1"/>
  <c r="AL672" i="1"/>
  <c r="AM640" i="1"/>
  <c r="AN640" i="1" s="1"/>
  <c r="AL640" i="1"/>
  <c r="AM608" i="1"/>
  <c r="AN608" i="1" s="1"/>
  <c r="AL608" i="1"/>
  <c r="AM568" i="1"/>
  <c r="AN568" i="1" s="1"/>
  <c r="AL568" i="1"/>
  <c r="AM536" i="1"/>
  <c r="AN536" i="1" s="1"/>
  <c r="AL536" i="1"/>
  <c r="AM504" i="1"/>
  <c r="AN504" i="1" s="1"/>
  <c r="AL504" i="1"/>
  <c r="AM472" i="1"/>
  <c r="AN472" i="1" s="1"/>
  <c r="AL472" i="1"/>
  <c r="AM408" i="1"/>
  <c r="AN408" i="1" s="1"/>
  <c r="AL408" i="1"/>
  <c r="AM376" i="1"/>
  <c r="AN376" i="1" s="1"/>
  <c r="AL376" i="1"/>
  <c r="AM344" i="1"/>
  <c r="AN344" i="1" s="1"/>
  <c r="AL344" i="1"/>
  <c r="AM312" i="1"/>
  <c r="AN312" i="1" s="1"/>
  <c r="AL312" i="1"/>
  <c r="AM280" i="1"/>
  <c r="AN280" i="1" s="1"/>
  <c r="AL280" i="1"/>
  <c r="AM240" i="1"/>
  <c r="AN240" i="1" s="1"/>
  <c r="AL240" i="1"/>
  <c r="AM176" i="1"/>
  <c r="AN176" i="1" s="1"/>
  <c r="AL176" i="1"/>
  <c r="AM975" i="1"/>
  <c r="AN975" i="1" s="1"/>
  <c r="AL975" i="1"/>
  <c r="AM951" i="1"/>
  <c r="AN951" i="1" s="1"/>
  <c r="AL951" i="1"/>
  <c r="AM927" i="1"/>
  <c r="AN927" i="1" s="1"/>
  <c r="AL927" i="1"/>
  <c r="AM903" i="1"/>
  <c r="AN903" i="1" s="1"/>
  <c r="AL903" i="1"/>
  <c r="AL879" i="1"/>
  <c r="AM879" i="1"/>
  <c r="AN879" i="1" s="1"/>
  <c r="AM847" i="1"/>
  <c r="AN847" i="1" s="1"/>
  <c r="AL847" i="1"/>
  <c r="AM823" i="1"/>
  <c r="AN823" i="1" s="1"/>
  <c r="AL823" i="1"/>
  <c r="AM799" i="1"/>
  <c r="AN799" i="1" s="1"/>
  <c r="AL799" i="1"/>
  <c r="AM783" i="1"/>
  <c r="AN783" i="1" s="1"/>
  <c r="AL783" i="1"/>
  <c r="AM751" i="1"/>
  <c r="AN751" i="1" s="1"/>
  <c r="AL751" i="1"/>
  <c r="AM719" i="1"/>
  <c r="AN719" i="1" s="1"/>
  <c r="AL719" i="1"/>
  <c r="AM957" i="1"/>
  <c r="AN957" i="1" s="1"/>
  <c r="AL957" i="1"/>
  <c r="AM949" i="1"/>
  <c r="AN949" i="1" s="1"/>
  <c r="AL933" i="1"/>
  <c r="AM917" i="1"/>
  <c r="AN917" i="1" s="1"/>
  <c r="AL917" i="1"/>
  <c r="AM789" i="1"/>
  <c r="AN789" i="1" s="1"/>
  <c r="AM709" i="1"/>
  <c r="AN709" i="1" s="1"/>
  <c r="AL709" i="1"/>
  <c r="AL597" i="1"/>
  <c r="AL581" i="1"/>
  <c r="AL533" i="1"/>
  <c r="AL93" i="1"/>
  <c r="AM29" i="1"/>
  <c r="AN29" i="1" s="1"/>
  <c r="AL29" i="1"/>
  <c r="AM759" i="1"/>
  <c r="AN759" i="1" s="1"/>
  <c r="AL759" i="1"/>
  <c r="AL703" i="1"/>
  <c r="AM703" i="1"/>
  <c r="AN703" i="1" s="1"/>
  <c r="AM663" i="1"/>
  <c r="AN663" i="1" s="1"/>
  <c r="AL663" i="1"/>
  <c r="AM623" i="1"/>
  <c r="AN623" i="1" s="1"/>
  <c r="AL623" i="1"/>
  <c r="AM583" i="1"/>
  <c r="AN583" i="1" s="1"/>
  <c r="AL583" i="1"/>
  <c r="AM551" i="1"/>
  <c r="AN551" i="1" s="1"/>
  <c r="AL551" i="1"/>
  <c r="AM431" i="1"/>
  <c r="AN431" i="1" s="1"/>
  <c r="AL431" i="1"/>
  <c r="AM367" i="1"/>
  <c r="AN367" i="1" s="1"/>
  <c r="AL367" i="1"/>
  <c r="AM335" i="1"/>
  <c r="AN335" i="1" s="1"/>
  <c r="AL335" i="1"/>
  <c r="AM303" i="1"/>
  <c r="AN303" i="1" s="1"/>
  <c r="AL303" i="1"/>
  <c r="AM271" i="1"/>
  <c r="AN271" i="1" s="1"/>
  <c r="AL271" i="1"/>
  <c r="AM239" i="1"/>
  <c r="AN239" i="1" s="1"/>
  <c r="AL239" i="1"/>
  <c r="AM215" i="1"/>
  <c r="AN215" i="1" s="1"/>
  <c r="AL215" i="1"/>
  <c r="AM183" i="1"/>
  <c r="AN183" i="1" s="1"/>
  <c r="AL183" i="1"/>
  <c r="AM151" i="1"/>
  <c r="AN151" i="1" s="1"/>
  <c r="AL151" i="1"/>
  <c r="AM119" i="1"/>
  <c r="AN119" i="1" s="1"/>
  <c r="AL119" i="1"/>
  <c r="AM87" i="1"/>
  <c r="AN87" i="1" s="1"/>
  <c r="AL87" i="1"/>
  <c r="AM55" i="1"/>
  <c r="AN55" i="1" s="1"/>
  <c r="AL55" i="1"/>
  <c r="AM993" i="1"/>
  <c r="AN993" i="1" s="1"/>
  <c r="AL993" i="1"/>
  <c r="AM937" i="1"/>
  <c r="AN937" i="1" s="1"/>
  <c r="AL937" i="1"/>
  <c r="AM905" i="1"/>
  <c r="AN905" i="1" s="1"/>
  <c r="AL905" i="1"/>
  <c r="AM854" i="1"/>
  <c r="AN854" i="1" s="1"/>
  <c r="AL854" i="1"/>
  <c r="AM822" i="1"/>
  <c r="AN822" i="1" s="1"/>
  <c r="AL822" i="1"/>
  <c r="AM790" i="1"/>
  <c r="AN790" i="1" s="1"/>
  <c r="AL790" i="1"/>
  <c r="AM758" i="1"/>
  <c r="AN758" i="1" s="1"/>
  <c r="AL758" i="1"/>
  <c r="AM726" i="1"/>
  <c r="AN726" i="1" s="1"/>
  <c r="AL726" i="1"/>
  <c r="AL702" i="1"/>
  <c r="AM702" i="1"/>
  <c r="AN702" i="1" s="1"/>
  <c r="AM670" i="1"/>
  <c r="AN670" i="1" s="1"/>
  <c r="AL670" i="1"/>
  <c r="AM614" i="1"/>
  <c r="AN614" i="1" s="1"/>
  <c r="AL614" i="1"/>
  <c r="AM582" i="1"/>
  <c r="AN582" i="1" s="1"/>
  <c r="AL582" i="1"/>
  <c r="AM534" i="1"/>
  <c r="AN534" i="1" s="1"/>
  <c r="AL534" i="1"/>
  <c r="AM494" i="1"/>
  <c r="AN494" i="1" s="1"/>
  <c r="AL494" i="1"/>
  <c r="AM454" i="1"/>
  <c r="AN454" i="1" s="1"/>
  <c r="AL454" i="1"/>
  <c r="AM422" i="1"/>
  <c r="AN422" i="1" s="1"/>
  <c r="AL422" i="1"/>
  <c r="AM382" i="1"/>
  <c r="AN382" i="1" s="1"/>
  <c r="AL382" i="1"/>
  <c r="AM342" i="1"/>
  <c r="AN342" i="1" s="1"/>
  <c r="AL342" i="1"/>
  <c r="AM310" i="1"/>
  <c r="AN310" i="1" s="1"/>
  <c r="AL310" i="1"/>
  <c r="AM270" i="1"/>
  <c r="AN270" i="1" s="1"/>
  <c r="AL270" i="1"/>
  <c r="AM230" i="1"/>
  <c r="AN230" i="1" s="1"/>
  <c r="AL230" i="1"/>
  <c r="AM198" i="1"/>
  <c r="AN198" i="1" s="1"/>
  <c r="AL198" i="1"/>
  <c r="AM150" i="1"/>
  <c r="AN150" i="1" s="1"/>
  <c r="AL150" i="1"/>
  <c r="AM118" i="1"/>
  <c r="AN118" i="1" s="1"/>
  <c r="AL118" i="1"/>
  <c r="AM78" i="1"/>
  <c r="AN78" i="1" s="1"/>
  <c r="AL78" i="1"/>
  <c r="AM54" i="1"/>
  <c r="AN54" i="1" s="1"/>
  <c r="AL54" i="1"/>
  <c r="AM1001" i="1"/>
  <c r="AN1001" i="1" s="1"/>
  <c r="AL1001" i="1"/>
  <c r="AM914" i="1"/>
  <c r="AN914" i="1" s="1"/>
  <c r="AL914" i="1"/>
  <c r="AM841" i="1"/>
  <c r="AN841" i="1" s="1"/>
  <c r="AL841" i="1"/>
  <c r="AM817" i="1"/>
  <c r="AN817" i="1" s="1"/>
  <c r="AL817" i="1"/>
  <c r="AM769" i="1"/>
  <c r="AN769" i="1" s="1"/>
  <c r="AL769" i="1"/>
  <c r="AM625" i="1"/>
  <c r="AN625" i="1" s="1"/>
  <c r="AL625" i="1"/>
  <c r="AM442" i="1"/>
  <c r="AN442" i="1" s="1"/>
  <c r="AM369" i="1"/>
  <c r="AN369" i="1" s="1"/>
  <c r="AL369" i="1"/>
  <c r="AM250" i="1"/>
  <c r="AN250" i="1" s="1"/>
  <c r="AM181" i="1"/>
  <c r="AN181" i="1" s="1"/>
  <c r="AL181" i="1"/>
  <c r="AM173" i="1"/>
  <c r="AN173" i="1" s="1"/>
  <c r="AL109" i="1"/>
  <c r="AM53" i="1"/>
  <c r="AN53" i="1" s="1"/>
  <c r="AL53" i="1"/>
  <c r="AM846" i="1"/>
  <c r="AN846" i="1" s="1"/>
  <c r="AL846" i="1"/>
  <c r="AM814" i="1"/>
  <c r="AN814" i="1" s="1"/>
  <c r="AL814" i="1"/>
  <c r="AM782" i="1"/>
  <c r="AN782" i="1" s="1"/>
  <c r="AL782" i="1"/>
  <c r="AM742" i="1"/>
  <c r="AN742" i="1" s="1"/>
  <c r="AL742" i="1"/>
  <c r="AM694" i="1"/>
  <c r="AN694" i="1" s="1"/>
  <c r="AL694" i="1"/>
  <c r="AM654" i="1"/>
  <c r="AN654" i="1" s="1"/>
  <c r="AL654" i="1"/>
  <c r="AM606" i="1"/>
  <c r="AN606" i="1" s="1"/>
  <c r="AL606" i="1"/>
  <c r="AM566" i="1"/>
  <c r="AN566" i="1" s="1"/>
  <c r="AL566" i="1"/>
  <c r="AM510" i="1"/>
  <c r="AN510" i="1" s="1"/>
  <c r="AL510" i="1"/>
  <c r="AM462" i="1"/>
  <c r="AN462" i="1" s="1"/>
  <c r="AL462" i="1"/>
  <c r="AL414" i="1"/>
  <c r="AM414" i="1"/>
  <c r="AN414" i="1" s="1"/>
  <c r="AM350" i="1"/>
  <c r="AN350" i="1" s="1"/>
  <c r="AL350" i="1"/>
  <c r="AM302" i="1"/>
  <c r="AN302" i="1" s="1"/>
  <c r="AL302" i="1"/>
  <c r="AM246" i="1"/>
  <c r="AN246" i="1" s="1"/>
  <c r="AL246" i="1"/>
  <c r="AM174" i="1"/>
  <c r="AN174" i="1" s="1"/>
  <c r="AL174" i="1"/>
  <c r="AM38" i="1"/>
  <c r="AN38" i="1" s="1"/>
  <c r="AL38" i="1"/>
  <c r="AL743" i="1"/>
  <c r="AM743" i="1"/>
  <c r="AN743" i="1" s="1"/>
  <c r="AM711" i="1"/>
  <c r="AN711" i="1" s="1"/>
  <c r="AL711" i="1"/>
  <c r="AM679" i="1"/>
  <c r="AN679" i="1" s="1"/>
  <c r="AL679" i="1"/>
  <c r="AM631" i="1"/>
  <c r="AN631" i="1" s="1"/>
  <c r="AL631" i="1"/>
  <c r="AM575" i="1"/>
  <c r="AN575" i="1" s="1"/>
  <c r="AL575" i="1"/>
  <c r="AM511" i="1"/>
  <c r="AN511" i="1" s="1"/>
  <c r="AL511" i="1"/>
  <c r="AM471" i="1"/>
  <c r="AN471" i="1" s="1"/>
  <c r="AL471" i="1"/>
  <c r="AM439" i="1"/>
  <c r="AN439" i="1" s="1"/>
  <c r="AL439" i="1"/>
  <c r="AM375" i="1"/>
  <c r="AN375" i="1" s="1"/>
  <c r="AL375" i="1"/>
  <c r="AM351" i="1"/>
  <c r="AN351" i="1" s="1"/>
  <c r="AL351" i="1"/>
  <c r="AM311" i="1"/>
  <c r="AN311" i="1" s="1"/>
  <c r="AL311" i="1"/>
  <c r="AM287" i="1"/>
  <c r="AN287" i="1" s="1"/>
  <c r="AL287" i="1"/>
  <c r="AM247" i="1"/>
  <c r="AN247" i="1" s="1"/>
  <c r="AL247" i="1"/>
  <c r="AM207" i="1"/>
  <c r="AN207" i="1" s="1"/>
  <c r="AL207" i="1"/>
  <c r="AM175" i="1"/>
  <c r="AN175" i="1" s="1"/>
  <c r="AL175" i="1"/>
  <c r="AM143" i="1"/>
  <c r="AN143" i="1" s="1"/>
  <c r="AL143" i="1"/>
  <c r="AM111" i="1"/>
  <c r="AN111" i="1" s="1"/>
  <c r="AL111" i="1"/>
  <c r="AM79" i="1"/>
  <c r="AN79" i="1" s="1"/>
  <c r="AL79" i="1"/>
  <c r="AM47" i="1"/>
  <c r="AN47" i="1" s="1"/>
  <c r="AL47" i="1"/>
  <c r="AM873" i="1"/>
  <c r="AN873" i="1" s="1"/>
  <c r="AL873" i="1"/>
  <c r="AM550" i="1"/>
  <c r="AN550" i="1" s="1"/>
  <c r="AL550" i="1"/>
  <c r="AL518" i="1"/>
  <c r="AM518" i="1"/>
  <c r="AN518" i="1" s="1"/>
  <c r="AM470" i="1"/>
  <c r="AN470" i="1" s="1"/>
  <c r="AL470" i="1"/>
  <c r="AL430" i="1"/>
  <c r="AM430" i="1"/>
  <c r="AN430" i="1" s="1"/>
  <c r="AM358" i="1"/>
  <c r="AN358" i="1" s="1"/>
  <c r="AL358" i="1"/>
  <c r="AM318" i="1"/>
  <c r="AN318" i="1" s="1"/>
  <c r="AL318" i="1"/>
  <c r="AM278" i="1"/>
  <c r="AN278" i="1" s="1"/>
  <c r="AL278" i="1"/>
  <c r="AM238" i="1"/>
  <c r="AN238" i="1" s="1"/>
  <c r="AL238" i="1"/>
  <c r="AM206" i="1"/>
  <c r="AN206" i="1" s="1"/>
  <c r="AL206" i="1"/>
  <c r="AM166" i="1"/>
  <c r="AN166" i="1" s="1"/>
  <c r="AL166" i="1"/>
  <c r="AM134" i="1"/>
  <c r="AN134" i="1" s="1"/>
  <c r="AL134" i="1"/>
  <c r="AM94" i="1"/>
  <c r="AN94" i="1" s="1"/>
  <c r="AL94" i="1"/>
  <c r="AM46" i="1"/>
  <c r="AN46" i="1" s="1"/>
  <c r="AL46" i="1"/>
  <c r="AL409" i="1"/>
  <c r="AM727" i="1"/>
  <c r="AN727" i="1" s="1"/>
  <c r="AL727" i="1"/>
  <c r="AM695" i="1"/>
  <c r="AN695" i="1" s="1"/>
  <c r="AL695" i="1"/>
  <c r="AM639" i="1"/>
  <c r="AN639" i="1" s="1"/>
  <c r="AL639" i="1"/>
  <c r="AM599" i="1"/>
  <c r="AN599" i="1" s="1"/>
  <c r="AL599" i="1"/>
  <c r="AM567" i="1"/>
  <c r="AN567" i="1" s="1"/>
  <c r="AL567" i="1"/>
  <c r="AM535" i="1"/>
  <c r="AN535" i="1" s="1"/>
  <c r="AL535" i="1"/>
  <c r="AM503" i="1"/>
  <c r="AN503" i="1" s="1"/>
  <c r="AL503" i="1"/>
  <c r="AM447" i="1"/>
  <c r="AN447" i="1" s="1"/>
  <c r="AL447" i="1"/>
  <c r="AM407" i="1"/>
  <c r="AN407" i="1" s="1"/>
  <c r="AL407" i="1"/>
  <c r="AM383" i="1"/>
  <c r="AN383" i="1" s="1"/>
  <c r="AL383" i="1"/>
  <c r="AM327" i="1"/>
  <c r="AN327" i="1" s="1"/>
  <c r="AL327" i="1"/>
  <c r="AM295" i="1"/>
  <c r="AN295" i="1" s="1"/>
  <c r="AL295" i="1"/>
  <c r="AM263" i="1"/>
  <c r="AN263" i="1" s="1"/>
  <c r="AL263" i="1"/>
  <c r="AM223" i="1"/>
  <c r="AN223" i="1" s="1"/>
  <c r="AL223" i="1"/>
  <c r="AM191" i="1"/>
  <c r="AN191" i="1" s="1"/>
  <c r="AL191" i="1"/>
  <c r="AM159" i="1"/>
  <c r="AN159" i="1" s="1"/>
  <c r="AL159" i="1"/>
  <c r="AM103" i="1"/>
  <c r="AN103" i="1" s="1"/>
  <c r="AL103" i="1"/>
  <c r="AM63" i="1"/>
  <c r="AN63" i="1" s="1"/>
  <c r="AL63" i="1"/>
  <c r="AM31" i="1"/>
  <c r="AN31" i="1" s="1"/>
  <c r="AL31" i="1"/>
  <c r="AM974" i="1"/>
  <c r="AN974" i="1" s="1"/>
  <c r="AL974" i="1"/>
  <c r="AM698" i="1"/>
  <c r="AN698" i="1" s="1"/>
  <c r="AL698" i="1"/>
  <c r="AM554" i="1"/>
  <c r="AN554" i="1" s="1"/>
  <c r="AL554" i="1"/>
  <c r="AM481" i="1"/>
  <c r="AN481" i="1" s="1"/>
  <c r="AL481" i="1"/>
  <c r="AM830" i="1"/>
  <c r="AN830" i="1" s="1"/>
  <c r="AL830" i="1"/>
  <c r="AM798" i="1"/>
  <c r="AN798" i="1" s="1"/>
  <c r="AL798" i="1"/>
  <c r="AM766" i="1"/>
  <c r="AN766" i="1" s="1"/>
  <c r="AL766" i="1"/>
  <c r="AM734" i="1"/>
  <c r="AN734" i="1" s="1"/>
  <c r="AL734" i="1"/>
  <c r="AM710" i="1"/>
  <c r="AN710" i="1" s="1"/>
  <c r="AL710" i="1"/>
  <c r="AM678" i="1"/>
  <c r="AN678" i="1" s="1"/>
  <c r="AL678" i="1"/>
  <c r="AM622" i="1"/>
  <c r="AN622" i="1" s="1"/>
  <c r="AL622" i="1"/>
  <c r="AM590" i="1"/>
  <c r="AN590" i="1" s="1"/>
  <c r="AL590" i="1"/>
  <c r="AM558" i="1"/>
  <c r="AN558" i="1" s="1"/>
  <c r="AL558" i="1"/>
  <c r="AM526" i="1"/>
  <c r="AN526" i="1" s="1"/>
  <c r="AL526" i="1"/>
  <c r="AM486" i="1"/>
  <c r="AN486" i="1" s="1"/>
  <c r="AL486" i="1"/>
  <c r="AM446" i="1"/>
  <c r="AN446" i="1" s="1"/>
  <c r="AL446" i="1"/>
  <c r="AM406" i="1"/>
  <c r="AN406" i="1" s="1"/>
  <c r="AL406" i="1"/>
  <c r="AM374" i="1"/>
  <c r="AN374" i="1" s="1"/>
  <c r="AL374" i="1"/>
  <c r="AM334" i="1"/>
  <c r="AN334" i="1" s="1"/>
  <c r="AL334" i="1"/>
  <c r="AM294" i="1"/>
  <c r="AN294" i="1" s="1"/>
  <c r="AL294" i="1"/>
  <c r="AM262" i="1"/>
  <c r="AN262" i="1" s="1"/>
  <c r="AL262" i="1"/>
  <c r="AM222" i="1"/>
  <c r="AN222" i="1" s="1"/>
  <c r="AL222" i="1"/>
  <c r="AM190" i="1"/>
  <c r="AN190" i="1" s="1"/>
  <c r="AL190" i="1"/>
  <c r="AM158" i="1"/>
  <c r="AN158" i="1" s="1"/>
  <c r="AL158" i="1"/>
  <c r="AM126" i="1"/>
  <c r="AN126" i="1" s="1"/>
  <c r="AL126" i="1"/>
  <c r="AM102" i="1"/>
  <c r="AN102" i="1" s="1"/>
  <c r="AL102" i="1"/>
  <c r="AM70" i="1"/>
  <c r="AN70" i="1" s="1"/>
  <c r="AL70" i="1"/>
  <c r="AM30" i="1"/>
  <c r="AN30" i="1" s="1"/>
  <c r="AL30" i="1"/>
  <c r="AM14" i="1"/>
  <c r="AN14" i="1" s="1"/>
  <c r="AL14" i="1"/>
  <c r="AL834" i="1"/>
  <c r="AL818" i="1"/>
  <c r="AL802" i="1"/>
  <c r="AM794" i="1"/>
  <c r="AN794" i="1" s="1"/>
  <c r="AL794" i="1"/>
  <c r="AM786" i="1"/>
  <c r="AN786" i="1" s="1"/>
  <c r="AL786" i="1"/>
  <c r="AM770" i="1"/>
  <c r="AN770" i="1" s="1"/>
  <c r="AL770" i="1"/>
  <c r="AM738" i="1"/>
  <c r="AN738" i="1" s="1"/>
  <c r="AL738" i="1"/>
  <c r="AM722" i="1"/>
  <c r="AN722" i="1" s="1"/>
  <c r="AL722" i="1"/>
  <c r="AM706" i="1"/>
  <c r="AN706" i="1" s="1"/>
  <c r="AL706" i="1"/>
  <c r="AM674" i="1"/>
  <c r="AN674" i="1" s="1"/>
  <c r="AL674" i="1"/>
  <c r="AM666" i="1"/>
  <c r="AN666" i="1" s="1"/>
  <c r="AL666" i="1"/>
  <c r="AM658" i="1"/>
  <c r="AN658" i="1" s="1"/>
  <c r="AL658" i="1"/>
  <c r="AM610" i="1"/>
  <c r="AN610" i="1" s="1"/>
  <c r="AL610" i="1"/>
  <c r="AL594" i="1"/>
  <c r="AM586" i="1"/>
  <c r="AN586" i="1" s="1"/>
  <c r="AL586" i="1"/>
  <c r="AM578" i="1"/>
  <c r="AN578" i="1" s="1"/>
  <c r="AL578" i="1"/>
  <c r="AM546" i="1"/>
  <c r="AN546" i="1" s="1"/>
  <c r="AL546" i="1"/>
  <c r="AM538" i="1"/>
  <c r="AN538" i="1" s="1"/>
  <c r="AL538" i="1"/>
  <c r="AL530" i="1"/>
  <c r="AM530" i="1"/>
  <c r="AN530" i="1" s="1"/>
  <c r="AM482" i="1"/>
  <c r="AN482" i="1" s="1"/>
  <c r="AL482" i="1"/>
  <c r="AL466" i="1"/>
  <c r="AM458" i="1"/>
  <c r="AN458" i="1" s="1"/>
  <c r="AL458" i="1"/>
  <c r="AM450" i="1"/>
  <c r="AN450" i="1" s="1"/>
  <c r="AL450" i="1"/>
  <c r="AM418" i="1"/>
  <c r="AN418" i="1" s="1"/>
  <c r="AL418" i="1"/>
  <c r="AM410" i="1"/>
  <c r="AN410" i="1" s="1"/>
  <c r="AL410" i="1"/>
  <c r="AM402" i="1"/>
  <c r="AN402" i="1" s="1"/>
  <c r="AL402" i="1"/>
  <c r="AM354" i="1"/>
  <c r="AN354" i="1" s="1"/>
  <c r="AL354" i="1"/>
  <c r="AM290" i="1"/>
  <c r="AN290" i="1" s="1"/>
  <c r="AL290" i="1"/>
  <c r="AM226" i="1"/>
  <c r="AN226" i="1" s="1"/>
  <c r="AL226" i="1"/>
  <c r="AM218" i="1"/>
  <c r="AN218" i="1" s="1"/>
  <c r="AL218" i="1"/>
  <c r="AL194" i="1"/>
  <c r="AL186" i="1"/>
  <c r="AM186" i="1"/>
  <c r="AN186" i="1" s="1"/>
  <c r="AM170" i="1"/>
  <c r="AN170" i="1" s="1"/>
  <c r="AL170" i="1"/>
  <c r="AM162" i="1"/>
  <c r="AN162" i="1" s="1"/>
  <c r="AL162" i="1"/>
  <c r="AM154" i="1"/>
  <c r="AN154" i="1" s="1"/>
  <c r="AL154" i="1"/>
  <c r="AL130" i="1"/>
  <c r="AL122" i="1"/>
  <c r="AM122" i="1"/>
  <c r="AN122" i="1" s="1"/>
  <c r="AM106" i="1"/>
  <c r="AN106" i="1" s="1"/>
  <c r="AL106" i="1"/>
  <c r="AM90" i="1"/>
  <c r="AN90" i="1" s="1"/>
  <c r="AL90" i="1"/>
  <c r="AM82" i="1"/>
  <c r="AN82" i="1" s="1"/>
  <c r="AL82" i="1"/>
  <c r="AL50" i="1"/>
  <c r="AM42" i="1"/>
  <c r="AN42" i="1" s="1"/>
  <c r="AL42" i="1"/>
  <c r="AM34" i="1"/>
  <c r="AN34" i="1" s="1"/>
  <c r="AL34" i="1"/>
  <c r="AM26" i="1"/>
  <c r="AN26" i="1" s="1"/>
  <c r="AL26" i="1"/>
  <c r="AM687" i="1"/>
  <c r="AN687" i="1" s="1"/>
  <c r="AL687" i="1"/>
  <c r="AL647" i="1"/>
  <c r="AM647" i="1"/>
  <c r="AN647" i="1" s="1"/>
  <c r="AM615" i="1"/>
  <c r="AN615" i="1" s="1"/>
  <c r="AL615" i="1"/>
  <c r="AM559" i="1"/>
  <c r="AN559" i="1" s="1"/>
  <c r="AL559" i="1"/>
  <c r="AM519" i="1"/>
  <c r="AN519" i="1" s="1"/>
  <c r="AL519" i="1"/>
  <c r="AM455" i="1"/>
  <c r="AN455" i="1" s="1"/>
  <c r="AL455" i="1"/>
  <c r="AM423" i="1"/>
  <c r="AN423" i="1" s="1"/>
  <c r="AL423" i="1"/>
  <c r="AM391" i="1"/>
  <c r="AN391" i="1" s="1"/>
  <c r="AL391" i="1"/>
  <c r="AM343" i="1"/>
  <c r="AN343" i="1" s="1"/>
  <c r="AL343" i="1"/>
  <c r="AM319" i="1"/>
  <c r="AN319" i="1" s="1"/>
  <c r="AL319" i="1"/>
  <c r="AM279" i="1"/>
  <c r="AN279" i="1" s="1"/>
  <c r="AL279" i="1"/>
  <c r="AM255" i="1"/>
  <c r="AN255" i="1" s="1"/>
  <c r="AL255" i="1"/>
  <c r="AM231" i="1"/>
  <c r="AN231" i="1" s="1"/>
  <c r="AL231" i="1"/>
  <c r="AM167" i="1"/>
  <c r="AN167" i="1" s="1"/>
  <c r="AL167" i="1"/>
  <c r="AM127" i="1"/>
  <c r="AN127" i="1" s="1"/>
  <c r="AL127" i="1"/>
  <c r="AM95" i="1"/>
  <c r="AN95" i="1" s="1"/>
  <c r="AL95" i="1"/>
  <c r="AM39" i="1"/>
  <c r="AN39" i="1" s="1"/>
  <c r="AL39" i="1"/>
  <c r="AM926" i="1"/>
  <c r="AN926" i="1" s="1"/>
  <c r="AL926" i="1"/>
  <c r="AM894" i="1"/>
  <c r="AN894" i="1" s="1"/>
  <c r="AL894" i="1"/>
  <c r="AM746" i="1"/>
  <c r="AN746" i="1" s="1"/>
  <c r="AL746" i="1"/>
  <c r="AM838" i="1"/>
  <c r="AN838" i="1" s="1"/>
  <c r="AL838" i="1"/>
  <c r="AM806" i="1"/>
  <c r="AN806" i="1" s="1"/>
  <c r="AL806" i="1"/>
  <c r="AM774" i="1"/>
  <c r="AN774" i="1" s="1"/>
  <c r="AL774" i="1"/>
  <c r="AM750" i="1"/>
  <c r="AN750" i="1" s="1"/>
  <c r="AL750" i="1"/>
  <c r="AM718" i="1"/>
  <c r="AN718" i="1" s="1"/>
  <c r="AL718" i="1"/>
  <c r="AM686" i="1"/>
  <c r="AN686" i="1" s="1"/>
  <c r="AL686" i="1"/>
  <c r="AM662" i="1"/>
  <c r="AN662" i="1" s="1"/>
  <c r="AL662" i="1"/>
  <c r="AM630" i="1"/>
  <c r="AN630" i="1" s="1"/>
  <c r="AL630" i="1"/>
  <c r="AM598" i="1"/>
  <c r="AN598" i="1" s="1"/>
  <c r="AL598" i="1"/>
  <c r="AM574" i="1"/>
  <c r="AN574" i="1" s="1"/>
  <c r="AL574" i="1"/>
  <c r="AM542" i="1"/>
  <c r="AN542" i="1" s="1"/>
  <c r="AL542" i="1"/>
  <c r="AM502" i="1"/>
  <c r="AN502" i="1" s="1"/>
  <c r="AL502" i="1"/>
  <c r="AL478" i="1"/>
  <c r="AM478" i="1"/>
  <c r="AN478" i="1" s="1"/>
  <c r="AM438" i="1"/>
  <c r="AN438" i="1" s="1"/>
  <c r="AL438" i="1"/>
  <c r="AM398" i="1"/>
  <c r="AN398" i="1" s="1"/>
  <c r="AL398" i="1"/>
  <c r="AM366" i="1"/>
  <c r="AN366" i="1" s="1"/>
  <c r="AL366" i="1"/>
  <c r="AM326" i="1"/>
  <c r="AN326" i="1" s="1"/>
  <c r="AL326" i="1"/>
  <c r="AM286" i="1"/>
  <c r="AN286" i="1" s="1"/>
  <c r="AL286" i="1"/>
  <c r="AM254" i="1"/>
  <c r="AN254" i="1" s="1"/>
  <c r="AL254" i="1"/>
  <c r="AM214" i="1"/>
  <c r="AN214" i="1" s="1"/>
  <c r="AL214" i="1"/>
  <c r="AM182" i="1"/>
  <c r="AN182" i="1" s="1"/>
  <c r="AL182" i="1"/>
  <c r="AM142" i="1"/>
  <c r="AN142" i="1" s="1"/>
  <c r="AL142" i="1"/>
  <c r="AM110" i="1"/>
  <c r="AN110" i="1" s="1"/>
  <c r="AL110" i="1"/>
  <c r="AM86" i="1"/>
  <c r="AN86" i="1" s="1"/>
  <c r="AL86" i="1"/>
  <c r="AM62" i="1"/>
  <c r="AN62" i="1" s="1"/>
  <c r="AL62" i="1"/>
  <c r="AL21" i="1"/>
  <c r="AM825" i="1"/>
  <c r="AN825" i="1" s="1"/>
  <c r="AL825" i="1"/>
  <c r="AM809" i="1"/>
  <c r="AN809" i="1" s="1"/>
  <c r="AL809" i="1"/>
  <c r="AM793" i="1"/>
  <c r="AN793" i="1" s="1"/>
  <c r="AL793" i="1"/>
  <c r="AM785" i="1"/>
  <c r="AN785" i="1" s="1"/>
  <c r="AL785" i="1"/>
  <c r="AM777" i="1"/>
  <c r="AN777" i="1" s="1"/>
  <c r="AL777" i="1"/>
  <c r="AM761" i="1"/>
  <c r="AN761" i="1" s="1"/>
  <c r="AL761" i="1"/>
  <c r="AM745" i="1"/>
  <c r="AN745" i="1" s="1"/>
  <c r="AL745" i="1"/>
  <c r="AM729" i="1"/>
  <c r="AN729" i="1" s="1"/>
  <c r="AL729" i="1"/>
  <c r="AM721" i="1"/>
  <c r="AN721" i="1" s="1"/>
  <c r="AL721" i="1"/>
  <c r="AM713" i="1"/>
  <c r="AN713" i="1" s="1"/>
  <c r="AL713" i="1"/>
  <c r="AM697" i="1"/>
  <c r="AN697" i="1" s="1"/>
  <c r="AL697" i="1"/>
  <c r="AM681" i="1"/>
  <c r="AN681" i="1" s="1"/>
  <c r="AL681" i="1"/>
  <c r="AM665" i="1"/>
  <c r="AN665" i="1" s="1"/>
  <c r="AL665" i="1"/>
  <c r="AM657" i="1"/>
  <c r="AN657" i="1" s="1"/>
  <c r="AL657" i="1"/>
  <c r="AM649" i="1"/>
  <c r="AN649" i="1" s="1"/>
  <c r="AL649" i="1"/>
  <c r="AM641" i="1"/>
  <c r="AN641" i="1" s="1"/>
  <c r="AL641" i="1"/>
  <c r="AM617" i="1"/>
  <c r="AN617" i="1" s="1"/>
  <c r="AL617" i="1"/>
  <c r="AM601" i="1"/>
  <c r="AN601" i="1" s="1"/>
  <c r="AL601" i="1"/>
  <c r="AM593" i="1"/>
  <c r="AN593" i="1" s="1"/>
  <c r="AL593" i="1"/>
  <c r="AM585" i="1"/>
  <c r="AN585" i="1" s="1"/>
  <c r="AL585" i="1"/>
  <c r="AM577" i="1"/>
  <c r="AN577" i="1" s="1"/>
  <c r="AL577" i="1"/>
  <c r="AM569" i="1"/>
  <c r="AN569" i="1" s="1"/>
  <c r="AL569" i="1"/>
  <c r="AM553" i="1"/>
  <c r="AN553" i="1" s="1"/>
  <c r="AL553" i="1"/>
  <c r="AM537" i="1"/>
  <c r="AN537" i="1" s="1"/>
  <c r="AL537" i="1"/>
  <c r="AM529" i="1"/>
  <c r="AN529" i="1" s="1"/>
  <c r="AL529" i="1"/>
  <c r="AM521" i="1"/>
  <c r="AN521" i="1" s="1"/>
  <c r="AL521" i="1"/>
  <c r="AM513" i="1"/>
  <c r="AN513" i="1" s="1"/>
  <c r="AL513" i="1"/>
  <c r="AM505" i="1"/>
  <c r="AN505" i="1" s="1"/>
  <c r="AL505" i="1"/>
  <c r="AM489" i="1"/>
  <c r="AN489" i="1" s="1"/>
  <c r="AL489" i="1"/>
  <c r="AM473" i="1"/>
  <c r="AN473" i="1" s="1"/>
  <c r="AL473" i="1"/>
  <c r="AM465" i="1"/>
  <c r="AN465" i="1" s="1"/>
  <c r="AL465" i="1"/>
  <c r="AM457" i="1"/>
  <c r="AN457" i="1" s="1"/>
  <c r="AL457" i="1"/>
  <c r="AM449" i="1"/>
  <c r="AN449" i="1" s="1"/>
  <c r="AL449" i="1"/>
  <c r="AM441" i="1"/>
  <c r="AN441" i="1" s="1"/>
  <c r="AL441" i="1"/>
  <c r="AM425" i="1"/>
  <c r="AN425" i="1" s="1"/>
  <c r="AL425" i="1"/>
  <c r="AM401" i="1"/>
  <c r="AN401" i="1" s="1"/>
  <c r="AL401" i="1"/>
  <c r="AM393" i="1"/>
  <c r="AN393" i="1" s="1"/>
  <c r="AL393" i="1"/>
  <c r="AM385" i="1"/>
  <c r="AN385" i="1" s="1"/>
  <c r="AL385" i="1"/>
  <c r="AM377" i="1"/>
  <c r="AN377" i="1" s="1"/>
  <c r="AL377" i="1"/>
  <c r="AM361" i="1"/>
  <c r="AN361" i="1" s="1"/>
  <c r="AL361" i="1"/>
  <c r="AM353" i="1"/>
  <c r="AN353" i="1" s="1"/>
  <c r="AL353" i="1"/>
  <c r="AM345" i="1"/>
  <c r="AN345" i="1" s="1"/>
  <c r="AL345" i="1"/>
  <c r="AM337" i="1"/>
  <c r="AN337" i="1" s="1"/>
  <c r="AL337" i="1"/>
  <c r="AM329" i="1"/>
  <c r="AN329" i="1" s="1"/>
  <c r="AL329" i="1"/>
  <c r="AM321" i="1"/>
  <c r="AN321" i="1" s="1"/>
  <c r="AL321" i="1"/>
  <c r="AM313" i="1"/>
  <c r="AN313" i="1" s="1"/>
  <c r="AL313" i="1"/>
  <c r="AM305" i="1"/>
  <c r="AN305" i="1" s="1"/>
  <c r="AL305" i="1"/>
  <c r="AM297" i="1"/>
  <c r="AN297" i="1" s="1"/>
  <c r="AL297" i="1"/>
  <c r="AM289" i="1"/>
  <c r="AN289" i="1" s="1"/>
  <c r="AL289" i="1"/>
  <c r="AM281" i="1"/>
  <c r="AN281" i="1" s="1"/>
  <c r="AL281" i="1"/>
  <c r="AM273" i="1"/>
  <c r="AN273" i="1" s="1"/>
  <c r="AL273" i="1"/>
  <c r="AM265" i="1"/>
  <c r="AN265" i="1" s="1"/>
  <c r="AL265" i="1"/>
  <c r="AM257" i="1"/>
  <c r="AN257" i="1" s="1"/>
  <c r="AL257" i="1"/>
  <c r="AM241" i="1"/>
  <c r="AN241" i="1" s="1"/>
  <c r="AL241" i="1"/>
  <c r="AM233" i="1"/>
  <c r="AN233" i="1" s="1"/>
  <c r="AL233" i="1"/>
  <c r="AM225" i="1"/>
  <c r="AN225" i="1" s="1"/>
  <c r="AL225" i="1"/>
  <c r="AM217" i="1"/>
  <c r="AN217" i="1" s="1"/>
  <c r="AL217" i="1"/>
  <c r="AM209" i="1"/>
  <c r="AN209" i="1" s="1"/>
  <c r="AL209" i="1"/>
  <c r="AM201" i="1"/>
  <c r="AN201" i="1" s="1"/>
  <c r="AL201" i="1"/>
  <c r="AM193" i="1"/>
  <c r="AN193" i="1" s="1"/>
  <c r="AL193" i="1"/>
  <c r="AM185" i="1"/>
  <c r="AN185" i="1" s="1"/>
  <c r="AL185" i="1"/>
  <c r="AM177" i="1"/>
  <c r="AN177" i="1" s="1"/>
  <c r="AL177" i="1"/>
  <c r="AM169" i="1"/>
  <c r="AN169" i="1" s="1"/>
  <c r="AL169" i="1"/>
  <c r="AM161" i="1"/>
  <c r="AN161" i="1" s="1"/>
  <c r="AL161" i="1"/>
  <c r="AM153" i="1"/>
  <c r="AN153" i="1" s="1"/>
  <c r="AL153" i="1"/>
  <c r="AM145" i="1"/>
  <c r="AN145" i="1" s="1"/>
  <c r="AL145" i="1"/>
  <c r="AM137" i="1"/>
  <c r="AN137" i="1" s="1"/>
  <c r="AL137" i="1"/>
  <c r="AM129" i="1"/>
  <c r="AN129" i="1" s="1"/>
  <c r="AL129" i="1"/>
  <c r="AM121" i="1"/>
  <c r="AN121" i="1" s="1"/>
  <c r="AL121" i="1"/>
  <c r="AM113" i="1"/>
  <c r="AN113" i="1" s="1"/>
  <c r="AL113" i="1"/>
  <c r="AM105" i="1"/>
  <c r="AN105" i="1" s="1"/>
  <c r="AL105" i="1"/>
  <c r="AM97" i="1"/>
  <c r="AN97" i="1" s="1"/>
  <c r="AL97" i="1"/>
  <c r="AM89" i="1"/>
  <c r="AN89" i="1" s="1"/>
  <c r="AL89" i="1"/>
  <c r="AM81" i="1"/>
  <c r="AN81" i="1" s="1"/>
  <c r="AL81" i="1"/>
  <c r="AM73" i="1"/>
  <c r="AN73" i="1" s="1"/>
  <c r="AL73" i="1"/>
  <c r="AM65" i="1"/>
  <c r="AN65" i="1" s="1"/>
  <c r="AL65" i="1"/>
  <c r="AM57" i="1"/>
  <c r="AN57" i="1" s="1"/>
  <c r="AL57" i="1"/>
  <c r="AM49" i="1"/>
  <c r="AN49" i="1" s="1"/>
  <c r="AL49" i="1"/>
  <c r="AM41" i="1"/>
  <c r="AN41" i="1" s="1"/>
  <c r="AL41" i="1"/>
  <c r="AM33" i="1"/>
  <c r="AN33" i="1" s="1"/>
  <c r="AL33" i="1"/>
  <c r="AM25" i="1"/>
  <c r="AN25" i="1" s="1"/>
  <c r="AL25" i="1"/>
  <c r="AL370" i="1" l="1"/>
  <c r="AL626" i="1"/>
  <c r="AM882" i="1"/>
  <c r="AN882" i="1" s="1"/>
  <c r="AM213" i="1"/>
  <c r="AN213" i="1" s="1"/>
  <c r="AM378" i="1"/>
  <c r="AN378" i="1" s="1"/>
  <c r="AL898" i="1"/>
  <c r="AL66" i="1"/>
  <c r="AL138" i="1"/>
  <c r="AL202" i="1"/>
  <c r="AL322" i="1"/>
  <c r="AL514" i="1"/>
  <c r="AL229" i="1"/>
  <c r="AL972" i="1"/>
  <c r="AM506" i="1"/>
  <c r="AN506" i="1" s="1"/>
  <c r="AM762" i="1"/>
  <c r="AN762" i="1" s="1"/>
  <c r="AM842" i="1"/>
  <c r="AN842" i="1" s="1"/>
  <c r="AL946" i="1"/>
  <c r="AL58" i="1"/>
  <c r="AL306" i="1"/>
  <c r="AL498" i="1"/>
  <c r="AM77" i="1"/>
  <c r="AN77" i="1" s="1"/>
  <c r="AL314" i="1"/>
  <c r="AL242" i="1"/>
  <c r="AL386" i="1"/>
  <c r="AL642" i="1"/>
  <c r="AL931" i="1"/>
  <c r="AL5" i="1"/>
  <c r="AM285" i="1"/>
  <c r="AN285" i="1" s="1"/>
  <c r="AL725" i="1"/>
  <c r="AL941" i="1"/>
  <c r="AL925" i="1"/>
  <c r="AL570" i="1"/>
  <c r="AL826" i="1"/>
  <c r="AL330" i="1"/>
  <c r="AM652" i="1"/>
  <c r="AN652" i="1" s="1"/>
  <c r="AM74" i="1"/>
  <c r="AN74" i="1" s="1"/>
  <c r="AL114" i="1"/>
  <c r="AM146" i="1"/>
  <c r="AN146" i="1" s="1"/>
  <c r="AL178" i="1"/>
  <c r="AM210" i="1"/>
  <c r="AN210" i="1" s="1"/>
  <c r="AL258" i="1"/>
  <c r="AM338" i="1"/>
  <c r="AN338" i="1" s="1"/>
  <c r="AL394" i="1"/>
  <c r="AL434" i="1"/>
  <c r="AL474" i="1"/>
  <c r="AL522" i="1"/>
  <c r="AL562" i="1"/>
  <c r="AL602" i="1"/>
  <c r="AL650" i="1"/>
  <c r="AL690" i="1"/>
  <c r="AL754" i="1"/>
  <c r="AL850" i="1"/>
  <c r="AM149" i="1"/>
  <c r="AN149" i="1" s="1"/>
  <c r="AL245" i="1"/>
  <c r="AL301" i="1"/>
  <c r="AL732" i="1"/>
  <c r="AM380" i="1"/>
  <c r="AN380" i="1" s="1"/>
  <c r="AL980" i="1"/>
  <c r="AL165" i="1"/>
  <c r="AL700" i="1"/>
  <c r="AL13" i="1"/>
  <c r="AL101" i="1"/>
  <c r="AL987" i="1"/>
  <c r="AM948" i="1"/>
  <c r="AN948" i="1" s="1"/>
  <c r="AM973" i="1"/>
  <c r="AN973" i="1" s="1"/>
  <c r="AL269" i="1"/>
  <c r="AL645" i="1"/>
  <c r="AL877" i="1"/>
  <c r="AL435" i="1"/>
  <c r="AL995" i="1"/>
  <c r="AM843" i="1"/>
  <c r="AN843" i="1" s="1"/>
  <c r="AL723" i="1"/>
  <c r="AL909" i="1"/>
  <c r="AM451" i="1"/>
  <c r="AN451" i="1" s="1"/>
  <c r="AL37" i="1"/>
  <c r="AL453" i="1"/>
  <c r="AL869" i="1"/>
  <c r="AL796" i="1"/>
  <c r="AM636" i="1"/>
  <c r="AN636" i="1" s="1"/>
  <c r="AL828" i="1"/>
  <c r="AL45" i="1"/>
  <c r="AL221" i="1"/>
  <c r="AL469" i="1"/>
  <c r="AM707" i="1"/>
  <c r="AN707" i="1" s="1"/>
  <c r="AL643" i="1"/>
  <c r="AL805" i="1"/>
  <c r="AL837" i="1"/>
  <c r="AL19" i="1"/>
  <c r="AM851" i="1"/>
  <c r="AN851" i="1" s="1"/>
  <c r="AL947" i="1"/>
  <c r="AL117" i="1"/>
  <c r="AL971" i="1"/>
  <c r="AL691" i="1"/>
  <c r="AL891" i="1"/>
  <c r="AL819" i="1"/>
  <c r="AM61" i="1"/>
  <c r="AN61" i="1" s="1"/>
  <c r="AL835" i="1"/>
  <c r="AL923" i="1"/>
  <c r="AL997" i="1"/>
  <c r="AL579" i="1"/>
  <c r="AL572" i="1"/>
  <c r="AM780" i="1"/>
  <c r="AN780" i="1" s="1"/>
  <c r="AM133" i="1"/>
  <c r="AN133" i="1" s="1"/>
  <c r="AM261" i="1"/>
  <c r="AN261" i="1" s="1"/>
  <c r="AL771" i="1"/>
  <c r="AL141" i="1"/>
  <c r="AM205" i="1"/>
  <c r="AN205" i="1" s="1"/>
  <c r="AL277" i="1"/>
  <c r="AL157" i="1"/>
  <c r="AL389" i="1"/>
  <c r="AL317" i="1"/>
  <c r="AM588" i="1"/>
  <c r="AN588" i="1" s="1"/>
  <c r="AL963" i="1"/>
  <c r="AM189" i="1"/>
  <c r="AN189" i="1" s="1"/>
  <c r="AL956" i="1"/>
  <c r="AL996" i="1"/>
  <c r="AM17" i="1"/>
  <c r="AN17" i="1" s="1"/>
  <c r="AL237" i="1"/>
  <c r="AL885" i="1"/>
  <c r="AM3" i="1"/>
  <c r="AN3" i="1" s="1"/>
  <c r="AM883" i="1"/>
  <c r="AN883" i="1" s="1"/>
  <c r="AL85" i="1"/>
  <c r="AM125" i="1"/>
  <c r="AN125" i="1" s="1"/>
  <c r="AL197" i="1"/>
  <c r="AM371" i="1"/>
  <c r="AN371" i="1" s="1"/>
  <c r="AM333" i="1"/>
  <c r="AN333" i="1" s="1"/>
  <c r="AM773" i="1"/>
  <c r="AN773" i="1" s="1"/>
  <c r="AM845" i="1"/>
  <c r="AN845" i="1" s="1"/>
  <c r="AM981" i="1"/>
  <c r="AN981" i="1" s="1"/>
  <c r="AM965" i="1"/>
  <c r="AN965" i="1" s="1"/>
  <c r="AL563" i="1"/>
  <c r="AL907" i="1"/>
  <c r="AL524" i="1"/>
  <c r="AL387" i="1"/>
  <c r="AL787" i="1"/>
  <c r="AL979" i="1"/>
  <c r="AL764" i="1"/>
  <c r="AL627" i="1"/>
  <c r="AL18" i="1"/>
  <c r="AL915" i="1"/>
  <c r="AL517" i="1"/>
  <c r="AL349" i="1"/>
  <c r="AL853" i="1"/>
  <c r="AL901" i="1"/>
  <c r="AL989" i="1"/>
  <c r="AL899" i="1"/>
  <c r="AL52" i="1"/>
  <c r="AL508" i="1"/>
  <c r="AL69" i="1"/>
  <c r="AL741" i="1"/>
  <c r="AL859" i="1"/>
  <c r="AM861" i="1"/>
  <c r="AN861" i="1" s="1"/>
  <c r="AM405" i="1"/>
  <c r="AN405" i="1" s="1"/>
  <c r="AL955" i="1"/>
  <c r="AL893" i="1"/>
  <c r="AL515" i="1"/>
  <c r="AM204" i="1"/>
  <c r="AN204" i="1" s="1"/>
  <c r="AL204" i="1"/>
  <c r="AM324" i="1"/>
  <c r="AN324" i="1" s="1"/>
  <c r="AL324" i="1"/>
  <c r="AM195" i="1"/>
  <c r="AN195" i="1" s="1"/>
  <c r="AL195" i="1"/>
  <c r="AM259" i="1"/>
  <c r="AN259" i="1" s="1"/>
  <c r="AL259" i="1"/>
  <c r="AM323" i="1"/>
  <c r="AN323" i="1" s="1"/>
  <c r="AL323" i="1"/>
  <c r="AM403" i="1"/>
  <c r="AN403" i="1" s="1"/>
  <c r="AL403" i="1"/>
  <c r="AM483" i="1"/>
  <c r="AN483" i="1" s="1"/>
  <c r="AL483" i="1"/>
  <c r="AM571" i="1"/>
  <c r="AN571" i="1" s="1"/>
  <c r="AL571" i="1"/>
  <c r="AM659" i="1"/>
  <c r="AN659" i="1" s="1"/>
  <c r="AL659" i="1"/>
  <c r="AM747" i="1"/>
  <c r="AN747" i="1" s="1"/>
  <c r="AL747" i="1"/>
  <c r="AM23" i="1"/>
  <c r="AN23" i="1" s="1"/>
  <c r="AL23" i="1"/>
  <c r="AM124" i="1"/>
  <c r="AN124" i="1" s="1"/>
  <c r="AL124" i="1"/>
  <c r="AM316" i="1"/>
  <c r="AN316" i="1" s="1"/>
  <c r="AL316" i="1"/>
  <c r="AM540" i="1"/>
  <c r="AN540" i="1" s="1"/>
  <c r="AL540" i="1"/>
  <c r="AM836" i="1"/>
  <c r="AN836" i="1" s="1"/>
  <c r="AL836" i="1"/>
  <c r="AM4" i="1"/>
  <c r="AN4" i="1" s="1"/>
  <c r="AL4" i="1"/>
  <c r="AM365" i="1"/>
  <c r="AN365" i="1" s="1"/>
  <c r="AL365" i="1"/>
  <c r="AM445" i="1"/>
  <c r="AN445" i="1" s="1"/>
  <c r="AL445" i="1"/>
  <c r="AM541" i="1"/>
  <c r="AN541" i="1" s="1"/>
  <c r="AL541" i="1"/>
  <c r="AM621" i="1"/>
  <c r="AN621" i="1" s="1"/>
  <c r="AL621" i="1"/>
  <c r="AM701" i="1"/>
  <c r="AN701" i="1" s="1"/>
  <c r="AL701" i="1"/>
  <c r="AM813" i="1"/>
  <c r="AN813" i="1" s="1"/>
  <c r="AL813" i="1"/>
  <c r="AM428" i="1"/>
  <c r="AN428" i="1" s="1"/>
  <c r="AL428" i="1"/>
  <c r="AM900" i="1"/>
  <c r="AN900" i="1" s="1"/>
  <c r="AL900" i="1"/>
  <c r="AM612" i="1"/>
  <c r="AN612" i="1" s="1"/>
  <c r="AL612" i="1"/>
  <c r="AM236" i="1"/>
  <c r="AN236" i="1" s="1"/>
  <c r="AL236" i="1"/>
  <c r="AM452" i="1"/>
  <c r="AN452" i="1" s="1"/>
  <c r="AL452" i="1"/>
  <c r="AL684" i="1"/>
  <c r="AM684" i="1"/>
  <c r="AN684" i="1" s="1"/>
  <c r="AM924" i="1"/>
  <c r="AN924" i="1" s="1"/>
  <c r="AL924" i="1"/>
  <c r="AM164" i="1"/>
  <c r="AN164" i="1" s="1"/>
  <c r="AL164" i="1"/>
  <c r="AM348" i="1"/>
  <c r="AN348" i="1" s="1"/>
  <c r="AL348" i="1"/>
  <c r="AM668" i="1"/>
  <c r="AN668" i="1" s="1"/>
  <c r="AL668" i="1"/>
  <c r="AM892" i="1"/>
  <c r="AN892" i="1" s="1"/>
  <c r="AL892" i="1"/>
  <c r="AM75" i="1"/>
  <c r="AN75" i="1" s="1"/>
  <c r="AL75" i="1"/>
  <c r="AM139" i="1"/>
  <c r="AN139" i="1" s="1"/>
  <c r="AL139" i="1"/>
  <c r="AM203" i="1"/>
  <c r="AN203" i="1" s="1"/>
  <c r="AL203" i="1"/>
  <c r="AM267" i="1"/>
  <c r="AN267" i="1" s="1"/>
  <c r="AL267" i="1"/>
  <c r="AM331" i="1"/>
  <c r="AN331" i="1" s="1"/>
  <c r="AL331" i="1"/>
  <c r="AM411" i="1"/>
  <c r="AN411" i="1" s="1"/>
  <c r="AL411" i="1"/>
  <c r="AM491" i="1"/>
  <c r="AN491" i="1" s="1"/>
  <c r="AL491" i="1"/>
  <c r="AM587" i="1"/>
  <c r="AN587" i="1" s="1"/>
  <c r="AL587" i="1"/>
  <c r="AM667" i="1"/>
  <c r="AN667" i="1" s="1"/>
  <c r="AL667" i="1"/>
  <c r="AM763" i="1"/>
  <c r="AN763" i="1" s="1"/>
  <c r="AL763" i="1"/>
  <c r="AM9" i="1"/>
  <c r="AN9" i="1" s="1"/>
  <c r="AL9" i="1"/>
  <c r="AM140" i="1"/>
  <c r="AN140" i="1" s="1"/>
  <c r="AL140" i="1"/>
  <c r="AM340" i="1"/>
  <c r="AN340" i="1" s="1"/>
  <c r="AL340" i="1"/>
  <c r="AM564" i="1"/>
  <c r="AN564" i="1" s="1"/>
  <c r="AL564" i="1"/>
  <c r="AM860" i="1"/>
  <c r="AN860" i="1" s="1"/>
  <c r="AL860" i="1"/>
  <c r="AM373" i="1"/>
  <c r="AN373" i="1" s="1"/>
  <c r="AL373" i="1"/>
  <c r="AM461" i="1"/>
  <c r="AN461" i="1" s="1"/>
  <c r="AL461" i="1"/>
  <c r="AM549" i="1"/>
  <c r="AN549" i="1" s="1"/>
  <c r="AL549" i="1"/>
  <c r="AM629" i="1"/>
  <c r="AN629" i="1" s="1"/>
  <c r="AL629" i="1"/>
  <c r="AM717" i="1"/>
  <c r="AN717" i="1" s="1"/>
  <c r="AL717" i="1"/>
  <c r="AM821" i="1"/>
  <c r="AN821" i="1" s="1"/>
  <c r="AL821" i="1"/>
  <c r="AM148" i="1"/>
  <c r="AN148" i="1" s="1"/>
  <c r="AL148" i="1"/>
  <c r="AM260" i="1"/>
  <c r="AN260" i="1" s="1"/>
  <c r="AL260" i="1"/>
  <c r="AM484" i="1"/>
  <c r="AN484" i="1" s="1"/>
  <c r="AL484" i="1"/>
  <c r="AM708" i="1"/>
  <c r="AN708" i="1" s="1"/>
  <c r="AL708" i="1"/>
  <c r="AM24" i="1"/>
  <c r="AN24" i="1" s="1"/>
  <c r="AL24" i="1"/>
  <c r="AM22" i="1"/>
  <c r="AN22" i="1" s="1"/>
  <c r="AL22" i="1"/>
  <c r="AM188" i="1"/>
  <c r="AN188" i="1" s="1"/>
  <c r="AL188" i="1"/>
  <c r="AM372" i="1"/>
  <c r="AN372" i="1" s="1"/>
  <c r="AL372" i="1"/>
  <c r="AM692" i="1"/>
  <c r="AN692" i="1" s="1"/>
  <c r="AL692" i="1"/>
  <c r="AM916" i="1"/>
  <c r="AN916" i="1" s="1"/>
  <c r="AL916" i="1"/>
  <c r="AM83" i="1"/>
  <c r="AN83" i="1" s="1"/>
  <c r="AL83" i="1"/>
  <c r="AM147" i="1"/>
  <c r="AN147" i="1" s="1"/>
  <c r="AL147" i="1"/>
  <c r="AM211" i="1"/>
  <c r="AN211" i="1" s="1"/>
  <c r="AL211" i="1"/>
  <c r="AM275" i="1"/>
  <c r="AN275" i="1" s="1"/>
  <c r="AL275" i="1"/>
  <c r="AM339" i="1"/>
  <c r="AN339" i="1" s="1"/>
  <c r="AL339" i="1"/>
  <c r="AM419" i="1"/>
  <c r="AN419" i="1" s="1"/>
  <c r="AL419" i="1"/>
  <c r="AM507" i="1"/>
  <c r="AN507" i="1" s="1"/>
  <c r="AL507" i="1"/>
  <c r="AM595" i="1"/>
  <c r="AN595" i="1" s="1"/>
  <c r="AL595" i="1"/>
  <c r="AM675" i="1"/>
  <c r="AN675" i="1" s="1"/>
  <c r="AL675" i="1"/>
  <c r="AM779" i="1"/>
  <c r="AN779" i="1" s="1"/>
  <c r="AL779" i="1"/>
  <c r="AM28" i="1"/>
  <c r="AN28" i="1" s="1"/>
  <c r="AL28" i="1"/>
  <c r="AM156" i="1"/>
  <c r="AN156" i="1" s="1"/>
  <c r="AL156" i="1"/>
  <c r="AM364" i="1"/>
  <c r="AN364" i="1" s="1"/>
  <c r="AL364" i="1"/>
  <c r="AM596" i="1"/>
  <c r="AN596" i="1" s="1"/>
  <c r="AL596" i="1"/>
  <c r="AM884" i="1"/>
  <c r="AN884" i="1" s="1"/>
  <c r="AL884" i="1"/>
  <c r="AL381" i="1"/>
  <c r="AM381" i="1"/>
  <c r="AN381" i="1" s="1"/>
  <c r="AL477" i="1"/>
  <c r="AM477" i="1"/>
  <c r="AN477" i="1" s="1"/>
  <c r="AM557" i="1"/>
  <c r="AN557" i="1" s="1"/>
  <c r="AL557" i="1"/>
  <c r="AM637" i="1"/>
  <c r="AN637" i="1" s="1"/>
  <c r="AL637" i="1"/>
  <c r="AM733" i="1"/>
  <c r="AN733" i="1" s="1"/>
  <c r="AL733" i="1"/>
  <c r="AM829" i="1"/>
  <c r="AN829" i="1" s="1"/>
  <c r="AL829" i="1"/>
  <c r="AM131" i="1"/>
  <c r="AN131" i="1" s="1"/>
  <c r="AL131" i="1"/>
  <c r="AM284" i="1"/>
  <c r="AN284" i="1" s="1"/>
  <c r="AL284" i="1"/>
  <c r="AM532" i="1"/>
  <c r="AN532" i="1" s="1"/>
  <c r="AL532" i="1"/>
  <c r="AM740" i="1"/>
  <c r="AN740" i="1" s="1"/>
  <c r="AL740" i="1"/>
  <c r="AM8" i="1"/>
  <c r="AN8" i="1" s="1"/>
  <c r="AL8" i="1"/>
  <c r="AM212" i="1"/>
  <c r="AN212" i="1" s="1"/>
  <c r="AL212" i="1"/>
  <c r="AM420" i="1"/>
  <c r="AN420" i="1" s="1"/>
  <c r="AL420" i="1"/>
  <c r="AM724" i="1"/>
  <c r="AN724" i="1" s="1"/>
  <c r="AL724" i="1"/>
  <c r="AM940" i="1"/>
  <c r="AN940" i="1" s="1"/>
  <c r="AL940" i="1"/>
  <c r="AM27" i="1"/>
  <c r="AN27" i="1" s="1"/>
  <c r="AL27" i="1"/>
  <c r="AM91" i="1"/>
  <c r="AN91" i="1" s="1"/>
  <c r="AL91" i="1"/>
  <c r="AM155" i="1"/>
  <c r="AN155" i="1" s="1"/>
  <c r="AL155" i="1"/>
  <c r="AM219" i="1"/>
  <c r="AN219" i="1" s="1"/>
  <c r="AL219" i="1"/>
  <c r="AM283" i="1"/>
  <c r="AN283" i="1" s="1"/>
  <c r="AL283" i="1"/>
  <c r="AM347" i="1"/>
  <c r="AN347" i="1" s="1"/>
  <c r="AL347" i="1"/>
  <c r="AM427" i="1"/>
  <c r="AN427" i="1" s="1"/>
  <c r="AL427" i="1"/>
  <c r="AM523" i="1"/>
  <c r="AN523" i="1" s="1"/>
  <c r="AL523" i="1"/>
  <c r="AM603" i="1"/>
  <c r="AN603" i="1" s="1"/>
  <c r="AL603" i="1"/>
  <c r="AM683" i="1"/>
  <c r="AN683" i="1" s="1"/>
  <c r="AL683" i="1"/>
  <c r="AM795" i="1"/>
  <c r="AN795" i="1" s="1"/>
  <c r="AL795" i="1"/>
  <c r="AM36" i="1"/>
  <c r="AN36" i="1" s="1"/>
  <c r="AL36" i="1"/>
  <c r="AM196" i="1"/>
  <c r="AN196" i="1" s="1"/>
  <c r="AL196" i="1"/>
  <c r="AM388" i="1"/>
  <c r="AN388" i="1" s="1"/>
  <c r="AL388" i="1"/>
  <c r="AM620" i="1"/>
  <c r="AN620" i="1" s="1"/>
  <c r="AL620" i="1"/>
  <c r="AM908" i="1"/>
  <c r="AN908" i="1" s="1"/>
  <c r="AL908" i="1"/>
  <c r="AL293" i="1"/>
  <c r="AM293" i="1"/>
  <c r="AN293" i="1" s="1"/>
  <c r="AM397" i="1"/>
  <c r="AN397" i="1" s="1"/>
  <c r="AL397" i="1"/>
  <c r="AM485" i="1"/>
  <c r="AN485" i="1" s="1"/>
  <c r="AL485" i="1"/>
  <c r="AM565" i="1"/>
  <c r="AN565" i="1" s="1"/>
  <c r="AL565" i="1"/>
  <c r="AM653" i="1"/>
  <c r="AN653" i="1" s="1"/>
  <c r="AL653" i="1"/>
  <c r="AM749" i="1"/>
  <c r="AN749" i="1" s="1"/>
  <c r="AL749" i="1"/>
  <c r="AM308" i="1"/>
  <c r="AN308" i="1" s="1"/>
  <c r="AL308" i="1"/>
  <c r="AM556" i="1"/>
  <c r="AN556" i="1" s="1"/>
  <c r="AL556" i="1"/>
  <c r="AM788" i="1"/>
  <c r="AN788" i="1" s="1"/>
  <c r="AL788" i="1"/>
  <c r="AM76" i="1"/>
  <c r="AN76" i="1" s="1"/>
  <c r="AL76" i="1"/>
  <c r="AM228" i="1"/>
  <c r="AN228" i="1" s="1"/>
  <c r="AL228" i="1"/>
  <c r="AM476" i="1"/>
  <c r="AN476" i="1" s="1"/>
  <c r="AL476" i="1"/>
  <c r="AM748" i="1"/>
  <c r="AN748" i="1" s="1"/>
  <c r="AL748" i="1"/>
  <c r="AM35" i="1"/>
  <c r="AN35" i="1" s="1"/>
  <c r="AL35" i="1"/>
  <c r="AM99" i="1"/>
  <c r="AN99" i="1" s="1"/>
  <c r="AL99" i="1"/>
  <c r="AM163" i="1"/>
  <c r="AN163" i="1" s="1"/>
  <c r="AL163" i="1"/>
  <c r="AM227" i="1"/>
  <c r="AN227" i="1" s="1"/>
  <c r="AL227" i="1"/>
  <c r="AM291" i="1"/>
  <c r="AN291" i="1" s="1"/>
  <c r="AL291" i="1"/>
  <c r="AM355" i="1"/>
  <c r="AN355" i="1" s="1"/>
  <c r="AL355" i="1"/>
  <c r="AM443" i="1"/>
  <c r="AN443" i="1" s="1"/>
  <c r="AL443" i="1"/>
  <c r="AM531" i="1"/>
  <c r="AN531" i="1" s="1"/>
  <c r="AL531" i="1"/>
  <c r="AM611" i="1"/>
  <c r="AN611" i="1" s="1"/>
  <c r="AL611" i="1"/>
  <c r="AM699" i="1"/>
  <c r="AN699" i="1" s="1"/>
  <c r="AL699" i="1"/>
  <c r="AM803" i="1"/>
  <c r="AN803" i="1" s="1"/>
  <c r="AL803" i="1"/>
  <c r="AM44" i="1"/>
  <c r="AN44" i="1" s="1"/>
  <c r="AL44" i="1"/>
  <c r="AM220" i="1"/>
  <c r="AN220" i="1" s="1"/>
  <c r="AL220" i="1"/>
  <c r="AM412" i="1"/>
  <c r="AN412" i="1" s="1"/>
  <c r="AL412" i="1"/>
  <c r="AM644" i="1"/>
  <c r="AN644" i="1" s="1"/>
  <c r="AL644" i="1"/>
  <c r="AM932" i="1"/>
  <c r="AN932" i="1" s="1"/>
  <c r="AL932" i="1"/>
  <c r="AM309" i="1"/>
  <c r="AN309" i="1" s="1"/>
  <c r="AL309" i="1"/>
  <c r="AM413" i="1"/>
  <c r="AN413" i="1" s="1"/>
  <c r="AL413" i="1"/>
  <c r="AM493" i="1"/>
  <c r="AN493" i="1" s="1"/>
  <c r="AL493" i="1"/>
  <c r="AM573" i="1"/>
  <c r="AN573" i="1" s="1"/>
  <c r="AL573" i="1"/>
  <c r="AM669" i="1"/>
  <c r="AN669" i="1" s="1"/>
  <c r="AL669" i="1"/>
  <c r="AM757" i="1"/>
  <c r="AN757" i="1" s="1"/>
  <c r="AL757" i="1"/>
  <c r="AM92" i="1"/>
  <c r="AN92" i="1" s="1"/>
  <c r="AL92" i="1"/>
  <c r="AM43" i="1"/>
  <c r="AN43" i="1" s="1"/>
  <c r="AL43" i="1"/>
  <c r="AM363" i="1"/>
  <c r="AN363" i="1" s="1"/>
  <c r="AL363" i="1"/>
  <c r="AM811" i="1"/>
  <c r="AN811" i="1" s="1"/>
  <c r="AL811" i="1"/>
  <c r="AM765" i="1"/>
  <c r="AN765" i="1" s="1"/>
  <c r="AL765" i="1"/>
  <c r="AM332" i="1"/>
  <c r="AN332" i="1" s="1"/>
  <c r="AL332" i="1"/>
  <c r="AM812" i="1"/>
  <c r="AN812" i="1" s="1"/>
  <c r="AL812" i="1"/>
  <c r="AM12" i="1"/>
  <c r="AN12" i="1" s="1"/>
  <c r="AL12" i="1"/>
  <c r="AM252" i="1"/>
  <c r="AN252" i="1" s="1"/>
  <c r="AL252" i="1"/>
  <c r="AM500" i="1"/>
  <c r="AN500" i="1" s="1"/>
  <c r="AL500" i="1"/>
  <c r="AM772" i="1"/>
  <c r="AN772" i="1" s="1"/>
  <c r="AL772" i="1"/>
  <c r="AM107" i="1"/>
  <c r="AN107" i="1" s="1"/>
  <c r="AL107" i="1"/>
  <c r="AM171" i="1"/>
  <c r="AN171" i="1" s="1"/>
  <c r="AL171" i="1"/>
  <c r="AM235" i="1"/>
  <c r="AN235" i="1" s="1"/>
  <c r="AL235" i="1"/>
  <c r="AM299" i="1"/>
  <c r="AN299" i="1" s="1"/>
  <c r="AL299" i="1"/>
  <c r="AM459" i="1"/>
  <c r="AN459" i="1" s="1"/>
  <c r="AL459" i="1"/>
  <c r="AM539" i="1"/>
  <c r="AN539" i="1" s="1"/>
  <c r="AL539" i="1"/>
  <c r="AM619" i="1"/>
  <c r="AN619" i="1" s="1"/>
  <c r="AL619" i="1"/>
  <c r="AM715" i="1"/>
  <c r="AN715" i="1" s="1"/>
  <c r="AL715" i="1"/>
  <c r="AM68" i="1"/>
  <c r="AN68" i="1" s="1"/>
  <c r="AL68" i="1"/>
  <c r="AM244" i="1"/>
  <c r="AN244" i="1" s="1"/>
  <c r="AL244" i="1"/>
  <c r="AM436" i="1"/>
  <c r="AN436" i="1" s="1"/>
  <c r="AL436" i="1"/>
  <c r="AL676" i="1"/>
  <c r="AM676" i="1"/>
  <c r="AN676" i="1" s="1"/>
  <c r="AM16" i="1"/>
  <c r="AN16" i="1" s="1"/>
  <c r="AL16" i="1"/>
  <c r="AM325" i="1"/>
  <c r="AN325" i="1" s="1"/>
  <c r="AL325" i="1"/>
  <c r="AM421" i="1"/>
  <c r="AN421" i="1" s="1"/>
  <c r="AL421" i="1"/>
  <c r="AM501" i="1"/>
  <c r="AN501" i="1" s="1"/>
  <c r="AL501" i="1"/>
  <c r="AM589" i="1"/>
  <c r="AN589" i="1" s="1"/>
  <c r="AL589" i="1"/>
  <c r="AM677" i="1"/>
  <c r="AN677" i="1" s="1"/>
  <c r="AL677" i="1"/>
  <c r="AM11" i="1"/>
  <c r="AN11" i="1" s="1"/>
  <c r="AL11" i="1"/>
  <c r="AM60" i="1"/>
  <c r="AN60" i="1" s="1"/>
  <c r="AL60" i="1"/>
  <c r="AM356" i="1"/>
  <c r="AN356" i="1" s="1"/>
  <c r="AL356" i="1"/>
  <c r="AM604" i="1"/>
  <c r="AN604" i="1" s="1"/>
  <c r="AL604" i="1"/>
  <c r="AM844" i="1"/>
  <c r="AN844" i="1" s="1"/>
  <c r="AL844" i="1"/>
  <c r="AM108" i="1"/>
  <c r="AN108" i="1" s="1"/>
  <c r="AL108" i="1"/>
  <c r="AM276" i="1"/>
  <c r="AN276" i="1" s="1"/>
  <c r="AL276" i="1"/>
  <c r="AM516" i="1"/>
  <c r="AN516" i="1" s="1"/>
  <c r="AL516" i="1"/>
  <c r="AM804" i="1"/>
  <c r="AN804" i="1" s="1"/>
  <c r="AL804" i="1"/>
  <c r="AM51" i="1"/>
  <c r="AN51" i="1" s="1"/>
  <c r="AL51" i="1"/>
  <c r="AM115" i="1"/>
  <c r="AN115" i="1" s="1"/>
  <c r="AL115" i="1"/>
  <c r="AM179" i="1"/>
  <c r="AN179" i="1" s="1"/>
  <c r="AL179" i="1"/>
  <c r="AM243" i="1"/>
  <c r="AN243" i="1" s="1"/>
  <c r="AL243" i="1"/>
  <c r="AM307" i="1"/>
  <c r="AN307" i="1" s="1"/>
  <c r="AL307" i="1"/>
  <c r="AM379" i="1"/>
  <c r="AN379" i="1" s="1"/>
  <c r="AL379" i="1"/>
  <c r="AM467" i="1"/>
  <c r="AN467" i="1" s="1"/>
  <c r="AL467" i="1"/>
  <c r="AM547" i="1"/>
  <c r="AN547" i="1" s="1"/>
  <c r="AL547" i="1"/>
  <c r="AM635" i="1"/>
  <c r="AN635" i="1" s="1"/>
  <c r="AL635" i="1"/>
  <c r="AM731" i="1"/>
  <c r="AN731" i="1" s="1"/>
  <c r="AL731" i="1"/>
  <c r="AM827" i="1"/>
  <c r="AN827" i="1" s="1"/>
  <c r="AL827" i="1"/>
  <c r="AM84" i="1"/>
  <c r="AN84" i="1" s="1"/>
  <c r="AL84" i="1"/>
  <c r="AM268" i="1"/>
  <c r="AN268" i="1" s="1"/>
  <c r="AL268" i="1"/>
  <c r="AM468" i="1"/>
  <c r="AN468" i="1" s="1"/>
  <c r="AL468" i="1"/>
  <c r="AM756" i="1"/>
  <c r="AN756" i="1" s="1"/>
  <c r="AL756" i="1"/>
  <c r="AM341" i="1"/>
  <c r="AN341" i="1" s="1"/>
  <c r="AL341" i="1"/>
  <c r="AL429" i="1"/>
  <c r="AM429" i="1"/>
  <c r="AN429" i="1" s="1"/>
  <c r="AM509" i="1"/>
  <c r="AN509" i="1" s="1"/>
  <c r="AL509" i="1"/>
  <c r="AM605" i="1"/>
  <c r="AN605" i="1" s="1"/>
  <c r="AL605" i="1"/>
  <c r="AM685" i="1"/>
  <c r="AN685" i="1" s="1"/>
  <c r="AL685" i="1"/>
  <c r="AM660" i="1"/>
  <c r="AN660" i="1" s="1"/>
  <c r="AL660" i="1"/>
  <c r="AM580" i="1"/>
  <c r="AN580" i="1" s="1"/>
  <c r="AL580" i="1"/>
  <c r="AM172" i="1"/>
  <c r="AN172" i="1" s="1"/>
  <c r="AL172" i="1"/>
  <c r="AM404" i="1"/>
  <c r="AN404" i="1" s="1"/>
  <c r="AL404" i="1"/>
  <c r="AM628" i="1"/>
  <c r="AN628" i="1" s="1"/>
  <c r="AL628" i="1"/>
  <c r="AM876" i="1"/>
  <c r="AN876" i="1" s="1"/>
  <c r="AL876" i="1"/>
  <c r="AM132" i="1"/>
  <c r="AN132" i="1" s="1"/>
  <c r="AL132" i="1"/>
  <c r="AM300" i="1"/>
  <c r="AN300" i="1" s="1"/>
  <c r="AL300" i="1"/>
  <c r="AM548" i="1"/>
  <c r="AN548" i="1" s="1"/>
  <c r="AL548" i="1"/>
  <c r="AM852" i="1"/>
  <c r="AN852" i="1" s="1"/>
  <c r="AL852" i="1"/>
  <c r="AM59" i="1"/>
  <c r="AN59" i="1" s="1"/>
  <c r="AL59" i="1"/>
  <c r="AM123" i="1"/>
  <c r="AN123" i="1" s="1"/>
  <c r="AL123" i="1"/>
  <c r="AM187" i="1"/>
  <c r="AN187" i="1" s="1"/>
  <c r="AL187" i="1"/>
  <c r="AM251" i="1"/>
  <c r="AN251" i="1" s="1"/>
  <c r="AL251" i="1"/>
  <c r="AM315" i="1"/>
  <c r="AN315" i="1" s="1"/>
  <c r="AL315" i="1"/>
  <c r="AM395" i="1"/>
  <c r="AN395" i="1" s="1"/>
  <c r="AL395" i="1"/>
  <c r="AM475" i="1"/>
  <c r="AN475" i="1" s="1"/>
  <c r="AL475" i="1"/>
  <c r="AM555" i="1"/>
  <c r="AN555" i="1" s="1"/>
  <c r="AL555" i="1"/>
  <c r="AM651" i="1"/>
  <c r="AN651" i="1" s="1"/>
  <c r="AL651" i="1"/>
  <c r="AM739" i="1"/>
  <c r="AN739" i="1" s="1"/>
  <c r="AL739" i="1"/>
  <c r="AM15" i="1"/>
  <c r="AN15" i="1" s="1"/>
  <c r="AL15" i="1"/>
  <c r="AM100" i="1"/>
  <c r="AN100" i="1" s="1"/>
  <c r="AL100" i="1"/>
  <c r="AM292" i="1"/>
  <c r="AN292" i="1" s="1"/>
  <c r="AL292" i="1"/>
  <c r="AM492" i="1"/>
  <c r="AN492" i="1" s="1"/>
  <c r="AL492" i="1"/>
  <c r="AM820" i="1"/>
  <c r="AN820" i="1" s="1"/>
  <c r="AL820" i="1"/>
  <c r="AL357" i="1"/>
  <c r="AM357" i="1"/>
  <c r="AN357" i="1" s="1"/>
  <c r="AM437" i="1"/>
  <c r="AN437" i="1" s="1"/>
  <c r="AL437" i="1"/>
  <c r="AM525" i="1"/>
  <c r="AN525" i="1" s="1"/>
  <c r="AL525" i="1"/>
  <c r="AM613" i="1"/>
  <c r="AN613" i="1" s="1"/>
  <c r="AL613" i="1"/>
  <c r="AM693" i="1"/>
  <c r="AN693" i="1" s="1"/>
  <c r="AL693" i="1"/>
  <c r="AM797" i="1"/>
  <c r="AN797" i="1" s="1"/>
  <c r="AL797" i="1"/>
</calcChain>
</file>

<file path=xl/sharedStrings.xml><?xml version="1.0" encoding="utf-8"?>
<sst xmlns="http://schemas.openxmlformats.org/spreadsheetml/2006/main" count="2040" uniqueCount="1042">
  <si>
    <t>user</t>
  </si>
  <si>
    <t>total_logins</t>
  </si>
  <si>
    <t>avg_login_hour</t>
  </si>
  <si>
    <t>std_login_hour</t>
  </si>
  <si>
    <t>weekend_login_rate</t>
  </si>
  <si>
    <t>after_hours_rate</t>
  </si>
  <si>
    <t>avg_hours_between_logins</t>
  </si>
  <si>
    <t>min_login_hour</t>
  </si>
  <si>
    <t>max_login_hour</t>
  </si>
  <si>
    <t>total_web_visits</t>
  </si>
  <si>
    <t>file_download_count</t>
  </si>
  <si>
    <t>file_download_rate</t>
  </si>
  <si>
    <t>file_upload_count</t>
  </si>
  <si>
    <t>file_upload_rate</t>
  </si>
  <si>
    <t>unique_sites</t>
  </si>
  <si>
    <t>network_usage_mb</t>
  </si>
  <si>
    <t>network_anomaly_score</t>
  </si>
  <si>
    <t>usb_connect_count</t>
  </si>
  <si>
    <t>unique_usb_devices</t>
  </si>
  <si>
    <t>role</t>
  </si>
  <si>
    <t>download_upload_ratio</t>
  </si>
  <si>
    <t>unusual_hour_score</t>
  </si>
  <si>
    <t>combined_risk</t>
  </si>
  <si>
    <t>DTAA/AAA0371</t>
  </si>
  <si>
    <t>IT_Admin</t>
  </si>
  <si>
    <t>DTAA/AAC0344</t>
  </si>
  <si>
    <t>DTAA/AAC0599</t>
  </si>
  <si>
    <t>DTAA/AAH0734</t>
  </si>
  <si>
    <t>DTAA/AAK0658</t>
  </si>
  <si>
    <t>DTAA/AAK0924</t>
  </si>
  <si>
    <t>DTAA/AAR0508</t>
  </si>
  <si>
    <t>DTAA/AAS0709</t>
  </si>
  <si>
    <t>DTAA/ABB0272</t>
  </si>
  <si>
    <t>DTAA/ABD0833</t>
  </si>
  <si>
    <t>DTAA/ABG0179</t>
  </si>
  <si>
    <t>DTAA/ABH0963</t>
  </si>
  <si>
    <t>DTAA/ABL0836</t>
  </si>
  <si>
    <t>DTAA/ABS0726</t>
  </si>
  <si>
    <t>DTAA/ACD0647</t>
  </si>
  <si>
    <t>DTAA/ACH0803</t>
  </si>
  <si>
    <t>DTAA/ACL0865</t>
  </si>
  <si>
    <t>DTAA/ACM0061</t>
  </si>
  <si>
    <t>DTAA/ACR0400</t>
  </si>
  <si>
    <t>DTAA/ADR0219</t>
  </si>
  <si>
    <t>DTAA/AEC0750</t>
  </si>
  <si>
    <t>DTAA/AEG0905</t>
  </si>
  <si>
    <t>DTAA/AEW0730</t>
  </si>
  <si>
    <t>DTAA/AFD0868</t>
  </si>
  <si>
    <t>DTAA/AFF0760</t>
  </si>
  <si>
    <t>General</t>
  </si>
  <si>
    <t>DTAA/AFG0122</t>
  </si>
  <si>
    <t>DTAA/AFH0331</t>
  </si>
  <si>
    <t>DTAA/AFN0918</t>
  </si>
  <si>
    <t>DTAA/AFO0022</t>
  </si>
  <si>
    <t>DTAA/AFR0646</t>
  </si>
  <si>
    <t>DTAA/AGB0091</t>
  </si>
  <si>
    <t>DTAA/AGF0088</t>
  </si>
  <si>
    <t>DTAA/AGG0562</t>
  </si>
  <si>
    <t>DTAA/AGW0182</t>
  </si>
  <si>
    <t>DTAA/AHD0147</t>
  </si>
  <si>
    <t>DTAA/AHS0926</t>
  </si>
  <si>
    <t>DTAA/AHV0103</t>
  </si>
  <si>
    <t>DTAA/AIB0797</t>
  </si>
  <si>
    <t>DTAA/AIC0321</t>
  </si>
  <si>
    <t>DTAA/AID0577</t>
  </si>
  <si>
    <t>DTAA/AJA0220</t>
  </si>
  <si>
    <t>DTAA/AJB0016</t>
  </si>
  <si>
    <t>DTAA/AJB0370</t>
  </si>
  <si>
    <t>DTAA/AJC0203</t>
  </si>
  <si>
    <t>DTAA/AJC0266</t>
  </si>
  <si>
    <t>DTAA/AJC0399</t>
  </si>
  <si>
    <t>DTAA/AJM0302</t>
  </si>
  <si>
    <t>DTAA/AJN0804</t>
  </si>
  <si>
    <t>DTAA/AJP0553</t>
  </si>
  <si>
    <t>DTAA/AJS0917</t>
  </si>
  <si>
    <t>DTAA/AJS0978</t>
  </si>
  <si>
    <t>DTAA/AKA0033</t>
  </si>
  <si>
    <t>DTAA/AKH0067</t>
  </si>
  <si>
    <t>DTAA/AKM0969</t>
  </si>
  <si>
    <t>DTAA/AKP0173</t>
  </si>
  <si>
    <t>DTAA/AKS0283</t>
  </si>
  <si>
    <t>DTAA/AKW0582</t>
  </si>
  <si>
    <t>DTAA/ALC0244</t>
  </si>
  <si>
    <t>DTAA/ALK0520</t>
  </si>
  <si>
    <t>DTAA/ALL0155</t>
  </si>
  <si>
    <t>DTAA/ALN0201</t>
  </si>
  <si>
    <t>DTAA/ALS0087</t>
  </si>
  <si>
    <t>DTAA/ALW0250</t>
  </si>
  <si>
    <t>DTAA/ALW0694</t>
  </si>
  <si>
    <t>DTAA/ALW0834</t>
  </si>
  <si>
    <t>DTAA/AMA0191</t>
  </si>
  <si>
    <t>DTAA/AMA0606</t>
  </si>
  <si>
    <t>DTAA/AMD0432</t>
  </si>
  <si>
    <t>DTAA/AMH0101</t>
  </si>
  <si>
    <t>DTAA/AMM0340</t>
  </si>
  <si>
    <t>DTAA/AMM0661</t>
  </si>
  <si>
    <t>DTAA/AMM0830</t>
  </si>
  <si>
    <t>DTAA/AMS0897</t>
  </si>
  <si>
    <t>DTAA/ANC0012</t>
  </si>
  <si>
    <t>DTAA/ANS0172</t>
  </si>
  <si>
    <t>DTAA/ANW0351</t>
  </si>
  <si>
    <t>DTAA/AOC0511</t>
  </si>
  <si>
    <t>DTAA/APC0769</t>
  </si>
  <si>
    <t>DTAA/AQG0678</t>
  </si>
  <si>
    <t>DTAA/ARB0050</t>
  </si>
  <si>
    <t>DTAA/ARB0100</t>
  </si>
  <si>
    <t>DTAA/ARC0677</t>
  </si>
  <si>
    <t>DTAA/ARF0269</t>
  </si>
  <si>
    <t>DTAA/ARG0405</t>
  </si>
  <si>
    <t>DTAA/ARK0026</t>
  </si>
  <si>
    <t>DTAA/ARM0416</t>
  </si>
  <si>
    <t>DTAA/ARP0948</t>
  </si>
  <si>
    <t>DTAA/ARR0758</t>
  </si>
  <si>
    <t>DTAA/ARR0878</t>
  </si>
  <si>
    <t>DTAA/ARR0977</t>
  </si>
  <si>
    <t>DTAA/ARS0993</t>
  </si>
  <si>
    <t>DTAA/ARW0541</t>
  </si>
  <si>
    <t>DTAA/ASC0132</t>
  </si>
  <si>
    <t>DTAA/ASO0023</t>
  </si>
  <si>
    <t>DTAA/ASP0799</t>
  </si>
  <si>
    <t>DTAA/ASR0539</t>
  </si>
  <si>
    <t>DTAA/ASS0824</t>
  </si>
  <si>
    <t>DTAA/ASV0049</t>
  </si>
  <si>
    <t>DTAA/ATJ0284</t>
  </si>
  <si>
    <t>DTAA/AUM0365</t>
  </si>
  <si>
    <t>DTAA/AWB0828</t>
  </si>
  <si>
    <t>DTAA/AXB0007</t>
  </si>
  <si>
    <t>DTAA/AZC0030</t>
  </si>
  <si>
    <t>DTAA/AZS0738</t>
  </si>
  <si>
    <t>DTAA/BAB0505</t>
  </si>
  <si>
    <t>DTAA/BAE0444</t>
  </si>
  <si>
    <t>DTAA/BAF0379</t>
  </si>
  <si>
    <t>DTAA/BAH0774</t>
  </si>
  <si>
    <t>DTAA/BAK0787</t>
  </si>
  <si>
    <t>DTAA/BAM0466</t>
  </si>
  <si>
    <t>DTAA/BBH0313</t>
  </si>
  <si>
    <t>DTAA/BBM0499</t>
  </si>
  <si>
    <t>DTAA/BBP0623</t>
  </si>
  <si>
    <t>DTAA/BCB0013</t>
  </si>
  <si>
    <t>DTAA/BCG0303</t>
  </si>
  <si>
    <t>DTAA/BCG0692</t>
  </si>
  <si>
    <t>DTAA/BCH0912</t>
  </si>
  <si>
    <t>DTAA/BCJ0800</t>
  </si>
  <si>
    <t>DTAA/BCM0558</t>
  </si>
  <si>
    <t>DTAA/BCM0899</t>
  </si>
  <si>
    <t>DTAA/BCR0547</t>
  </si>
  <si>
    <t>DTAA/BCS0374</t>
  </si>
  <si>
    <t>DTAA/BCV0109</t>
  </si>
  <si>
    <t>DTAA/BCW0386</t>
  </si>
  <si>
    <t>DTAA/BDH0038</t>
  </si>
  <si>
    <t>DTAA/BDI0634</t>
  </si>
  <si>
    <t>DTAA/BFO0438</t>
  </si>
  <si>
    <t>DTAA/BFO0974</t>
  </si>
  <si>
    <t>DTAA/BFV0911</t>
  </si>
  <si>
    <t>DTAA/BGF0236</t>
  </si>
  <si>
    <t>DTAA/BGN0054</t>
  </si>
  <si>
    <t>DTAA/BGV0046</t>
  </si>
  <si>
    <t>DTAA/BGW0009</t>
  </si>
  <si>
    <t>DTAA/BHH0460</t>
  </si>
  <si>
    <t>DTAA/BIM0736</t>
  </si>
  <si>
    <t>DTAA/BIR0534</t>
  </si>
  <si>
    <t>DTAA/BJC0569</t>
  </si>
  <si>
    <t>DTAA/BJM0311</t>
  </si>
  <si>
    <t>DTAA/BJM0992</t>
  </si>
  <si>
    <t>DTAA/BKH0156</t>
  </si>
  <si>
    <t>DTAA/BKM0116</t>
  </si>
  <si>
    <t>DTAA/BLB0079</t>
  </si>
  <si>
    <t>DTAA/BLS0098</t>
  </si>
  <si>
    <t>DTAA/BMK0943</t>
  </si>
  <si>
    <t>DTAA/BML0618</t>
  </si>
  <si>
    <t>DTAA/BMM0247</t>
  </si>
  <si>
    <t>DTAA/BMR0412</t>
  </si>
  <si>
    <t>DTAA/BMR0596</t>
  </si>
  <si>
    <t>DTAA/BMS0001</t>
  </si>
  <si>
    <t>DTAA/BNG0510</t>
  </si>
  <si>
    <t>DTAA/BNL0480</t>
  </si>
  <si>
    <t>DTAA/BNM0353</t>
  </si>
  <si>
    <t>DTAA/BNN0072</t>
  </si>
  <si>
    <t>DTAA/BNW0850</t>
  </si>
  <si>
    <t>DTAA/BPB0808</t>
  </si>
  <si>
    <t>DTAA/BPC0533</t>
  </si>
  <si>
    <t>DTAA/BQW0149</t>
  </si>
  <si>
    <t>DTAA/BRB0908</t>
  </si>
  <si>
    <t>DTAA/BSG0869</t>
  </si>
  <si>
    <t>DTAA/BSM0334</t>
  </si>
  <si>
    <t>DTAA/BTH0004</t>
  </si>
  <si>
    <t>DTAA/BTH0358</t>
  </si>
  <si>
    <t>DTAA/BTW0973</t>
  </si>
  <si>
    <t>DTAA/BVM0716</t>
  </si>
  <si>
    <t>DTAA/BWS0872</t>
  </si>
  <si>
    <t>DTAA/BXY0648</t>
  </si>
  <si>
    <t>DTAA/BYB0347</t>
  </si>
  <si>
    <t>DTAA/BZH0120</t>
  </si>
  <si>
    <t>DTAA/BZM0434</t>
  </si>
  <si>
    <t>DTAA/CAC0854</t>
  </si>
  <si>
    <t>DTAA/CAH0610</t>
  </si>
  <si>
    <t>DTAA/CAH0921</t>
  </si>
  <si>
    <t>DTAA/CAM0975</t>
  </si>
  <si>
    <t>DTAA/CAO0951</t>
  </si>
  <si>
    <t>DTAA/CAR0015</t>
  </si>
  <si>
    <t>DTAA/CAV0757</t>
  </si>
  <si>
    <t>DTAA/CAW0976</t>
  </si>
  <si>
    <t>DTAA/CBB0075</t>
  </si>
  <si>
    <t>DTAA/CBC0653</t>
  </si>
  <si>
    <t>DTAA/CBH0762</t>
  </si>
  <si>
    <t>DTAA/CBP0628</t>
  </si>
  <si>
    <t>DTAA/CBR0104</t>
  </si>
  <si>
    <t>DTAA/CBR0208</t>
  </si>
  <si>
    <t>DTAA/CBR0439</t>
  </si>
  <si>
    <t>DTAA/CCA0349</t>
  </si>
  <si>
    <t>DTAA/CCB0366</t>
  </si>
  <si>
    <t>DTAA/CCB0496</t>
  </si>
  <si>
    <t>DTAA/CCG0876</t>
  </si>
  <si>
    <t>DTAA/CCH0497</t>
  </si>
  <si>
    <t>DTAA/CCM0827</t>
  </si>
  <si>
    <t>DTAA/CDE0193</t>
  </si>
  <si>
    <t>DTAA/CDE0810</t>
  </si>
  <si>
    <t>DTAA/CDF0585</t>
  </si>
  <si>
    <t>DTAA/CDK0329</t>
  </si>
  <si>
    <t>DTAA/CDR0453</t>
  </si>
  <si>
    <t>DTAA/CDS0110</t>
  </si>
  <si>
    <t>DTAA/CDS0300</t>
  </si>
  <si>
    <t>DTAA/CDZ0056</t>
  </si>
  <si>
    <t>DTAA/CEB0718</t>
  </si>
  <si>
    <t>DTAA/CGC0877</t>
  </si>
  <si>
    <t>DTAA/CGH0125</t>
  </si>
  <si>
    <t>DTAA/CGM0319</t>
  </si>
  <si>
    <t>DTAA/CGM0343</t>
  </si>
  <si>
    <t>DTAA/CGM0994</t>
  </si>
  <si>
    <t>DTAA/CGR0202</t>
  </si>
  <si>
    <t>DTAA/CGT0183</t>
  </si>
  <si>
    <t>DTAA/CHA0174</t>
  </si>
  <si>
    <t>DTAA/CHM0645</t>
  </si>
  <si>
    <t>DTAA/CHS0324</t>
  </si>
  <si>
    <t>DTAA/CIB0489</t>
  </si>
  <si>
    <t>DTAA/CJG0638</t>
  </si>
  <si>
    <t>DTAA/CJW0317</t>
  </si>
  <si>
    <t>DTAA/CKB0536</t>
  </si>
  <si>
    <t>DTAA/CKR0296</t>
  </si>
  <si>
    <t>DTAA/CKW0622</t>
  </si>
  <si>
    <t>DTAA/CLB0995</t>
  </si>
  <si>
    <t>DTAA/CLK0383</t>
  </si>
  <si>
    <t>DTAA/CLN0999</t>
  </si>
  <si>
    <t>DTAA/CLP0332</t>
  </si>
  <si>
    <t>DTAA/CLS0819</t>
  </si>
  <si>
    <t>DTAA/CMC0814</t>
  </si>
  <si>
    <t>DTAA/CMF0339</t>
  </si>
  <si>
    <t>DTAA/CMM0900</t>
  </si>
  <si>
    <t>DTAA/CMU0028</t>
  </si>
  <si>
    <t>DTAA/CNB0615</t>
  </si>
  <si>
    <t>DTAA/CNS0950</t>
  </si>
  <si>
    <t>DTAA/CNT0514</t>
  </si>
  <si>
    <t>DTAA/COS0121</t>
  </si>
  <si>
    <t>DTAA/CPM0959</t>
  </si>
  <si>
    <t>DTAA/CPP0761</t>
  </si>
  <si>
    <t>DTAA/CPS0559</t>
  </si>
  <si>
    <t>DTAA/CRC0996</t>
  </si>
  <si>
    <t>DTAA/CRF0074</t>
  </si>
  <si>
    <t>DTAA/CRJ0934</t>
  </si>
  <si>
    <t>DTAA/CRM0058</t>
  </si>
  <si>
    <t>DTAA/CSA0071</t>
  </si>
  <si>
    <t>DTAA/CSB0363</t>
  </si>
  <si>
    <t>DTAA/CSC0297</t>
  </si>
  <si>
    <t>DTAA/CSD0739</t>
  </si>
  <si>
    <t>DTAA/CSR0189</t>
  </si>
  <si>
    <t>DTAA/CTF0687</t>
  </si>
  <si>
    <t>DTAA/CTH0082</t>
  </si>
  <si>
    <t>DTAA/CTH0856</t>
  </si>
  <si>
    <t>DTAA/CTR0537</t>
  </si>
  <si>
    <t>DTAA/CVW0133</t>
  </si>
  <si>
    <t>DTAA/CWG0305</t>
  </si>
  <si>
    <t>DTAA/CYK0330</t>
  </si>
  <si>
    <t>DTAA/CZB0163</t>
  </si>
  <si>
    <t>DTAA/DAG0754</t>
  </si>
  <si>
    <t>DTAA/DAO0613</t>
  </si>
  <si>
    <t>DTAA/DAR0341</t>
  </si>
  <si>
    <t>DTAA/DAV0579</t>
  </si>
  <si>
    <t>DTAA/DAW0123</t>
  </si>
  <si>
    <t>DTAA/DAW0199</t>
  </si>
  <si>
    <t>DTAA/DAW0221</t>
  </si>
  <si>
    <t>DTAA/DBA0367</t>
  </si>
  <si>
    <t>DTAA/DBB0235</t>
  </si>
  <si>
    <t>DTAA/DBF0903</t>
  </si>
  <si>
    <t>DTAA/DBG0686</t>
  </si>
  <si>
    <t>DTAA/DBM0698</t>
  </si>
  <si>
    <t>DTAA/DCB0462</t>
  </si>
  <si>
    <t>DTAA/DCC0600</t>
  </si>
  <si>
    <t>DTAA/DCF0307</t>
  </si>
  <si>
    <t>DTAA/DCM0725</t>
  </si>
  <si>
    <t>DTAA/DDD0915</t>
  </si>
  <si>
    <t>DTAA/DDJ0535</t>
  </si>
  <si>
    <t>DTAA/DDK0417</t>
  </si>
  <si>
    <t>DTAA/DDW0643</t>
  </si>
  <si>
    <t>DTAA/DEP0563</t>
  </si>
  <si>
    <t>DTAA/DFW0798</t>
  </si>
  <si>
    <t>DTAA/DFZ0063</t>
  </si>
  <si>
    <t>DTAA/DGM0240</t>
  </si>
  <si>
    <t>DTAA/DIS0382</t>
  </si>
  <si>
    <t>DTAA/DJC0162</t>
  </si>
  <si>
    <t>DTAA/DJW0368</t>
  </si>
  <si>
    <t>DTAA/DKB0409</t>
  </si>
  <si>
    <t>DTAA/DKR0696</t>
  </si>
  <si>
    <t>DTAA/DLM0723</t>
  </si>
  <si>
    <t>DTAA/DME0620</t>
  </si>
  <si>
    <t>DTAA/DMR0377</t>
  </si>
  <si>
    <t>DTAA/DNH0619</t>
  </si>
  <si>
    <t>DTAA/DNM0143</t>
  </si>
  <si>
    <t>DTAA/DNS0937</t>
  </si>
  <si>
    <t>DTAA/DOC0003</t>
  </si>
  <si>
    <t>DTAA/DOO0986</t>
  </si>
  <si>
    <t>DTAA/DRD0916</t>
  </si>
  <si>
    <t>DTAA/DRH0790</t>
  </si>
  <si>
    <t>DTAA/DRM0312</t>
  </si>
  <si>
    <t>DTAA/DRN0845</t>
  </si>
  <si>
    <t>DTAA/DRO0126</t>
  </si>
  <si>
    <t>DTAA/DRO0516</t>
  </si>
  <si>
    <t>DTAA/DRP0428</t>
  </si>
  <si>
    <t>DTAA/DSB0887</t>
  </si>
  <si>
    <t>DTAA/DSH0627</t>
  </si>
  <si>
    <t>DTAA/DSM0990</t>
  </si>
  <si>
    <t>DTAA/DSS0112</t>
  </si>
  <si>
    <t>DTAA/DST0527</t>
  </si>
  <si>
    <t>DTAA/DST0857</t>
  </si>
  <si>
    <t>DTAA/DTD0380</t>
  </si>
  <si>
    <t>DTAA/DWB0426</t>
  </si>
  <si>
    <t>DTAA/DWF0128</t>
  </si>
  <si>
    <t>DTAA/DXM0213</t>
  </si>
  <si>
    <t>DTAA/EAM0745</t>
  </si>
  <si>
    <t>DTAA/EAR0695</t>
  </si>
  <si>
    <t>DTAA/EBP0037</t>
  </si>
  <si>
    <t>DTAA/EBS0287</t>
  </si>
  <si>
    <t>DTAA/ECB0185</t>
  </si>
  <si>
    <t>DTAA/ECB0494</t>
  </si>
  <si>
    <t>DTAA/ECD0029</t>
  </si>
  <si>
    <t>DTAA/ECG0753</t>
  </si>
  <si>
    <t>DTAA/ECM0214</t>
  </si>
  <si>
    <t>DTAA/ECT0491</t>
  </si>
  <si>
    <t>DTAA/EDC0357</t>
  </si>
  <si>
    <t>DTAA/EDG0766</t>
  </si>
  <si>
    <t>DTAA/EDH0146</t>
  </si>
  <si>
    <t>DTAA/EDR0642</t>
  </si>
  <si>
    <t>DTAA/EDW0137</t>
  </si>
  <si>
    <t>DTAA/EEB0134</t>
  </si>
  <si>
    <t>DTAA/EEK0031</t>
  </si>
  <si>
    <t>DTAA/EFS0114</t>
  </si>
  <si>
    <t>DTAA/EGG0294</t>
  </si>
  <si>
    <t>DTAA/EGM0401</t>
  </si>
  <si>
    <t>DTAA/EJB0888</t>
  </si>
  <si>
    <t>DTAA/EJS0513</t>
  </si>
  <si>
    <t>DTAA/EKB0587</t>
  </si>
  <si>
    <t>DTAA/ELA0741</t>
  </si>
  <si>
    <t>DTAA/ELD1000</t>
  </si>
  <si>
    <t>DTAA/EML0060</t>
  </si>
  <si>
    <t>DTAA/EMM0782</t>
  </si>
  <si>
    <t>DTAA/EMR0242</t>
  </si>
  <si>
    <t>DTAA/EMZ0196</t>
  </si>
  <si>
    <t>DTAA/ENB0293</t>
  </si>
  <si>
    <t>DTAA/END0616</t>
  </si>
  <si>
    <t>DTAA/ENP0794</t>
  </si>
  <si>
    <t>DTAA/EOS0972</t>
  </si>
  <si>
    <t>DTAA/ERP0254</t>
  </si>
  <si>
    <t>DTAA/ESB0080</t>
  </si>
  <si>
    <t>DTAA/EWR0504</t>
  </si>
  <si>
    <t>DTAA/FAF0578</t>
  </si>
  <si>
    <t>DTAA/FCG0115</t>
  </si>
  <si>
    <t>DTAA/FCT0552</t>
  </si>
  <si>
    <t>DTAA/FDP0500</t>
  </si>
  <si>
    <t>DTAA/FES0933</t>
  </si>
  <si>
    <t>DTAA/FFP0721</t>
  </si>
  <si>
    <t>DTAA/FGM0119</t>
  </si>
  <si>
    <t>DTAA/FHM0931</t>
  </si>
  <si>
    <t>DTAA/FIM0668</t>
  </si>
  <si>
    <t>DTAA/FJC0138</t>
  </si>
  <si>
    <t>DTAA/FKR0550</t>
  </si>
  <si>
    <t>DTAA/FLC0811</t>
  </si>
  <si>
    <t>DTAA/FMF0197</t>
  </si>
  <si>
    <t>DTAA/FNO0471</t>
  </si>
  <si>
    <t>DTAA/FTB0295</t>
  </si>
  <si>
    <t>DTAA/FUA0154</t>
  </si>
  <si>
    <t>DTAA/GBR0420</t>
  </si>
  <si>
    <t>DTAA/GCH0545</t>
  </si>
  <si>
    <t>DTAA/GDG0184</t>
  </si>
  <si>
    <t>DTAA/GDJ0631</t>
  </si>
  <si>
    <t>DTAA/GEC0077</t>
  </si>
  <si>
    <t>DTAA/GHB0863</t>
  </si>
  <si>
    <t>DTAA/GHC0041</t>
  </si>
  <si>
    <t>DTAA/GHS0664</t>
  </si>
  <si>
    <t>DTAA/GJG0820</t>
  </si>
  <si>
    <t>DTAA/GJH0384</t>
  </si>
  <si>
    <t>DTAA/GKC0919</t>
  </si>
  <si>
    <t>DTAA/GKJ0573</t>
  </si>
  <si>
    <t>DTAA/GLB0715</t>
  </si>
  <si>
    <t>DTAA/GMF0571</t>
  </si>
  <si>
    <t>DTAA/GML0105</t>
  </si>
  <si>
    <t>DTAA/GMS0949</t>
  </si>
  <si>
    <t>DTAA/GNB0481</t>
  </si>
  <si>
    <t>DTAA/GNH0394</t>
  </si>
  <si>
    <t>DTAA/GRC0474</t>
  </si>
  <si>
    <t>DTAA/GRG0693</t>
  </si>
  <si>
    <t>DTAA/GRS0372</t>
  </si>
  <si>
    <t>DTAA/GSL0697</t>
  </si>
  <si>
    <t>DTAA/GTJ0243</t>
  </si>
  <si>
    <t>DTAA/GTR0327</t>
  </si>
  <si>
    <t>DTAA/GVH0277</t>
  </si>
  <si>
    <t>DTAA/GWS0381</t>
  </si>
  <si>
    <t>DTAA/GYB0248</t>
  </si>
  <si>
    <t>DTAA/GYT0279</t>
  </si>
  <si>
    <t>DTAA/HAG0649</t>
  </si>
  <si>
    <t>DTAA/HAS0430</t>
  </si>
  <si>
    <t>DTAA/HBB0402</t>
  </si>
  <si>
    <t>DTAA/HBF0035</t>
  </si>
  <si>
    <t>DTAA/HBL0517</t>
  </si>
  <si>
    <t>DTAA/HCC0258</t>
  </si>
  <si>
    <t>DTAA/HCG0731</t>
  </si>
  <si>
    <t>DTAA/HCJ0171</t>
  </si>
  <si>
    <t>DTAA/HCM0681</t>
  </si>
  <si>
    <t>DTAA/HCP0315</t>
  </si>
  <si>
    <t>DTAA/HCR0525</t>
  </si>
  <si>
    <t>DTAA/HCR0795</t>
  </si>
  <si>
    <t>DTAA/HDB0655</t>
  </si>
  <si>
    <t>DTAA/HDR0261</t>
  </si>
  <si>
    <t>DTAA/HDR0823</t>
  </si>
  <si>
    <t>DTAA/HED0802</t>
  </si>
  <si>
    <t>DTAA/HEG0785</t>
  </si>
  <si>
    <t>DTAA/HER0860</t>
  </si>
  <si>
    <t>DTAA/HFC0680</t>
  </si>
  <si>
    <t>DTAA/HIB0604</t>
  </si>
  <si>
    <t>DTAA/HIP0929</t>
  </si>
  <si>
    <t>DTAA/HJK0057</t>
  </si>
  <si>
    <t>DTAA/HJP0784</t>
  </si>
  <si>
    <t>DTAA/HKG0503</t>
  </si>
  <si>
    <t>DTAA/HKM0260</t>
  </si>
  <si>
    <t>DTAA/HKO0796</t>
  </si>
  <si>
    <t>DTAA/HLA0457</t>
  </si>
  <si>
    <t>DTAA/HNF0812</t>
  </si>
  <si>
    <t>DTAA/HNK0421</t>
  </si>
  <si>
    <t>DTAA/HNR0891</t>
  </si>
  <si>
    <t>DTAA/HNS0858</t>
  </si>
  <si>
    <t>DTAA/HOO0224</t>
  </si>
  <si>
    <t>DTAA/HPF0958</t>
  </si>
  <si>
    <t>DTAA/HPN0821</t>
  </si>
  <si>
    <t>DTAA/HRK0729</t>
  </si>
  <si>
    <t>DTAA/HRT0737</t>
  </si>
  <si>
    <t>DTAA/HSD0519</t>
  </si>
  <si>
    <t>DTAA/HSH0981</t>
  </si>
  <si>
    <t>DTAA/HSM0389</t>
  </si>
  <si>
    <t>DTAA/HSR0472</t>
  </si>
  <si>
    <t>DTAA/HTC0607</t>
  </si>
  <si>
    <t>DTAA/HTG0554</t>
  </si>
  <si>
    <t>DTAA/HTS0265</t>
  </si>
  <si>
    <t>DTAA/HWG0148</t>
  </si>
  <si>
    <t>DTAA/IAC0264</t>
  </si>
  <si>
    <t>DTAA/IAG0152</t>
  </si>
  <si>
    <t>DTAA/IAH0822</t>
  </si>
  <si>
    <t>DTAA/ICB0779</t>
  </si>
  <si>
    <t>DTAA/ICF0629</t>
  </si>
  <si>
    <t>DTAA/IGB0310</t>
  </si>
  <si>
    <t>DTAA/IGC0415</t>
  </si>
  <si>
    <t>DTAA/IHD0259</t>
  </si>
  <si>
    <t>DTAA/IHF0040</t>
  </si>
  <si>
    <t>DTAA/IIR0475</t>
  </si>
  <si>
    <t>DTAA/IJG0454</t>
  </si>
  <si>
    <t>DTAA/IJJ0342</t>
  </si>
  <si>
    <t>DTAA/IKH0904</t>
  </si>
  <si>
    <t>DTAA/IMB0473</t>
  </si>
  <si>
    <t>DTAA/IMD0280</t>
  </si>
  <si>
    <t>DTAA/IMD0776</t>
  </si>
  <si>
    <t>DTAA/IMF0700</t>
  </si>
  <si>
    <t>DTAA/IMW0965</t>
  </si>
  <si>
    <t>DTAA/IRC0991</t>
  </si>
  <si>
    <t>DTAA/IRH0176</t>
  </si>
  <si>
    <t>DTAA/ITC0131</t>
  </si>
  <si>
    <t>DTAA/IVF0777</t>
  </si>
  <si>
    <t>DTAA/IVS0463</t>
  </si>
  <si>
    <t>DTAA/IWM0482</t>
  </si>
  <si>
    <t>DTAA/JAC0390</t>
  </si>
  <si>
    <t>DTAA/JAD0531</t>
  </si>
  <si>
    <t>DTAA/JAH0544</t>
  </si>
  <si>
    <t>DTAA/JAM0392</t>
  </si>
  <si>
    <t>DTAA/JBA0373</t>
  </si>
  <si>
    <t>DTAA/JBL0450</t>
  </si>
  <si>
    <t>DTAA/JBS0483</t>
  </si>
  <si>
    <t>DTAA/JBS0654</t>
  </si>
  <si>
    <t>DTAA/JCC0140</t>
  </si>
  <si>
    <t>DTAA/JCC0998</t>
  </si>
  <si>
    <t>DTAA/JCG0817</t>
  </si>
  <si>
    <t>DTAA/JCL0752</t>
  </si>
  <si>
    <t>DTAA/JCS0873</t>
  </si>
  <si>
    <t>DTAA/JCT0410</t>
  </si>
  <si>
    <t>DTAA/JDM0083</t>
  </si>
  <si>
    <t>DTAA/JDM0940</t>
  </si>
  <si>
    <t>DTAA/JDR0685</t>
  </si>
  <si>
    <t>DTAA/JFA0081</t>
  </si>
  <si>
    <t>DTAA/JGB0062</t>
  </si>
  <si>
    <t>DTAA/JGC0775</t>
  </si>
  <si>
    <t>DTAA/JGS0274</t>
  </si>
  <si>
    <t>DTAA/JHA0404</t>
  </si>
  <si>
    <t>DTAA/JHC0703</t>
  </si>
  <si>
    <t>DTAA/JHD0512</t>
  </si>
  <si>
    <t>DTAA/JHM0408</t>
  </si>
  <si>
    <t>DTAA/JHN0241</t>
  </si>
  <si>
    <t>DTAA/JIH0640</t>
  </si>
  <si>
    <t>DTAA/JIP0187</t>
  </si>
  <si>
    <t>DTAA/JJB0720</t>
  </si>
  <si>
    <t>DTAA/JJR0278</t>
  </si>
  <si>
    <t>DTAA/JKW0464</t>
  </si>
  <si>
    <t>DTAA/JLC0711</t>
  </si>
  <si>
    <t>DTAA/JLC0744</t>
  </si>
  <si>
    <t>DTAA/JLL0301</t>
  </si>
  <si>
    <t>DTAA/JLL0930</t>
  </si>
  <si>
    <t>DTAA/JLM0053</t>
  </si>
  <si>
    <t>DTAA/JLV0465</t>
  </si>
  <si>
    <t>DTAA/JMA0875</t>
  </si>
  <si>
    <t>DTAA/JMC0233</t>
  </si>
  <si>
    <t>DTAA/JMM0759</t>
  </si>
  <si>
    <t>DTAA/JMP0200</t>
  </si>
  <si>
    <t>DTAA/JMR0906</t>
  </si>
  <si>
    <t>DTAA/JMR0955</t>
  </si>
  <si>
    <t>DTAA/JMS0793</t>
  </si>
  <si>
    <t>DTAA/JNF0543</t>
  </si>
  <si>
    <t>DTAA/JPP0841</t>
  </si>
  <si>
    <t>DTAA/JQH0724</t>
  </si>
  <si>
    <t>DTAA/JRM0902</t>
  </si>
  <si>
    <t>DTAA/JRP0458</t>
  </si>
  <si>
    <t>DTAA/JSB0493</t>
  </si>
  <si>
    <t>DTAA/JSE0020</t>
  </si>
  <si>
    <t>DTAA/JSH0326</t>
  </si>
  <si>
    <t>DTAA/JSH0598</t>
  </si>
  <si>
    <t>DTAA/JSW0180</t>
  </si>
  <si>
    <t>DTAA/JTT0989</t>
  </si>
  <si>
    <t>DTAA/JWW0076</t>
  </si>
  <si>
    <t>DTAA/JXC0393</t>
  </si>
  <si>
    <t>DTAA/JXG0567</t>
  </si>
  <si>
    <t>DTAA/JZO0727</t>
  </si>
  <si>
    <t>DTAA/JZV0159</t>
  </si>
  <si>
    <t>DTAA/KAD0059</t>
  </si>
  <si>
    <t>DTAA/KAG0880</t>
  </si>
  <si>
    <t>DTAA/KBB0983</t>
  </si>
  <si>
    <t>DTAA/KBC0337</t>
  </si>
  <si>
    <t>DTAA/KBC0788</t>
  </si>
  <si>
    <t>DTAA/KBP0188</t>
  </si>
  <si>
    <t>DTAA/KCH0987</t>
  </si>
  <si>
    <t>DTAA/KCN0107</t>
  </si>
  <si>
    <t>DTAA/KDC0928</t>
  </si>
  <si>
    <t>DTAA/KDL0806</t>
  </si>
  <si>
    <t>DTAA/KEE0997</t>
  </si>
  <si>
    <t>DTAA/KEH0055</t>
  </si>
  <si>
    <t>DTAA/KES0043</t>
  </si>
  <si>
    <t>DTAA/KFF0225</t>
  </si>
  <si>
    <t>DTAA/KGC0456</t>
  </si>
  <si>
    <t>DTAA/KGS0398</t>
  </si>
  <si>
    <t>DTAA/KIM0617</t>
  </si>
  <si>
    <t>DTAA/KIN0073</t>
  </si>
  <si>
    <t>DTAA/KJG0378</t>
  </si>
  <si>
    <t>DTAA/KJM0614</t>
  </si>
  <si>
    <t>DTAA/KKC0575</t>
  </si>
  <si>
    <t>DTAA/KKT0039</t>
  </si>
  <si>
    <t>DTAA/KKW0676</t>
  </si>
  <si>
    <t>DTAA/KKW0945</t>
  </si>
  <si>
    <t>DTAA/KLS0717</t>
  </si>
  <si>
    <t>DTAA/KMC0840</t>
  </si>
  <si>
    <t>DTAA/KMG0002</t>
  </si>
  <si>
    <t>DTAA/KMW0755</t>
  </si>
  <si>
    <t>DTAA/KNC0403</t>
  </si>
  <si>
    <t>DTAA/KNH0719</t>
  </si>
  <si>
    <t>DTAA/KNJ0633</t>
  </si>
  <si>
    <t>DTAA/KPB0665</t>
  </si>
  <si>
    <t>DTAA/KPC0158</t>
  </si>
  <si>
    <t>DTAA/KPS0299</t>
  </si>
  <si>
    <t>DTAA/KRC0021</t>
  </si>
  <si>
    <t>DTAA/KRC0455</t>
  </si>
  <si>
    <t>DTAA/KRD0507</t>
  </si>
  <si>
    <t>DTAA/KSB0673</t>
  </si>
  <si>
    <t>DTAA/KSO0749</t>
  </si>
  <si>
    <t>DTAA/KSP0927</t>
  </si>
  <si>
    <t>DTAA/KSW0597</t>
  </si>
  <si>
    <t>DTAA/KTC0285</t>
  </si>
  <si>
    <t>DTAA/KTM0960</t>
  </si>
  <si>
    <t>DTAA/KUC0848</t>
  </si>
  <si>
    <t>DTAA/KVH0355</t>
  </si>
  <si>
    <t>DTAA/KYH0920</t>
  </si>
  <si>
    <t>DTAA/LAH0397</t>
  </si>
  <si>
    <t>DTAA/LAH0710</t>
  </si>
  <si>
    <t>DTAA/LAL0170</t>
  </si>
  <si>
    <t>DTAA/LAM0952</t>
  </si>
  <si>
    <t>DTAA/LAT0452</t>
  </si>
  <si>
    <t>DTAA/LAW0437</t>
  </si>
  <si>
    <t>DTAA/LBB0095</t>
  </si>
  <si>
    <t>DTAA/LBC0422</t>
  </si>
  <si>
    <t>DTAA/LBD0946</t>
  </si>
  <si>
    <t>DTAA/LCC0556</t>
  </si>
  <si>
    <t>DTAA/LCG0011</t>
  </si>
  <si>
    <t>DTAA/LCG0546</t>
  </si>
  <si>
    <t>DTAA/LCK0551</t>
  </si>
  <si>
    <t>DTAA/LCK0666</t>
  </si>
  <si>
    <t>DTAA/LCL0792</t>
  </si>
  <si>
    <t>DTAA/LCP0359</t>
  </si>
  <si>
    <t>DTAA/LDB0961</t>
  </si>
  <si>
    <t>DTAA/LDG0406</t>
  </si>
  <si>
    <t>DTAA/LDM0318</t>
  </si>
  <si>
    <t>DTAA/LEH0561</t>
  </si>
  <si>
    <t>DTAA/LGA0042</t>
  </si>
  <si>
    <t>DTAA/LGV0288</t>
  </si>
  <si>
    <t>DTAA/LIB0089</t>
  </si>
  <si>
    <t>DTAA/LID0942</t>
  </si>
  <si>
    <t>DTAA/LJB0492</t>
  </si>
  <si>
    <t>DTAA/LJR0772</t>
  </si>
  <si>
    <t>DTAA/LJU0036</t>
  </si>
  <si>
    <t>DTAA/LKY0181</t>
  </si>
  <si>
    <t>DTAA/LLB0843</t>
  </si>
  <si>
    <t>DTAA/LLK0316</t>
  </si>
  <si>
    <t>DTAA/LMH0690</t>
  </si>
  <si>
    <t>DTAA/LMJ0323</t>
  </si>
  <si>
    <t>DTAA/LND0767</t>
  </si>
  <si>
    <t>DTAA/LNM0509</t>
  </si>
  <si>
    <t>DTAA/LPB0141</t>
  </si>
  <si>
    <t>DTAA/LPG0099</t>
  </si>
  <si>
    <t>DTAA/LQA0232</t>
  </si>
  <si>
    <t>DTAA/LRH0747</t>
  </si>
  <si>
    <t>DTAA/LRS0325</t>
  </si>
  <si>
    <t>DTAA/LSV0944</t>
  </si>
  <si>
    <t>DTAA/LTB0150</t>
  </si>
  <si>
    <t>DTAA/LTM0418</t>
  </si>
  <si>
    <t>DTAA/LVC0027</t>
  </si>
  <si>
    <t>DTAA/LYC0672</t>
  </si>
  <si>
    <t>DTAA/MAB0532</t>
  </si>
  <si>
    <t>DTAA/MAG0290</t>
  </si>
  <si>
    <t>DTAA/MAH0712</t>
  </si>
  <si>
    <t>DTAA/MAM0947</t>
  </si>
  <si>
    <t>DTAA/MBD0602</t>
  </si>
  <si>
    <t>DTAA/MBR0166</t>
  </si>
  <si>
    <t>DTAA/MBZ0932</t>
  </si>
  <si>
    <t>DTAA/MCC0851</t>
  </si>
  <si>
    <t>DTAA/MCF0427</t>
  </si>
  <si>
    <t>DTAA/MCF0985</t>
  </si>
  <si>
    <t>DTAA/MCH0530</t>
  </si>
  <si>
    <t>DTAA/MCM0090</t>
  </si>
  <si>
    <t>DTAA/MCM0346</t>
  </si>
  <si>
    <t>DTAA/MCR0314</t>
  </si>
  <si>
    <t>DTAA/MCR0375</t>
  </si>
  <si>
    <t>DTAA/MDC0595</t>
  </si>
  <si>
    <t>DTAA/MDS0742</t>
  </si>
  <si>
    <t>DTAA/MDT0356</t>
  </si>
  <si>
    <t>DTAA/MED0748</t>
  </si>
  <si>
    <t>DTAA/MEV0886</t>
  </si>
  <si>
    <t>DTAA/MFN0656</t>
  </si>
  <si>
    <t>DTAA/MGB0728</t>
  </si>
  <si>
    <t>DTAA/MGF0743</t>
  </si>
  <si>
    <t>DTAA/MGY0732</t>
  </si>
  <si>
    <t>DTAA/MHM0988</t>
  </si>
  <si>
    <t>DTAA/MIC0914</t>
  </si>
  <si>
    <t>DTAA/MIH0429</t>
  </si>
  <si>
    <t>DTAA/MIK0034</t>
  </si>
  <si>
    <t>DTAA/MJF0892</t>
  </si>
  <si>
    <t>DTAA/MJK0212</t>
  </si>
  <si>
    <t>DTAA/MJM0228</t>
  </si>
  <si>
    <t>DTAA/MJM0469</t>
  </si>
  <si>
    <t>DTAA/MJP0603</t>
  </si>
  <si>
    <t>DTAA/MKG0273</t>
  </si>
  <si>
    <t>DTAA/MKN0234</t>
  </si>
  <si>
    <t>DTAA/MLC0238</t>
  </si>
  <si>
    <t>DTAA/MMF0289</t>
  </si>
  <si>
    <t>DTAA/MMH0581</t>
  </si>
  <si>
    <t>DTAA/MMH0612</t>
  </si>
  <si>
    <t>DTAA/MNB0956</t>
  </si>
  <si>
    <t>DTAA/MND0048</t>
  </si>
  <si>
    <t>DTAA/MND0675</t>
  </si>
  <si>
    <t>DTAA/MOA0526</t>
  </si>
  <si>
    <t>DTAA/MPA0136</t>
  </si>
  <si>
    <t>DTAA/MQL0135</t>
  </si>
  <si>
    <t>DTAA/MRL0518</t>
  </si>
  <si>
    <t>DTAA/MRM0205</t>
  </si>
  <si>
    <t>DTAA/MRS0395</t>
  </si>
  <si>
    <t>DTAA/MSH0322</t>
  </si>
  <si>
    <t>DTAA/MSK0862</t>
  </si>
  <si>
    <t>DTAA/MSM0226</t>
  </si>
  <si>
    <t>DTAA/MSP0078</t>
  </si>
  <si>
    <t>DTAA/MST0883</t>
  </si>
  <si>
    <t>DTAA/MSV0506</t>
  </si>
  <si>
    <t>DTAA/MTC0538</t>
  </si>
  <si>
    <t>DTAA/MTM0239</t>
  </si>
  <si>
    <t>DTAA/MTS0084</t>
  </si>
  <si>
    <t>DTAA/MVL0885</t>
  </si>
  <si>
    <t>DTAA/MVP0572</t>
  </si>
  <si>
    <t>DTAA/MVW0630</t>
  </si>
  <si>
    <t>DTAA/MWH0853</t>
  </si>
  <si>
    <t>DTAA/MWJ0837</t>
  </si>
  <si>
    <t>DTAA/MXM0271</t>
  </si>
  <si>
    <t>DTAA/MXM0838</t>
  </si>
  <si>
    <t>DTAA/MZB0206</t>
  </si>
  <si>
    <t>DTAA/MZW0111</t>
  </si>
  <si>
    <t>DTAA/NAC0161</t>
  </si>
  <si>
    <t>DTAA/NAT0252</t>
  </si>
  <si>
    <t>DTAA/NAW0939</t>
  </si>
  <si>
    <t>DTAA/NBB0501</t>
  </si>
  <si>
    <t>DTAA/NBT0479</t>
  </si>
  <si>
    <t>DTAA/NCW0246</t>
  </si>
  <si>
    <t>DTAA/NDH0524</t>
  </si>
  <si>
    <t>DTAA/NDH0807</t>
  </si>
  <si>
    <t>DTAA/NDM0893</t>
  </si>
  <si>
    <t>DTAA/NDS0490</t>
  </si>
  <si>
    <t>DTAA/NEP0644</t>
  </si>
  <si>
    <t>DTAA/NET0306</t>
  </si>
  <si>
    <t>DTAA/NFD0706</t>
  </si>
  <si>
    <t>DTAA/NGC0624</t>
  </si>
  <si>
    <t>DTAA/NHH0566</t>
  </si>
  <si>
    <t>DTAA/NHL0253</t>
  </si>
  <si>
    <t>DTAA/NHL0521</t>
  </si>
  <si>
    <t>DTAA/NIC0901</t>
  </si>
  <si>
    <t>DTAA/NJC0459</t>
  </si>
  <si>
    <t>DTAA/NJD0267</t>
  </si>
  <si>
    <t>DTAA/NJH0593</t>
  </si>
  <si>
    <t>DTAA/NJM0476</t>
  </si>
  <si>
    <t>DTAA/NJS0448</t>
  </si>
  <si>
    <t>DTAA/NJW0094</t>
  </si>
  <si>
    <t>DTAA/NKM0018</t>
  </si>
  <si>
    <t>DTAA/NLD0701</t>
  </si>
  <si>
    <t>DTAA/NMC0251</t>
  </si>
  <si>
    <t>DTAA/NMR0621</t>
  </si>
  <si>
    <t>DTAA/NNB0443</t>
  </si>
  <si>
    <t>DTAA/NNS0898</t>
  </si>
  <si>
    <t>DTAA/NQC0925</t>
  </si>
  <si>
    <t>DTAA/NRH0276</t>
  </si>
  <si>
    <t>DTAA/NRM0093</t>
  </si>
  <si>
    <t>DTAA/NRS0477</t>
  </si>
  <si>
    <t>DTAA/NSC0842</t>
  </si>
  <si>
    <t>DTAA/NSD0763</t>
  </si>
  <si>
    <t>DTAA/NSP0910</t>
  </si>
  <si>
    <t>DTAA/NTO0396</t>
  </si>
  <si>
    <t>DTAA/NWC0765</t>
  </si>
  <si>
    <t>DTAA/NWG0682</t>
  </si>
  <si>
    <t>DTAA/NWT0708</t>
  </si>
  <si>
    <t>DTAA/NZD0771</t>
  </si>
  <si>
    <t>DTAA/OAR0291</t>
  </si>
  <si>
    <t>DTAA/OBD0786</t>
  </si>
  <si>
    <t>DTAA/OBF0564</t>
  </si>
  <si>
    <t>DTAA/ODW0839</t>
  </si>
  <si>
    <t>DTAA/OES0636</t>
  </si>
  <si>
    <t>DTAA/OHA0451</t>
  </si>
  <si>
    <t>DTAA/OHW0215</t>
  </si>
  <si>
    <t>DTAA/OIR0424</t>
  </si>
  <si>
    <t>DTAA/OJG0866</t>
  </si>
  <si>
    <t>DTAA/OJH0425</t>
  </si>
  <si>
    <t>DTAA/OKG0160</t>
  </si>
  <si>
    <t>DTAA/OLR0984</t>
  </si>
  <si>
    <t>DTAA/ONB0177</t>
  </si>
  <si>
    <t>DTAA/ONQ0625</t>
  </si>
  <si>
    <t>DTAA/ORW0580</t>
  </si>
  <si>
    <t>DTAA/OSH0281</t>
  </si>
  <si>
    <t>DTAA/OSS0859</t>
  </si>
  <si>
    <t>DTAA/OTS0256</t>
  </si>
  <si>
    <t>DTAA/OUS0565</t>
  </si>
  <si>
    <t>DTAA/OXC0609</t>
  </si>
  <si>
    <t>DTAA/OYR0801</t>
  </si>
  <si>
    <t>DTAA/OZD0789</t>
  </si>
  <si>
    <t>DTAA/OZM0468</t>
  </si>
  <si>
    <t>DTAA/PAC0722</t>
  </si>
  <si>
    <t>DTAA/PAG0557</t>
  </si>
  <si>
    <t>DTAA/PBH0441</t>
  </si>
  <si>
    <t>DTAA/PCM0846</t>
  </si>
  <si>
    <t>DTAA/PCO0684</t>
  </si>
  <si>
    <t>DTAA/PCS0097</t>
  </si>
  <si>
    <t>DTAA/PDB0413</t>
  </si>
  <si>
    <t>DTAA/PDS0896</t>
  </si>
  <si>
    <t>DTAA/PFF0657</t>
  </si>
  <si>
    <t>DTAA/PID0096</t>
  </si>
  <si>
    <t>DTAA/PIG0194</t>
  </si>
  <si>
    <t>DTAA/PIP0746</t>
  </si>
  <si>
    <t>DTAA/PJL0320</t>
  </si>
  <si>
    <t>DTAA/PJS0809</t>
  </si>
  <si>
    <t>DTAA/PKH0542</t>
  </si>
  <si>
    <t>DTAA/PKM0092</t>
  </si>
  <si>
    <t>DTAA/PKM0411</t>
  </si>
  <si>
    <t>DTAA/PMB0702</t>
  </si>
  <si>
    <t>DTAA/PMG0890</t>
  </si>
  <si>
    <t>DTAA/PML0209</t>
  </si>
  <si>
    <t>DTAA/PRB0157</t>
  </si>
  <si>
    <t>DTAA/PRB0568</t>
  </si>
  <si>
    <t>DTAA/PRH0825</t>
  </si>
  <si>
    <t>DTAA/PRR0982</t>
  </si>
  <si>
    <t>DTAA/PSP0555</t>
  </si>
  <si>
    <t>DTAA/PTH0957</t>
  </si>
  <si>
    <t>DTAA/PUH0847</t>
  </si>
  <si>
    <t>DTAA/PVH0124</t>
  </si>
  <si>
    <t>DTAA/PVW0713</t>
  </si>
  <si>
    <t>DTAA/PXB0069</t>
  </si>
  <si>
    <t>DTAA/QAM0113</t>
  </si>
  <si>
    <t>DTAA/QCD0829</t>
  </si>
  <si>
    <t>DTAA/QGF0292</t>
  </si>
  <si>
    <t>DTAA/QGM0222</t>
  </si>
  <si>
    <t>DTAA/QKR0651</t>
  </si>
  <si>
    <t>DTAA/QLC0632</t>
  </si>
  <si>
    <t>DTAA/QLW0941</t>
  </si>
  <si>
    <t>DTAA/QNC0832</t>
  </si>
  <si>
    <t>DTAA/QNK0574</t>
  </si>
  <si>
    <t>DTAA/QOH0361</t>
  </si>
  <si>
    <t>DTAA/QVM0338</t>
  </si>
  <si>
    <t>DTAA/QZD0164</t>
  </si>
  <si>
    <t>DTAA/RAA0594</t>
  </si>
  <si>
    <t>DTAA/RAC0282</t>
  </si>
  <si>
    <t>DTAA/RAH0968</t>
  </si>
  <si>
    <t>DTAA/RAY0882</t>
  </si>
  <si>
    <t>DTAA/RBB0229</t>
  </si>
  <si>
    <t>DTAA/RBC0583</t>
  </si>
  <si>
    <t>DTAA/RBC0879</t>
  </si>
  <si>
    <t>DTAA/RBY0065</t>
  </si>
  <si>
    <t>DTAA/RCF0540</t>
  </si>
  <si>
    <t>DTAA/RCR0864</t>
  </si>
  <si>
    <t>DTAA/RCW0436</t>
  </si>
  <si>
    <t>DTAA/RDG0335</t>
  </si>
  <si>
    <t>DTAA/RDG0350</t>
  </si>
  <si>
    <t>DTAA/RDH0117</t>
  </si>
  <si>
    <t>DTAA/RDP0855</t>
  </si>
  <si>
    <t>DTAA/RDT0659</t>
  </si>
  <si>
    <t>DTAA/REK0484</t>
  </si>
  <si>
    <t>DTAA/RER0237</t>
  </si>
  <si>
    <t>DTAA/RES0962</t>
  </si>
  <si>
    <t>DTAA/RHP0688</t>
  </si>
  <si>
    <t>DTAA/RIG0024</t>
  </si>
  <si>
    <t>DTAA/RIM0938</t>
  </si>
  <si>
    <t>DTAA/RJP0286</t>
  </si>
  <si>
    <t>DTAA/RJP0345</t>
  </si>
  <si>
    <t>DTAA/RJP0874</t>
  </si>
  <si>
    <t>DTAA/RJW0590</t>
  </si>
  <si>
    <t>DTAA/RKC0190</t>
  </si>
  <si>
    <t>DTAA/RKC0733</t>
  </si>
  <si>
    <t>DTAA/RKD0255</t>
  </si>
  <si>
    <t>DTAA/RLC0019</t>
  </si>
  <si>
    <t>DTAA/RLC0442</t>
  </si>
  <si>
    <t>DTAA/RLE0844</t>
  </si>
  <si>
    <t>DTAA/RLS0935</t>
  </si>
  <si>
    <t>DTAA/RLS0966</t>
  </si>
  <si>
    <t>DTAA/RLW0861</t>
  </si>
  <si>
    <t>DTAA/RME0699</t>
  </si>
  <si>
    <t>DTAA/ROC0257</t>
  </si>
  <si>
    <t>DTAA/ROM0419</t>
  </si>
  <si>
    <t>DTAA/RQH0770</t>
  </si>
  <si>
    <t>DTAA/RRF0245</t>
  </si>
  <si>
    <t>DTAA/RRL0780</t>
  </si>
  <si>
    <t>DTAA/RSG0385</t>
  </si>
  <si>
    <t>DTAA/RSJ0328</t>
  </si>
  <si>
    <t>DTAA/RTH0376</t>
  </si>
  <si>
    <t>DTAA/RVM0826</t>
  </si>
  <si>
    <t>DTAA/RVS0852</t>
  </si>
  <si>
    <t>DTAA/RWD0210</t>
  </si>
  <si>
    <t>DTAA/RXE0207</t>
  </si>
  <si>
    <t>DTAA/RXM0204</t>
  </si>
  <si>
    <t>DTAA/RZW0369</t>
  </si>
  <si>
    <t>DTAA/SAE0683</t>
  </si>
  <si>
    <t>DTAA/SAH0192</t>
  </si>
  <si>
    <t>DTAA/SAM0954</t>
  </si>
  <si>
    <t>DTAA/SAO0167</t>
  </si>
  <si>
    <t>DTAA/SAP0304</t>
  </si>
  <si>
    <t>DTAA/SAS0433</t>
  </si>
  <si>
    <t>DTAA/SAS0601</t>
  </si>
  <si>
    <t>DTAA/SBB0044</t>
  </si>
  <si>
    <t>DTAA/SBC0360</t>
  </si>
  <si>
    <t>DTAA/SBH0674</t>
  </si>
  <si>
    <t>DTAA/SBK0108</t>
  </si>
  <si>
    <t>DTAA/SBM0217</t>
  </si>
  <si>
    <t>DTAA/SCB0529</t>
  </si>
  <si>
    <t>DTAA/SCJ0498</t>
  </si>
  <si>
    <t>DTAA/SCK0576</t>
  </si>
  <si>
    <t>DTAA/SCW0707</t>
  </si>
  <si>
    <t>DTAA/SDC0032</t>
  </si>
  <si>
    <t>DTAA/SDL0679</t>
  </si>
  <si>
    <t>DTAA/SDM0333</t>
  </si>
  <si>
    <t>DTAA/SDR0010</t>
  </si>
  <si>
    <t>DTAA/SEF0446</t>
  </si>
  <si>
    <t>DTAA/SER0835</t>
  </si>
  <si>
    <t>DTAA/SES0660</t>
  </si>
  <si>
    <t>DTAA/SFS0308</t>
  </si>
  <si>
    <t>DTAA/SGC0118</t>
  </si>
  <si>
    <t>DTAA/SGG0584</t>
  </si>
  <si>
    <t>DTAA/SGS0352</t>
  </si>
  <si>
    <t>DTAA/SHR0025</t>
  </si>
  <si>
    <t>DTAA/SHS0608</t>
  </si>
  <si>
    <t>DTAA/SHT0953</t>
  </si>
  <si>
    <t>DTAA/SIP0805</t>
  </si>
  <si>
    <t>DTAA/SIR0586</t>
  </si>
  <si>
    <t>DTAA/SJA0691</t>
  </si>
  <si>
    <t>DTAA/SJB0751</t>
  </si>
  <si>
    <t>DTAA/SJC0487</t>
  </si>
  <si>
    <t>DTAA/SJC0735</t>
  </si>
  <si>
    <t>DTAA/SJH0588</t>
  </si>
  <si>
    <t>DTAA/SJH0907</t>
  </si>
  <si>
    <t>DTAA/SKB0263</t>
  </si>
  <si>
    <t>DTAA/SKH0467</t>
  </si>
  <si>
    <t>DTAA/SKL0881</t>
  </si>
  <si>
    <t>DTAA/SKP0270</t>
  </si>
  <si>
    <t>DTAA/SKW0871</t>
  </si>
  <si>
    <t>DTAA/SLC0778</t>
  </si>
  <si>
    <t>DTAA/SLG0008</t>
  </si>
  <si>
    <t>DTAA/SLM0589</t>
  </si>
  <si>
    <t>DTAA/SLM0781</t>
  </si>
  <si>
    <t>DTAA/SMC0139</t>
  </si>
  <si>
    <t>DTAA/SMD0773</t>
  </si>
  <si>
    <t>DTAA/SML0086</t>
  </si>
  <si>
    <t>DTAA/SML0486</t>
  </si>
  <si>
    <t>DTAA/SMW0913</t>
  </si>
  <si>
    <t>DTAA/SND0611</t>
  </si>
  <si>
    <t>DTAA/SOG0461</t>
  </si>
  <si>
    <t>DTAA/SOM0478</t>
  </si>
  <si>
    <t>DTAA/SPK0818</t>
  </si>
  <si>
    <t>DTAA/SRN0275</t>
  </si>
  <si>
    <t>DTAA/SSB0151</t>
  </si>
  <si>
    <t>DTAA/SSC0047</t>
  </si>
  <si>
    <t>DTAA/SSC0387</t>
  </si>
  <si>
    <t>DTAA/SSH0085</t>
  </si>
  <si>
    <t>DTAA/SSH0144</t>
  </si>
  <si>
    <t>DTAA/SSV0560</t>
  </si>
  <si>
    <t>DTAA/SSW0815</t>
  </si>
  <si>
    <t>DTAA/STC0066</t>
  </si>
  <si>
    <t>DTAA/STF0145</t>
  </si>
  <si>
    <t>DTAA/SVC0175</t>
  </si>
  <si>
    <t>DTAA/SVM0756</t>
  </si>
  <si>
    <t>DTAA/SWM0768</t>
  </si>
  <si>
    <t>DTAA/SXH0895</t>
  </si>
  <si>
    <t>DTAA/TAO0639</t>
  </si>
  <si>
    <t>DTAA/TCH0230</t>
  </si>
  <si>
    <t>DTAA/TCR0218</t>
  </si>
  <si>
    <t>DTAA/TDW0348</t>
  </si>
  <si>
    <t>DTAA/TEG0502</t>
  </si>
  <si>
    <t>DTAA/TER0923</t>
  </si>
  <si>
    <t>DTAA/TFS0216</t>
  </si>
  <si>
    <t>DTAA/TGC0670</t>
  </si>
  <si>
    <t>DTAA/THB0783</t>
  </si>
  <si>
    <t>DTAA/THL0671</t>
  </si>
  <si>
    <t>DTAA/THS0006</t>
  </si>
  <si>
    <t>DTAA/TIW0195</t>
  </si>
  <si>
    <t>DTAA/TJP0714</t>
  </si>
  <si>
    <t>DTAA/TKG0523</t>
  </si>
  <si>
    <t>DTAA/TKH0211</t>
  </si>
  <si>
    <t>DTAA/TLB0017</t>
  </si>
  <si>
    <t>DTAA/TLB0831</t>
  </si>
  <si>
    <t>DTAA/TLV0936</t>
  </si>
  <si>
    <t>DTAA/TNB0740</t>
  </si>
  <si>
    <t>DTAA/TPC0102</t>
  </si>
  <si>
    <t>DTAA/TQC0249</t>
  </si>
  <si>
    <t>DTAA/TRB0414</t>
  </si>
  <si>
    <t>DTAA/TRP0068</t>
  </si>
  <si>
    <t>DTAA/TRT0979</t>
  </si>
  <si>
    <t>DTAA/TSC0431</t>
  </si>
  <si>
    <t>DTAA/TSM0130</t>
  </si>
  <si>
    <t>DTAA/TTG0637</t>
  </si>
  <si>
    <t>DTAA/TUA0298</t>
  </si>
  <si>
    <t>DTAA/TXR0884</t>
  </si>
  <si>
    <t>DTAA/TZB0870</t>
  </si>
  <si>
    <t>DTAA/UAD0165</t>
  </si>
  <si>
    <t>DTAA/UBB0186</t>
  </si>
  <si>
    <t>DTAA/UBH0964</t>
  </si>
  <si>
    <t>DTAA/UCM0106</t>
  </si>
  <si>
    <t>DTAA/UGW0223</t>
  </si>
  <si>
    <t>DTAA/UJC0849</t>
  </si>
  <si>
    <t>DTAA/ULB0178</t>
  </si>
  <si>
    <t>DTAA/UMB0449</t>
  </si>
  <si>
    <t>DTAA/UMK0142</t>
  </si>
  <si>
    <t>DTAA/USB0641</t>
  </si>
  <si>
    <t>DTAA/VAH0262</t>
  </si>
  <si>
    <t>DTAA/VAP0168</t>
  </si>
  <si>
    <t>DTAA/VBW0447</t>
  </si>
  <si>
    <t>DTAA/VCG0663</t>
  </si>
  <si>
    <t>DTAA/VDP0070</t>
  </si>
  <si>
    <t>DTAA/VFP0669</t>
  </si>
  <si>
    <t>DTAA/VFS0231</t>
  </si>
  <si>
    <t>DTAA/VFT0014</t>
  </si>
  <si>
    <t>DTAA/VIR0488</t>
  </si>
  <si>
    <t>DTAA/VJD0704</t>
  </si>
  <si>
    <t>DTAA/VKB0605</t>
  </si>
  <si>
    <t>DTAA/VMA0051</t>
  </si>
  <si>
    <t>DTAA/VMF0423</t>
  </si>
  <si>
    <t>DTAA/VMM0309</t>
  </si>
  <si>
    <t>DTAA/VNM0127</t>
  </si>
  <si>
    <t>DTAA/VUF0522</t>
  </si>
  <si>
    <t>DTAA/WAB0970</t>
  </si>
  <si>
    <t>DTAA/WAH0813</t>
  </si>
  <si>
    <t>DTAA/WBW0591</t>
  </si>
  <si>
    <t>DTAA/WCB0440</t>
  </si>
  <si>
    <t>DTAA/WCM0391</t>
  </si>
  <si>
    <t>DTAA/WCN0570</t>
  </si>
  <si>
    <t>DTAA/WDW0064</t>
  </si>
  <si>
    <t>DTAA/WDW0198</t>
  </si>
  <si>
    <t>DTAA/WDW0485</t>
  </si>
  <si>
    <t>DTAA/WFH0909</t>
  </si>
  <si>
    <t>DTAA/WFL0495</t>
  </si>
  <si>
    <t>DTAA/WGL0515</t>
  </si>
  <si>
    <t>DTAA/WJG0153</t>
  </si>
  <si>
    <t>DTAA/WJR0592</t>
  </si>
  <si>
    <t>DTAA/WKH0407</t>
  </si>
  <si>
    <t>DTAA/WLB0169</t>
  </si>
  <si>
    <t>DTAA/WMJ0364</t>
  </si>
  <si>
    <t>DTAA/WNS0816</t>
  </si>
  <si>
    <t>DTAA/WOT0549</t>
  </si>
  <si>
    <t>DTAA/WPH0764</t>
  </si>
  <si>
    <t>DTAA/WSL0470</t>
  </si>
  <si>
    <t>DTAA/WTA0867</t>
  </si>
  <si>
    <t>DTAA/WWC0894</t>
  </si>
  <si>
    <t>DTAA/XCB0445</t>
  </si>
  <si>
    <t>DTAA/XGB0052</t>
  </si>
  <si>
    <t>DTAA/XHN0227</t>
  </si>
  <si>
    <t>DTAA/XIN0791</t>
  </si>
  <si>
    <t>DTAA/XKR0971</t>
  </si>
  <si>
    <t>DTAA/XQW0354</t>
  </si>
  <si>
    <t>DTAA/XRP0435</t>
  </si>
  <si>
    <t>DTAA/XXD0650</t>
  </si>
  <si>
    <t>DTAA/YCB0005</t>
  </si>
  <si>
    <t>DTAA/YCB0967</t>
  </si>
  <si>
    <t>DTAA/YCD0922</t>
  </si>
  <si>
    <t>DTAA/YCS0667</t>
  </si>
  <si>
    <t>DTAA/YCV0635</t>
  </si>
  <si>
    <t>DTAA/YJJ0129</t>
  </si>
  <si>
    <t>DTAA/YLO0362</t>
  </si>
  <si>
    <t>DTAA/YQW0689</t>
  </si>
  <si>
    <t>DTAA/YSH0268</t>
  </si>
  <si>
    <t>DTAA/YVF0045</t>
  </si>
  <si>
    <t>DTAA/ZAB0889</t>
  </si>
  <si>
    <t>DTAA/ZBH0980</t>
  </si>
  <si>
    <t>DTAA/ZBM0626</t>
  </si>
  <si>
    <t>DTAA/ZCA0652</t>
  </si>
  <si>
    <t>DTAA/ZCH0336</t>
  </si>
  <si>
    <t>DTAA/ZGH0528</t>
  </si>
  <si>
    <t>DTAA/ZKE0662</t>
  </si>
  <si>
    <t>DTAA/ZKH0388</t>
  </si>
  <si>
    <t>DTAA/ZKN0548</t>
  </si>
  <si>
    <t>DTAA/ZRR0705</t>
  </si>
  <si>
    <t>role_factor</t>
  </si>
  <si>
    <t>behavior_factor</t>
  </si>
  <si>
    <t>final_risk</t>
  </si>
  <si>
    <t>risk_level</t>
  </si>
  <si>
    <t>alert_status</t>
  </si>
  <si>
    <t>reasons</t>
  </si>
  <si>
    <t>base_risk_isolationforest</t>
  </si>
  <si>
    <t>anomaly_login_isolationforest</t>
  </si>
  <si>
    <t>anomaly_volume_isolationforest</t>
  </si>
  <si>
    <t>anomaly_network_isolationforest</t>
  </si>
  <si>
    <t>anomaly_usb_isolationforest</t>
  </si>
  <si>
    <t>anomaly_login_autoencoder</t>
  </si>
  <si>
    <t>anomaly_network_autoencoder</t>
  </si>
  <si>
    <t>base_risk_autoencoder</t>
  </si>
  <si>
    <t>base_risk_total</t>
  </si>
  <si>
    <t>anomaly_usb_autoencoder</t>
  </si>
  <si>
    <t>anomaly_volume_autoencoder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</si>
</sst>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6" fillId="0" borderId="0" xfId="0" applyFont="1"/>
    <xf numFmtId="0" fontId="18" fillId="0" borderId="0" xfId="0" applyFont="1" applyBorder="1" applyAlignment="1">
      <alignment horizontal="left" vertical="top"/>
    </xf>
    <xf numFmtId="0" fontId="19" fillId="0" borderId="0" xfId="0" applyFont="1" applyFill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0A304-811D-4CD1-A9C5-388A52ABDEB9}">
  <dimension ref="A1:AN1001"/>
  <sheetViews>
    <sheetView tabSelected="1" topLeftCell="AC1" workbookViewId="0">
      <selection activeCell="AJ1" sqref="AJ1"/>
    </sheetView>
  </sheetViews>
  <sheetFormatPr defaultRowHeight="14.4" x14ac:dyDescent="0.3"/>
  <cols>
    <col min="24" max="24" width="15.88671875" customWidth="1"/>
    <col min="25" max="25" width="17.88671875" customWidth="1"/>
    <col min="26" max="26" width="18.77734375" customWidth="1"/>
    <col min="27" max="27" width="14.77734375" customWidth="1"/>
    <col min="28" max="28" width="17.21875" customWidth="1"/>
    <col min="29" max="29" width="19.33203125" customWidth="1"/>
    <col min="30" max="30" width="19.77734375" customWidth="1"/>
    <col min="31" max="31" width="18.88671875" customWidth="1"/>
    <col min="32" max="33" width="21.88671875" customWidth="1"/>
    <col min="36" max="36" width="13.33203125" customWidth="1"/>
    <col min="37" max="37" width="10.77734375" customWidth="1"/>
    <col min="38" max="38" width="10.21875" customWidth="1"/>
    <col min="39" max="39" width="10.6640625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1032</v>
      </c>
      <c r="Y1" t="s">
        <v>1033</v>
      </c>
      <c r="Z1" t="s">
        <v>1034</v>
      </c>
      <c r="AA1" t="s">
        <v>1035</v>
      </c>
      <c r="AB1" s="3" t="s">
        <v>1036</v>
      </c>
      <c r="AC1" s="3" t="s">
        <v>1041</v>
      </c>
      <c r="AD1" s="3" t="s">
        <v>1037</v>
      </c>
      <c r="AE1" s="3" t="s">
        <v>1040</v>
      </c>
      <c r="AF1" s="2" t="s">
        <v>1031</v>
      </c>
      <c r="AG1" s="4" t="s">
        <v>1038</v>
      </c>
      <c r="AH1" t="s">
        <v>1025</v>
      </c>
      <c r="AI1" t="s">
        <v>1026</v>
      </c>
      <c r="AJ1" s="2" t="s">
        <v>1039</v>
      </c>
      <c r="AK1" s="2" t="s">
        <v>1027</v>
      </c>
      <c r="AL1" s="2" t="s">
        <v>1028</v>
      </c>
      <c r="AM1" s="2" t="s">
        <v>1029</v>
      </c>
      <c r="AN1" s="2" t="s">
        <v>1030</v>
      </c>
    </row>
    <row r="2" spans="1:40" x14ac:dyDescent="0.3">
      <c r="A2" t="s">
        <v>23</v>
      </c>
      <c r="B2">
        <v>0.20113421550094501</v>
      </c>
      <c r="C2">
        <v>0.59600767393091103</v>
      </c>
      <c r="D2">
        <v>0.376682860097172</v>
      </c>
      <c r="E2">
        <v>0</v>
      </c>
      <c r="F2">
        <v>0</v>
      </c>
      <c r="G2">
        <v>0.46990198450738602</v>
      </c>
      <c r="H2">
        <v>7</v>
      </c>
      <c r="I2">
        <v>13</v>
      </c>
      <c r="J2">
        <v>0.33777014455417198</v>
      </c>
      <c r="K2">
        <v>0.110114192495921</v>
      </c>
      <c r="L2">
        <v>8.3213554630520103E-2</v>
      </c>
      <c r="M2">
        <v>1.2987012987012899E-2</v>
      </c>
      <c r="N2">
        <v>2.3218982852010302E-2</v>
      </c>
      <c r="O2">
        <v>1057</v>
      </c>
      <c r="P2">
        <v>0.30197811447811401</v>
      </c>
      <c r="Q2">
        <v>0.30207931554402301</v>
      </c>
      <c r="R2">
        <v>0</v>
      </c>
      <c r="S2">
        <v>0</v>
      </c>
      <c r="T2" t="s">
        <v>24</v>
      </c>
      <c r="U2">
        <v>4.9835931091058203E-2</v>
      </c>
      <c r="V2">
        <v>0</v>
      </c>
      <c r="W2">
        <v>0</v>
      </c>
      <c r="X2">
        <v>0.113004858029151</v>
      </c>
      <c r="Y2">
        <v>0.116126501081697</v>
      </c>
      <c r="Z2">
        <v>0.190474461827672</v>
      </c>
      <c r="AA2">
        <v>0</v>
      </c>
      <c r="AB2">
        <v>1.8872000277042389E-2</v>
      </c>
      <c r="AC2">
        <v>6.6619999706745148E-3</v>
      </c>
      <c r="AD2">
        <v>2.1331999450922009E-2</v>
      </c>
      <c r="AE2">
        <v>4.631000105291605E-3</v>
      </c>
      <c r="AF2">
        <f>0.16*X2 + 0.28*Y2 + 0.28*Z2 + 0.28*AA2</f>
        <v>0.10392904689928749</v>
      </c>
      <c r="AG2">
        <f>0.16*AB2 + 0.28*AC2 + 0.28*AD2 + 0.28*AE2</f>
        <v>1.215451991185546E-2</v>
      </c>
      <c r="AH2">
        <f>IF(T2="IT_Admin", 0.25, IF(AND(T2="HR", AA2&gt;0.6), 0.25, IF(AND(T2="General", Z2&gt;0.7), 0.2, 0.1)))</f>
        <v>0.25</v>
      </c>
      <c r="AI2">
        <f>IF(V2&gt;0.7, 0.1,
 IF(F2&gt;0.5, 0.08,
 IF(E2&gt;0.5, 0.05,
 0)))</f>
        <v>0</v>
      </c>
      <c r="AJ2">
        <f>0.3*AF2+0.7*AG2</f>
        <v>3.9686878008085069E-2</v>
      </c>
      <c r="AK2">
        <f>MIN(1,AJ2*(1+AH2+AI2))</f>
        <v>4.9608597510106336E-2</v>
      </c>
      <c r="AL2" t="str">
        <f>IF(MAX(X2, Y2, Z2, AA2,AB2,AC2,AD2,AE2)&gt;0.9,
 "Critical",
 IF(AK2&lt;=0.2,"Very Low",
 IF(AK2&lt;=0.4,"Low",
 IF(AK2&lt;=0.6,"Medium",
 IF(AK2&lt;=0.8,"High","Critical")))))</f>
        <v>Very Low</v>
      </c>
      <c r="AM2" t="str">
        <f>IF(MAX(X2:AA2)&gt;0.9,"CRITICAL ALERT",
 IF(AK2&gt;0.8,"CRITICAL ALERT",
 IF(AK2&gt;0.6,"ALERT",
 IF(AK2&gt;=0.4,"REVIEW","NO ACTION"))))</f>
        <v>NO ACTION</v>
      </c>
      <c r="AN2" t="str">
        <f>IF(AM2="NO ACTION","",
 IF(_xlfn.TEXTJOIN(", ", TRUE,
  IF(X2&gt;0.7,"Login anomaly",""),
  IF(Y2&gt;0.7,"File anomaly",""),
  IF(Z2&gt;0.7,"Network anomaly",""),
  IF(AA2&gt;0.7,"USB anomaly","")
 )="",
 "General anomaly detected",
 _xlfn.TEXTJOIN(", ", TRUE,
  IF(X2&gt;0.7,"Login anomaly",""),
  IF(Y2&gt;0.7,"File anomaly",""),
  IF(Z2&gt;0.7,"Network anomaly",""),
  IF(AA2&gt;0.7,"USB anomaly","")
 )))</f>
        <v/>
      </c>
    </row>
    <row r="3" spans="1:40" x14ac:dyDescent="0.3">
      <c r="A3" t="s">
        <v>25</v>
      </c>
      <c r="B3">
        <v>0.12892249527410199</v>
      </c>
      <c r="C3">
        <v>0.28062983433656202</v>
      </c>
      <c r="D3">
        <v>7.5079446679057096E-2</v>
      </c>
      <c r="E3">
        <v>0</v>
      </c>
      <c r="F3">
        <v>0</v>
      </c>
      <c r="G3">
        <v>0.99366684549960005</v>
      </c>
      <c r="H3">
        <v>7</v>
      </c>
      <c r="I3">
        <v>8</v>
      </c>
      <c r="J3">
        <v>0.70984208768665602</v>
      </c>
      <c r="K3">
        <v>3.5889070146818899E-2</v>
      </c>
      <c r="L3">
        <v>1.29102060977825E-2</v>
      </c>
      <c r="M3">
        <v>1.3275613275613199E-2</v>
      </c>
      <c r="N3">
        <v>1.1298185525543699E-2</v>
      </c>
      <c r="O3">
        <v>1492</v>
      </c>
      <c r="P3">
        <v>0.54373597081930403</v>
      </c>
      <c r="Q3">
        <v>0.54377783232231103</v>
      </c>
      <c r="R3">
        <v>0</v>
      </c>
      <c r="S3">
        <v>0</v>
      </c>
      <c r="T3" t="s">
        <v>24</v>
      </c>
      <c r="U3">
        <v>1.58972300281011E-2</v>
      </c>
      <c r="V3">
        <v>0</v>
      </c>
      <c r="W3">
        <v>0</v>
      </c>
      <c r="X3">
        <v>2.2523834003717099E-2</v>
      </c>
      <c r="Y3">
        <v>0.15181297624388501</v>
      </c>
      <c r="Z3">
        <v>0.3307608567018</v>
      </c>
      <c r="AA3">
        <v>0</v>
      </c>
      <c r="AB3">
        <v>1.8435999751091E-2</v>
      </c>
      <c r="AC3">
        <v>4.2500002309679994E-3</v>
      </c>
      <c r="AD3">
        <v>0.13188999891281131</v>
      </c>
      <c r="AE3">
        <v>8.9800002751871943E-4</v>
      </c>
      <c r="AF3">
        <f>0.16*X3 + 0.28*Y3 + 0.28*Z3 + 0.28*AA3</f>
        <v>0.13872448666538656</v>
      </c>
      <c r="AG3">
        <f t="shared" ref="AG3:AG66" si="0">0.16*AB3 + 0.28*AC3 + 0.28*AD3 + 0.28*AE3</f>
        <v>4.1320399728138016E-2</v>
      </c>
      <c r="AH3">
        <f>IF(T3="IT_Admin", 0.25, IF(AND(T3="HR", AA3&gt;0.6), 0.25, IF(AND(T3="General", Z3&gt;0.7), 0.2, 0.1)))</f>
        <v>0.25</v>
      </c>
      <c r="AI3">
        <f>IF(V3&gt;0.7, 0.1,
 IF(F3&gt;0.5, 0.08,
 IF(E3&gt;0.5, 0.05,
 0)))</f>
        <v>0</v>
      </c>
      <c r="AJ3">
        <f t="shared" ref="AJ3:AJ66" si="1">0.3*AF3+0.7*AG3</f>
        <v>7.0541625809312572E-2</v>
      </c>
      <c r="AK3">
        <f t="shared" ref="AK3:AK66" si="2">MIN(1,AJ3*(1+AH3+AI3))</f>
        <v>8.8177032261640712E-2</v>
      </c>
      <c r="AL3" t="str">
        <f>IF(MAX(X3, Y3, Z3, AA3)&gt;0.9,
 "Critical",
 IF(AK3&lt;=0.2,"Very Low",
 IF(AK3&lt;=0.4,"Low",
 IF(AK3&lt;=0.6,"Medium",
 IF(AK3&lt;=0.8,"High","Critical")))))</f>
        <v>Very Low</v>
      </c>
      <c r="AM3" t="str">
        <f>IF(MAX(X3:AA3)&gt;0.9,"CRITICAL ALERT",
 IF(AK3&gt;0.8,"CRITICAL ALERT",
 IF(AK3&gt;0.6,"ALERT",
 IF(AK3&gt;=0.4,"REVIEW","NO ACTION"))))</f>
        <v>NO ACTION</v>
      </c>
      <c r="AN3" t="str">
        <f>IF(AM3="NO ACTION","",
 IF(_xlfn.TEXTJOIN(", ", TRUE,
  IF(X3&gt;0.7,"Login anomaly",""),
  IF(Y3&gt;0.7,"File anomaly",""),
  IF(Z3&gt;0.7,"Network anomaly",""),
  IF(AA3&gt;0.7,"USB anomaly","")
 )="",
 "General anomaly detected",
 _xlfn.TEXTJOIN(", ", TRUE,
  IF(X3&gt;0.7,"Login anomaly",""),
  IF(Y3&gt;0.7,"File anomaly",""),
  IF(Z3&gt;0.7,"Network anomaly",""),
  IF(AA3&gt;0.7,"USB anomaly","")
 )))</f>
        <v/>
      </c>
    </row>
    <row r="4" spans="1:40" x14ac:dyDescent="0.3">
      <c r="A4" t="s">
        <v>26</v>
      </c>
      <c r="B4">
        <v>0.12892249527410199</v>
      </c>
      <c r="C4">
        <v>0.27420319690900702</v>
      </c>
      <c r="D4">
        <v>7.50946055673926E-2</v>
      </c>
      <c r="E4">
        <v>0</v>
      </c>
      <c r="F4">
        <v>0</v>
      </c>
      <c r="G4">
        <v>0.99364725520405595</v>
      </c>
      <c r="H4">
        <v>7</v>
      </c>
      <c r="I4">
        <v>8</v>
      </c>
      <c r="J4">
        <v>0.71184580888316396</v>
      </c>
      <c r="K4">
        <v>3.5073409461663901E-2</v>
      </c>
      <c r="L4">
        <v>1.25812901603273E-2</v>
      </c>
      <c r="M4">
        <v>1.47186147186147E-2</v>
      </c>
      <c r="N4">
        <v>1.2491001784851401E-2</v>
      </c>
      <c r="O4">
        <v>1442</v>
      </c>
      <c r="P4">
        <v>0.54555976430976405</v>
      </c>
      <c r="Q4">
        <v>0.54560117816192699</v>
      </c>
      <c r="R4">
        <v>0</v>
      </c>
      <c r="S4">
        <v>0</v>
      </c>
      <c r="T4" t="s">
        <v>24</v>
      </c>
      <c r="U4">
        <v>1.40420899854862E-2</v>
      </c>
      <c r="V4">
        <v>0</v>
      </c>
      <c r="W4">
        <v>0</v>
      </c>
      <c r="X4">
        <v>2.2528381670217701E-2</v>
      </c>
      <c r="Y4">
        <v>0.152407107392251</v>
      </c>
      <c r="Z4">
        <v>0.33233225929979898</v>
      </c>
      <c r="AA4">
        <v>0</v>
      </c>
      <c r="AB4">
        <v>1.8858000636100769E-2</v>
      </c>
      <c r="AC4">
        <v>4.3150000274181366E-3</v>
      </c>
      <c r="AD4">
        <v>0.13326799869537351</v>
      </c>
      <c r="AE4">
        <v>8.9099997421726584E-4</v>
      </c>
      <c r="AF4">
        <f>0.16*X4 + 0.28*Y4 + 0.28*Z4 + 0.28*AA4</f>
        <v>0.13933156374100883</v>
      </c>
      <c r="AG4">
        <f t="shared" si="0"/>
        <v>4.1789999736938623E-2</v>
      </c>
      <c r="AH4">
        <f>IF(T4="IT_Admin", 0.25, IF(AND(T4="HR", AA4&gt;0.6), 0.25, IF(AND(T4="General", Z4&gt;0.7), 0.2, 0.1)))</f>
        <v>0.25</v>
      </c>
      <c r="AI4">
        <f>IF(V4&gt;0.7, 0.1,
 IF(F4&gt;0.5, 0.08,
 IF(E4&gt;0.5, 0.05,
 0)))</f>
        <v>0</v>
      </c>
      <c r="AJ4">
        <f t="shared" si="1"/>
        <v>7.1052468938159682E-2</v>
      </c>
      <c r="AK4">
        <f t="shared" si="2"/>
        <v>8.8815586172699607E-2</v>
      </c>
      <c r="AL4" t="str">
        <f>IF(MAX(X4, Y4, Z4, AA4)&gt;0.9,
 "Critical",
 IF(AK4&lt;=0.2,"Very Low",
 IF(AK4&lt;=0.4,"Low",
 IF(AK4&lt;=0.6,"Medium",
 IF(AK4&lt;=0.8,"High","Critical")))))</f>
        <v>Very Low</v>
      </c>
      <c r="AM4" t="str">
        <f>IF(MAX(X4:AA4)&gt;0.9,"CRITICAL ALERT",
 IF(AK4&gt;0.8,"CRITICAL ALERT",
 IF(AK4&gt;0.6,"ALERT",
 IF(AK4&gt;=0.4,"REVIEW","NO ACTION"))))</f>
        <v>NO ACTION</v>
      </c>
      <c r="AN4" t="str">
        <f>IF(AM4="NO ACTION","",
 IF(_xlfn.TEXTJOIN(", ", TRUE,
  IF(X4&gt;0.7,"Login anomaly",""),
  IF(Y4&gt;0.7,"File anomaly",""),
  IF(Z4&gt;0.7,"Network anomaly",""),
  IF(AA4&gt;0.7,"USB anomaly","")
 )="",
 "General anomaly detected",
 _xlfn.TEXTJOIN(", ", TRUE,
  IF(X4&gt;0.7,"Login anomaly",""),
  IF(Y4&gt;0.7,"File anomaly",""),
  IF(Z4&gt;0.7,"Network anomaly",""),
  IF(AA4&gt;0.7,"USB anomaly","")
 )))</f>
        <v/>
      </c>
    </row>
    <row r="5" spans="1:40" x14ac:dyDescent="0.3">
      <c r="A5" t="s">
        <v>27</v>
      </c>
      <c r="B5">
        <v>0.12892249527410199</v>
      </c>
      <c r="C5">
        <v>0.36953165208440503</v>
      </c>
      <c r="D5">
        <v>0</v>
      </c>
      <c r="E5">
        <v>0</v>
      </c>
      <c r="F5">
        <v>0</v>
      </c>
      <c r="G5">
        <v>0.99370075383901701</v>
      </c>
      <c r="H5">
        <v>8</v>
      </c>
      <c r="I5">
        <v>8</v>
      </c>
      <c r="J5">
        <v>0.79838748151328598</v>
      </c>
      <c r="K5">
        <v>4.48613376835236E-2</v>
      </c>
      <c r="L5">
        <v>1.43485295369918E-2</v>
      </c>
      <c r="M5">
        <v>1.7027417027416999E-2</v>
      </c>
      <c r="N5">
        <v>1.28844857518692E-2</v>
      </c>
      <c r="O5">
        <v>1611</v>
      </c>
      <c r="P5">
        <v>0.61451318742985395</v>
      </c>
      <c r="Q5">
        <v>0.61453767663662795</v>
      </c>
      <c r="R5">
        <v>0</v>
      </c>
      <c r="S5">
        <v>0</v>
      </c>
      <c r="T5" t="s">
        <v>24</v>
      </c>
      <c r="U5">
        <v>1.5566037735848999E-2</v>
      </c>
      <c r="V5">
        <v>0</v>
      </c>
      <c r="W5">
        <v>0</v>
      </c>
      <c r="X5">
        <v>0</v>
      </c>
      <c r="Y5">
        <v>0.17071710679671401</v>
      </c>
      <c r="Z5">
        <v>0.37386170675865998</v>
      </c>
      <c r="AA5">
        <v>0</v>
      </c>
      <c r="AB5">
        <v>2.525000087916851E-2</v>
      </c>
      <c r="AC5">
        <v>5.9790001250803471E-3</v>
      </c>
      <c r="AD5">
        <v>0.18285700678825381</v>
      </c>
      <c r="AE5">
        <v>9.8899996373802423E-4</v>
      </c>
      <c r="AF5">
        <f>0.16*X5 + 0.28*Y5 + 0.28*Z5 + 0.28*AA5</f>
        <v>0.15248206779550472</v>
      </c>
      <c r="AG5">
        <f t="shared" si="0"/>
        <v>5.7191002066247179E-2</v>
      </c>
      <c r="AH5">
        <f>IF(T5="IT_Admin", 0.25, IF(AND(T5="HR", AA5&gt;0.6), 0.25, IF(AND(T5="General", Z5&gt;0.7), 0.2, 0.1)))</f>
        <v>0.25</v>
      </c>
      <c r="AI5">
        <f>IF(V5&gt;0.7, 0.1,
 IF(F5&gt;0.5, 0.08,
 IF(E5&gt;0.5, 0.05,
 0)))</f>
        <v>0</v>
      </c>
      <c r="AJ5">
        <f t="shared" si="1"/>
        <v>8.5778321785024425E-2</v>
      </c>
      <c r="AK5">
        <f t="shared" si="2"/>
        <v>0.10722290223128053</v>
      </c>
      <c r="AL5" t="str">
        <f>IF(MAX(X5, Y5, Z5, AA5)&gt;0.9,
 "Critical",
 IF(AK5&lt;=0.2,"Very Low",
 IF(AK5&lt;=0.4,"Low",
 IF(AK5&lt;=0.6,"Medium",
 IF(AK5&lt;=0.8,"High","Critical")))))</f>
        <v>Very Low</v>
      </c>
      <c r="AM5" t="str">
        <f>IF(MAX(X5:AA5)&gt;0.9,"CRITICAL ALERT",
 IF(AK5&gt;0.8,"CRITICAL ALERT",
 IF(AK5&gt;0.6,"ALERT",
 IF(AK5&gt;=0.4,"REVIEW","NO ACTION"))))</f>
        <v>NO ACTION</v>
      </c>
      <c r="AN5" t="str">
        <f>IF(AM5="NO ACTION","",
 IF(_xlfn.TEXTJOIN(", ", TRUE,
  IF(X5&gt;0.7,"Login anomaly",""),
  IF(Y5&gt;0.7,"File anomaly",""),
  IF(Z5&gt;0.7,"Network anomaly",""),
  IF(AA5&gt;0.7,"USB anomaly","")
 )="",
 "General anomaly detected",
 _xlfn.TEXTJOIN(", ", TRUE,
  IF(X5&gt;0.7,"Login anomaly",""),
  IF(Y5&gt;0.7,"File anomaly",""),
  IF(Z5&gt;0.7,"Network anomaly",""),
  IF(AA5&gt;0.7,"USB anomaly","")
 )))</f>
        <v/>
      </c>
    </row>
    <row r="6" spans="1:40" x14ac:dyDescent="0.3">
      <c r="A6" t="s">
        <v>28</v>
      </c>
      <c r="B6">
        <v>0.12892249527410199</v>
      </c>
      <c r="C6">
        <v>0.36953165208440503</v>
      </c>
      <c r="D6">
        <v>0</v>
      </c>
      <c r="E6">
        <v>0</v>
      </c>
      <c r="F6">
        <v>0</v>
      </c>
      <c r="G6">
        <v>0.993663071959065</v>
      </c>
      <c r="H6">
        <v>8</v>
      </c>
      <c r="I6">
        <v>8</v>
      </c>
      <c r="J6">
        <v>0.70177949525308903</v>
      </c>
      <c r="K6">
        <v>3.7520391517128798E-2</v>
      </c>
      <c r="L6">
        <v>1.36520454510428E-2</v>
      </c>
      <c r="M6">
        <v>1.21212121212121E-2</v>
      </c>
      <c r="N6">
        <v>1.04342095779404E-2</v>
      </c>
      <c r="O6">
        <v>1511</v>
      </c>
      <c r="P6">
        <v>0.53794893378226705</v>
      </c>
      <c r="Q6">
        <v>0.537992215715838</v>
      </c>
      <c r="R6">
        <v>0</v>
      </c>
      <c r="S6">
        <v>0</v>
      </c>
      <c r="T6" t="s">
        <v>24</v>
      </c>
      <c r="U6">
        <v>1.8165862220272E-2</v>
      </c>
      <c r="V6">
        <v>0</v>
      </c>
      <c r="W6">
        <v>0</v>
      </c>
      <c r="X6">
        <v>0</v>
      </c>
      <c r="Y6">
        <v>0.15031218464952101</v>
      </c>
      <c r="Z6">
        <v>0.32694304410053598</v>
      </c>
      <c r="AA6">
        <v>0</v>
      </c>
      <c r="AB6">
        <v>2.5025999173521999E-2</v>
      </c>
      <c r="AC6">
        <v>4.1359998285770416E-3</v>
      </c>
      <c r="AD6">
        <v>0.1278869956731796</v>
      </c>
      <c r="AE6">
        <v>9.2800002312287688E-4</v>
      </c>
      <c r="AF6">
        <f>0.16*X6 + 0.28*Y6 + 0.28*Z6 + 0.28*AA6</f>
        <v>0.13363146405001597</v>
      </c>
      <c r="AG6">
        <f t="shared" si="0"/>
        <v>4.1230438614729796E-2</v>
      </c>
      <c r="AH6">
        <f>IF(T6="IT_Admin", 0.25, IF(AND(T6="HR", AA6&gt;0.6), 0.25, IF(AND(T6="General", Z6&gt;0.7), 0.2, 0.1)))</f>
        <v>0.25</v>
      </c>
      <c r="AI6">
        <f>IF(V6&gt;0.7, 0.1,
 IF(F6&gt;0.5, 0.08,
 IF(E6&gt;0.5, 0.05,
 0)))</f>
        <v>0</v>
      </c>
      <c r="AJ6">
        <f t="shared" si="1"/>
        <v>6.8950746245315636E-2</v>
      </c>
      <c r="AK6">
        <f t="shared" si="2"/>
        <v>8.6188432806644538E-2</v>
      </c>
      <c r="AL6" t="str">
        <f>IF(MAX(X6, Y6, Z6, AA6)&gt;0.9,
 "Critical",
 IF(AK6&lt;=0.2,"Very Low",
 IF(AK6&lt;=0.4,"Low",
 IF(AK6&lt;=0.6,"Medium",
 IF(AK6&lt;=0.8,"High","Critical")))))</f>
        <v>Very Low</v>
      </c>
      <c r="AM6" t="str">
        <f>IF(MAX(X6:AA6)&gt;0.9,"CRITICAL ALERT",
 IF(AK6&gt;0.8,"CRITICAL ALERT",
 IF(AK6&gt;0.6,"ALERT",
 IF(AK6&gt;=0.4,"REVIEW","NO ACTION"))))</f>
        <v>NO ACTION</v>
      </c>
      <c r="AN6" t="str">
        <f>IF(AM6="NO ACTION","",
 IF(_xlfn.TEXTJOIN(", ", TRUE,
  IF(X6&gt;0.7,"Login anomaly",""),
  IF(Y6&gt;0.7,"File anomaly",""),
  IF(Z6&gt;0.7,"Network anomaly",""),
  IF(AA6&gt;0.7,"USB anomaly","")
 )="",
 "General anomaly detected",
 _xlfn.TEXTJOIN(", ", TRUE,
  IF(X6&gt;0.7,"Login anomaly",""),
  IF(Y6&gt;0.7,"File anomaly",""),
  IF(Z6&gt;0.7,"Network anomaly",""),
  IF(AA6&gt;0.7,"USB anomaly","")
 )))</f>
        <v/>
      </c>
    </row>
    <row r="7" spans="1:40" x14ac:dyDescent="0.3">
      <c r="A7" t="s">
        <v>29</v>
      </c>
      <c r="B7">
        <v>0.12892249527410199</v>
      </c>
      <c r="C7">
        <v>0.36953165208440503</v>
      </c>
      <c r="D7">
        <v>0</v>
      </c>
      <c r="E7">
        <v>0</v>
      </c>
      <c r="F7">
        <v>0</v>
      </c>
      <c r="G7">
        <v>0.99365672919944203</v>
      </c>
      <c r="H7">
        <v>8</v>
      </c>
      <c r="I7">
        <v>8</v>
      </c>
      <c r="J7">
        <v>0.88182815705357498</v>
      </c>
      <c r="K7">
        <v>5.6280587275693301E-2</v>
      </c>
      <c r="L7">
        <v>1.62980568564088E-2</v>
      </c>
      <c r="M7">
        <v>1.9624819624819601E-2</v>
      </c>
      <c r="N7">
        <v>1.34451614574931E-2</v>
      </c>
      <c r="O7">
        <v>1774</v>
      </c>
      <c r="P7">
        <v>0.68202861952861904</v>
      </c>
      <c r="Q7">
        <v>0.68203653704547795</v>
      </c>
      <c r="R7">
        <v>0</v>
      </c>
      <c r="S7">
        <v>0</v>
      </c>
      <c r="T7" t="s">
        <v>24</v>
      </c>
      <c r="U7">
        <v>1.6981132075471601E-2</v>
      </c>
      <c r="V7">
        <v>0</v>
      </c>
      <c r="W7">
        <v>0</v>
      </c>
      <c r="X7">
        <v>0</v>
      </c>
      <c r="Y7">
        <v>0.188548208276167</v>
      </c>
      <c r="Z7">
        <v>0.41459523630016898</v>
      </c>
      <c r="AA7">
        <v>0</v>
      </c>
      <c r="AB7">
        <v>2.5480000302195549E-2</v>
      </c>
      <c r="AC7">
        <v>8.0030001699924469E-3</v>
      </c>
      <c r="AD7">
        <v>0.23914399743080139</v>
      </c>
      <c r="AE7">
        <v>1.060000038705766E-3</v>
      </c>
      <c r="AF7">
        <f>0.16*X7 + 0.28*Y7 + 0.28*Z7 + 0.28*AA7</f>
        <v>0.16888016448137408</v>
      </c>
      <c r="AG7">
        <f t="shared" si="0"/>
        <v>7.3574759387411176E-2</v>
      </c>
      <c r="AH7">
        <f>IF(T7="IT_Admin", 0.25, IF(AND(T7="HR", AA7&gt;0.6), 0.25, IF(AND(T7="General", Z7&gt;0.7), 0.2, 0.1)))</f>
        <v>0.25</v>
      </c>
      <c r="AI7">
        <f>IF(V7&gt;0.7, 0.1,
 IF(F7&gt;0.5, 0.08,
 IF(E7&gt;0.5, 0.05,
 0)))</f>
        <v>0</v>
      </c>
      <c r="AJ7">
        <f t="shared" si="1"/>
        <v>0.10216638091560004</v>
      </c>
      <c r="AK7">
        <f t="shared" si="2"/>
        <v>0.12770797614450005</v>
      </c>
      <c r="AL7" t="str">
        <f>IF(MAX(X7, Y7, Z7, AA7)&gt;0.9,
 "Critical",
 IF(AK7&lt;=0.2,"Very Low",
 IF(AK7&lt;=0.4,"Low",
 IF(AK7&lt;=0.6,"Medium",
 IF(AK7&lt;=0.8,"High","Critical")))))</f>
        <v>Very Low</v>
      </c>
      <c r="AM7" t="str">
        <f>IF(MAX(X7:AA7)&gt;0.9,"CRITICAL ALERT",
 IF(AK7&gt;0.8,"CRITICAL ALERT",
 IF(AK7&gt;0.6,"ALERT",
 IF(AK7&gt;=0.4,"REVIEW","NO ACTION"))))</f>
        <v>NO ACTION</v>
      </c>
      <c r="AN7" t="str">
        <f>IF(AM7="NO ACTION","",
 IF(_xlfn.TEXTJOIN(", ", TRUE,
  IF(X7&gt;0.7,"Login anomaly",""),
  IF(Y7&gt;0.7,"File anomaly",""),
  IF(Z7&gt;0.7,"Network anomaly",""),
  IF(AA7&gt;0.7,"USB anomaly","")
 )="",
 "General anomaly detected",
 _xlfn.TEXTJOIN(", ", TRUE,
  IF(X7&gt;0.7,"Login anomaly",""),
  IF(Y7&gt;0.7,"File anomaly",""),
  IF(Z7&gt;0.7,"Network anomaly",""),
  IF(AA7&gt;0.7,"USB anomaly","")
 )))</f>
        <v/>
      </c>
    </row>
    <row r="8" spans="1:40" x14ac:dyDescent="0.3">
      <c r="A8" t="s">
        <v>30</v>
      </c>
      <c r="B8">
        <v>0.12892249527410199</v>
      </c>
      <c r="C8">
        <v>0.18476582604220201</v>
      </c>
      <c r="D8">
        <v>0</v>
      </c>
      <c r="E8">
        <v>0</v>
      </c>
      <c r="F8">
        <v>0</v>
      </c>
      <c r="G8">
        <v>0.99366237612889496</v>
      </c>
      <c r="H8">
        <v>7</v>
      </c>
      <c r="I8">
        <v>7</v>
      </c>
      <c r="J8">
        <v>0.88755307475788303</v>
      </c>
      <c r="K8">
        <v>4.89396411092985E-2</v>
      </c>
      <c r="L8">
        <v>1.40808338750601E-2</v>
      </c>
      <c r="M8">
        <v>1.8470418470418401E-2</v>
      </c>
      <c r="N8">
        <v>1.2572668642312299E-2</v>
      </c>
      <c r="O8">
        <v>1744</v>
      </c>
      <c r="P8">
        <v>0.68251964085297401</v>
      </c>
      <c r="Q8">
        <v>0.68252743784845105</v>
      </c>
      <c r="R8">
        <v>0</v>
      </c>
      <c r="S8">
        <v>0</v>
      </c>
      <c r="T8" t="s">
        <v>24</v>
      </c>
      <c r="U8">
        <v>1.5674891146589199E-2</v>
      </c>
      <c r="V8">
        <v>0</v>
      </c>
      <c r="W8">
        <v>0</v>
      </c>
      <c r="X8">
        <v>0</v>
      </c>
      <c r="Y8">
        <v>0.18832283248180001</v>
      </c>
      <c r="Z8">
        <v>0.41454085196870899</v>
      </c>
      <c r="AA8">
        <v>0</v>
      </c>
      <c r="AB8">
        <v>3.7115998566150672E-2</v>
      </c>
      <c r="AC8">
        <v>7.73600023239851E-3</v>
      </c>
      <c r="AD8">
        <v>0.2394829988479614</v>
      </c>
      <c r="AE8">
        <v>1.0629999451339241E-3</v>
      </c>
      <c r="AF8">
        <f>0.16*X8 + 0.28*Y8 + 0.28*Z8 + 0.28*AA8</f>
        <v>0.16880183164614254</v>
      </c>
      <c r="AG8">
        <f t="shared" si="0"/>
        <v>7.5457519497722392E-2</v>
      </c>
      <c r="AH8">
        <f>IF(T8="IT_Admin", 0.25, IF(AND(T8="HR", AA8&gt;0.6), 0.25, IF(AND(T8="General", Z8&gt;0.7), 0.2, 0.1)))</f>
        <v>0.25</v>
      </c>
      <c r="AI8">
        <f>IF(V8&gt;0.7, 0.1,
 IF(F8&gt;0.5, 0.08,
 IF(E8&gt;0.5, 0.05,
 0)))</f>
        <v>0</v>
      </c>
      <c r="AJ8">
        <f t="shared" si="1"/>
        <v>0.10346081314224842</v>
      </c>
      <c r="AK8">
        <f t="shared" si="2"/>
        <v>0.12932601642781053</v>
      </c>
      <c r="AL8" t="str">
        <f>IF(MAX(X8, Y8, Z8, AA8)&gt;0.9,
 "Critical",
 IF(AK8&lt;=0.2,"Very Low",
 IF(AK8&lt;=0.4,"Low",
 IF(AK8&lt;=0.6,"Medium",
 IF(AK8&lt;=0.8,"High","Critical")))))</f>
        <v>Very Low</v>
      </c>
      <c r="AM8" t="str">
        <f>IF(MAX(X8:AA8)&gt;0.9,"CRITICAL ALERT",
 IF(AK8&gt;0.8,"CRITICAL ALERT",
 IF(AK8&gt;0.6,"ALERT",
 IF(AK8&gt;=0.4,"REVIEW","NO ACTION"))))</f>
        <v>NO ACTION</v>
      </c>
      <c r="AN8" t="str">
        <f>IF(AM8="NO ACTION","",
 IF(_xlfn.TEXTJOIN(", ", TRUE,
  IF(X8&gt;0.7,"Login anomaly",""),
  IF(Y8&gt;0.7,"File anomaly",""),
  IF(Z8&gt;0.7,"Network anomaly",""),
  IF(AA8&gt;0.7,"USB anomaly","")
 )="",
 "General anomaly detected",
 _xlfn.TEXTJOIN(", ", TRUE,
  IF(X8&gt;0.7,"Login anomaly",""),
  IF(Y8&gt;0.7,"File anomaly",""),
  IF(Z8&gt;0.7,"Network anomaly",""),
  IF(AA8&gt;0.7,"USB anomaly","")
 )))</f>
        <v/>
      </c>
    </row>
    <row r="9" spans="1:40" x14ac:dyDescent="0.3">
      <c r="A9" t="s">
        <v>31</v>
      </c>
      <c r="B9">
        <v>0.240075614366729</v>
      </c>
      <c r="C9">
        <v>0.67660725029539004</v>
      </c>
      <c r="D9">
        <v>0.36883347561415802</v>
      </c>
      <c r="E9">
        <v>0</v>
      </c>
      <c r="F9">
        <v>0</v>
      </c>
      <c r="G9">
        <v>0.46730008775375198</v>
      </c>
      <c r="H9">
        <v>7</v>
      </c>
      <c r="I9">
        <v>15</v>
      </c>
      <c r="J9">
        <v>0.79571585325127603</v>
      </c>
      <c r="K9">
        <v>3.7520391517128798E-2</v>
      </c>
      <c r="L9">
        <v>1.20408684255631E-2</v>
      </c>
      <c r="M9">
        <v>1.5873015873015799E-2</v>
      </c>
      <c r="N9">
        <v>1.2051276196565E-2</v>
      </c>
      <c r="O9">
        <v>1638</v>
      </c>
      <c r="P9">
        <v>0.60883136924803605</v>
      </c>
      <c r="Q9">
        <v>0.608857253059363</v>
      </c>
      <c r="R9">
        <v>0</v>
      </c>
      <c r="S9">
        <v>0</v>
      </c>
      <c r="T9" t="s">
        <v>24</v>
      </c>
      <c r="U9">
        <v>1.3948787061994599E-2</v>
      </c>
      <c r="V9">
        <v>0</v>
      </c>
      <c r="W9">
        <v>0</v>
      </c>
      <c r="X9">
        <v>0.110650042684247</v>
      </c>
      <c r="Y9">
        <v>0.168778987722006</v>
      </c>
      <c r="Z9">
        <v>0.37011933202744701</v>
      </c>
      <c r="AA9">
        <v>0</v>
      </c>
      <c r="AB9">
        <v>3.1394001096487052E-2</v>
      </c>
      <c r="AC9">
        <v>5.6509999558329582E-3</v>
      </c>
      <c r="AD9">
        <v>0.17860199511051181</v>
      </c>
      <c r="AE9">
        <v>1.3269999762997029E-3</v>
      </c>
      <c r="AF9">
        <f>0.16*X9 + 0.28*Y9 + 0.28*Z9 + 0.28*AA9</f>
        <v>0.16859553635932639</v>
      </c>
      <c r="AG9">
        <f t="shared" si="0"/>
        <v>5.6985438787378391E-2</v>
      </c>
      <c r="AH9">
        <f>IF(T9="IT_Admin", 0.25, IF(AND(T9="HR", AA9&gt;0.6), 0.25, IF(AND(T9="General", Z9&gt;0.7), 0.2, 0.1)))</f>
        <v>0.25</v>
      </c>
      <c r="AI9">
        <f>IF(V9&gt;0.7, 0.1,
 IF(F9&gt;0.5, 0.08,
 IF(E9&gt;0.5, 0.05,
 0)))</f>
        <v>0</v>
      </c>
      <c r="AJ9">
        <f t="shared" si="1"/>
        <v>9.0468468058962789E-2</v>
      </c>
      <c r="AK9">
        <f t="shared" si="2"/>
        <v>0.11308558507370349</v>
      </c>
      <c r="AL9" t="str">
        <f>IF(MAX(X9, Y9, Z9, AA9)&gt;0.9,
 "Critical",
 IF(AK9&lt;=0.2,"Very Low",
 IF(AK9&lt;=0.4,"Low",
 IF(AK9&lt;=0.6,"Medium",
 IF(AK9&lt;=0.8,"High","Critical")))))</f>
        <v>Very Low</v>
      </c>
      <c r="AM9" t="str">
        <f>IF(MAX(X9:AA9)&gt;0.9,"CRITICAL ALERT",
 IF(AK9&gt;0.8,"CRITICAL ALERT",
 IF(AK9&gt;0.6,"ALERT",
 IF(AK9&gt;=0.4,"REVIEW","NO ACTION"))))</f>
        <v>NO ACTION</v>
      </c>
      <c r="AN9" t="str">
        <f>IF(AM9="NO ACTION","",
 IF(_xlfn.TEXTJOIN(", ", TRUE,
  IF(X9&gt;0.7,"Login anomaly",""),
  IF(Y9&gt;0.7,"File anomaly",""),
  IF(Z9&gt;0.7,"Network anomaly",""),
  IF(AA9&gt;0.7,"USB anomaly","")
 )="",
 "General anomaly detected",
 _xlfn.TEXTJOIN(", ", TRUE,
  IF(X9&gt;0.7,"Login anomaly",""),
  IF(Y9&gt;0.7,"File anomaly",""),
  IF(Z9&gt;0.7,"Network anomaly",""),
  IF(AA9&gt;0.7,"USB anomaly","")
 )))</f>
        <v/>
      </c>
    </row>
    <row r="10" spans="1:40" x14ac:dyDescent="0.3">
      <c r="A10" t="s">
        <v>32</v>
      </c>
      <c r="B10">
        <v>0.27750472589792002</v>
      </c>
      <c r="C10">
        <v>0.73981438476247796</v>
      </c>
      <c r="D10">
        <v>0.39351034305282701</v>
      </c>
      <c r="E10">
        <v>0</v>
      </c>
      <c r="F10">
        <v>0</v>
      </c>
      <c r="G10">
        <v>0.38474403360008802</v>
      </c>
      <c r="H10">
        <v>7</v>
      </c>
      <c r="I10">
        <v>16</v>
      </c>
      <c r="J10">
        <v>0.825533132961213</v>
      </c>
      <c r="K10">
        <v>4.48613376835236E-2</v>
      </c>
      <c r="L10">
        <v>1.38768492951206E-2</v>
      </c>
      <c r="M10">
        <v>1.6738816738816699E-2</v>
      </c>
      <c r="N10">
        <v>1.2249730870101699E-2</v>
      </c>
      <c r="O10">
        <v>1651</v>
      </c>
      <c r="P10">
        <v>0.63432940516273795</v>
      </c>
      <c r="Q10">
        <v>0.63434903047091395</v>
      </c>
      <c r="R10">
        <v>0.96607669616519098</v>
      </c>
      <c r="S10">
        <v>1</v>
      </c>
      <c r="T10" t="s">
        <v>24</v>
      </c>
      <c r="U10">
        <v>1.5829868883914199E-2</v>
      </c>
      <c r="V10">
        <v>0</v>
      </c>
      <c r="W10">
        <v>0</v>
      </c>
      <c r="X10">
        <v>0.118053102915848</v>
      </c>
      <c r="Y10">
        <v>0.17571997050083299</v>
      </c>
      <c r="Z10">
        <v>0.38549753544568299</v>
      </c>
      <c r="AA10">
        <v>0.96607669616519098</v>
      </c>
      <c r="AB10">
        <v>5.1461998373270028E-2</v>
      </c>
      <c r="AC10">
        <v>6.4309998415410519E-3</v>
      </c>
      <c r="AD10">
        <v>0.20392200350761411</v>
      </c>
      <c r="AE10">
        <v>0.95969700813293457</v>
      </c>
      <c r="AF10">
        <f>0.16*X10 + 0.28*Y10 + 0.28*Z10 + 0.28*AA10</f>
        <v>0.44653087305781364</v>
      </c>
      <c r="AG10">
        <f t="shared" si="0"/>
        <v>0.33584792295470833</v>
      </c>
      <c r="AH10">
        <f>IF(T10="IT_Admin", 0.25, IF(AND(T10="HR", AA10&gt;0.6), 0.25, IF(AND(T10="General", Z10&gt;0.7), 0.2, 0.1)))</f>
        <v>0.25</v>
      </c>
      <c r="AI10">
        <f>IF(V10&gt;0.7, 0.1,
 IF(F10&gt;0.5, 0.08,
 IF(E10&gt;0.5, 0.05,
 0)))</f>
        <v>0</v>
      </c>
      <c r="AJ10">
        <f t="shared" si="1"/>
        <v>0.36905280798563989</v>
      </c>
      <c r="AK10">
        <f t="shared" si="2"/>
        <v>0.46131600998204986</v>
      </c>
      <c r="AL10" t="str">
        <f>IF(MAX(X10, Y10, Z10, AA10)&gt;0.9,
 "Critical",
 IF(AK10&lt;=0.2,"Very Low",
 IF(AK10&lt;=0.4,"Low",
 IF(AK10&lt;=0.6,"Medium",
 IF(AK10&lt;=0.8,"High","Critical")))))</f>
        <v>Critical</v>
      </c>
      <c r="AM10" t="str">
        <f>IF(MAX(X10:AA10)&gt;0.9,"CRITICAL ALERT",
 IF(AK10&gt;0.8,"CRITICAL ALERT",
 IF(AK10&gt;0.6,"ALERT",
 IF(AK10&gt;=0.4,"REVIEW","NO ACTION"))))</f>
        <v>CRITICAL ALERT</v>
      </c>
      <c r="AN10" t="str">
        <f>IF(AM10="NO ACTION","",
 IF(_xlfn.TEXTJOIN(", ", TRUE,
  IF(X10&gt;0.7,"Login anomaly",""),
  IF(Y10&gt;0.7,"File anomaly",""),
  IF(Z10&gt;0.7,"Network anomaly",""),
  IF(AA10&gt;0.7,"USB anomaly","")
 )="",
 "General anomaly detected",
 _xlfn.TEXTJOIN(", ", TRUE,
  IF(X10&gt;0.7,"Login anomaly",""),
  IF(Y10&gt;0.7,"File anomaly",""),
  IF(Z10&gt;0.7,"Network anomaly",""),
  IF(AA10&gt;0.7,"USB anomaly","")
 )))</f>
        <v>USB anomaly</v>
      </c>
    </row>
    <row r="11" spans="1:40" x14ac:dyDescent="0.3">
      <c r="A11" t="s">
        <v>33</v>
      </c>
      <c r="B11">
        <v>0.12892249527410199</v>
      </c>
      <c r="C11">
        <v>0.28170094057448802</v>
      </c>
      <c r="D11">
        <v>7.5041536061111899E-2</v>
      </c>
      <c r="E11">
        <v>0</v>
      </c>
      <c r="F11">
        <v>0</v>
      </c>
      <c r="G11">
        <v>0.99368057476409999</v>
      </c>
      <c r="H11">
        <v>7</v>
      </c>
      <c r="I11">
        <v>8</v>
      </c>
      <c r="J11">
        <v>0.790181766137111</v>
      </c>
      <c r="K11">
        <v>4.2414355628058703E-2</v>
      </c>
      <c r="L11">
        <v>1.3706716113604101E-2</v>
      </c>
      <c r="M11">
        <v>1.5584415584415499E-2</v>
      </c>
      <c r="N11">
        <v>1.1915004358268399E-2</v>
      </c>
      <c r="O11">
        <v>1584</v>
      </c>
      <c r="P11">
        <v>0.60672699214365799</v>
      </c>
      <c r="Q11">
        <v>0.606753392475192</v>
      </c>
      <c r="R11">
        <v>0</v>
      </c>
      <c r="S11">
        <v>0</v>
      </c>
      <c r="T11" t="s">
        <v>24</v>
      </c>
      <c r="U11">
        <v>1.60548885077186E-2</v>
      </c>
      <c r="V11">
        <v>0</v>
      </c>
      <c r="W11">
        <v>0</v>
      </c>
      <c r="X11">
        <v>2.25124608183335E-2</v>
      </c>
      <c r="Y11">
        <v>0.16846421259170499</v>
      </c>
      <c r="Z11">
        <v>0.36880219702950201</v>
      </c>
      <c r="AA11">
        <v>0</v>
      </c>
      <c r="AB11">
        <v>1.850800029933453E-2</v>
      </c>
      <c r="AC11">
        <v>5.7069999165832996E-3</v>
      </c>
      <c r="AD11">
        <v>0.1768199950456619</v>
      </c>
      <c r="AE11">
        <v>9.4900000840425491E-4</v>
      </c>
      <c r="AF11">
        <f>0.16*X11 + 0.28*Y11 + 0.28*Z11 + 0.28*AA11</f>
        <v>0.15403658842487133</v>
      </c>
      <c r="AG11">
        <f t="shared" si="0"/>
        <v>5.433455863967538E-2</v>
      </c>
      <c r="AH11">
        <f>IF(T11="IT_Admin", 0.25, IF(AND(T11="HR", AA11&gt;0.6), 0.25, IF(AND(T11="General", Z11&gt;0.7), 0.2, 0.1)))</f>
        <v>0.25</v>
      </c>
      <c r="AI11">
        <f>IF(V11&gt;0.7, 0.1,
 IF(F11&gt;0.5, 0.08,
 IF(E11&gt;0.5, 0.05,
 0)))</f>
        <v>0</v>
      </c>
      <c r="AJ11">
        <f t="shared" si="1"/>
        <v>8.4245167575234176E-2</v>
      </c>
      <c r="AK11">
        <f t="shared" si="2"/>
        <v>0.10530645946904271</v>
      </c>
      <c r="AL11" t="str">
        <f>IF(MAX(X11, Y11, Z11, AA11)&gt;0.9,
 "Critical",
 IF(AK11&lt;=0.2,"Very Low",
 IF(AK11&lt;=0.4,"Low",
 IF(AK11&lt;=0.6,"Medium",
 IF(AK11&lt;=0.8,"High","Critical")))))</f>
        <v>Very Low</v>
      </c>
      <c r="AM11" t="str">
        <f>IF(MAX(X11:AA11)&gt;0.9,"CRITICAL ALERT",
 IF(AK11&gt;0.8,"CRITICAL ALERT",
 IF(AK11&gt;0.6,"ALERT",
 IF(AK11&gt;=0.4,"REVIEW","NO ACTION"))))</f>
        <v>NO ACTION</v>
      </c>
      <c r="AN11" t="str">
        <f>IF(AM11="NO ACTION","",
 IF(_xlfn.TEXTJOIN(", ", TRUE,
  IF(X11&gt;0.7,"Login anomaly",""),
  IF(Y11&gt;0.7,"File anomaly",""),
  IF(Z11&gt;0.7,"Network anomaly",""),
  IF(AA11&gt;0.7,"USB anomaly","")
 )="",
 "General anomaly detected",
 _xlfn.TEXTJOIN(", ", TRUE,
  IF(X11&gt;0.7,"Login anomaly",""),
  IF(Y11&gt;0.7,"File anomaly",""),
  IF(Z11&gt;0.7,"Network anomaly",""),
  IF(AA11&gt;0.7,"USB anomaly","")
 )))</f>
        <v/>
      </c>
    </row>
    <row r="12" spans="1:40" x14ac:dyDescent="0.3">
      <c r="A12" t="s">
        <v>34</v>
      </c>
      <c r="B12">
        <v>0.12892249527410199</v>
      </c>
      <c r="C12">
        <v>0.46218234166498801</v>
      </c>
      <c r="D12">
        <v>7.5132489407342906E-2</v>
      </c>
      <c r="E12">
        <v>0</v>
      </c>
      <c r="F12">
        <v>0</v>
      </c>
      <c r="G12">
        <v>0.99367091342982194</v>
      </c>
      <c r="H12">
        <v>8</v>
      </c>
      <c r="I12">
        <v>9</v>
      </c>
      <c r="J12">
        <v>0.79118362673536502</v>
      </c>
      <c r="K12">
        <v>3.9151712887438801E-2</v>
      </c>
      <c r="L12">
        <v>1.26363367330637E-2</v>
      </c>
      <c r="M12">
        <v>1.5873015873015799E-2</v>
      </c>
      <c r="N12">
        <v>1.2120290075561599E-2</v>
      </c>
      <c r="O12">
        <v>1609</v>
      </c>
      <c r="P12">
        <v>0.60620089786756404</v>
      </c>
      <c r="Q12">
        <v>0.60622742732914903</v>
      </c>
      <c r="R12">
        <v>0</v>
      </c>
      <c r="S12">
        <v>0</v>
      </c>
      <c r="T12" t="s">
        <v>24</v>
      </c>
      <c r="U12">
        <v>1.4555256064690001E-2</v>
      </c>
      <c r="V12">
        <v>0</v>
      </c>
      <c r="W12">
        <v>0</v>
      </c>
      <c r="X12">
        <v>2.2539746822202798E-2</v>
      </c>
      <c r="Y12">
        <v>0.168190980736273</v>
      </c>
      <c r="Z12">
        <v>0.368568654750763</v>
      </c>
      <c r="AA12">
        <v>0</v>
      </c>
      <c r="AB12">
        <v>1.3871000148355961E-2</v>
      </c>
      <c r="AC12">
        <v>5.6380000896751881E-3</v>
      </c>
      <c r="AD12">
        <v>0.17641900479793551</v>
      </c>
      <c r="AE12">
        <v>9.4300002092495561E-4</v>
      </c>
      <c r="AF12">
        <f>0.16*X12 + 0.28*Y12 + 0.28*Z12 + 0.28*AA12</f>
        <v>0.15389905742792254</v>
      </c>
      <c r="AG12">
        <f t="shared" si="0"/>
        <v>5.3459361398126945E-2</v>
      </c>
      <c r="AH12">
        <f>IF(T12="IT_Admin", 0.25, IF(AND(T12="HR", AA12&gt;0.6), 0.25, IF(AND(T12="General", Z12&gt;0.7), 0.2, 0.1)))</f>
        <v>0.25</v>
      </c>
      <c r="AI12">
        <f>IF(V12&gt;0.7, 0.1,
 IF(F12&gt;0.5, 0.08,
 IF(E12&gt;0.5, 0.05,
 0)))</f>
        <v>0</v>
      </c>
      <c r="AJ12">
        <f t="shared" si="1"/>
        <v>8.359127020706561E-2</v>
      </c>
      <c r="AK12">
        <f t="shared" si="2"/>
        <v>0.10448908775883201</v>
      </c>
      <c r="AL12" t="str">
        <f>IF(MAX(X12, Y12, Z12, AA12)&gt;0.9,
 "Critical",
 IF(AK12&lt;=0.2,"Very Low",
 IF(AK12&lt;=0.4,"Low",
 IF(AK12&lt;=0.6,"Medium",
 IF(AK12&lt;=0.8,"High","Critical")))))</f>
        <v>Very Low</v>
      </c>
      <c r="AM12" t="str">
        <f>IF(MAX(X12:AA12)&gt;0.9,"CRITICAL ALERT",
 IF(AK12&gt;0.8,"CRITICAL ALERT",
 IF(AK12&gt;0.6,"ALERT",
 IF(AK12&gt;=0.4,"REVIEW","NO ACTION"))))</f>
        <v>NO ACTION</v>
      </c>
      <c r="AN12" t="str">
        <f>IF(AM12="NO ACTION","",
 IF(_xlfn.TEXTJOIN(", ", TRUE,
  IF(X12&gt;0.7,"Login anomaly",""),
  IF(Y12&gt;0.7,"File anomaly",""),
  IF(Z12&gt;0.7,"Network anomaly",""),
  IF(AA12&gt;0.7,"USB anomaly","")
 )="",
 "General anomaly detected",
 _xlfn.TEXTJOIN(", ", TRUE,
  IF(X12&gt;0.7,"Login anomaly",""),
  IF(Y12&gt;0.7,"File anomaly",""),
  IF(Z12&gt;0.7,"Network anomaly",""),
  IF(AA12&gt;0.7,"USB anomaly","")
 )))</f>
        <v/>
      </c>
    </row>
    <row r="13" spans="1:40" x14ac:dyDescent="0.3">
      <c r="A13" t="s">
        <v>35</v>
      </c>
      <c r="B13">
        <v>0.12892249527410199</v>
      </c>
      <c r="C13">
        <v>0.18476582604220201</v>
      </c>
      <c r="D13">
        <v>0</v>
      </c>
      <c r="E13">
        <v>0</v>
      </c>
      <c r="F13">
        <v>0</v>
      </c>
      <c r="G13">
        <v>0.99370222578745304</v>
      </c>
      <c r="H13">
        <v>7</v>
      </c>
      <c r="I13">
        <v>7</v>
      </c>
      <c r="J13">
        <v>0.80182243213587101</v>
      </c>
      <c r="K13">
        <v>4.48613376835236E-2</v>
      </c>
      <c r="L13">
        <v>1.4287079731694199E-2</v>
      </c>
      <c r="M13">
        <v>1.7893217893217801E-2</v>
      </c>
      <c r="N13">
        <v>1.3481643531607799E-2</v>
      </c>
      <c r="O13">
        <v>1642</v>
      </c>
      <c r="P13">
        <v>0.61745931537598198</v>
      </c>
      <c r="Q13">
        <v>0.61748308145446895</v>
      </c>
      <c r="R13">
        <v>0</v>
      </c>
      <c r="S13">
        <v>0</v>
      </c>
      <c r="T13" t="s">
        <v>24</v>
      </c>
      <c r="U13">
        <v>1.48247978436657E-2</v>
      </c>
      <c r="V13">
        <v>0</v>
      </c>
      <c r="W13">
        <v>0</v>
      </c>
      <c r="X13">
        <v>0</v>
      </c>
      <c r="Y13">
        <v>0.17155251935250301</v>
      </c>
      <c r="Z13">
        <v>0.37586824663823198</v>
      </c>
      <c r="AA13">
        <v>0</v>
      </c>
      <c r="AB13">
        <v>3.701699897646904E-2</v>
      </c>
      <c r="AC13">
        <v>6.0709998942911616E-3</v>
      </c>
      <c r="AD13">
        <v>0.18527400493621829</v>
      </c>
      <c r="AE13">
        <v>1.0069999843835831E-3</v>
      </c>
      <c r="AF13">
        <f>0.16*X13 + 0.28*Y13 + 0.28*Z13 + 0.28*AA13</f>
        <v>0.15327781447740579</v>
      </c>
      <c r="AG13">
        <f t="shared" si="0"/>
        <v>5.9781281184405101E-2</v>
      </c>
      <c r="AH13">
        <f>IF(T13="IT_Admin", 0.25, IF(AND(T13="HR", AA13&gt;0.6), 0.25, IF(AND(T13="General", Z13&gt;0.7), 0.2, 0.1)))</f>
        <v>0.25</v>
      </c>
      <c r="AI13">
        <f>IF(V13&gt;0.7, 0.1,
 IF(F13&gt;0.5, 0.08,
 IF(E13&gt;0.5, 0.05,
 0)))</f>
        <v>0</v>
      </c>
      <c r="AJ13">
        <f t="shared" si="1"/>
        <v>8.7830241172305312E-2</v>
      </c>
      <c r="AK13">
        <f t="shared" si="2"/>
        <v>0.10978780146538164</v>
      </c>
      <c r="AL13" t="str">
        <f>IF(MAX(X13, Y13, Z13, AA13)&gt;0.9,
 "Critical",
 IF(AK13&lt;=0.2,"Very Low",
 IF(AK13&lt;=0.4,"Low",
 IF(AK13&lt;=0.6,"Medium",
 IF(AK13&lt;=0.8,"High","Critical")))))</f>
        <v>Very Low</v>
      </c>
      <c r="AM13" t="str">
        <f>IF(MAX(X13:AA13)&gt;0.9,"CRITICAL ALERT",
 IF(AK13&gt;0.8,"CRITICAL ALERT",
 IF(AK13&gt;0.6,"ALERT",
 IF(AK13&gt;=0.4,"REVIEW","NO ACTION"))))</f>
        <v>NO ACTION</v>
      </c>
      <c r="AN13" t="str">
        <f>IF(AM13="NO ACTION","",
 IF(_xlfn.TEXTJOIN(", ", TRUE,
  IF(X13&gt;0.7,"Login anomaly",""),
  IF(Y13&gt;0.7,"File anomaly",""),
  IF(Z13&gt;0.7,"Network anomaly",""),
  IF(AA13&gt;0.7,"USB anomaly","")
 )="",
 "General anomaly detected",
 _xlfn.TEXTJOIN(", ", TRUE,
  IF(X13&gt;0.7,"Login anomaly",""),
  IF(Y13&gt;0.7,"File anomaly",""),
  IF(Z13&gt;0.7,"Network anomaly",""),
  IF(AA13&gt;0.7,"USB anomaly","")
 )))</f>
        <v/>
      </c>
    </row>
    <row r="14" spans="1:40" x14ac:dyDescent="0.3">
      <c r="A14" t="s">
        <v>36</v>
      </c>
      <c r="B14">
        <v>0.12892249527410199</v>
      </c>
      <c r="C14">
        <v>0.26831211260041599</v>
      </c>
      <c r="D14">
        <v>7.4788307505895393E-2</v>
      </c>
      <c r="E14">
        <v>0</v>
      </c>
      <c r="F14">
        <v>0</v>
      </c>
      <c r="G14">
        <v>0.99368193966174001</v>
      </c>
      <c r="H14">
        <v>7</v>
      </c>
      <c r="I14">
        <v>8</v>
      </c>
      <c r="J14">
        <v>0.97271122560946499</v>
      </c>
      <c r="K14">
        <v>5.6280587275693301E-2</v>
      </c>
      <c r="L14">
        <v>1.4775658194475899E-2</v>
      </c>
      <c r="M14">
        <v>2.1356421356421299E-2</v>
      </c>
      <c r="N14">
        <v>1.32647734295277E-2</v>
      </c>
      <c r="O14">
        <v>1940</v>
      </c>
      <c r="P14">
        <v>0.74968434343434298</v>
      </c>
      <c r="Q14">
        <v>0.74967565482660603</v>
      </c>
      <c r="R14">
        <v>0</v>
      </c>
      <c r="S14">
        <v>0</v>
      </c>
      <c r="T14" t="s">
        <v>24</v>
      </c>
      <c r="U14">
        <v>1.5622641509433899E-2</v>
      </c>
      <c r="V14">
        <v>0</v>
      </c>
      <c r="W14">
        <v>0</v>
      </c>
      <c r="X14">
        <v>2.2436492251768601E-2</v>
      </c>
      <c r="Y14">
        <v>0.20590950624798901</v>
      </c>
      <c r="Z14">
        <v>0.45511651543241699</v>
      </c>
      <c r="AA14">
        <v>0</v>
      </c>
      <c r="AB14">
        <v>1.978600025177002E-2</v>
      </c>
      <c r="AC14">
        <v>9.8689999431371689E-3</v>
      </c>
      <c r="AD14">
        <v>0.30313399434089661</v>
      </c>
      <c r="AE14">
        <v>1.1129999766126279E-3</v>
      </c>
      <c r="AF14">
        <f>0.16*X14 + 0.28*Y14 + 0.28*Z14 + 0.28*AA14</f>
        <v>0.18867712483079668</v>
      </c>
      <c r="AG14">
        <f t="shared" si="0"/>
        <v>9.1118238433264206E-2</v>
      </c>
      <c r="AH14">
        <f>IF(T14="IT_Admin", 0.25, IF(AND(T14="HR", AA14&gt;0.6), 0.25, IF(AND(T14="General", Z14&gt;0.7), 0.2, 0.1)))</f>
        <v>0.25</v>
      </c>
      <c r="AI14">
        <f>IF(V14&gt;0.7, 0.1,
 IF(F14&gt;0.5, 0.08,
 IF(E14&gt;0.5, 0.05,
 0)))</f>
        <v>0</v>
      </c>
      <c r="AJ14">
        <f t="shared" si="1"/>
        <v>0.12038590435252394</v>
      </c>
      <c r="AK14">
        <f t="shared" si="2"/>
        <v>0.15048238044065493</v>
      </c>
      <c r="AL14" t="str">
        <f>IF(MAX(X14, Y14, Z14, AA14)&gt;0.9,
 "Critical",
 IF(AK14&lt;=0.2,"Very Low",
 IF(AK14&lt;=0.4,"Low",
 IF(AK14&lt;=0.6,"Medium",
 IF(AK14&lt;=0.8,"High","Critical")))))</f>
        <v>Very Low</v>
      </c>
      <c r="AM14" t="str">
        <f>IF(MAX(X14:AA14)&gt;0.9,"CRITICAL ALERT",
 IF(AK14&gt;0.8,"CRITICAL ALERT",
 IF(AK14&gt;0.6,"ALERT",
 IF(AK14&gt;=0.4,"REVIEW","NO ACTION"))))</f>
        <v>NO ACTION</v>
      </c>
      <c r="AN14" t="str">
        <f>IF(AM14="NO ACTION","",
 IF(_xlfn.TEXTJOIN(", ", TRUE,
  IF(X14&gt;0.7,"Login anomaly",""),
  IF(Y14&gt;0.7,"File anomaly",""),
  IF(Z14&gt;0.7,"Network anomaly",""),
  IF(AA14&gt;0.7,"USB anomaly","")
 )="",
 "General anomaly detected",
 _xlfn.TEXTJOIN(", ", TRUE,
  IF(X14&gt;0.7,"Login anomaly",""),
  IF(Y14&gt;0.7,"File anomaly",""),
  IF(Z14&gt;0.7,"Network anomaly",""),
  IF(AA14&gt;0.7,"USB anomaly","")
 )))</f>
        <v/>
      </c>
    </row>
    <row r="15" spans="1:40" x14ac:dyDescent="0.3">
      <c r="A15" t="s">
        <v>37</v>
      </c>
      <c r="B15">
        <v>0.14744801512287301</v>
      </c>
      <c r="C15">
        <v>0.43002604690532897</v>
      </c>
      <c r="D15">
        <v>0.45820096690366602</v>
      </c>
      <c r="E15">
        <v>0.34686971235194503</v>
      </c>
      <c r="F15">
        <v>9.6446700507614197E-2</v>
      </c>
      <c r="G15">
        <v>0.85123811356296897</v>
      </c>
      <c r="H15">
        <v>0</v>
      </c>
      <c r="I15">
        <v>23</v>
      </c>
      <c r="J15">
        <v>0.86198177567864098</v>
      </c>
      <c r="K15">
        <v>5.30179445350734E-2</v>
      </c>
      <c r="L15">
        <v>1.57066392249622E-2</v>
      </c>
      <c r="M15">
        <v>1.47186147186147E-2</v>
      </c>
      <c r="N15">
        <v>1.0315979230935199E-2</v>
      </c>
      <c r="O15">
        <v>1716</v>
      </c>
      <c r="P15">
        <v>0.66365039281705895</v>
      </c>
      <c r="Q15">
        <v>0.66366282127704301</v>
      </c>
      <c r="R15">
        <v>9.1445427728613499E-2</v>
      </c>
      <c r="S15">
        <v>1</v>
      </c>
      <c r="T15" t="s">
        <v>24</v>
      </c>
      <c r="U15">
        <v>2.1226415094339601E-2</v>
      </c>
      <c r="V15">
        <v>0</v>
      </c>
      <c r="W15">
        <v>4.9435049099567398E-2</v>
      </c>
      <c r="X15">
        <v>0.28009988397972901</v>
      </c>
      <c r="Y15">
        <v>0.18334446851748901</v>
      </c>
      <c r="Z15">
        <v>0.40231662738260898</v>
      </c>
      <c r="AA15">
        <v>9.1445427728613499E-2</v>
      </c>
      <c r="AB15">
        <v>0.19708999991416931</v>
      </c>
      <c r="AC15">
        <v>7.2759999893605709E-3</v>
      </c>
      <c r="AD15">
        <v>0.227744996547699</v>
      </c>
      <c r="AE15">
        <v>5.7757001370191567E-2</v>
      </c>
      <c r="AF15">
        <f>0.16*X15 + 0.28*Y15 + 0.28*Z15 + 0.28*AA15</f>
        <v>0.23440580805279587</v>
      </c>
      <c r="AG15">
        <f t="shared" si="0"/>
        <v>0.11351223940029742</v>
      </c>
      <c r="AH15">
        <f>IF(T15="IT_Admin", 0.25, IF(AND(T15="HR", AA15&gt;0.6), 0.25, IF(AND(T15="General", Z15&gt;0.7), 0.2, 0.1)))</f>
        <v>0.25</v>
      </c>
      <c r="AI15">
        <f>IF(V15&gt;0.7, 0.1,
 IF(F15&gt;0.5, 0.08,
 IF(E15&gt;0.5, 0.05,
 0)))</f>
        <v>0</v>
      </c>
      <c r="AJ15">
        <f t="shared" si="1"/>
        <v>0.14978030999604697</v>
      </c>
      <c r="AK15">
        <f t="shared" si="2"/>
        <v>0.18722538749505871</v>
      </c>
      <c r="AL15" t="str">
        <f>IF(MAX(X15, Y15, Z15, AA15)&gt;0.9,
 "Critical",
 IF(AK15&lt;=0.2,"Very Low",
 IF(AK15&lt;=0.4,"Low",
 IF(AK15&lt;=0.6,"Medium",
 IF(AK15&lt;=0.8,"High","Critical")))))</f>
        <v>Very Low</v>
      </c>
      <c r="AM15" t="str">
        <f>IF(MAX(X15:AA15)&gt;0.9,"CRITICAL ALERT",
 IF(AK15&gt;0.8,"CRITICAL ALERT",
 IF(AK15&gt;0.6,"ALERT",
 IF(AK15&gt;=0.4,"REVIEW","NO ACTION"))))</f>
        <v>NO ACTION</v>
      </c>
      <c r="AN15" t="str">
        <f>IF(AM15="NO ACTION","",
 IF(_xlfn.TEXTJOIN(", ", TRUE,
  IF(X15&gt;0.7,"Login anomaly",""),
  IF(Y15&gt;0.7,"File anomaly",""),
  IF(Z15&gt;0.7,"Network anomaly",""),
  IF(AA15&gt;0.7,"USB anomaly","")
 )="",
 "General anomaly detected",
 _xlfn.TEXTJOIN(", ", TRUE,
  IF(X15&gt;0.7,"Login anomaly",""),
  IF(Y15&gt;0.7,"File anomaly",""),
  IF(Z15&gt;0.7,"Network anomaly",""),
  IF(AA15&gt;0.7,"USB anomaly","")
 )))</f>
        <v/>
      </c>
    </row>
    <row r="16" spans="1:40" x14ac:dyDescent="0.3">
      <c r="A16" t="s">
        <v>38</v>
      </c>
      <c r="B16">
        <v>0.12892249527410199</v>
      </c>
      <c r="C16">
        <v>0</v>
      </c>
      <c r="D16">
        <v>0</v>
      </c>
      <c r="E16">
        <v>0</v>
      </c>
      <c r="F16">
        <v>1</v>
      </c>
      <c r="G16">
        <v>0.99365351767558296</v>
      </c>
      <c r="H16">
        <v>6</v>
      </c>
      <c r="I16">
        <v>6</v>
      </c>
      <c r="J16">
        <v>0.97204331854396198</v>
      </c>
      <c r="K16">
        <v>4.6492659053833603E-2</v>
      </c>
      <c r="L16">
        <v>1.22143633808608E-2</v>
      </c>
      <c r="M16">
        <v>1.6738816738816699E-2</v>
      </c>
      <c r="N16">
        <v>1.0403856311609E-2</v>
      </c>
      <c r="O16">
        <v>1894</v>
      </c>
      <c r="P16">
        <v>0.74273989898989901</v>
      </c>
      <c r="Q16">
        <v>0.74273291489883897</v>
      </c>
      <c r="R16">
        <v>0</v>
      </c>
      <c r="S16">
        <v>0</v>
      </c>
      <c r="T16" t="s">
        <v>24</v>
      </c>
      <c r="U16">
        <v>1.64055004796929E-2</v>
      </c>
      <c r="V16">
        <v>0</v>
      </c>
      <c r="W16">
        <v>0</v>
      </c>
      <c r="X16">
        <v>0.4</v>
      </c>
      <c r="Y16">
        <v>0.20363700229270501</v>
      </c>
      <c r="Z16">
        <v>0.44980548191858299</v>
      </c>
      <c r="AA16">
        <v>0</v>
      </c>
      <c r="AB16">
        <v>0.11856599897146219</v>
      </c>
      <c r="AC16">
        <v>9.254000149667263E-3</v>
      </c>
      <c r="AD16">
        <v>0.2947390079498291</v>
      </c>
      <c r="AE16">
        <v>8.609999786131084E-4</v>
      </c>
      <c r="AF16">
        <f>0.16*X16 + 0.28*Y16 + 0.28*Z16 + 0.28*AA16</f>
        <v>0.24696389557916065</v>
      </c>
      <c r="AG16">
        <f t="shared" si="0"/>
        <v>0.10432968209730462</v>
      </c>
      <c r="AH16">
        <f>IF(T16="IT_Admin", 0.25, IF(AND(T16="HR", AA16&gt;0.6), 0.25, IF(AND(T16="General", Z16&gt;0.7), 0.2, 0.1)))</f>
        <v>0.25</v>
      </c>
      <c r="AI16">
        <f>IF(V16&gt;0.7, 0.1,
 IF(F16&gt;0.5, 0.08,
 IF(E16&gt;0.5, 0.05,
 0)))</f>
        <v>0.08</v>
      </c>
      <c r="AJ16">
        <f t="shared" si="1"/>
        <v>0.14711994614186141</v>
      </c>
      <c r="AK16">
        <f t="shared" si="2"/>
        <v>0.19566952836867568</v>
      </c>
      <c r="AL16" t="str">
        <f>IF(MAX(X16, Y16, Z16, AA16)&gt;0.9,
 "Critical",
 IF(AK16&lt;=0.2,"Very Low",
 IF(AK16&lt;=0.4,"Low",
 IF(AK16&lt;=0.6,"Medium",
 IF(AK16&lt;=0.8,"High","Critical")))))</f>
        <v>Very Low</v>
      </c>
      <c r="AM16" t="str">
        <f>IF(MAX(X16:AA16)&gt;0.9,"CRITICAL ALERT",
 IF(AK16&gt;0.8,"CRITICAL ALERT",
 IF(AK16&gt;0.6,"ALERT",
 IF(AK16&gt;=0.4,"REVIEW","NO ACTION"))))</f>
        <v>NO ACTION</v>
      </c>
      <c r="AN16" t="str">
        <f>IF(AM16="NO ACTION","",
 IF(_xlfn.TEXTJOIN(", ", TRUE,
  IF(X16&gt;0.7,"Login anomaly",""),
  IF(Y16&gt;0.7,"File anomaly",""),
  IF(Z16&gt;0.7,"Network anomaly",""),
  IF(AA16&gt;0.7,"USB anomaly","")
 )="",
 "General anomaly detected",
 _xlfn.TEXTJOIN(", ", TRUE,
  IF(X16&gt;0.7,"Login anomaly",""),
  IF(Y16&gt;0.7,"File anomaly",""),
  IF(Z16&gt;0.7,"Network anomaly",""),
  IF(AA16&gt;0.7,"USB anomaly","")
 )))</f>
        <v/>
      </c>
    </row>
    <row r="17" spans="1:40" x14ac:dyDescent="0.3">
      <c r="A17" t="s">
        <v>39</v>
      </c>
      <c r="B17">
        <v>0.153875236294896</v>
      </c>
      <c r="C17">
        <v>0.30839259529185098</v>
      </c>
      <c r="D17">
        <v>0.27518141164861498</v>
      </c>
      <c r="E17">
        <v>0</v>
      </c>
      <c r="F17">
        <v>0</v>
      </c>
      <c r="G17">
        <v>0.80980614878373802</v>
      </c>
      <c r="H17">
        <v>7</v>
      </c>
      <c r="I17">
        <v>16</v>
      </c>
      <c r="J17">
        <v>0.79829206621821402</v>
      </c>
      <c r="K17">
        <v>3.9967373572593799E-2</v>
      </c>
      <c r="L17">
        <v>1.27847628564431E-2</v>
      </c>
      <c r="M17">
        <v>1.7027417027416999E-2</v>
      </c>
      <c r="N17">
        <v>1.28860253008896E-2</v>
      </c>
      <c r="O17">
        <v>1651</v>
      </c>
      <c r="P17">
        <v>0.61233866442199703</v>
      </c>
      <c r="Q17">
        <v>0.61236368736631697</v>
      </c>
      <c r="R17">
        <v>0.76106194690265405</v>
      </c>
      <c r="S17">
        <v>1</v>
      </c>
      <c r="T17" t="s">
        <v>24</v>
      </c>
      <c r="U17">
        <v>1.38679245283018E-2</v>
      </c>
      <c r="V17">
        <v>0</v>
      </c>
      <c r="W17">
        <v>0</v>
      </c>
      <c r="X17">
        <v>8.2554423494584694E-2</v>
      </c>
      <c r="Y17">
        <v>0.16991660226213101</v>
      </c>
      <c r="Z17">
        <v>0.37255760877355398</v>
      </c>
      <c r="AA17">
        <v>0.76106194690265405</v>
      </c>
      <c r="AB17">
        <v>8.3910003304481506E-3</v>
      </c>
      <c r="AC17">
        <v>5.7810000143945217E-3</v>
      </c>
      <c r="AD17">
        <v>0.18395000696182251</v>
      </c>
      <c r="AE17">
        <v>0.60022598505020142</v>
      </c>
      <c r="AF17">
        <f>0.16*X17 + 0.28*Y17 + 0.28*Z17 + 0.28*AA17</f>
        <v>0.37819883198186854</v>
      </c>
      <c r="AG17">
        <f t="shared" si="0"/>
        <v>0.22253051782026889</v>
      </c>
      <c r="AH17">
        <f>IF(T17="IT_Admin", 0.25, IF(AND(T17="HR", AA17&gt;0.6), 0.25, IF(AND(T17="General", Z17&gt;0.7), 0.2, 0.1)))</f>
        <v>0.25</v>
      </c>
      <c r="AI17">
        <f>IF(V17&gt;0.7, 0.1,
 IF(F17&gt;0.5, 0.08,
 IF(E17&gt;0.5, 0.05,
 0)))</f>
        <v>0</v>
      </c>
      <c r="AJ17">
        <f t="shared" si="1"/>
        <v>0.26923101206874878</v>
      </c>
      <c r="AK17">
        <f t="shared" si="2"/>
        <v>0.33653876508593594</v>
      </c>
      <c r="AL17" t="str">
        <f>IF(MAX(X17, Y17, Z17, AA17)&gt;0.9,
 "Critical",
 IF(AK17&lt;=0.2,"Very Low",
 IF(AK17&lt;=0.4,"Low",
 IF(AK17&lt;=0.6,"Medium",
 IF(AK17&lt;=0.8,"High","Critical")))))</f>
        <v>Low</v>
      </c>
      <c r="AM17" t="str">
        <f>IF(MAX(X17:AA17)&gt;0.9,"CRITICAL ALERT",
 IF(AK17&gt;0.8,"CRITICAL ALERT",
 IF(AK17&gt;0.6,"ALERT",
 IF(AK17&gt;=0.4,"REVIEW","NO ACTION"))))</f>
        <v>NO ACTION</v>
      </c>
      <c r="AN17" t="str">
        <f>IF(AM17="NO ACTION","",
 IF(_xlfn.TEXTJOIN(", ", TRUE,
  IF(X17&gt;0.7,"Login anomaly",""),
  IF(Y17&gt;0.7,"File anomaly",""),
  IF(Z17&gt;0.7,"Network anomaly",""),
  IF(AA17&gt;0.7,"USB anomaly","")
 )="",
 "General anomaly detected",
 _xlfn.TEXTJOIN(", ", TRUE,
  IF(X17&gt;0.7,"Login anomaly",""),
  IF(Y17&gt;0.7,"File anomaly",""),
  IF(Z17&gt;0.7,"Network anomaly",""),
  IF(AA17&gt;0.7,"USB anomaly","")
 )))</f>
        <v/>
      </c>
    </row>
    <row r="18" spans="1:40" x14ac:dyDescent="0.3">
      <c r="A18" t="s">
        <v>40</v>
      </c>
      <c r="B18">
        <v>0.12892249527410199</v>
      </c>
      <c r="C18">
        <v>0.18476582604220201</v>
      </c>
      <c r="D18">
        <v>0</v>
      </c>
      <c r="E18">
        <v>0</v>
      </c>
      <c r="F18">
        <v>0</v>
      </c>
      <c r="G18">
        <v>0.99367449963146504</v>
      </c>
      <c r="H18">
        <v>7</v>
      </c>
      <c r="I18">
        <v>7</v>
      </c>
      <c r="J18">
        <v>0.88244835647154196</v>
      </c>
      <c r="K18">
        <v>5.1386623164763397E-2</v>
      </c>
      <c r="L18">
        <v>1.4870378848775401E-2</v>
      </c>
      <c r="M18">
        <v>1.9624819624819601E-2</v>
      </c>
      <c r="N18">
        <v>1.3435714527488299E-2</v>
      </c>
      <c r="O18">
        <v>1720</v>
      </c>
      <c r="P18">
        <v>0.68038019079685697</v>
      </c>
      <c r="Q18">
        <v>0.68038851292121005</v>
      </c>
      <c r="R18">
        <v>0</v>
      </c>
      <c r="S18">
        <v>0</v>
      </c>
      <c r="T18" t="s">
        <v>24</v>
      </c>
      <c r="U18">
        <v>1.55045118949958E-2</v>
      </c>
      <c r="V18">
        <v>0</v>
      </c>
      <c r="W18">
        <v>0</v>
      </c>
      <c r="X18">
        <v>0</v>
      </c>
      <c r="Y18">
        <v>0.18795557507694199</v>
      </c>
      <c r="Z18">
        <v>0.413602400289109</v>
      </c>
      <c r="AA18">
        <v>0</v>
      </c>
      <c r="AB18">
        <v>3.711400181055069E-2</v>
      </c>
      <c r="AC18">
        <v>7.7940002083778381E-3</v>
      </c>
      <c r="AD18">
        <v>0.2377399951219559</v>
      </c>
      <c r="AE18">
        <v>1.060000038705766E-3</v>
      </c>
      <c r="AF18">
        <f>0.16*X18 + 0.28*Y18 + 0.28*Z18 + 0.28*AA18</f>
        <v>0.16843623310249428</v>
      </c>
      <c r="AG18">
        <f t="shared" si="0"/>
        <v>7.4984558993019174E-2</v>
      </c>
      <c r="AH18">
        <f>IF(T18="IT_Admin", 0.25, IF(AND(T18="HR", AA18&gt;0.6), 0.25, IF(AND(T18="General", Z18&gt;0.7), 0.2, 0.1)))</f>
        <v>0.25</v>
      </c>
      <c r="AI18">
        <f>IF(V18&gt;0.7, 0.1,
 IF(F18&gt;0.5, 0.08,
 IF(E18&gt;0.5, 0.05,
 0)))</f>
        <v>0</v>
      </c>
      <c r="AJ18">
        <f t="shared" si="1"/>
        <v>0.1030200612258617</v>
      </c>
      <c r="AK18">
        <f t="shared" si="2"/>
        <v>0.12877507653232712</v>
      </c>
      <c r="AL18" t="str">
        <f>IF(MAX(X18, Y18, Z18, AA18)&gt;0.9,
 "Critical",
 IF(AK18&lt;=0.2,"Very Low",
 IF(AK18&lt;=0.4,"Low",
 IF(AK18&lt;=0.6,"Medium",
 IF(AK18&lt;=0.8,"High","Critical")))))</f>
        <v>Very Low</v>
      </c>
      <c r="AM18" t="str">
        <f>IF(MAX(X18:AA18)&gt;0.9,"CRITICAL ALERT",
 IF(AK18&gt;0.8,"CRITICAL ALERT",
 IF(AK18&gt;0.6,"ALERT",
 IF(AK18&gt;=0.4,"REVIEW","NO ACTION"))))</f>
        <v>NO ACTION</v>
      </c>
      <c r="AN18" t="str">
        <f>IF(AM18="NO ACTION","",
 IF(_xlfn.TEXTJOIN(", ", TRUE,
  IF(X18&gt;0.7,"Login anomaly",""),
  IF(Y18&gt;0.7,"File anomaly",""),
  IF(Z18&gt;0.7,"Network anomaly",""),
  IF(AA18&gt;0.7,"USB anomaly","")
 )="",
 "General anomaly detected",
 _xlfn.TEXTJOIN(", ", TRUE,
  IF(X18&gt;0.7,"Login anomaly",""),
  IF(Y18&gt;0.7,"File anomaly",""),
  IF(Z18&gt;0.7,"Network anomaly",""),
  IF(AA18&gt;0.7,"USB anomaly","")
 )))</f>
        <v/>
      </c>
    </row>
    <row r="19" spans="1:40" x14ac:dyDescent="0.3">
      <c r="A19" t="s">
        <v>41</v>
      </c>
      <c r="B19">
        <v>0.12892249527410199</v>
      </c>
      <c r="C19">
        <v>0.46057568230809898</v>
      </c>
      <c r="D19">
        <v>7.5124914167671697E-2</v>
      </c>
      <c r="E19">
        <v>0</v>
      </c>
      <c r="F19">
        <v>0</v>
      </c>
      <c r="G19">
        <v>0.99368753306579505</v>
      </c>
      <c r="H19">
        <v>8</v>
      </c>
      <c r="I19">
        <v>9</v>
      </c>
      <c r="J19">
        <v>0.78498163255569797</v>
      </c>
      <c r="K19">
        <v>4.07830342577487E-2</v>
      </c>
      <c r="L19">
        <v>1.32668164115374E-2</v>
      </c>
      <c r="M19">
        <v>3.7518037518037501E-3</v>
      </c>
      <c r="N19">
        <v>2.8874231802720699E-3</v>
      </c>
      <c r="O19">
        <v>1537</v>
      </c>
      <c r="P19">
        <v>0.59645061728394999</v>
      </c>
      <c r="Q19">
        <v>0.59647953995581804</v>
      </c>
      <c r="R19">
        <v>0</v>
      </c>
      <c r="S19">
        <v>0</v>
      </c>
      <c r="T19" t="s">
        <v>24</v>
      </c>
      <c r="U19">
        <v>6.0646900269541698E-2</v>
      </c>
      <c r="V19">
        <v>0</v>
      </c>
      <c r="W19">
        <v>0</v>
      </c>
      <c r="X19">
        <v>2.25374742503015E-2</v>
      </c>
      <c r="Y19">
        <v>0.16449596167099001</v>
      </c>
      <c r="Z19">
        <v>0.35902533964247901</v>
      </c>
      <c r="AA19">
        <v>0</v>
      </c>
      <c r="AB19">
        <v>1.3806000351905819E-2</v>
      </c>
      <c r="AC19">
        <v>5.4130000062286854E-3</v>
      </c>
      <c r="AD19">
        <v>0.1676599979400635</v>
      </c>
      <c r="AE19">
        <v>9.2600000789389014E-4</v>
      </c>
      <c r="AF19">
        <f>0.16*X19 + 0.28*Y19 + 0.28*Z19 + 0.28*AA19</f>
        <v>0.15019196024781958</v>
      </c>
      <c r="AG19">
        <f t="shared" si="0"/>
        <v>5.0928679483477034E-2</v>
      </c>
      <c r="AH19">
        <f>IF(T19="IT_Admin", 0.25, IF(AND(T19="HR", AA19&gt;0.6), 0.25, IF(AND(T19="General", Z19&gt;0.7), 0.2, 0.1)))</f>
        <v>0.25</v>
      </c>
      <c r="AI19">
        <f>IF(V19&gt;0.7, 0.1,
 IF(F19&gt;0.5, 0.08,
 IF(E19&gt;0.5, 0.05,
 0)))</f>
        <v>0</v>
      </c>
      <c r="AJ19">
        <f t="shared" si="1"/>
        <v>8.0707663712779792E-2</v>
      </c>
      <c r="AK19">
        <f t="shared" si="2"/>
        <v>0.10088457964097475</v>
      </c>
      <c r="AL19" t="str">
        <f>IF(MAX(X19, Y19, Z19, AA19)&gt;0.9,
 "Critical",
 IF(AK19&lt;=0.2,"Very Low",
 IF(AK19&lt;=0.4,"Low",
 IF(AK19&lt;=0.6,"Medium",
 IF(AK19&lt;=0.8,"High","Critical")))))</f>
        <v>Very Low</v>
      </c>
      <c r="AM19" t="str">
        <f>IF(MAX(X19:AA19)&gt;0.9,"CRITICAL ALERT",
 IF(AK19&gt;0.8,"CRITICAL ALERT",
 IF(AK19&gt;0.6,"ALERT",
 IF(AK19&gt;=0.4,"REVIEW","NO ACTION"))))</f>
        <v>NO ACTION</v>
      </c>
      <c r="AN19" t="str">
        <f>IF(AM19="NO ACTION","",
 IF(_xlfn.TEXTJOIN(", ", TRUE,
  IF(X19&gt;0.7,"Login anomaly",""),
  IF(Y19&gt;0.7,"File anomaly",""),
  IF(Z19&gt;0.7,"Network anomaly",""),
  IF(AA19&gt;0.7,"USB anomaly","")
 )="",
 "General anomaly detected",
 _xlfn.TEXTJOIN(", ", TRUE,
  IF(X19&gt;0.7,"Login anomaly",""),
  IF(Y19&gt;0.7,"File anomaly",""),
  IF(Z19&gt;0.7,"Network anomaly",""),
  IF(AA19&gt;0.7,"USB anomaly","")
 )))</f>
        <v/>
      </c>
    </row>
    <row r="20" spans="1:40" x14ac:dyDescent="0.3">
      <c r="A20" t="s">
        <v>42</v>
      </c>
      <c r="B20">
        <v>0.12892249527410199</v>
      </c>
      <c r="C20">
        <v>0.36953165208440503</v>
      </c>
      <c r="D20">
        <v>0</v>
      </c>
      <c r="E20">
        <v>0</v>
      </c>
      <c r="F20">
        <v>0</v>
      </c>
      <c r="G20">
        <v>0.99367112753141196</v>
      </c>
      <c r="H20">
        <v>8</v>
      </c>
      <c r="I20">
        <v>8</v>
      </c>
      <c r="J20">
        <v>0.86937646104670496</v>
      </c>
      <c r="K20">
        <v>4.7308319738988497E-2</v>
      </c>
      <c r="L20">
        <v>1.3895978512633999E-2</v>
      </c>
      <c r="M20">
        <v>4.9062049062049001E-3</v>
      </c>
      <c r="N20">
        <v>3.40941943970252E-3</v>
      </c>
      <c r="O20">
        <v>1688</v>
      </c>
      <c r="P20">
        <v>0.66186167227833903</v>
      </c>
      <c r="Q20">
        <v>0.66187453978049704</v>
      </c>
      <c r="R20">
        <v>0</v>
      </c>
      <c r="S20">
        <v>0</v>
      </c>
      <c r="T20" t="s">
        <v>24</v>
      </c>
      <c r="U20">
        <v>5.4716981132075397E-2</v>
      </c>
      <c r="V20">
        <v>0</v>
      </c>
      <c r="W20">
        <v>0</v>
      </c>
      <c r="X20">
        <v>0</v>
      </c>
      <c r="Y20">
        <v>0.181846107297568</v>
      </c>
      <c r="Z20">
        <v>0.39848077114288399</v>
      </c>
      <c r="AA20">
        <v>0</v>
      </c>
      <c r="AB20">
        <v>2.536500059068203E-2</v>
      </c>
      <c r="AC20">
        <v>7.0199999026954174E-3</v>
      </c>
      <c r="AD20">
        <v>0.21984900534152979</v>
      </c>
      <c r="AE20">
        <v>1.030000043101609E-3</v>
      </c>
      <c r="AF20">
        <f>0.16*X20 + 0.28*Y20 + 0.28*Z20 + 0.28*AA20</f>
        <v>0.16249152596332658</v>
      </c>
      <c r="AG20">
        <f t="shared" si="0"/>
        <v>6.787012157496064E-2</v>
      </c>
      <c r="AH20">
        <f>IF(T20="IT_Admin", 0.25, IF(AND(T20="HR", AA20&gt;0.6), 0.25, IF(AND(T20="General", Z20&gt;0.7), 0.2, 0.1)))</f>
        <v>0.25</v>
      </c>
      <c r="AI20">
        <f>IF(V20&gt;0.7, 0.1,
 IF(F20&gt;0.5, 0.08,
 IF(E20&gt;0.5, 0.05,
 0)))</f>
        <v>0</v>
      </c>
      <c r="AJ20">
        <f t="shared" si="1"/>
        <v>9.6256542891470426E-2</v>
      </c>
      <c r="AK20">
        <f t="shared" si="2"/>
        <v>0.12032067861433804</v>
      </c>
      <c r="AL20" t="str">
        <f>IF(MAX(X20, Y20, Z20, AA20)&gt;0.9,
 "Critical",
 IF(AK20&lt;=0.2,"Very Low",
 IF(AK20&lt;=0.4,"Low",
 IF(AK20&lt;=0.6,"Medium",
 IF(AK20&lt;=0.8,"High","Critical")))))</f>
        <v>Very Low</v>
      </c>
      <c r="AM20" t="str">
        <f>IF(MAX(X20:AA20)&gt;0.9,"CRITICAL ALERT",
 IF(AK20&gt;0.8,"CRITICAL ALERT",
 IF(AK20&gt;0.6,"ALERT",
 IF(AK20&gt;=0.4,"REVIEW","NO ACTION"))))</f>
        <v>NO ACTION</v>
      </c>
      <c r="AN20" t="str">
        <f>IF(AM20="NO ACTION","",
 IF(_xlfn.TEXTJOIN(", ", TRUE,
  IF(X20&gt;0.7,"Login anomaly",""),
  IF(Y20&gt;0.7,"File anomaly",""),
  IF(Z20&gt;0.7,"Network anomaly",""),
  IF(AA20&gt;0.7,"USB anomaly","")
 )="",
 "General anomaly detected",
 _xlfn.TEXTJOIN(", ", TRUE,
  IF(X20&gt;0.7,"Login anomaly",""),
  IF(Y20&gt;0.7,"File anomaly",""),
  IF(Z20&gt;0.7,"Network anomaly",""),
  IF(AA20&gt;0.7,"USB anomaly","")
 )))</f>
        <v/>
      </c>
    </row>
    <row r="21" spans="1:40" x14ac:dyDescent="0.3">
      <c r="A21" t="s">
        <v>43</v>
      </c>
      <c r="B21">
        <v>0.12892249527410199</v>
      </c>
      <c r="C21">
        <v>0.36953165208440503</v>
      </c>
      <c r="D21">
        <v>0</v>
      </c>
      <c r="E21">
        <v>0</v>
      </c>
      <c r="F21">
        <v>0</v>
      </c>
      <c r="G21">
        <v>0.99367393761478995</v>
      </c>
      <c r="H21">
        <v>8</v>
      </c>
      <c r="I21">
        <v>8</v>
      </c>
      <c r="J21">
        <v>0.59978054482133403</v>
      </c>
      <c r="K21">
        <v>3.2626427406198998E-2</v>
      </c>
      <c r="L21">
        <v>1.3889387378070699E-2</v>
      </c>
      <c r="M21">
        <v>4.0404040404040404E-3</v>
      </c>
      <c r="N21">
        <v>4.0693168466087197E-3</v>
      </c>
      <c r="O21">
        <v>1218</v>
      </c>
      <c r="P21">
        <v>0.456930415263748</v>
      </c>
      <c r="Q21">
        <v>0.45699358322521799</v>
      </c>
      <c r="R21">
        <v>0</v>
      </c>
      <c r="S21">
        <v>0</v>
      </c>
      <c r="T21" t="s">
        <v>24</v>
      </c>
      <c r="U21">
        <v>4.5283018867924497E-2</v>
      </c>
      <c r="V21">
        <v>0</v>
      </c>
      <c r="W21">
        <v>0</v>
      </c>
      <c r="X21">
        <v>0</v>
      </c>
      <c r="Y21">
        <v>0.12812159770728401</v>
      </c>
      <c r="Z21">
        <v>0.27578597589689202</v>
      </c>
      <c r="AA21">
        <v>0</v>
      </c>
      <c r="AB21">
        <v>2.481699921190739E-2</v>
      </c>
      <c r="AC21">
        <v>2.566999988630414E-3</v>
      </c>
      <c r="AD21">
        <v>7.9957999289035797E-2</v>
      </c>
      <c r="AE21">
        <v>9.6999999368563294E-4</v>
      </c>
      <c r="AF21">
        <f>0.16*X21 + 0.28*Y21 + 0.28*Z21 + 0.28*AA21</f>
        <v>0.11309412060916929</v>
      </c>
      <c r="AG21">
        <f t="shared" si="0"/>
        <v>2.7349319669883701E-2</v>
      </c>
      <c r="AH21">
        <f>IF(T21="IT_Admin", 0.25, IF(AND(T21="HR", AA21&gt;0.6), 0.25, IF(AND(T21="General", Z21&gt;0.7), 0.2, 0.1)))</f>
        <v>0.25</v>
      </c>
      <c r="AI21">
        <f>IF(V21&gt;0.7, 0.1,
 IF(F21&gt;0.5, 0.08,
 IF(E21&gt;0.5, 0.05,
 0)))</f>
        <v>0</v>
      </c>
      <c r="AJ21">
        <f t="shared" si="1"/>
        <v>5.3072759951669379E-2</v>
      </c>
      <c r="AK21">
        <f t="shared" si="2"/>
        <v>6.6340949939586724E-2</v>
      </c>
      <c r="AL21" t="str">
        <f>IF(MAX(X21, Y21, Z21, AA21)&gt;0.9,
 "Critical",
 IF(AK21&lt;=0.2,"Very Low",
 IF(AK21&lt;=0.4,"Low",
 IF(AK21&lt;=0.6,"Medium",
 IF(AK21&lt;=0.8,"High","Critical")))))</f>
        <v>Very Low</v>
      </c>
      <c r="AM21" t="str">
        <f>IF(MAX(X21:AA21)&gt;0.9,"CRITICAL ALERT",
 IF(AK21&gt;0.8,"CRITICAL ALERT",
 IF(AK21&gt;0.6,"ALERT",
 IF(AK21&gt;=0.4,"REVIEW","NO ACTION"))))</f>
        <v>NO ACTION</v>
      </c>
      <c r="AN21" t="str">
        <f>IF(AM21="NO ACTION","",
 IF(_xlfn.TEXTJOIN(", ", TRUE,
  IF(X21&gt;0.7,"Login anomaly",""),
  IF(Y21&gt;0.7,"File anomaly",""),
  IF(Z21&gt;0.7,"Network anomaly",""),
  IF(AA21&gt;0.7,"USB anomaly","")
 )="",
 "General anomaly detected",
 _xlfn.TEXTJOIN(", ", TRUE,
  IF(X21&gt;0.7,"Login anomaly",""),
  IF(Y21&gt;0.7,"File anomaly",""),
  IF(Z21&gt;0.7,"Network anomaly",""),
  IF(AA21&gt;0.7,"USB anomaly","")
 )))</f>
        <v/>
      </c>
    </row>
    <row r="22" spans="1:40" x14ac:dyDescent="0.3">
      <c r="A22" t="s">
        <v>44</v>
      </c>
      <c r="B22">
        <v>0.12892249527410199</v>
      </c>
      <c r="C22">
        <v>0.18476582604220201</v>
      </c>
      <c r="D22">
        <v>0</v>
      </c>
      <c r="E22">
        <v>0</v>
      </c>
      <c r="F22">
        <v>0</v>
      </c>
      <c r="G22">
        <v>0.99368683723562601</v>
      </c>
      <c r="H22">
        <v>7</v>
      </c>
      <c r="I22">
        <v>7</v>
      </c>
      <c r="J22">
        <v>0.77644196364677198</v>
      </c>
      <c r="K22">
        <v>3.0995106035889002E-2</v>
      </c>
      <c r="L22">
        <v>1.01936415111361E-2</v>
      </c>
      <c r="M22">
        <v>3.7518037518037501E-3</v>
      </c>
      <c r="N22">
        <v>2.9191706464433702E-3</v>
      </c>
      <c r="O22">
        <v>1528</v>
      </c>
      <c r="P22">
        <v>0.58596380471380405</v>
      </c>
      <c r="Q22">
        <v>0.58599530137802802</v>
      </c>
      <c r="R22">
        <v>0</v>
      </c>
      <c r="S22">
        <v>0</v>
      </c>
      <c r="T22" t="s">
        <v>24</v>
      </c>
      <c r="U22">
        <v>4.6091644204851699E-2</v>
      </c>
      <c r="V22">
        <v>0</v>
      </c>
      <c r="W22">
        <v>0</v>
      </c>
      <c r="X22">
        <v>0</v>
      </c>
      <c r="Y22">
        <v>0.16126096467885501</v>
      </c>
      <c r="Z22">
        <v>0.35274595108686002</v>
      </c>
      <c r="AA22">
        <v>0</v>
      </c>
      <c r="AB22">
        <v>3.6933001130819321E-2</v>
      </c>
      <c r="AC22">
        <v>4.8270002007484436E-3</v>
      </c>
      <c r="AD22">
        <v>0.15993200242519379</v>
      </c>
      <c r="AE22">
        <v>9.6700002904981375E-4</v>
      </c>
      <c r="AF22">
        <f>0.16*X22 + 0.28*Y22 + 0.28*Z22 + 0.28*AA22</f>
        <v>0.14392193641440021</v>
      </c>
      <c r="AG22">
        <f t="shared" si="0"/>
        <v>5.2312560924328871E-2</v>
      </c>
      <c r="AH22">
        <f>IF(T22="IT_Admin", 0.25, IF(AND(T22="HR", AA22&gt;0.6), 0.25, IF(AND(T22="General", Z22&gt;0.7), 0.2, 0.1)))</f>
        <v>0.25</v>
      </c>
      <c r="AI22">
        <f>IF(V22&gt;0.7, 0.1,
 IF(F22&gt;0.5, 0.08,
 IF(E22&gt;0.5, 0.05,
 0)))</f>
        <v>0</v>
      </c>
      <c r="AJ22">
        <f t="shared" si="1"/>
        <v>7.9795373571350275E-2</v>
      </c>
      <c r="AK22">
        <f t="shared" si="2"/>
        <v>9.9744216964187837E-2</v>
      </c>
      <c r="AL22" t="str">
        <f>IF(MAX(X22, Y22, Z22, AA22)&gt;0.9,
 "Critical",
 IF(AK22&lt;=0.2,"Very Low",
 IF(AK22&lt;=0.4,"Low",
 IF(AK22&lt;=0.6,"Medium",
 IF(AK22&lt;=0.8,"High","Critical")))))</f>
        <v>Very Low</v>
      </c>
      <c r="AM22" t="str">
        <f>IF(MAX(X22:AA22)&gt;0.9,"CRITICAL ALERT",
 IF(AK22&gt;0.8,"CRITICAL ALERT",
 IF(AK22&gt;0.6,"ALERT",
 IF(AK22&gt;=0.4,"REVIEW","NO ACTION"))))</f>
        <v>NO ACTION</v>
      </c>
      <c r="AN22" t="str">
        <f>IF(AM22="NO ACTION","",
 IF(_xlfn.TEXTJOIN(", ", TRUE,
  IF(X22&gt;0.7,"Login anomaly",""),
  IF(Y22&gt;0.7,"File anomaly",""),
  IF(Z22&gt;0.7,"Network anomaly",""),
  IF(AA22&gt;0.7,"USB anomaly","")
 )="",
 "General anomaly detected",
 _xlfn.TEXTJOIN(", ", TRUE,
  IF(X22&gt;0.7,"Login anomaly",""),
  IF(Y22&gt;0.7,"File anomaly",""),
  IF(Z22&gt;0.7,"Network anomaly",""),
  IF(AA22&gt;0.7,"USB anomaly","")
 )))</f>
        <v/>
      </c>
    </row>
    <row r="23" spans="1:40" x14ac:dyDescent="0.3">
      <c r="A23" t="s">
        <v>45</v>
      </c>
      <c r="B23">
        <v>0.12892249527410199</v>
      </c>
      <c r="C23">
        <v>0.36953165208440503</v>
      </c>
      <c r="D23">
        <v>0</v>
      </c>
      <c r="E23">
        <v>0</v>
      </c>
      <c r="F23">
        <v>0</v>
      </c>
      <c r="G23">
        <v>0.99368627521895003</v>
      </c>
      <c r="H23">
        <v>8</v>
      </c>
      <c r="I23">
        <v>8</v>
      </c>
      <c r="J23">
        <v>1</v>
      </c>
      <c r="K23">
        <v>3.9967373572593799E-2</v>
      </c>
      <c r="L23">
        <v>1.02065897496491E-2</v>
      </c>
      <c r="M23">
        <v>1.4430014430014401E-2</v>
      </c>
      <c r="N23">
        <v>8.7181623955448206E-3</v>
      </c>
      <c r="O23">
        <v>1812</v>
      </c>
      <c r="P23">
        <v>0.75936447811447805</v>
      </c>
      <c r="Q23">
        <v>0.75935341351379704</v>
      </c>
      <c r="R23">
        <v>0</v>
      </c>
      <c r="S23">
        <v>0</v>
      </c>
      <c r="T23" t="s">
        <v>24</v>
      </c>
      <c r="U23">
        <v>1.6315205327413901E-2</v>
      </c>
      <c r="V23">
        <v>0</v>
      </c>
      <c r="W23">
        <v>0</v>
      </c>
      <c r="X23">
        <v>0</v>
      </c>
      <c r="Y23">
        <v>0.20771874359348799</v>
      </c>
      <c r="Z23">
        <v>0.459105951826904</v>
      </c>
      <c r="AA23">
        <v>0</v>
      </c>
      <c r="AB23">
        <v>2.5617999956011769E-2</v>
      </c>
      <c r="AC23">
        <v>9.5100002363324165E-3</v>
      </c>
      <c r="AD23">
        <v>0.31189599633216858</v>
      </c>
      <c r="AE23">
        <v>1.109999953769147E-3</v>
      </c>
      <c r="AF23">
        <f>0.16*X23 + 0.28*Y23 + 0.28*Z23 + 0.28*AA23</f>
        <v>0.18671091471770979</v>
      </c>
      <c r="AG23">
        <f t="shared" si="0"/>
        <v>9.4403359019197525E-2</v>
      </c>
      <c r="AH23">
        <f>IF(T23="IT_Admin", 0.25, IF(AND(T23="HR", AA23&gt;0.6), 0.25, IF(AND(T23="General", Z23&gt;0.7), 0.2, 0.1)))</f>
        <v>0.25</v>
      </c>
      <c r="AI23">
        <f>IF(V23&gt;0.7, 0.1,
 IF(F23&gt;0.5, 0.08,
 IF(E23&gt;0.5, 0.05,
 0)))</f>
        <v>0</v>
      </c>
      <c r="AJ23">
        <f t="shared" si="1"/>
        <v>0.12209562572875118</v>
      </c>
      <c r="AK23">
        <f t="shared" si="2"/>
        <v>0.15261953216093899</v>
      </c>
      <c r="AL23" t="str">
        <f>IF(MAX(X23, Y23, Z23, AA23)&gt;0.9,
 "Critical",
 IF(AK23&lt;=0.2,"Very Low",
 IF(AK23&lt;=0.4,"Low",
 IF(AK23&lt;=0.6,"Medium",
 IF(AK23&lt;=0.8,"High","Critical")))))</f>
        <v>Very Low</v>
      </c>
      <c r="AM23" t="str">
        <f>IF(MAX(X23:AA23)&gt;0.9,"CRITICAL ALERT",
 IF(AK23&gt;0.8,"CRITICAL ALERT",
 IF(AK23&gt;0.6,"ALERT",
 IF(AK23&gt;=0.4,"REVIEW","NO ACTION"))))</f>
        <v>NO ACTION</v>
      </c>
      <c r="AN23" t="str">
        <f>IF(AM23="NO ACTION","",
 IF(_xlfn.TEXTJOIN(", ", TRUE,
  IF(X23&gt;0.7,"Login anomaly",""),
  IF(Y23&gt;0.7,"File anomaly",""),
  IF(Z23&gt;0.7,"Network anomaly",""),
  IF(AA23&gt;0.7,"USB anomaly","")
 )="",
 "General anomaly detected",
 _xlfn.TEXTJOIN(", ", TRUE,
  IF(X23&gt;0.7,"Login anomaly",""),
  IF(Y23&gt;0.7,"File anomaly",""),
  IF(Z23&gt;0.7,"Network anomaly",""),
  IF(AA23&gt;0.7,"USB anomaly","")
 )))</f>
        <v/>
      </c>
    </row>
    <row r="24" spans="1:40" x14ac:dyDescent="0.3">
      <c r="A24" t="s">
        <v>46</v>
      </c>
      <c r="B24">
        <v>0.12892249527410199</v>
      </c>
      <c r="C24">
        <v>0.36953165208440503</v>
      </c>
      <c r="D24">
        <v>0</v>
      </c>
      <c r="E24">
        <v>0</v>
      </c>
      <c r="F24">
        <v>0</v>
      </c>
      <c r="G24">
        <v>0.99367326854731897</v>
      </c>
      <c r="H24">
        <v>8</v>
      </c>
      <c r="I24">
        <v>8</v>
      </c>
      <c r="J24">
        <v>0.66475836076522998</v>
      </c>
      <c r="K24">
        <v>1.9575856443719401E-2</v>
      </c>
      <c r="L24">
        <v>7.5193410597888897E-3</v>
      </c>
      <c r="M24">
        <v>6.3492063492063397E-3</v>
      </c>
      <c r="N24">
        <v>5.7698110930050001E-3</v>
      </c>
      <c r="O24">
        <v>1319</v>
      </c>
      <c r="P24">
        <v>0.50021043771043705</v>
      </c>
      <c r="Q24">
        <v>0.50026298257302104</v>
      </c>
      <c r="R24">
        <v>0</v>
      </c>
      <c r="S24">
        <v>0</v>
      </c>
      <c r="T24" t="s">
        <v>24</v>
      </c>
      <c r="U24">
        <v>1.77194421657095E-2</v>
      </c>
      <c r="V24">
        <v>0</v>
      </c>
      <c r="W24">
        <v>0</v>
      </c>
      <c r="X24">
        <v>0</v>
      </c>
      <c r="Y24">
        <v>0.13844228601084199</v>
      </c>
      <c r="Z24">
        <v>0.30243418706346398</v>
      </c>
      <c r="AA24">
        <v>0</v>
      </c>
      <c r="AB24">
        <v>2.4846000596880909E-2</v>
      </c>
      <c r="AC24">
        <v>3.2029999420046811E-3</v>
      </c>
      <c r="AD24">
        <v>0.1040140017867088</v>
      </c>
      <c r="AE24">
        <v>8.9899997692555189E-4</v>
      </c>
      <c r="AF24">
        <f>0.16*X24 + 0.28*Y24 + 0.28*Z24 + 0.28*AA24</f>
        <v>0.12344541246080568</v>
      </c>
      <c r="AG24">
        <f t="shared" si="0"/>
        <v>3.4247840573079877E-2</v>
      </c>
      <c r="AH24">
        <f>IF(T24="IT_Admin", 0.25, IF(AND(T24="HR", AA24&gt;0.6), 0.25, IF(AND(T24="General", Z24&gt;0.7), 0.2, 0.1)))</f>
        <v>0.25</v>
      </c>
      <c r="AI24">
        <f>IF(V24&gt;0.7, 0.1,
 IF(F24&gt;0.5, 0.08,
 IF(E24&gt;0.5, 0.05,
 0)))</f>
        <v>0</v>
      </c>
      <c r="AJ24">
        <f t="shared" si="1"/>
        <v>6.1007112139397607E-2</v>
      </c>
      <c r="AK24">
        <f t="shared" si="2"/>
        <v>7.6258890174247002E-2</v>
      </c>
      <c r="AL24" t="str">
        <f>IF(MAX(X24, Y24, Z24, AA24)&gt;0.9,
 "Critical",
 IF(AK24&lt;=0.2,"Very Low",
 IF(AK24&lt;=0.4,"Low",
 IF(AK24&lt;=0.6,"Medium",
 IF(AK24&lt;=0.8,"High","Critical")))))</f>
        <v>Very Low</v>
      </c>
      <c r="AM24" t="str">
        <f>IF(MAX(X24:AA24)&gt;0.9,"CRITICAL ALERT",
 IF(AK24&gt;0.8,"CRITICAL ALERT",
 IF(AK24&gt;0.6,"ALERT",
 IF(AK24&gt;=0.4,"REVIEW","NO ACTION"))))</f>
        <v>NO ACTION</v>
      </c>
      <c r="AN24" t="str">
        <f>IF(AM24="NO ACTION","",
 IF(_xlfn.TEXTJOIN(", ", TRUE,
  IF(X24&gt;0.7,"Login anomaly",""),
  IF(Y24&gt;0.7,"File anomaly",""),
  IF(Z24&gt;0.7,"Network anomaly",""),
  IF(AA24&gt;0.7,"USB anomaly","")
 )="",
 "General anomaly detected",
 _xlfn.TEXTJOIN(", ", TRUE,
  IF(X24&gt;0.7,"Login anomaly",""),
  IF(Y24&gt;0.7,"File anomaly",""),
  IF(Z24&gt;0.7,"Network anomaly",""),
  IF(AA24&gt;0.7,"USB anomaly","")
 )))</f>
        <v/>
      </c>
    </row>
    <row r="25" spans="1:40" x14ac:dyDescent="0.3">
      <c r="A25" t="s">
        <v>47</v>
      </c>
      <c r="B25">
        <v>0.12892249527410199</v>
      </c>
      <c r="C25">
        <v>0.46164678854602498</v>
      </c>
      <c r="D25">
        <v>7.5132489407342906E-2</v>
      </c>
      <c r="E25">
        <v>0</v>
      </c>
      <c r="F25">
        <v>0</v>
      </c>
      <c r="G25">
        <v>0.99370551759940895</v>
      </c>
      <c r="H25">
        <v>8</v>
      </c>
      <c r="I25">
        <v>9</v>
      </c>
      <c r="J25">
        <v>0.828109345928152</v>
      </c>
      <c r="K25">
        <v>2.5285481239804199E-2</v>
      </c>
      <c r="L25">
        <v>7.7971715381470099E-3</v>
      </c>
      <c r="M25">
        <v>5.7720057720057703E-3</v>
      </c>
      <c r="N25">
        <v>4.2109080869663701E-3</v>
      </c>
      <c r="O25">
        <v>1614</v>
      </c>
      <c r="P25">
        <v>0.62247474747474696</v>
      </c>
      <c r="Q25">
        <v>0.62249728251341196</v>
      </c>
      <c r="R25">
        <v>0</v>
      </c>
      <c r="S25">
        <v>0</v>
      </c>
      <c r="T25" t="s">
        <v>24</v>
      </c>
      <c r="U25">
        <v>2.5067385444743899E-2</v>
      </c>
      <c r="V25">
        <v>0</v>
      </c>
      <c r="W25">
        <v>0</v>
      </c>
      <c r="X25">
        <v>2.2539746822202798E-2</v>
      </c>
      <c r="Y25">
        <v>0.170783727380793</v>
      </c>
      <c r="Z25">
        <v>0.37516921171963502</v>
      </c>
      <c r="AA25">
        <v>0</v>
      </c>
      <c r="AB25">
        <v>1.3852999545633789E-2</v>
      </c>
      <c r="AC25">
        <v>5.565000232309103E-3</v>
      </c>
      <c r="AD25">
        <v>0.18782499432563779</v>
      </c>
      <c r="AE25">
        <v>9.4900000840425491E-4</v>
      </c>
      <c r="AF25">
        <f>0.16*X25 + 0.28*Y25 + 0.28*Z25 + 0.28*AA25</f>
        <v>0.15647318243967231</v>
      </c>
      <c r="AG25">
        <f t="shared" si="0"/>
        <v>5.6631398405879732E-2</v>
      </c>
      <c r="AH25">
        <f>IF(T25="IT_Admin", 0.25, IF(AND(T25="HR", AA25&gt;0.6), 0.25, IF(AND(T25="General", Z25&gt;0.7), 0.2, 0.1)))</f>
        <v>0.25</v>
      </c>
      <c r="AI25">
        <f>IF(V25&gt;0.7, 0.1,
 IF(F25&gt;0.5, 0.08,
 IF(E25&gt;0.5, 0.05,
 0)))</f>
        <v>0</v>
      </c>
      <c r="AJ25">
        <f t="shared" si="1"/>
        <v>8.6583933616017503E-2</v>
      </c>
      <c r="AK25">
        <f t="shared" si="2"/>
        <v>0.10822991702002188</v>
      </c>
      <c r="AL25" t="str">
        <f>IF(MAX(X25, Y25, Z25, AA25)&gt;0.9,
 "Critical",
 IF(AK25&lt;=0.2,"Very Low",
 IF(AK25&lt;=0.4,"Low",
 IF(AK25&lt;=0.6,"Medium",
 IF(AK25&lt;=0.8,"High","Critical")))))</f>
        <v>Very Low</v>
      </c>
      <c r="AM25" t="str">
        <f>IF(MAX(X25:AA25)&gt;0.9,"CRITICAL ALERT",
 IF(AK25&gt;0.8,"CRITICAL ALERT",
 IF(AK25&gt;0.6,"ALERT",
 IF(AK25&gt;=0.4,"REVIEW","NO ACTION"))))</f>
        <v>NO ACTION</v>
      </c>
      <c r="AN25" t="str">
        <f>IF(AM25="NO ACTION","",
 IF(_xlfn.TEXTJOIN(", ", TRUE,
  IF(X25&gt;0.7,"Login anomaly",""),
  IF(Y25&gt;0.7,"File anomaly",""),
  IF(Z25&gt;0.7,"Network anomaly",""),
  IF(AA25&gt;0.7,"USB anomaly","")
 )="",
 "General anomaly detected",
 _xlfn.TEXTJOIN(", ", TRUE,
  IF(X25&gt;0.7,"Login anomaly",""),
  IF(Y25&gt;0.7,"File anomaly",""),
  IF(Z25&gt;0.7,"Network anomaly",""),
  IF(AA25&gt;0.7,"USB anomaly","")
 )))</f>
        <v/>
      </c>
    </row>
    <row r="26" spans="1:40" x14ac:dyDescent="0.3">
      <c r="A26" t="s">
        <v>48</v>
      </c>
      <c r="B26">
        <v>4.2344045368619999E-2</v>
      </c>
      <c r="C26">
        <v>0.55429747812660801</v>
      </c>
      <c r="D26">
        <v>0.49548341326059903</v>
      </c>
      <c r="E26">
        <v>0.785440613026819</v>
      </c>
      <c r="F26">
        <v>6.0344827586206899E-2</v>
      </c>
      <c r="G26">
        <v>0.40590417383711103</v>
      </c>
      <c r="H26">
        <v>0</v>
      </c>
      <c r="I26">
        <v>22</v>
      </c>
      <c r="J26">
        <v>4.2459806306951002E-2</v>
      </c>
      <c r="K26">
        <v>0</v>
      </c>
      <c r="L26">
        <v>0</v>
      </c>
      <c r="M26">
        <v>2.88600288600288E-4</v>
      </c>
      <c r="N26">
        <v>4.08458084435738E-3</v>
      </c>
      <c r="O26">
        <v>149</v>
      </c>
      <c r="P26">
        <v>3.1355218855218803E-2</v>
      </c>
      <c r="Q26">
        <v>3.1522844419509803E-2</v>
      </c>
      <c r="R26">
        <v>8.8495575221238902E-3</v>
      </c>
      <c r="S26">
        <v>1</v>
      </c>
      <c r="T26" t="s">
        <v>49</v>
      </c>
      <c r="U26">
        <v>0</v>
      </c>
      <c r="V26">
        <v>0</v>
      </c>
      <c r="W26">
        <v>0</v>
      </c>
      <c r="X26">
        <v>0.40841513892070802</v>
      </c>
      <c r="Y26">
        <v>9.7173355146974102E-3</v>
      </c>
      <c r="Z26">
        <v>2.04469636508742E-2</v>
      </c>
      <c r="AA26">
        <v>8.8495575221238902E-3</v>
      </c>
      <c r="AB26">
        <v>0.55961602926254272</v>
      </c>
      <c r="AC26">
        <v>1.536999945528805E-3</v>
      </c>
      <c r="AD26">
        <v>9.3890000134706497E-3</v>
      </c>
      <c r="AE26">
        <v>7.101999968290329E-2</v>
      </c>
      <c r="AF26">
        <f>0.16*X26 + 0.28*Y26 + 0.28*Z26 + 0.28*AA26</f>
        <v>7.6270302099868029E-2</v>
      </c>
      <c r="AG26">
        <f t="shared" si="0"/>
        <v>0.11248344458173962</v>
      </c>
      <c r="AH26">
        <f>IF(T26="IT_Admin", 0.25, IF(AND(T26="HR", AA26&gt;0.6), 0.25, IF(AND(T26="General", Z26&gt;0.7), 0.2, 0.1)))</f>
        <v>0.1</v>
      </c>
      <c r="AI26">
        <f>IF(V26&gt;0.7, 0.1,
 IF(F26&gt;0.5, 0.08,
 IF(E26&gt;0.5, 0.05,
 0)))</f>
        <v>0.05</v>
      </c>
      <c r="AJ26">
        <f t="shared" si="1"/>
        <v>0.10161950183717813</v>
      </c>
      <c r="AK26">
        <f t="shared" si="2"/>
        <v>0.11686242711275487</v>
      </c>
      <c r="AL26" t="str">
        <f>IF(MAX(X26, Y26, Z26, AA26)&gt;0.9,
 "Critical",
 IF(AK26&lt;=0.2,"Very Low",
 IF(AK26&lt;=0.4,"Low",
 IF(AK26&lt;=0.6,"Medium",
 IF(AK26&lt;=0.8,"High","Critical")))))</f>
        <v>Very Low</v>
      </c>
      <c r="AM26" t="str">
        <f>IF(MAX(X26:AA26)&gt;0.9,"CRITICAL ALERT",
 IF(AK26&gt;0.8,"CRITICAL ALERT",
 IF(AK26&gt;0.6,"ALERT",
 IF(AK26&gt;=0.4,"REVIEW","NO ACTION"))))</f>
        <v>NO ACTION</v>
      </c>
      <c r="AN26" t="str">
        <f>IF(AM26="NO ACTION","",
 IF(_xlfn.TEXTJOIN(", ", TRUE,
  IF(X26&gt;0.7,"Login anomaly",""),
  IF(Y26&gt;0.7,"File anomaly",""),
  IF(Z26&gt;0.7,"Network anomaly",""),
  IF(AA26&gt;0.7,"USB anomaly","")
 )="",
 "General anomaly detected",
 _xlfn.TEXTJOIN(", ", TRUE,
  IF(X26&gt;0.7,"Login anomaly",""),
  IF(Y26&gt;0.7,"File anomaly",""),
  IF(Z26&gt;0.7,"Network anomaly",""),
  IF(AA26&gt;0.7,"USB anomaly","")
 )))</f>
        <v/>
      </c>
    </row>
    <row r="27" spans="1:40" x14ac:dyDescent="0.3">
      <c r="A27" t="s">
        <v>50</v>
      </c>
      <c r="B27">
        <v>0.17164461247637</v>
      </c>
      <c r="C27">
        <v>0.36549746374287201</v>
      </c>
      <c r="D27">
        <v>0.30657413194543198</v>
      </c>
      <c r="E27">
        <v>0</v>
      </c>
      <c r="F27">
        <v>0</v>
      </c>
      <c r="G27">
        <v>0.71123582701938104</v>
      </c>
      <c r="H27">
        <v>7</v>
      </c>
      <c r="I27">
        <v>15</v>
      </c>
      <c r="J27">
        <v>0.60269071132102403</v>
      </c>
      <c r="K27">
        <v>2.1207177814029299E-2</v>
      </c>
      <c r="L27">
        <v>8.9845257386530399E-3</v>
      </c>
      <c r="M27">
        <v>4.6176046176046098E-3</v>
      </c>
      <c r="N27">
        <v>4.6282004819748097E-3</v>
      </c>
      <c r="O27">
        <v>1272</v>
      </c>
      <c r="P27">
        <v>0.45444023569023501</v>
      </c>
      <c r="Q27">
        <v>0.45450401486728098</v>
      </c>
      <c r="R27">
        <v>0</v>
      </c>
      <c r="S27">
        <v>0</v>
      </c>
      <c r="T27" t="s">
        <v>24</v>
      </c>
      <c r="U27">
        <v>2.59711431742508E-2</v>
      </c>
      <c r="V27">
        <v>0</v>
      </c>
      <c r="W27">
        <v>0</v>
      </c>
      <c r="X27">
        <v>9.1972239583629697E-2</v>
      </c>
      <c r="Y27">
        <v>0.12641886527812299</v>
      </c>
      <c r="Z27">
        <v>0.27451542160693099</v>
      </c>
      <c r="AA27">
        <v>0</v>
      </c>
      <c r="AB27">
        <v>5.2999998442828664E-3</v>
      </c>
      <c r="AC27">
        <v>2.3910000454634428E-3</v>
      </c>
      <c r="AD27">
        <v>7.8659996390342712E-2</v>
      </c>
      <c r="AE27">
        <v>1.730000018142164E-3</v>
      </c>
      <c r="AF27">
        <f>0.16*X27 + 0.28*Y27 + 0.28*Z27 + 0.28*AA27</f>
        <v>0.12697715866119585</v>
      </c>
      <c r="AG27">
        <f t="shared" si="0"/>
        <v>2.4026678982190793E-2</v>
      </c>
      <c r="AH27">
        <f>IF(T27="IT_Admin", 0.25, IF(AND(T27="HR", AA27&gt;0.6), 0.25, IF(AND(T27="General", Z27&gt;0.7), 0.2, 0.1)))</f>
        <v>0.25</v>
      </c>
      <c r="AI27">
        <f>IF(V27&gt;0.7, 0.1,
 IF(F27&gt;0.5, 0.08,
 IF(E27&gt;0.5, 0.05,
 0)))</f>
        <v>0</v>
      </c>
      <c r="AJ27">
        <f t="shared" si="1"/>
        <v>5.4911822885892303E-2</v>
      </c>
      <c r="AK27">
        <f t="shared" si="2"/>
        <v>6.8639778607365379E-2</v>
      </c>
      <c r="AL27" t="str">
        <f>IF(MAX(X27, Y27, Z27, AA27)&gt;0.9,
 "Critical",
 IF(AK27&lt;=0.2,"Very Low",
 IF(AK27&lt;=0.4,"Low",
 IF(AK27&lt;=0.6,"Medium",
 IF(AK27&lt;=0.8,"High","Critical")))))</f>
        <v>Very Low</v>
      </c>
      <c r="AM27" t="str">
        <f>IF(MAX(X27:AA27)&gt;0.9,"CRITICAL ALERT",
 IF(AK27&gt;0.8,"CRITICAL ALERT",
 IF(AK27&gt;0.6,"ALERT",
 IF(AK27&gt;=0.4,"REVIEW","NO ACTION"))))</f>
        <v>NO ACTION</v>
      </c>
      <c r="AN27" t="str">
        <f>IF(AM27="NO ACTION","",
 IF(_xlfn.TEXTJOIN(", ", TRUE,
  IF(X27&gt;0.7,"Login anomaly",""),
  IF(Y27&gt;0.7,"File anomaly",""),
  IF(Z27&gt;0.7,"Network anomaly",""),
  IF(AA27&gt;0.7,"USB anomaly","")
 )="",
 "General anomaly detected",
 _xlfn.TEXTJOIN(", ", TRUE,
  IF(X27&gt;0.7,"Login anomaly",""),
  IF(Y27&gt;0.7,"File anomaly",""),
  IF(Z27&gt;0.7,"Network anomaly",""),
  IF(AA27&gt;0.7,"USB anomaly","")
 )))</f>
        <v/>
      </c>
    </row>
    <row r="28" spans="1:40" x14ac:dyDescent="0.3">
      <c r="A28" t="s">
        <v>51</v>
      </c>
      <c r="B28">
        <v>0.240075614366729</v>
      </c>
      <c r="C28">
        <v>0.68470340542712904</v>
      </c>
      <c r="D28">
        <v>0.371678587911</v>
      </c>
      <c r="E28">
        <v>0</v>
      </c>
      <c r="F28">
        <v>0</v>
      </c>
      <c r="G28">
        <v>0.46754219504054301</v>
      </c>
      <c r="H28">
        <v>7</v>
      </c>
      <c r="I28">
        <v>17</v>
      </c>
      <c r="J28">
        <v>0.89537712895377097</v>
      </c>
      <c r="K28">
        <v>2.5285481239804199E-2</v>
      </c>
      <c r="L28">
        <v>7.2115426099635897E-3</v>
      </c>
      <c r="M28">
        <v>6.63780663780663E-3</v>
      </c>
      <c r="N28">
        <v>4.47883112348035E-3</v>
      </c>
      <c r="O28">
        <v>1796</v>
      </c>
      <c r="P28">
        <v>0.67234848484848497</v>
      </c>
      <c r="Q28">
        <v>0.67235877835828695</v>
      </c>
      <c r="R28">
        <v>0.76696165191740395</v>
      </c>
      <c r="S28">
        <v>1</v>
      </c>
      <c r="T28" t="s">
        <v>24</v>
      </c>
      <c r="U28">
        <v>2.19339622641509E-2</v>
      </c>
      <c r="V28">
        <v>0</v>
      </c>
      <c r="W28">
        <v>0</v>
      </c>
      <c r="X28">
        <v>0.1115035763733</v>
      </c>
      <c r="Y28">
        <v>0.18402484643278</v>
      </c>
      <c r="Z28">
        <v>0.405200623358483</v>
      </c>
      <c r="AA28">
        <v>0.76696165191740395</v>
      </c>
      <c r="AB28">
        <v>3.5383999347686768E-2</v>
      </c>
      <c r="AC28">
        <v>6.6430000588297844E-3</v>
      </c>
      <c r="AD28">
        <v>0.23396700620651251</v>
      </c>
      <c r="AE28">
        <v>0.59420698881149292</v>
      </c>
      <c r="AF28">
        <f>0.16*X28 + 0.28*Y28 + 0.28*Z28 + 0.28*AA28</f>
        <v>0.39757296629815475</v>
      </c>
      <c r="AG28">
        <f t="shared" si="0"/>
        <v>0.23941019851714379</v>
      </c>
      <c r="AH28">
        <f>IF(T28="IT_Admin", 0.25, IF(AND(T28="HR", AA28&gt;0.6), 0.25, IF(AND(T28="General", Z28&gt;0.7), 0.2, 0.1)))</f>
        <v>0.25</v>
      </c>
      <c r="AI28">
        <f>IF(V28&gt;0.7, 0.1,
 IF(F28&gt;0.5, 0.08,
 IF(E28&gt;0.5, 0.05,
 0)))</f>
        <v>0</v>
      </c>
      <c r="AJ28">
        <f t="shared" si="1"/>
        <v>0.2868590288514471</v>
      </c>
      <c r="AK28">
        <f t="shared" si="2"/>
        <v>0.3585737860643089</v>
      </c>
      <c r="AL28" t="str">
        <f>IF(MAX(X28, Y28, Z28, AA28)&gt;0.9,
 "Critical",
 IF(AK28&lt;=0.2,"Very Low",
 IF(AK28&lt;=0.4,"Low",
 IF(AK28&lt;=0.6,"Medium",
 IF(AK28&lt;=0.8,"High","Critical")))))</f>
        <v>Low</v>
      </c>
      <c r="AM28" t="str">
        <f>IF(MAX(X28:AA28)&gt;0.9,"CRITICAL ALERT",
 IF(AK28&gt;0.8,"CRITICAL ALERT",
 IF(AK28&gt;0.6,"ALERT",
 IF(AK28&gt;=0.4,"REVIEW","NO ACTION"))))</f>
        <v>NO ACTION</v>
      </c>
      <c r="AN28" t="str">
        <f>IF(AM28="NO ACTION","",
 IF(_xlfn.TEXTJOIN(", ", TRUE,
  IF(X28&gt;0.7,"Login anomaly",""),
  IF(Y28&gt;0.7,"File anomaly",""),
  IF(Z28&gt;0.7,"Network anomaly",""),
  IF(AA28&gt;0.7,"USB anomaly","")
 )="",
 "General anomaly detected",
 _xlfn.TEXTJOIN(", ", TRUE,
  IF(X28&gt;0.7,"Login anomaly",""),
  IF(Y28&gt;0.7,"File anomaly",""),
  IF(Z28&gt;0.7,"Network anomaly",""),
  IF(AA28&gt;0.7,"USB anomaly","")
 )))</f>
        <v/>
      </c>
    </row>
    <row r="29" spans="1:40" x14ac:dyDescent="0.3">
      <c r="A29" t="s">
        <v>52</v>
      </c>
      <c r="B29">
        <v>0.24310018903591599</v>
      </c>
      <c r="C29">
        <v>0.67795065073290395</v>
      </c>
      <c r="D29">
        <v>0.36920623035627398</v>
      </c>
      <c r="E29">
        <v>0</v>
      </c>
      <c r="F29">
        <v>0</v>
      </c>
      <c r="G29">
        <v>0.459860807551497</v>
      </c>
      <c r="H29">
        <v>7</v>
      </c>
      <c r="I29">
        <v>16</v>
      </c>
      <c r="J29">
        <v>0.72048089308716101</v>
      </c>
      <c r="K29">
        <v>2.36541598694942E-2</v>
      </c>
      <c r="L29">
        <v>8.3833949933240694E-3</v>
      </c>
      <c r="M29">
        <v>1.8759018759018701E-2</v>
      </c>
      <c r="N29">
        <v>1.5729164666743199E-2</v>
      </c>
      <c r="O29">
        <v>1646</v>
      </c>
      <c r="P29">
        <v>0.54896184062850695</v>
      </c>
      <c r="Q29">
        <v>0.54900241943967099</v>
      </c>
      <c r="R29">
        <v>0.59734513274336198</v>
      </c>
      <c r="S29">
        <v>1</v>
      </c>
      <c r="T29" t="s">
        <v>24</v>
      </c>
      <c r="U29">
        <v>7.4614065180102903E-3</v>
      </c>
      <c r="V29">
        <v>0</v>
      </c>
      <c r="W29">
        <v>0</v>
      </c>
      <c r="X29">
        <v>0.110761869106882</v>
      </c>
      <c r="Y29">
        <v>0.15300662551411701</v>
      </c>
      <c r="Z29">
        <v>0.33566877024380098</v>
      </c>
      <c r="AA29">
        <v>0.59734513274336198</v>
      </c>
      <c r="AB29">
        <v>3.2274000346660607E-2</v>
      </c>
      <c r="AC29">
        <v>4.372000228613615E-3</v>
      </c>
      <c r="AD29">
        <v>0.13933299481868741</v>
      </c>
      <c r="AE29">
        <v>0.35232698917388922</v>
      </c>
      <c r="AF29">
        <f>0.16*X29 + 0.28*Y29 + 0.28*Z29 + 0.28*AA29</f>
        <v>0.32180764703745957</v>
      </c>
      <c r="AG29">
        <f t="shared" si="0"/>
        <v>0.14405279563739898</v>
      </c>
      <c r="AH29">
        <f>IF(T29="IT_Admin", 0.25, IF(AND(T29="HR", AA29&gt;0.6), 0.25, IF(AND(T29="General", Z29&gt;0.7), 0.2, 0.1)))</f>
        <v>0.25</v>
      </c>
      <c r="AI29">
        <f>IF(V29&gt;0.7, 0.1,
 IF(F29&gt;0.5, 0.08,
 IF(E29&gt;0.5, 0.05,
 0)))</f>
        <v>0</v>
      </c>
      <c r="AJ29">
        <f t="shared" si="1"/>
        <v>0.19737925105741716</v>
      </c>
      <c r="AK29">
        <f t="shared" si="2"/>
        <v>0.24672406382177145</v>
      </c>
      <c r="AL29" t="str">
        <f>IF(MAX(X29, Y29, Z29, AA29)&gt;0.9,
 "Critical",
 IF(AK29&lt;=0.2,"Very Low",
 IF(AK29&lt;=0.4,"Low",
 IF(AK29&lt;=0.6,"Medium",
 IF(AK29&lt;=0.8,"High","Critical")))))</f>
        <v>Low</v>
      </c>
      <c r="AM29" t="str">
        <f>IF(MAX(X29:AA29)&gt;0.9,"CRITICAL ALERT",
 IF(AK29&gt;0.8,"CRITICAL ALERT",
 IF(AK29&gt;0.6,"ALERT",
 IF(AK29&gt;=0.4,"REVIEW","NO ACTION"))))</f>
        <v>NO ACTION</v>
      </c>
      <c r="AN29" t="str">
        <f>IF(AM29="NO ACTION","",
 IF(_xlfn.TEXTJOIN(", ", TRUE,
  IF(X29&gt;0.7,"Login anomaly",""),
  IF(Y29&gt;0.7,"File anomaly",""),
  IF(Z29&gt;0.7,"Network anomaly",""),
  IF(AA29&gt;0.7,"USB anomaly","")
 )="",
 "General anomaly detected",
 _xlfn.TEXTJOIN(", ", TRUE,
  IF(X29&gt;0.7,"Login anomaly",""),
  IF(Y29&gt;0.7,"File anomaly",""),
  IF(Z29&gt;0.7,"Network anomaly",""),
  IF(AA29&gt;0.7,"USB anomaly","")
 )))</f>
        <v/>
      </c>
    </row>
    <row r="30" spans="1:40" x14ac:dyDescent="0.3">
      <c r="A30" t="s">
        <v>53</v>
      </c>
      <c r="B30">
        <v>0.25746691871455502</v>
      </c>
      <c r="C30">
        <v>0.62173026135368903</v>
      </c>
      <c r="D30">
        <v>0.48154213711201599</v>
      </c>
      <c r="E30">
        <v>0.13300892133008901</v>
      </c>
      <c r="F30">
        <v>4.2335766423357603E-2</v>
      </c>
      <c r="G30">
        <v>0.42609617276081402</v>
      </c>
      <c r="H30">
        <v>0</v>
      </c>
      <c r="I30">
        <v>23</v>
      </c>
      <c r="J30">
        <v>0.81866323171604405</v>
      </c>
      <c r="K30">
        <v>4.2414355628058703E-2</v>
      </c>
      <c r="L30">
        <v>1.32299954890879E-2</v>
      </c>
      <c r="M30">
        <v>7.6767676767676707E-2</v>
      </c>
      <c r="N30">
        <v>5.6651101754509797E-2</v>
      </c>
      <c r="O30">
        <v>1761</v>
      </c>
      <c r="P30">
        <v>0.657407407407407</v>
      </c>
      <c r="Q30">
        <v>0.65742136821066599</v>
      </c>
      <c r="R30">
        <v>0</v>
      </c>
      <c r="S30">
        <v>0</v>
      </c>
      <c r="T30" t="s">
        <v>24</v>
      </c>
      <c r="U30">
        <v>3.3071867712529102E-3</v>
      </c>
      <c r="V30">
        <v>0</v>
      </c>
      <c r="W30">
        <v>0</v>
      </c>
      <c r="X30">
        <v>0.201299624101974</v>
      </c>
      <c r="Y30">
        <v>0.18734297461410501</v>
      </c>
      <c r="Z30">
        <v>0.41710488514624799</v>
      </c>
      <c r="AA30">
        <v>0</v>
      </c>
      <c r="AB30">
        <v>0.16109099984169009</v>
      </c>
      <c r="AC30">
        <v>1.1304999701678749E-2</v>
      </c>
      <c r="AD30">
        <v>0.2279780060052872</v>
      </c>
      <c r="AE30">
        <v>8.4149995818734169E-3</v>
      </c>
      <c r="AF30">
        <f>0.16*X30 + 0.28*Y30 + 0.28*Z30 + 0.28*AA30</f>
        <v>0.20145334058921471</v>
      </c>
      <c r="AG30">
        <f t="shared" si="0"/>
        <v>9.513000145554544E-2</v>
      </c>
      <c r="AH30">
        <f>IF(T30="IT_Admin", 0.25, IF(AND(T30="HR", AA30&gt;0.6), 0.25, IF(AND(T30="General", Z30&gt;0.7), 0.2, 0.1)))</f>
        <v>0.25</v>
      </c>
      <c r="AI30">
        <f>IF(V30&gt;0.7, 0.1,
 IF(F30&gt;0.5, 0.08,
 IF(E30&gt;0.5, 0.05,
 0)))</f>
        <v>0</v>
      </c>
      <c r="AJ30">
        <f t="shared" si="1"/>
        <v>0.12702700319564622</v>
      </c>
      <c r="AK30">
        <f t="shared" si="2"/>
        <v>0.15878375399455777</v>
      </c>
      <c r="AL30" t="str">
        <f>IF(MAX(X30, Y30, Z30, AA30)&gt;0.9,
 "Critical",
 IF(AK30&lt;=0.2,"Very Low",
 IF(AK30&lt;=0.4,"Low",
 IF(AK30&lt;=0.6,"Medium",
 IF(AK30&lt;=0.8,"High","Critical")))))</f>
        <v>Very Low</v>
      </c>
      <c r="AM30" t="str">
        <f>IF(MAX(X30:AA30)&gt;0.9,"CRITICAL ALERT",
 IF(AK30&gt;0.8,"CRITICAL ALERT",
 IF(AK30&gt;0.6,"ALERT",
 IF(AK30&gt;=0.4,"REVIEW","NO ACTION"))))</f>
        <v>NO ACTION</v>
      </c>
      <c r="AN30" t="str">
        <f>IF(AM30="NO ACTION","",
 IF(_xlfn.TEXTJOIN(", ", TRUE,
  IF(X30&gt;0.7,"Login anomaly",""),
  IF(Y30&gt;0.7,"File anomaly",""),
  IF(Z30&gt;0.7,"Network anomaly",""),
  IF(AA30&gt;0.7,"USB anomaly","")
 )="",
 "General anomaly detected",
 _xlfn.TEXTJOIN(", ", TRUE,
  IF(X30&gt;0.7,"Login anomaly",""),
  IF(Y30&gt;0.7,"File anomaly",""),
  IF(Z30&gt;0.7,"Network anomaly",""),
  IF(AA30&gt;0.7,"USB anomaly","")
 )))</f>
        <v/>
      </c>
    </row>
    <row r="31" spans="1:40" x14ac:dyDescent="0.3">
      <c r="A31" t="s">
        <v>54</v>
      </c>
      <c r="B31">
        <v>0.12892249527410199</v>
      </c>
      <c r="C31">
        <v>0.36953165208440503</v>
      </c>
      <c r="D31">
        <v>0</v>
      </c>
      <c r="E31">
        <v>0</v>
      </c>
      <c r="F31">
        <v>0</v>
      </c>
      <c r="G31">
        <v>0.99366454390750003</v>
      </c>
      <c r="H31">
        <v>8</v>
      </c>
      <c r="I31">
        <v>8</v>
      </c>
      <c r="J31">
        <v>0.81818615524068505</v>
      </c>
      <c r="K31">
        <v>2.2838499184339299E-2</v>
      </c>
      <c r="L31">
        <v>7.1279963589505604E-3</v>
      </c>
      <c r="M31">
        <v>2.1933621933621899E-2</v>
      </c>
      <c r="N31">
        <v>1.6195464239766099E-2</v>
      </c>
      <c r="O31">
        <v>1774</v>
      </c>
      <c r="P31">
        <v>0.62198372615039199</v>
      </c>
      <c r="Q31">
        <v>0.62200638171043798</v>
      </c>
      <c r="R31">
        <v>0.67699115044247704</v>
      </c>
      <c r="S31">
        <v>1</v>
      </c>
      <c r="T31" t="s">
        <v>24</v>
      </c>
      <c r="U31">
        <v>6.1749571183533402E-3</v>
      </c>
      <c r="V31">
        <v>0</v>
      </c>
      <c r="W31">
        <v>0</v>
      </c>
      <c r="X31">
        <v>0</v>
      </c>
      <c r="Y31">
        <v>0.172059868499542</v>
      </c>
      <c r="Z31">
        <v>0.37966842138614199</v>
      </c>
      <c r="AA31">
        <v>0.67699115044247704</v>
      </c>
      <c r="AB31">
        <v>2.478699944913387E-2</v>
      </c>
      <c r="AC31">
        <v>5.9890002012252808E-3</v>
      </c>
      <c r="AD31">
        <v>0.18946799635887149</v>
      </c>
      <c r="AE31">
        <v>0.50667798519134521</v>
      </c>
      <c r="AF31">
        <f>0.16*X31 + 0.28*Y31 + 0.28*Z31 + 0.28*AA31</f>
        <v>0.34404144329188513</v>
      </c>
      <c r="AG31">
        <f t="shared" si="0"/>
        <v>0.2005637148022652</v>
      </c>
      <c r="AH31">
        <f>IF(T31="IT_Admin", 0.25, IF(AND(T31="HR", AA31&gt;0.6), 0.25, IF(AND(T31="General", Z31&gt;0.7), 0.2, 0.1)))</f>
        <v>0.25</v>
      </c>
      <c r="AI31">
        <f>IF(V31&gt;0.7, 0.1,
 IF(F31&gt;0.5, 0.08,
 IF(E31&gt;0.5, 0.05,
 0)))</f>
        <v>0</v>
      </c>
      <c r="AJ31">
        <f t="shared" si="1"/>
        <v>0.24360703334915118</v>
      </c>
      <c r="AK31">
        <f t="shared" si="2"/>
        <v>0.30450879168643896</v>
      </c>
      <c r="AL31" t="str">
        <f>IF(MAX(X31, Y31, Z31, AA31)&gt;0.9,
 "Critical",
 IF(AK31&lt;=0.2,"Very Low",
 IF(AK31&lt;=0.4,"Low",
 IF(AK31&lt;=0.6,"Medium",
 IF(AK31&lt;=0.8,"High","Critical")))))</f>
        <v>Low</v>
      </c>
      <c r="AM31" t="str">
        <f>IF(MAX(X31:AA31)&gt;0.9,"CRITICAL ALERT",
 IF(AK31&gt;0.8,"CRITICAL ALERT",
 IF(AK31&gt;0.6,"ALERT",
 IF(AK31&gt;=0.4,"REVIEW","NO ACTION"))))</f>
        <v>NO ACTION</v>
      </c>
      <c r="AN31" t="str">
        <f>IF(AM31="NO ACTION","",
 IF(_xlfn.TEXTJOIN(", ", TRUE,
  IF(X31&gt;0.7,"Login anomaly",""),
  IF(Y31&gt;0.7,"File anomaly",""),
  IF(Z31&gt;0.7,"Network anomaly",""),
  IF(AA31&gt;0.7,"USB anomaly","")
 )="",
 "General anomaly detected",
 _xlfn.TEXTJOIN(", ", TRUE,
  IF(X31&gt;0.7,"Login anomaly",""),
  IF(Y31&gt;0.7,"File anomaly",""),
  IF(Z31&gt;0.7,"Network anomaly",""),
  IF(AA31&gt;0.7,"USB anomaly","")
 )))</f>
        <v/>
      </c>
    </row>
    <row r="32" spans="1:40" x14ac:dyDescent="0.3">
      <c r="A32" t="s">
        <v>55</v>
      </c>
      <c r="B32">
        <v>0.12892249527410199</v>
      </c>
      <c r="C32">
        <v>0.18476582604220201</v>
      </c>
      <c r="D32">
        <v>0</v>
      </c>
      <c r="E32">
        <v>0</v>
      </c>
      <c r="F32">
        <v>0</v>
      </c>
      <c r="G32">
        <v>0.99368911206502597</v>
      </c>
      <c r="H32">
        <v>7</v>
      </c>
      <c r="I32">
        <v>7</v>
      </c>
      <c r="J32">
        <v>0.68837364629550102</v>
      </c>
      <c r="K32">
        <v>1.7944535073409401E-2</v>
      </c>
      <c r="L32">
        <v>6.6563498531036101E-3</v>
      </c>
      <c r="M32">
        <v>7.5036075036075001E-3</v>
      </c>
      <c r="N32">
        <v>6.5850212171398199E-3</v>
      </c>
      <c r="O32">
        <v>1468</v>
      </c>
      <c r="P32">
        <v>0.51743125701459003</v>
      </c>
      <c r="Q32">
        <v>0.51747957502016195</v>
      </c>
      <c r="R32">
        <v>0</v>
      </c>
      <c r="S32">
        <v>0</v>
      </c>
      <c r="T32" t="s">
        <v>24</v>
      </c>
      <c r="U32">
        <v>1.3836477987421301E-2</v>
      </c>
      <c r="V32">
        <v>0</v>
      </c>
      <c r="W32">
        <v>0</v>
      </c>
      <c r="X32">
        <v>0</v>
      </c>
      <c r="Y32">
        <v>0.14297841055079399</v>
      </c>
      <c r="Z32">
        <v>0.31309276269560998</v>
      </c>
      <c r="AA32">
        <v>0</v>
      </c>
      <c r="AB32">
        <v>3.6834001541137702E-2</v>
      </c>
      <c r="AC32">
        <v>3.5500000230967999E-3</v>
      </c>
      <c r="AD32">
        <v>0.1144779995083809</v>
      </c>
      <c r="AE32">
        <v>9.1699999757111073E-4</v>
      </c>
      <c r="AF32">
        <f>0.16*X32 + 0.28*Y32 + 0.28*Z32 + 0.28*AA32</f>
        <v>0.12769992850899314</v>
      </c>
      <c r="AG32">
        <f t="shared" si="0"/>
        <v>3.9198040114715706E-2</v>
      </c>
      <c r="AH32">
        <f>IF(T32="IT_Admin", 0.25, IF(AND(T32="HR", AA32&gt;0.6), 0.25, IF(AND(T32="General", Z32&gt;0.7), 0.2, 0.1)))</f>
        <v>0.25</v>
      </c>
      <c r="AI32">
        <f>IF(V32&gt;0.7, 0.1,
 IF(F32&gt;0.5, 0.08,
 IF(E32&gt;0.5, 0.05,
 0)))</f>
        <v>0</v>
      </c>
      <c r="AJ32">
        <f t="shared" si="1"/>
        <v>6.5748606632998932E-2</v>
      </c>
      <c r="AK32">
        <f t="shared" si="2"/>
        <v>8.2185758291248662E-2</v>
      </c>
      <c r="AL32" t="str">
        <f>IF(MAX(X32, Y32, Z32, AA32)&gt;0.9,
 "Critical",
 IF(AK32&lt;=0.2,"Very Low",
 IF(AK32&lt;=0.4,"Low",
 IF(AK32&lt;=0.6,"Medium",
 IF(AK32&lt;=0.8,"High","Critical")))))</f>
        <v>Very Low</v>
      </c>
      <c r="AM32" t="str">
        <f>IF(MAX(X32:AA32)&gt;0.9,"CRITICAL ALERT",
 IF(AK32&gt;0.8,"CRITICAL ALERT",
 IF(AK32&gt;0.6,"ALERT",
 IF(AK32&gt;=0.4,"REVIEW","NO ACTION"))))</f>
        <v>NO ACTION</v>
      </c>
      <c r="AN32" t="str">
        <f>IF(AM32="NO ACTION","",
 IF(_xlfn.TEXTJOIN(", ", TRUE,
  IF(X32&gt;0.7,"Login anomaly",""),
  IF(Y32&gt;0.7,"File anomaly",""),
  IF(Z32&gt;0.7,"Network anomaly",""),
  IF(AA32&gt;0.7,"USB anomaly","")
 )="",
 "General anomaly detected",
 _xlfn.TEXTJOIN(", ", TRUE,
  IF(X32&gt;0.7,"Login anomaly",""),
  IF(Y32&gt;0.7,"File anomaly",""),
  IF(Z32&gt;0.7,"Network anomaly",""),
  IF(AA32&gt;0.7,"USB anomaly","")
 )))</f>
        <v/>
      </c>
    </row>
    <row r="33" spans="1:40" x14ac:dyDescent="0.3">
      <c r="A33" t="s">
        <v>56</v>
      </c>
      <c r="B33">
        <v>0.12892249527410199</v>
      </c>
      <c r="C33">
        <v>0.26831211260041599</v>
      </c>
      <c r="D33">
        <v>7.4788307505895393E-2</v>
      </c>
      <c r="E33">
        <v>0</v>
      </c>
      <c r="F33">
        <v>0</v>
      </c>
      <c r="G33">
        <v>0.99367217127666696</v>
      </c>
      <c r="H33">
        <v>7</v>
      </c>
      <c r="I33">
        <v>8</v>
      </c>
      <c r="J33">
        <v>0.70693192118696602</v>
      </c>
      <c r="K33">
        <v>5.0570962479608399E-2</v>
      </c>
      <c r="L33">
        <v>1.8266516820730799E-2</v>
      </c>
      <c r="M33">
        <v>2.6262626262626199E-2</v>
      </c>
      <c r="N33">
        <v>2.2442736751581101E-2</v>
      </c>
      <c r="O33">
        <v>1518</v>
      </c>
      <c r="P33">
        <v>0.55422278338944997</v>
      </c>
      <c r="Q33">
        <v>0.55426207090010104</v>
      </c>
      <c r="R33">
        <v>0</v>
      </c>
      <c r="S33">
        <v>0</v>
      </c>
      <c r="T33" t="s">
        <v>24</v>
      </c>
      <c r="U33">
        <v>1.14438063986874E-2</v>
      </c>
      <c r="V33">
        <v>0</v>
      </c>
      <c r="W33">
        <v>0</v>
      </c>
      <c r="X33">
        <v>2.2436492251768601E-2</v>
      </c>
      <c r="Y33">
        <v>0.15725246367323301</v>
      </c>
      <c r="Z33">
        <v>0.34151076473430197</v>
      </c>
      <c r="AA33">
        <v>0</v>
      </c>
      <c r="AB33">
        <v>1.9373999908566471E-2</v>
      </c>
      <c r="AC33">
        <v>5.2720000967383376E-3</v>
      </c>
      <c r="AD33">
        <v>0.14042000472545621</v>
      </c>
      <c r="AE33">
        <v>9.1499998234212399E-4</v>
      </c>
      <c r="AF33">
        <f>0.16*X33 + 0.28*Y33 + 0.28*Z33 + 0.28*AA33</f>
        <v>0.14324354271439277</v>
      </c>
      <c r="AG33">
        <f t="shared" si="0"/>
        <v>4.4149801330640906E-2</v>
      </c>
      <c r="AH33">
        <f>IF(T33="IT_Admin", 0.25, IF(AND(T33="HR", AA33&gt;0.6), 0.25, IF(AND(T33="General", Z33&gt;0.7), 0.2, 0.1)))</f>
        <v>0.25</v>
      </c>
      <c r="AI33">
        <f>IF(V33&gt;0.7, 0.1,
 IF(F33&gt;0.5, 0.08,
 IF(E33&gt;0.5, 0.05,
 0)))</f>
        <v>0</v>
      </c>
      <c r="AJ33">
        <f t="shared" si="1"/>
        <v>7.3877923745766461E-2</v>
      </c>
      <c r="AK33">
        <f t="shared" si="2"/>
        <v>9.2347404682208076E-2</v>
      </c>
      <c r="AL33" t="str">
        <f>IF(MAX(X33, Y33, Z33, AA33)&gt;0.9,
 "Critical",
 IF(AK33&lt;=0.2,"Very Low",
 IF(AK33&lt;=0.4,"Low",
 IF(AK33&lt;=0.6,"Medium",
 IF(AK33&lt;=0.8,"High","Critical")))))</f>
        <v>Very Low</v>
      </c>
      <c r="AM33" t="str">
        <f>IF(MAX(X33:AA33)&gt;0.9,"CRITICAL ALERT",
 IF(AK33&gt;0.8,"CRITICAL ALERT",
 IF(AK33&gt;0.6,"ALERT",
 IF(AK33&gt;=0.4,"REVIEW","NO ACTION"))))</f>
        <v>NO ACTION</v>
      </c>
      <c r="AN33" t="str">
        <f>IF(AM33="NO ACTION","",
 IF(_xlfn.TEXTJOIN(", ", TRUE,
  IF(X33&gt;0.7,"Login anomaly",""),
  IF(Y33&gt;0.7,"File anomaly",""),
  IF(Z33&gt;0.7,"Network anomaly",""),
  IF(AA33&gt;0.7,"USB anomaly","")
 )="",
 "General anomaly detected",
 _xlfn.TEXTJOIN(", ", TRUE,
  IF(X33&gt;0.7,"Login anomaly",""),
  IF(Y33&gt;0.7,"File anomaly",""),
  IF(Z33&gt;0.7,"Network anomaly",""),
  IF(AA33&gt;0.7,"USB anomaly","")
 )))</f>
        <v/>
      </c>
    </row>
    <row r="34" spans="1:40" x14ac:dyDescent="0.3">
      <c r="A34" t="s">
        <v>57</v>
      </c>
      <c r="B34">
        <v>0.12892249527410199</v>
      </c>
      <c r="C34">
        <v>0.46593121349772798</v>
      </c>
      <c r="D34">
        <v>7.5061757440099602E-2</v>
      </c>
      <c r="E34">
        <v>0</v>
      </c>
      <c r="F34">
        <v>0</v>
      </c>
      <c r="G34">
        <v>0.99366441009400597</v>
      </c>
      <c r="H34">
        <v>8</v>
      </c>
      <c r="I34">
        <v>9</v>
      </c>
      <c r="J34">
        <v>0.57993416344640003</v>
      </c>
      <c r="K34">
        <v>4.6492659053833603E-2</v>
      </c>
      <c r="L34">
        <v>2.0469428969816902E-2</v>
      </c>
      <c r="M34">
        <v>2.4819624819624801E-2</v>
      </c>
      <c r="N34">
        <v>2.5852330202301401E-2</v>
      </c>
      <c r="O34">
        <v>1305</v>
      </c>
      <c r="P34">
        <v>0.45840347923681202</v>
      </c>
      <c r="Q34">
        <v>0.45846628563413799</v>
      </c>
      <c r="R34">
        <v>0</v>
      </c>
      <c r="S34">
        <v>0</v>
      </c>
      <c r="T34" t="s">
        <v>24</v>
      </c>
      <c r="U34">
        <v>1.11255692908262E-2</v>
      </c>
      <c r="V34">
        <v>0</v>
      </c>
      <c r="W34">
        <v>0</v>
      </c>
      <c r="X34">
        <v>2.2518527232029802E-2</v>
      </c>
      <c r="Y34">
        <v>0.133977246234879</v>
      </c>
      <c r="Z34">
        <v>0.28538301962300799</v>
      </c>
      <c r="AA34">
        <v>0</v>
      </c>
      <c r="AB34">
        <v>1.3487000018358231E-2</v>
      </c>
      <c r="AC34">
        <v>3.5240000579506159E-3</v>
      </c>
      <c r="AD34">
        <v>8.3058997988700867E-2</v>
      </c>
      <c r="AE34">
        <v>9.459999855607748E-4</v>
      </c>
      <c r="AF34">
        <f>0.16*X34 + 0.28*Y34 + 0.28*Z34 + 0.28*AA34</f>
        <v>0.12102383879733314</v>
      </c>
      <c r="AG34">
        <f t="shared" si="0"/>
        <v>2.6666039451956749E-2</v>
      </c>
      <c r="AH34">
        <f>IF(T34="IT_Admin", 0.25, IF(AND(T34="HR", AA34&gt;0.6), 0.25, IF(AND(T34="General", Z34&gt;0.7), 0.2, 0.1)))</f>
        <v>0.25</v>
      </c>
      <c r="AI34">
        <f>IF(V34&gt;0.7, 0.1,
 IF(F34&gt;0.5, 0.08,
 IF(E34&gt;0.5, 0.05,
 0)))</f>
        <v>0</v>
      </c>
      <c r="AJ34">
        <f t="shared" si="1"/>
        <v>5.4973379255569665E-2</v>
      </c>
      <c r="AK34">
        <f t="shared" si="2"/>
        <v>6.8716724069462082E-2</v>
      </c>
      <c r="AL34" t="str">
        <f>IF(MAX(X34, Y34, Z34, AA34)&gt;0.9,
 "Critical",
 IF(AK34&lt;=0.2,"Very Low",
 IF(AK34&lt;=0.4,"Low",
 IF(AK34&lt;=0.6,"Medium",
 IF(AK34&lt;=0.8,"High","Critical")))))</f>
        <v>Very Low</v>
      </c>
      <c r="AM34" t="str">
        <f>IF(MAX(X34:AA34)&gt;0.9,"CRITICAL ALERT",
 IF(AK34&gt;0.8,"CRITICAL ALERT",
 IF(AK34&gt;0.6,"ALERT",
 IF(AK34&gt;=0.4,"REVIEW","NO ACTION"))))</f>
        <v>NO ACTION</v>
      </c>
      <c r="AN34" t="str">
        <f>IF(AM34="NO ACTION","",
 IF(_xlfn.TEXTJOIN(", ", TRUE,
  IF(X34&gt;0.7,"Login anomaly",""),
  IF(Y34&gt;0.7,"File anomaly",""),
  IF(Z34&gt;0.7,"Network anomaly",""),
  IF(AA34&gt;0.7,"USB anomaly","")
 )="",
 "General anomaly detected",
 _xlfn.TEXTJOIN(", ", TRUE,
  IF(X34&gt;0.7,"Login anomaly",""),
  IF(Y34&gt;0.7,"File anomaly",""),
  IF(Z34&gt;0.7,"Network anomaly",""),
  IF(AA34&gt;0.7,"USB anomaly","")
 )))</f>
        <v/>
      </c>
    </row>
    <row r="35" spans="1:40" x14ac:dyDescent="0.3">
      <c r="A35" t="s">
        <v>58</v>
      </c>
      <c r="B35">
        <v>0.27977315689981003</v>
      </c>
      <c r="C35">
        <v>0.66654768427052602</v>
      </c>
      <c r="D35">
        <v>0.45197024540580799</v>
      </c>
      <c r="E35">
        <v>6.1230585424133802E-2</v>
      </c>
      <c r="F35">
        <v>1.88172043010752E-2</v>
      </c>
      <c r="G35">
        <v>0.38058656872886498</v>
      </c>
      <c r="H35">
        <v>0</v>
      </c>
      <c r="I35">
        <v>23</v>
      </c>
      <c r="J35">
        <v>0.62272792328610205</v>
      </c>
      <c r="K35">
        <v>4.3230016313213701E-2</v>
      </c>
      <c r="L35">
        <v>1.7725535548824001E-2</v>
      </c>
      <c r="M35">
        <v>2.1067821067820999E-2</v>
      </c>
      <c r="N35">
        <v>2.04369803542724E-2</v>
      </c>
      <c r="O35">
        <v>1342</v>
      </c>
      <c r="P35">
        <v>0.48663720538720501</v>
      </c>
      <c r="Q35">
        <v>0.486693081805112</v>
      </c>
      <c r="R35">
        <v>0.51917404129793499</v>
      </c>
      <c r="S35">
        <v>1</v>
      </c>
      <c r="T35" t="s">
        <v>24</v>
      </c>
      <c r="U35">
        <v>1.21621621621621E-2</v>
      </c>
      <c r="V35">
        <v>0</v>
      </c>
      <c r="W35">
        <v>1.0884758366306001E-2</v>
      </c>
      <c r="X35">
        <v>0.161487130969412</v>
      </c>
      <c r="Y35">
        <v>0.139539446537914</v>
      </c>
      <c r="Z35">
        <v>0.300157115374032</v>
      </c>
      <c r="AA35">
        <v>0.51917404129793499</v>
      </c>
      <c r="AB35">
        <v>0.15044499933719641</v>
      </c>
      <c r="AC35">
        <v>3.79300001077354E-3</v>
      </c>
      <c r="AD35">
        <v>0.10242199897766111</v>
      </c>
      <c r="AE35">
        <v>0.25047901272773743</v>
      </c>
      <c r="AF35">
        <f>0.16*X35 + 0.28*Y35 + 0.28*Z35 + 0.28*AA35</f>
        <v>0.29432170985387263</v>
      </c>
      <c r="AG35">
        <f t="shared" si="0"/>
        <v>0.12394552317447961</v>
      </c>
      <c r="AH35">
        <f>IF(T35="IT_Admin", 0.25, IF(AND(T35="HR", AA35&gt;0.6), 0.25, IF(AND(T35="General", Z35&gt;0.7), 0.2, 0.1)))</f>
        <v>0.25</v>
      </c>
      <c r="AI35">
        <f>IF(V35&gt;0.7, 0.1,
 IF(F35&gt;0.5, 0.08,
 IF(E35&gt;0.5, 0.05,
 0)))</f>
        <v>0</v>
      </c>
      <c r="AJ35">
        <f t="shared" si="1"/>
        <v>0.1750583791782975</v>
      </c>
      <c r="AK35">
        <f t="shared" si="2"/>
        <v>0.21882297397287187</v>
      </c>
      <c r="AL35" t="str">
        <f>IF(MAX(X35, Y35, Z35, AA35)&gt;0.9,
 "Critical",
 IF(AK35&lt;=0.2,"Very Low",
 IF(AK35&lt;=0.4,"Low",
 IF(AK35&lt;=0.6,"Medium",
 IF(AK35&lt;=0.8,"High","Critical")))))</f>
        <v>Low</v>
      </c>
      <c r="AM35" t="str">
        <f>IF(MAX(X35:AA35)&gt;0.9,"CRITICAL ALERT",
 IF(AK35&gt;0.8,"CRITICAL ALERT",
 IF(AK35&gt;0.6,"ALERT",
 IF(AK35&gt;=0.4,"REVIEW","NO ACTION"))))</f>
        <v>NO ACTION</v>
      </c>
      <c r="AN35" t="str">
        <f>IF(AM35="NO ACTION","",
 IF(_xlfn.TEXTJOIN(", ", TRUE,
  IF(X35&gt;0.7,"Login anomaly",""),
  IF(Y35&gt;0.7,"File anomaly",""),
  IF(Z35&gt;0.7,"Network anomaly",""),
  IF(AA35&gt;0.7,"USB anomaly","")
 )="",
 "General anomaly detected",
 _xlfn.TEXTJOIN(", ", TRUE,
  IF(X35&gt;0.7,"Login anomaly",""),
  IF(Y35&gt;0.7,"File anomaly",""),
  IF(Z35&gt;0.7,"Network anomaly",""),
  IF(AA35&gt;0.7,"USB anomaly","")
 )))</f>
        <v/>
      </c>
    </row>
    <row r="36" spans="1:40" x14ac:dyDescent="0.3">
      <c r="A36" t="s">
        <v>59</v>
      </c>
      <c r="B36">
        <v>0.12892249527410199</v>
      </c>
      <c r="C36">
        <v>0.283307599931377</v>
      </c>
      <c r="D36">
        <v>7.4965657310309297E-2</v>
      </c>
      <c r="E36">
        <v>0</v>
      </c>
      <c r="F36">
        <v>0</v>
      </c>
      <c r="G36">
        <v>0.99369984390725696</v>
      </c>
      <c r="H36">
        <v>7</v>
      </c>
      <c r="I36">
        <v>8</v>
      </c>
      <c r="J36">
        <v>0.63465483517007704</v>
      </c>
      <c r="K36">
        <v>3.9967373572593799E-2</v>
      </c>
      <c r="L36">
        <v>1.6079903869187302E-2</v>
      </c>
      <c r="M36">
        <v>2.2222222222222199E-2</v>
      </c>
      <c r="N36">
        <v>2.11518551915305E-2</v>
      </c>
      <c r="O36">
        <v>1341</v>
      </c>
      <c r="P36">
        <v>0.49456369248035897</v>
      </c>
      <c r="Q36">
        <v>0.49461762333882597</v>
      </c>
      <c r="R36">
        <v>0</v>
      </c>
      <c r="S36">
        <v>0</v>
      </c>
      <c r="T36" t="s">
        <v>24</v>
      </c>
      <c r="U36">
        <v>1.0667634252539899E-2</v>
      </c>
      <c r="V36">
        <v>0</v>
      </c>
      <c r="W36">
        <v>0</v>
      </c>
      <c r="X36">
        <v>2.2489697193092802E-2</v>
      </c>
      <c r="Y36">
        <v>0.14131647552606799</v>
      </c>
      <c r="Z36">
        <v>0.30519895756482701</v>
      </c>
      <c r="AA36">
        <v>0</v>
      </c>
      <c r="AB36">
        <v>1.8185000866651539E-2</v>
      </c>
      <c r="AC36">
        <v>3.7799999117851262E-3</v>
      </c>
      <c r="AD36">
        <v>0.1025630012154579</v>
      </c>
      <c r="AE36">
        <v>9.3799998285248876E-4</v>
      </c>
      <c r="AF36">
        <f>0.16*X36 + 0.28*Y36 + 0.28*Z36 + 0.28*AA36</f>
        <v>0.12862267281634548</v>
      </c>
      <c r="AG36">
        <f t="shared" si="0"/>
        <v>3.2948280449490996E-2</v>
      </c>
      <c r="AH36">
        <f>IF(T36="IT_Admin", 0.25, IF(AND(T36="HR", AA36&gt;0.6), 0.25, IF(AND(T36="General", Z36&gt;0.7), 0.2, 0.1)))</f>
        <v>0.25</v>
      </c>
      <c r="AI36">
        <f>IF(V36&gt;0.7, 0.1,
 IF(F36&gt;0.5, 0.08,
 IF(E36&gt;0.5, 0.05,
 0)))</f>
        <v>0</v>
      </c>
      <c r="AJ36">
        <f t="shared" si="1"/>
        <v>6.1650598159547342E-2</v>
      </c>
      <c r="AK36">
        <f t="shared" si="2"/>
        <v>7.7063247699434179E-2</v>
      </c>
      <c r="AL36" t="str">
        <f>IF(MAX(X36, Y36, Z36, AA36)&gt;0.9,
 "Critical",
 IF(AK36&lt;=0.2,"Very Low",
 IF(AK36&lt;=0.4,"Low",
 IF(AK36&lt;=0.6,"Medium",
 IF(AK36&lt;=0.8,"High","Critical")))))</f>
        <v>Very Low</v>
      </c>
      <c r="AM36" t="str">
        <f>IF(MAX(X36:AA36)&gt;0.9,"CRITICAL ALERT",
 IF(AK36&gt;0.8,"CRITICAL ALERT",
 IF(AK36&gt;0.6,"ALERT",
 IF(AK36&gt;=0.4,"REVIEW","NO ACTION"))))</f>
        <v>NO ACTION</v>
      </c>
      <c r="AN36" t="str">
        <f>IF(AM36="NO ACTION","",
 IF(_xlfn.TEXTJOIN(", ", TRUE,
  IF(X36&gt;0.7,"Login anomaly",""),
  IF(Y36&gt;0.7,"File anomaly",""),
  IF(Z36&gt;0.7,"Network anomaly",""),
  IF(AA36&gt;0.7,"USB anomaly","")
 )="",
 "General anomaly detected",
 _xlfn.TEXTJOIN(", ", TRUE,
  IF(X36&gt;0.7,"Login anomaly",""),
  IF(Y36&gt;0.7,"File anomaly",""),
  IF(Z36&gt;0.7,"Network anomaly",""),
  IF(AA36&gt;0.7,"USB anomaly","")
 )))</f>
        <v/>
      </c>
    </row>
    <row r="37" spans="1:40" x14ac:dyDescent="0.3">
      <c r="A37" t="s">
        <v>60</v>
      </c>
      <c r="B37">
        <v>0.12892249527410199</v>
      </c>
      <c r="C37">
        <v>0.27955872809863702</v>
      </c>
      <c r="D37">
        <v>7.5107235637207503E-2</v>
      </c>
      <c r="E37">
        <v>0</v>
      </c>
      <c r="F37">
        <v>0</v>
      </c>
      <c r="G37">
        <v>0.99368737248960204</v>
      </c>
      <c r="H37">
        <v>7</v>
      </c>
      <c r="I37">
        <v>8</v>
      </c>
      <c r="J37">
        <v>0.70268594055627098</v>
      </c>
      <c r="K37">
        <v>3.0995106035889002E-2</v>
      </c>
      <c r="L37">
        <v>1.12632335958528E-2</v>
      </c>
      <c r="M37">
        <v>2.1067821067820999E-2</v>
      </c>
      <c r="N37">
        <v>1.8112263436004399E-2</v>
      </c>
      <c r="O37">
        <v>1535</v>
      </c>
      <c r="P37">
        <v>0.54015852974186296</v>
      </c>
      <c r="Q37">
        <v>0.54020126932921897</v>
      </c>
      <c r="R37">
        <v>0</v>
      </c>
      <c r="S37">
        <v>0</v>
      </c>
      <c r="T37" t="s">
        <v>24</v>
      </c>
      <c r="U37">
        <v>8.7200407955124893E-3</v>
      </c>
      <c r="V37">
        <v>0</v>
      </c>
      <c r="W37">
        <v>0</v>
      </c>
      <c r="X37">
        <v>2.2532170691162201E-2</v>
      </c>
      <c r="Y37">
        <v>0.15160248393998199</v>
      </c>
      <c r="Z37">
        <v>0.331340023219519</v>
      </c>
      <c r="AA37">
        <v>0</v>
      </c>
      <c r="AB37">
        <v>1.8520999699831009E-2</v>
      </c>
      <c r="AC37">
        <v>4.3680001981556424E-3</v>
      </c>
      <c r="AD37">
        <v>0.13044799864292139</v>
      </c>
      <c r="AE37">
        <v>9.0699997963383794E-4</v>
      </c>
      <c r="AF37">
        <f>0.16*X37 + 0.28*Y37 + 0.28*Z37 + 0.28*AA37</f>
        <v>0.13882904931524626</v>
      </c>
      <c r="AG37">
        <f t="shared" si="0"/>
        <v>4.0965799621772013E-2</v>
      </c>
      <c r="AH37">
        <f>IF(T37="IT_Admin", 0.25, IF(AND(T37="HR", AA37&gt;0.6), 0.25, IF(AND(T37="General", Z37&gt;0.7), 0.2, 0.1)))</f>
        <v>0.25</v>
      </c>
      <c r="AI37">
        <f>IF(V37&gt;0.7, 0.1,
 IF(F37&gt;0.5, 0.08,
 IF(E37&gt;0.5, 0.05,
 0)))</f>
        <v>0</v>
      </c>
      <c r="AJ37">
        <f t="shared" si="1"/>
        <v>7.0324774529814282E-2</v>
      </c>
      <c r="AK37">
        <f t="shared" si="2"/>
        <v>8.7905968162267853E-2</v>
      </c>
      <c r="AL37" t="str">
        <f>IF(MAX(X37, Y37, Z37, AA37)&gt;0.9,
 "Critical",
 IF(AK37&lt;=0.2,"Very Low",
 IF(AK37&lt;=0.4,"Low",
 IF(AK37&lt;=0.6,"Medium",
 IF(AK37&lt;=0.8,"High","Critical")))))</f>
        <v>Very Low</v>
      </c>
      <c r="AM37" t="str">
        <f>IF(MAX(X37:AA37)&gt;0.9,"CRITICAL ALERT",
 IF(AK37&gt;0.8,"CRITICAL ALERT",
 IF(AK37&gt;0.6,"ALERT",
 IF(AK37&gt;=0.4,"REVIEW","NO ACTION"))))</f>
        <v>NO ACTION</v>
      </c>
      <c r="AN37" t="str">
        <f>IF(AM37="NO ACTION","",
 IF(_xlfn.TEXTJOIN(", ", TRUE,
  IF(X37&gt;0.7,"Login anomaly",""),
  IF(Y37&gt;0.7,"File anomaly",""),
  IF(Z37&gt;0.7,"Network anomaly",""),
  IF(AA37&gt;0.7,"USB anomaly","")
 )="",
 "General anomaly detected",
 _xlfn.TEXTJOIN(", ", TRUE,
  IF(X37&gt;0.7,"Login anomaly",""),
  IF(Y37&gt;0.7,"File anomaly",""),
  IF(Z37&gt;0.7,"Network anomaly",""),
  IF(AA37&gt;0.7,"USB anomaly","")
 )))</f>
        <v/>
      </c>
    </row>
    <row r="38" spans="1:40" x14ac:dyDescent="0.3">
      <c r="A38" t="s">
        <v>61</v>
      </c>
      <c r="B38">
        <v>0.22722117202268399</v>
      </c>
      <c r="C38">
        <v>0.76899231400705204</v>
      </c>
      <c r="D38">
        <v>0.38138308417689998</v>
      </c>
      <c r="E38">
        <v>0</v>
      </c>
      <c r="F38">
        <v>0</v>
      </c>
      <c r="G38">
        <v>0.50195829470608799</v>
      </c>
      <c r="H38">
        <v>8</v>
      </c>
      <c r="I38">
        <v>14</v>
      </c>
      <c r="J38">
        <v>0.63823290873527005</v>
      </c>
      <c r="K38">
        <v>4.1598694942903698E-2</v>
      </c>
      <c r="L38">
        <v>1.6642434576988999E-2</v>
      </c>
      <c r="M38">
        <v>2.4819624819624801E-2</v>
      </c>
      <c r="N38">
        <v>2.34917572734205E-2</v>
      </c>
      <c r="O38">
        <v>1386</v>
      </c>
      <c r="P38">
        <v>0.49915824915824902</v>
      </c>
      <c r="Q38">
        <v>0.49921105228093499</v>
      </c>
      <c r="R38">
        <v>0</v>
      </c>
      <c r="S38">
        <v>0</v>
      </c>
      <c r="T38" t="s">
        <v>24</v>
      </c>
      <c r="U38">
        <v>9.9544567338972004E-3</v>
      </c>
      <c r="V38">
        <v>0</v>
      </c>
      <c r="W38">
        <v>0</v>
      </c>
      <c r="X38">
        <v>0.11441492525307</v>
      </c>
      <c r="Y38">
        <v>0.14301532621757401</v>
      </c>
      <c r="Z38">
        <v>0.30889165240431699</v>
      </c>
      <c r="AA38">
        <v>0</v>
      </c>
      <c r="AB38">
        <v>3.739599883556366E-2</v>
      </c>
      <c r="AC38">
        <v>3.9980001747608176E-3</v>
      </c>
      <c r="AD38">
        <v>0.10548699647188189</v>
      </c>
      <c r="AE38">
        <v>1.595000037923455E-3</v>
      </c>
      <c r="AF38">
        <f>0.16*X38 + 0.28*Y38 + 0.28*Z38 + 0.28*AA38</f>
        <v>0.14484034205462068</v>
      </c>
      <c r="AG38">
        <f t="shared" si="0"/>
        <v>3.7085758885368712E-2</v>
      </c>
      <c r="AH38">
        <f>IF(T38="IT_Admin", 0.25, IF(AND(T38="HR", AA38&gt;0.6), 0.25, IF(AND(T38="General", Z38&gt;0.7), 0.2, 0.1)))</f>
        <v>0.25</v>
      </c>
      <c r="AI38">
        <f>IF(V38&gt;0.7, 0.1,
 IF(F38&gt;0.5, 0.08,
 IF(E38&gt;0.5, 0.05,
 0)))</f>
        <v>0</v>
      </c>
      <c r="AJ38">
        <f t="shared" si="1"/>
        <v>6.9412133836144307E-2</v>
      </c>
      <c r="AK38">
        <f t="shared" si="2"/>
        <v>8.6765167295180384E-2</v>
      </c>
      <c r="AL38" t="str">
        <f>IF(MAX(X38, Y38, Z38, AA38)&gt;0.9,
 "Critical",
 IF(AK38&lt;=0.2,"Very Low",
 IF(AK38&lt;=0.4,"Low",
 IF(AK38&lt;=0.6,"Medium",
 IF(AK38&lt;=0.8,"High","Critical")))))</f>
        <v>Very Low</v>
      </c>
      <c r="AM38" t="str">
        <f>IF(MAX(X38:AA38)&gt;0.9,"CRITICAL ALERT",
 IF(AK38&gt;0.8,"CRITICAL ALERT",
 IF(AK38&gt;0.6,"ALERT",
 IF(AK38&gt;=0.4,"REVIEW","NO ACTION"))))</f>
        <v>NO ACTION</v>
      </c>
      <c r="AN38" t="str">
        <f>IF(AM38="NO ACTION","",
 IF(_xlfn.TEXTJOIN(", ", TRUE,
  IF(X38&gt;0.7,"Login anomaly",""),
  IF(Y38&gt;0.7,"File anomaly",""),
  IF(Z38&gt;0.7,"Network anomaly",""),
  IF(AA38&gt;0.7,"USB anomaly","")
 )="",
 "General anomaly detected",
 _xlfn.TEXTJOIN(", ", TRUE,
  IF(X38&gt;0.7,"Login anomaly",""),
  IF(Y38&gt;0.7,"File anomaly",""),
  IF(Z38&gt;0.7,"Network anomaly",""),
  IF(AA38&gt;0.7,"USB anomaly","")
 )))</f>
        <v/>
      </c>
    </row>
    <row r="39" spans="1:40" x14ac:dyDescent="0.3">
      <c r="A39" t="s">
        <v>62</v>
      </c>
      <c r="B39">
        <v>0.25406427221172001</v>
      </c>
      <c r="C39">
        <v>0.74261649313116096</v>
      </c>
      <c r="D39">
        <v>0.48294912899869402</v>
      </c>
      <c r="E39">
        <v>0.202169625246548</v>
      </c>
      <c r="F39">
        <v>6.9526627218934905E-2</v>
      </c>
      <c r="G39">
        <v>0.43437940190916402</v>
      </c>
      <c r="H39">
        <v>0</v>
      </c>
      <c r="I39">
        <v>23</v>
      </c>
      <c r="J39">
        <v>0.79800582033299905</v>
      </c>
      <c r="K39">
        <v>5.9543230016313203E-2</v>
      </c>
      <c r="L39">
        <v>1.9053517554598502E-2</v>
      </c>
      <c r="M39">
        <v>3.3189033189033101E-2</v>
      </c>
      <c r="N39">
        <v>2.51258357282741E-2</v>
      </c>
      <c r="O39">
        <v>1575</v>
      </c>
      <c r="P39">
        <v>0.62840207631874301</v>
      </c>
      <c r="Q39">
        <v>0.62842315649216296</v>
      </c>
      <c r="R39">
        <v>0.29203539823008801</v>
      </c>
      <c r="S39">
        <v>1</v>
      </c>
      <c r="T39" t="s">
        <v>24</v>
      </c>
      <c r="U39">
        <v>1.0686402081977801E-2</v>
      </c>
      <c r="V39">
        <v>0</v>
      </c>
      <c r="W39">
        <v>4.3230539282426199E-2</v>
      </c>
      <c r="X39">
        <v>0.233346277161146</v>
      </c>
      <c r="Y39">
        <v>0.176665673562381</v>
      </c>
      <c r="Z39">
        <v>0.38709158008255501</v>
      </c>
      <c r="AA39">
        <v>0.29203539823008801</v>
      </c>
      <c r="AB39">
        <v>0.17708499729633331</v>
      </c>
      <c r="AC39">
        <v>7.6080001890659332E-3</v>
      </c>
      <c r="AD39">
        <v>0.2014919966459274</v>
      </c>
      <c r="AE39">
        <v>9.2868998646736145E-2</v>
      </c>
      <c r="AF39">
        <f>0.16*X39 + 0.28*Y39 + 0.28*Z39 + 0.28*AA39</f>
        <v>0.2769573468707901</v>
      </c>
      <c r="AG39">
        <f t="shared" si="0"/>
        <v>0.11288491830229759</v>
      </c>
      <c r="AH39">
        <f>IF(T39="IT_Admin", 0.25, IF(AND(T39="HR", AA39&gt;0.6), 0.25, IF(AND(T39="General", Z39&gt;0.7), 0.2, 0.1)))</f>
        <v>0.25</v>
      </c>
      <c r="AI39">
        <f>IF(V39&gt;0.7, 0.1,
 IF(F39&gt;0.5, 0.08,
 IF(E39&gt;0.5, 0.05,
 0)))</f>
        <v>0</v>
      </c>
      <c r="AJ39">
        <f t="shared" si="1"/>
        <v>0.16210664687284532</v>
      </c>
      <c r="AK39">
        <f t="shared" si="2"/>
        <v>0.20263330859105666</v>
      </c>
      <c r="AL39" t="str">
        <f>IF(MAX(X39, Y39, Z39, AA39)&gt;0.9,
 "Critical",
 IF(AK39&lt;=0.2,"Very Low",
 IF(AK39&lt;=0.4,"Low",
 IF(AK39&lt;=0.6,"Medium",
 IF(AK39&lt;=0.8,"High","Critical")))))</f>
        <v>Low</v>
      </c>
      <c r="AM39" t="str">
        <f>IF(MAX(X39:AA39)&gt;0.9,"CRITICAL ALERT",
 IF(AK39&gt;0.8,"CRITICAL ALERT",
 IF(AK39&gt;0.6,"ALERT",
 IF(AK39&gt;=0.4,"REVIEW","NO ACTION"))))</f>
        <v>NO ACTION</v>
      </c>
      <c r="AN39" t="str">
        <f>IF(AM39="NO ACTION","",
 IF(_xlfn.TEXTJOIN(", ", TRUE,
  IF(X39&gt;0.7,"Login anomaly",""),
  IF(Y39&gt;0.7,"File anomaly",""),
  IF(Z39&gt;0.7,"Network anomaly",""),
  IF(AA39&gt;0.7,"USB anomaly","")
 )="",
 "General anomaly detected",
 _xlfn.TEXTJOIN(", ", TRUE,
  IF(X39&gt;0.7,"Login anomaly",""),
  IF(Y39&gt;0.7,"File anomaly",""),
  IF(Z39&gt;0.7,"Network anomaly",""),
  IF(AA39&gt;0.7,"USB anomaly","")
 )))</f>
        <v/>
      </c>
    </row>
    <row r="40" spans="1:40" x14ac:dyDescent="0.3">
      <c r="A40" t="s">
        <v>63</v>
      </c>
      <c r="B40">
        <v>0.12892249527410199</v>
      </c>
      <c r="C40">
        <v>0.282236493693451</v>
      </c>
      <c r="D40">
        <v>7.5018780494472401E-2</v>
      </c>
      <c r="E40">
        <v>0</v>
      </c>
      <c r="F40">
        <v>0</v>
      </c>
      <c r="G40">
        <v>0.99366644405911697</v>
      </c>
      <c r="H40">
        <v>7</v>
      </c>
      <c r="I40">
        <v>8</v>
      </c>
      <c r="J40">
        <v>0.56166213444015001</v>
      </c>
      <c r="K40">
        <v>4.4045676998368602E-2</v>
      </c>
      <c r="L40">
        <v>2.0022687538028001E-2</v>
      </c>
      <c r="M40">
        <v>2.5974025974025899E-2</v>
      </c>
      <c r="N40">
        <v>2.7934537868312698E-2</v>
      </c>
      <c r="O40">
        <v>1250</v>
      </c>
      <c r="P40">
        <v>0.44447951739618402</v>
      </c>
      <c r="Q40">
        <v>0.44454574143553399</v>
      </c>
      <c r="R40">
        <v>0</v>
      </c>
      <c r="S40">
        <v>0</v>
      </c>
      <c r="T40" t="s">
        <v>24</v>
      </c>
      <c r="U40">
        <v>1.0076715737092999E-2</v>
      </c>
      <c r="V40">
        <v>0</v>
      </c>
      <c r="W40">
        <v>0</v>
      </c>
      <c r="X40">
        <v>2.25056341483417E-2</v>
      </c>
      <c r="Y40">
        <v>0.13072413201753799</v>
      </c>
      <c r="Z40">
        <v>0.27786152558503502</v>
      </c>
      <c r="AA40">
        <v>0</v>
      </c>
      <c r="AB40">
        <v>1.8167000263929371E-2</v>
      </c>
      <c r="AC40">
        <v>3.3199999015778299E-3</v>
      </c>
      <c r="AD40">
        <v>7.6125003397464752E-2</v>
      </c>
      <c r="AE40">
        <v>1.038999995216727E-3</v>
      </c>
      <c r="AF40">
        <f>0.16*X40 + 0.28*Y40 + 0.28*Z40 + 0.28*AA40</f>
        <v>0.11800488559245513</v>
      </c>
      <c r="AG40">
        <f t="shared" si="0"/>
        <v>2.5442240964621308E-2</v>
      </c>
      <c r="AH40">
        <f>IF(T40="IT_Admin", 0.25, IF(AND(T40="HR", AA40&gt;0.6), 0.25, IF(AND(T40="General", Z40&gt;0.7), 0.2, 0.1)))</f>
        <v>0.25</v>
      </c>
      <c r="AI40">
        <f>IF(V40&gt;0.7, 0.1,
 IF(F40&gt;0.5, 0.08,
 IF(E40&gt;0.5, 0.05,
 0)))</f>
        <v>0</v>
      </c>
      <c r="AJ40">
        <f t="shared" si="1"/>
        <v>5.3211034352971455E-2</v>
      </c>
      <c r="AK40">
        <f t="shared" si="2"/>
        <v>6.6513792941214317E-2</v>
      </c>
      <c r="AL40" t="str">
        <f>IF(MAX(X40, Y40, Z40, AA40)&gt;0.9,
 "Critical",
 IF(AK40&lt;=0.2,"Very Low",
 IF(AK40&lt;=0.4,"Low",
 IF(AK40&lt;=0.6,"Medium",
 IF(AK40&lt;=0.8,"High","Critical")))))</f>
        <v>Very Low</v>
      </c>
      <c r="AM40" t="str">
        <f>IF(MAX(X40:AA40)&gt;0.9,"CRITICAL ALERT",
 IF(AK40&gt;0.8,"CRITICAL ALERT",
 IF(AK40&gt;0.6,"ALERT",
 IF(AK40&gt;=0.4,"REVIEW","NO ACTION"))))</f>
        <v>NO ACTION</v>
      </c>
      <c r="AN40" t="str">
        <f>IF(AM40="NO ACTION","",
 IF(_xlfn.TEXTJOIN(", ", TRUE,
  IF(X40&gt;0.7,"Login anomaly",""),
  IF(Y40&gt;0.7,"File anomaly",""),
  IF(Z40&gt;0.7,"Network anomaly",""),
  IF(AA40&gt;0.7,"USB anomaly","")
 )="",
 "General anomaly detected",
 _xlfn.TEXTJOIN(", ", TRUE,
  IF(X40&gt;0.7,"Login anomaly",""),
  IF(Y40&gt;0.7,"File anomaly",""),
  IF(Z40&gt;0.7,"Network anomaly",""),
  IF(AA40&gt;0.7,"USB anomaly","")
 )))</f>
        <v/>
      </c>
    </row>
    <row r="41" spans="1:40" x14ac:dyDescent="0.3">
      <c r="A41" t="s">
        <v>64</v>
      </c>
      <c r="B41">
        <v>0.12892249527410199</v>
      </c>
      <c r="C41">
        <v>0.18476582604220201</v>
      </c>
      <c r="D41">
        <v>0</v>
      </c>
      <c r="E41">
        <v>0</v>
      </c>
      <c r="F41">
        <v>0</v>
      </c>
      <c r="G41">
        <v>0.99369521396035898</v>
      </c>
      <c r="H41">
        <v>7</v>
      </c>
      <c r="I41">
        <v>7</v>
      </c>
      <c r="J41">
        <v>0.70087304994990696</v>
      </c>
      <c r="K41">
        <v>3.8336052202283803E-2</v>
      </c>
      <c r="L41">
        <v>1.39668630537863E-2</v>
      </c>
      <c r="M41">
        <v>6.3492063492063397E-3</v>
      </c>
      <c r="N41">
        <v>5.4726045744009797E-3</v>
      </c>
      <c r="O41">
        <v>1419</v>
      </c>
      <c r="P41">
        <v>0.53482744107744096</v>
      </c>
      <c r="Q41">
        <v>0.53487148918265004</v>
      </c>
      <c r="R41">
        <v>0</v>
      </c>
      <c r="S41">
        <v>0</v>
      </c>
      <c r="T41" t="s">
        <v>24</v>
      </c>
      <c r="U41">
        <v>3.4700574241181302E-2</v>
      </c>
      <c r="V41">
        <v>0</v>
      </c>
      <c r="W41">
        <v>0</v>
      </c>
      <c r="X41">
        <v>0</v>
      </c>
      <c r="Y41">
        <v>0.14879982288919399</v>
      </c>
      <c r="Z41">
        <v>0.32308550647622503</v>
      </c>
      <c r="AA41">
        <v>0</v>
      </c>
      <c r="AB41">
        <v>3.6864001303911209E-2</v>
      </c>
      <c r="AC41">
        <v>3.9420002140104771E-3</v>
      </c>
      <c r="AD41">
        <v>0.12525799870491031</v>
      </c>
      <c r="AE41">
        <v>9.2000002041459084E-4</v>
      </c>
      <c r="AF41">
        <f>0.16*X41 + 0.28*Y41 + 0.28*Z41 + 0.28*AA41</f>
        <v>0.13212789222231733</v>
      </c>
      <c r="AG41">
        <f t="shared" si="0"/>
        <v>4.2331839911639697E-2</v>
      </c>
      <c r="AH41">
        <f>IF(T41="IT_Admin", 0.25, IF(AND(T41="HR", AA41&gt;0.6), 0.25, IF(AND(T41="General", Z41&gt;0.7), 0.2, 0.1)))</f>
        <v>0.25</v>
      </c>
      <c r="AI41">
        <f>IF(V41&gt;0.7, 0.1,
 IF(F41&gt;0.5, 0.08,
 IF(E41&gt;0.5, 0.05,
 0)))</f>
        <v>0</v>
      </c>
      <c r="AJ41">
        <f t="shared" si="1"/>
        <v>6.9270655604842982E-2</v>
      </c>
      <c r="AK41">
        <f t="shared" si="2"/>
        <v>8.6588319506053724E-2</v>
      </c>
      <c r="AL41" t="str">
        <f>IF(MAX(X41, Y41, Z41, AA41)&gt;0.9,
 "Critical",
 IF(AK41&lt;=0.2,"Very Low",
 IF(AK41&lt;=0.4,"Low",
 IF(AK41&lt;=0.6,"Medium",
 IF(AK41&lt;=0.8,"High","Critical")))))</f>
        <v>Very Low</v>
      </c>
      <c r="AM41" t="str">
        <f>IF(MAX(X41:AA41)&gt;0.9,"CRITICAL ALERT",
 IF(AK41&gt;0.8,"CRITICAL ALERT",
 IF(AK41&gt;0.6,"ALERT",
 IF(AK41&gt;=0.4,"REVIEW","NO ACTION"))))</f>
        <v>NO ACTION</v>
      </c>
      <c r="AN41" t="str">
        <f>IF(AM41="NO ACTION","",
 IF(_xlfn.TEXTJOIN(", ", TRUE,
  IF(X41&gt;0.7,"Login anomaly",""),
  IF(Y41&gt;0.7,"File anomaly",""),
  IF(Z41&gt;0.7,"Network anomaly",""),
  IF(AA41&gt;0.7,"USB anomaly","")
 )="",
 "General anomaly detected",
 _xlfn.TEXTJOIN(", ", TRUE,
  IF(X41&gt;0.7,"Login anomaly",""),
  IF(Y41&gt;0.7,"File anomaly",""),
  IF(Z41&gt;0.7,"Network anomaly",""),
  IF(AA41&gt;0.7,"USB anomaly","")
 )))</f>
        <v/>
      </c>
    </row>
    <row r="42" spans="1:40" x14ac:dyDescent="0.3">
      <c r="A42" t="s">
        <v>65</v>
      </c>
      <c r="B42">
        <v>0.26502835538752301</v>
      </c>
      <c r="C42">
        <v>0.61981727459547398</v>
      </c>
      <c r="D42">
        <v>0.53156302118051502</v>
      </c>
      <c r="E42">
        <v>0.38770685579196201</v>
      </c>
      <c r="F42">
        <v>6.0992907801418403E-2</v>
      </c>
      <c r="G42">
        <v>0.40976397710625301</v>
      </c>
      <c r="H42">
        <v>0</v>
      </c>
      <c r="I42">
        <v>23</v>
      </c>
      <c r="J42">
        <v>0.65679118362673505</v>
      </c>
      <c r="K42">
        <v>5.6280587275693301E-2</v>
      </c>
      <c r="L42">
        <v>2.1880247837506701E-2</v>
      </c>
      <c r="M42">
        <v>4.9062049062049001E-3</v>
      </c>
      <c r="N42">
        <v>4.5125542801987698E-3</v>
      </c>
      <c r="O42">
        <v>1398</v>
      </c>
      <c r="P42">
        <v>0.50943462401795703</v>
      </c>
      <c r="Q42">
        <v>0.50948490480030795</v>
      </c>
      <c r="R42">
        <v>0.46312684365781698</v>
      </c>
      <c r="S42">
        <v>1</v>
      </c>
      <c r="T42" t="s">
        <v>24</v>
      </c>
      <c r="U42">
        <v>6.5094339622641495E-2</v>
      </c>
      <c r="V42">
        <v>0</v>
      </c>
      <c r="W42">
        <v>4.3550776451007099E-2</v>
      </c>
      <c r="X42">
        <v>0.30017812621230999</v>
      </c>
      <c r="Y42">
        <v>0.14365212692816001</v>
      </c>
      <c r="Z42">
        <v>0.30746579612285402</v>
      </c>
      <c r="AA42">
        <v>0.46312684365781698</v>
      </c>
      <c r="AB42">
        <v>0.24833300709724429</v>
      </c>
      <c r="AC42">
        <v>4.4370000250637531E-3</v>
      </c>
      <c r="AD42">
        <v>0.1151280030608177</v>
      </c>
      <c r="AE42">
        <v>0.19260199368000031</v>
      </c>
      <c r="AF42">
        <f>0.16*X42 + 0.28*Y42 + 0.28*Z42 + 0.28*AA42</f>
        <v>0.3040170348724423</v>
      </c>
      <c r="AG42">
        <f t="shared" si="0"/>
        <v>0.12714004023000597</v>
      </c>
      <c r="AH42">
        <f>IF(T42="IT_Admin", 0.25, IF(AND(T42="HR", AA42&gt;0.6), 0.25, IF(AND(T42="General", Z42&gt;0.7), 0.2, 0.1)))</f>
        <v>0.25</v>
      </c>
      <c r="AI42">
        <f>IF(V42&gt;0.7, 0.1,
 IF(F42&gt;0.5, 0.08,
 IF(E42&gt;0.5, 0.05,
 0)))</f>
        <v>0</v>
      </c>
      <c r="AJ42">
        <f t="shared" si="1"/>
        <v>0.18020313862273685</v>
      </c>
      <c r="AK42">
        <f t="shared" si="2"/>
        <v>0.22525392327842106</v>
      </c>
      <c r="AL42" t="str">
        <f>IF(MAX(X42, Y42, Z42, AA42)&gt;0.9,
 "Critical",
 IF(AK42&lt;=0.2,"Very Low",
 IF(AK42&lt;=0.4,"Low",
 IF(AK42&lt;=0.6,"Medium",
 IF(AK42&lt;=0.8,"High","Critical")))))</f>
        <v>Low</v>
      </c>
      <c r="AM42" t="str">
        <f>IF(MAX(X42:AA42)&gt;0.9,"CRITICAL ALERT",
 IF(AK42&gt;0.8,"CRITICAL ALERT",
 IF(AK42&gt;0.6,"ALERT",
 IF(AK42&gt;=0.4,"REVIEW","NO ACTION"))))</f>
        <v>NO ACTION</v>
      </c>
      <c r="AN42" t="str">
        <f>IF(AM42="NO ACTION","",
 IF(_xlfn.TEXTJOIN(", ", TRUE,
  IF(X42&gt;0.7,"Login anomaly",""),
  IF(Y42&gt;0.7,"File anomaly",""),
  IF(Z42&gt;0.7,"Network anomaly",""),
  IF(AA42&gt;0.7,"USB anomaly","")
 )="",
 "General anomaly detected",
 _xlfn.TEXTJOIN(", ", TRUE,
  IF(X42&gt;0.7,"Login anomaly",""),
  IF(Y42&gt;0.7,"File anomaly",""),
  IF(Z42&gt;0.7,"Network anomaly",""),
  IF(AA42&gt;0.7,"USB anomaly","")
 )))</f>
        <v/>
      </c>
    </row>
    <row r="43" spans="1:40" x14ac:dyDescent="0.3">
      <c r="A43" t="s">
        <v>66</v>
      </c>
      <c r="B43">
        <v>0.26654064272211703</v>
      </c>
      <c r="C43">
        <v>0.87353321423619601</v>
      </c>
      <c r="D43">
        <v>0.43791312183887798</v>
      </c>
      <c r="E43">
        <v>0</v>
      </c>
      <c r="F43">
        <v>0</v>
      </c>
      <c r="G43">
        <v>0.40688678077558599</v>
      </c>
      <c r="H43">
        <v>8</v>
      </c>
      <c r="I43">
        <v>19</v>
      </c>
      <c r="J43">
        <v>0.75583225991126302</v>
      </c>
      <c r="K43">
        <v>5.8727569331158198E-2</v>
      </c>
      <c r="L43">
        <v>1.9840754990988901E-2</v>
      </c>
      <c r="M43">
        <v>6.63780663780663E-3</v>
      </c>
      <c r="N43">
        <v>5.3054705124366899E-3</v>
      </c>
      <c r="O43">
        <v>1507</v>
      </c>
      <c r="P43">
        <v>0.58414001122334402</v>
      </c>
      <c r="Q43">
        <v>0.58417195553841295</v>
      </c>
      <c r="R43">
        <v>0.868731563421828</v>
      </c>
      <c r="S43">
        <v>1</v>
      </c>
      <c r="T43" t="s">
        <v>24</v>
      </c>
      <c r="U43">
        <v>5.0943396226415097E-2</v>
      </c>
      <c r="V43">
        <v>0</v>
      </c>
      <c r="W43">
        <v>0</v>
      </c>
      <c r="X43">
        <v>0.13137393655166299</v>
      </c>
      <c r="Y43">
        <v>0.162678470631478</v>
      </c>
      <c r="Z43">
        <v>0.35260619493898099</v>
      </c>
      <c r="AA43">
        <v>0.868731563421828</v>
      </c>
      <c r="AB43">
        <v>8.4204003214836121E-2</v>
      </c>
      <c r="AC43">
        <v>5.636999849230051E-3</v>
      </c>
      <c r="AD43">
        <v>0.16367900371551511</v>
      </c>
      <c r="AE43">
        <v>0.76374298334121704</v>
      </c>
      <c r="AF43">
        <f>0.16*X43 + 0.28*Y43 + 0.28*Z43 + 0.28*AA43</f>
        <v>0.40854437396610643</v>
      </c>
      <c r="AG43">
        <f t="shared" si="0"/>
        <v>0.27472915684804322</v>
      </c>
      <c r="AH43">
        <f>IF(T43="IT_Admin", 0.25, IF(AND(T43="HR", AA43&gt;0.6), 0.25, IF(AND(T43="General", Z43&gt;0.7), 0.2, 0.1)))</f>
        <v>0.25</v>
      </c>
      <c r="AI43">
        <f>IF(V43&gt;0.7, 0.1,
 IF(F43&gt;0.5, 0.08,
 IF(E43&gt;0.5, 0.05,
 0)))</f>
        <v>0</v>
      </c>
      <c r="AJ43">
        <f t="shared" si="1"/>
        <v>0.31487372198346214</v>
      </c>
      <c r="AK43">
        <f t="shared" si="2"/>
        <v>0.39359215247932766</v>
      </c>
      <c r="AL43" t="str">
        <f>IF(MAX(X43, Y43, Z43, AA43)&gt;0.9,
 "Critical",
 IF(AK43&lt;=0.2,"Very Low",
 IF(AK43&lt;=0.4,"Low",
 IF(AK43&lt;=0.6,"Medium",
 IF(AK43&lt;=0.8,"High","Critical")))))</f>
        <v>Low</v>
      </c>
      <c r="AM43" t="str">
        <f>IF(MAX(X43:AA43)&gt;0.9,"CRITICAL ALERT",
 IF(AK43&gt;0.8,"CRITICAL ALERT",
 IF(AK43&gt;0.6,"ALERT",
 IF(AK43&gt;=0.4,"REVIEW","NO ACTION"))))</f>
        <v>NO ACTION</v>
      </c>
      <c r="AN43" t="str">
        <f>IF(AM43="NO ACTION","",
 IF(_xlfn.TEXTJOIN(", ", TRUE,
  IF(X43&gt;0.7,"Login anomaly",""),
  IF(Y43&gt;0.7,"File anomaly",""),
  IF(Z43&gt;0.7,"Network anomaly",""),
  IF(AA43&gt;0.7,"USB anomaly","")
 )="",
 "General anomaly detected",
 _xlfn.TEXTJOIN(", ", TRUE,
  IF(X43&gt;0.7,"Login anomaly",""),
  IF(Y43&gt;0.7,"File anomaly",""),
  IF(Z43&gt;0.7,"Network anomaly",""),
  IF(AA43&gt;0.7,"USB anomaly","")
 )))</f>
        <v/>
      </c>
    </row>
    <row r="44" spans="1:40" x14ac:dyDescent="0.3">
      <c r="A44" t="s">
        <v>67</v>
      </c>
      <c r="B44">
        <v>0.2351606805293</v>
      </c>
      <c r="C44">
        <v>0.58086125503363395</v>
      </c>
      <c r="D44">
        <v>0.36857088512193298</v>
      </c>
      <c r="E44">
        <v>0</v>
      </c>
      <c r="F44">
        <v>0</v>
      </c>
      <c r="G44">
        <v>0.48035956548191899</v>
      </c>
      <c r="H44">
        <v>7</v>
      </c>
      <c r="I44">
        <v>15</v>
      </c>
      <c r="J44">
        <v>0.61633509851629198</v>
      </c>
      <c r="K44">
        <v>5.1386623164763397E-2</v>
      </c>
      <c r="L44">
        <v>2.1288436200869901E-2</v>
      </c>
      <c r="M44">
        <v>6.63780663780663E-3</v>
      </c>
      <c r="N44">
        <v>6.50581063765836E-3</v>
      </c>
      <c r="O44">
        <v>1262</v>
      </c>
      <c r="P44">
        <v>0.47843013468013401</v>
      </c>
      <c r="Q44">
        <v>0.478488025526841</v>
      </c>
      <c r="R44">
        <v>0.29203539823008801</v>
      </c>
      <c r="S44">
        <v>1</v>
      </c>
      <c r="T44" t="s">
        <v>24</v>
      </c>
      <c r="U44">
        <v>4.4575471698113198E-2</v>
      </c>
      <c r="V44">
        <v>0</v>
      </c>
      <c r="W44">
        <v>0</v>
      </c>
      <c r="X44">
        <v>0.11057126553658</v>
      </c>
      <c r="Y44">
        <v>0.13586298099499</v>
      </c>
      <c r="Z44">
        <v>0.289660405063144</v>
      </c>
      <c r="AA44">
        <v>0.29203539823008801</v>
      </c>
      <c r="AB44">
        <v>2.1548999473452572E-2</v>
      </c>
      <c r="AC44">
        <v>3.362999996170402E-3</v>
      </c>
      <c r="AD44">
        <v>9.3860998749732971E-2</v>
      </c>
      <c r="AE44">
        <v>0.1013770028948784</v>
      </c>
      <c r="AF44">
        <f>0.16*X44 + 0.28*Y44 + 0.28*Z44 + 0.28*AA44</f>
        <v>0.21860786208655497</v>
      </c>
      <c r="AG44">
        <f t="shared" si="0"/>
        <v>5.9056120375171314E-2</v>
      </c>
      <c r="AH44">
        <f>IF(T44="IT_Admin", 0.25, IF(AND(T44="HR", AA44&gt;0.6), 0.25, IF(AND(T44="General", Z44&gt;0.7), 0.2, 0.1)))</f>
        <v>0.25</v>
      </c>
      <c r="AI44">
        <f>IF(V44&gt;0.7, 0.1,
 IF(F44&gt;0.5, 0.08,
 IF(E44&gt;0.5, 0.05,
 0)))</f>
        <v>0</v>
      </c>
      <c r="AJ44">
        <f t="shared" si="1"/>
        <v>0.10692164288858641</v>
      </c>
      <c r="AK44">
        <f t="shared" si="2"/>
        <v>0.13365205361073301</v>
      </c>
      <c r="AL44" t="str">
        <f>IF(MAX(X44, Y44, Z44, AA44)&gt;0.9,
 "Critical",
 IF(AK44&lt;=0.2,"Very Low",
 IF(AK44&lt;=0.4,"Low",
 IF(AK44&lt;=0.6,"Medium",
 IF(AK44&lt;=0.8,"High","Critical")))))</f>
        <v>Very Low</v>
      </c>
      <c r="AM44" t="str">
        <f>IF(MAX(X44:AA44)&gt;0.9,"CRITICAL ALERT",
 IF(AK44&gt;0.8,"CRITICAL ALERT",
 IF(AK44&gt;0.6,"ALERT",
 IF(AK44&gt;=0.4,"REVIEW","NO ACTION"))))</f>
        <v>NO ACTION</v>
      </c>
      <c r="AN44" t="str">
        <f>IF(AM44="NO ACTION","",
 IF(_xlfn.TEXTJOIN(", ", TRUE,
  IF(X44&gt;0.7,"Login anomaly",""),
  IF(Y44&gt;0.7,"File anomaly",""),
  IF(Z44&gt;0.7,"Network anomaly",""),
  IF(AA44&gt;0.7,"USB anomaly","")
 )="",
 "General anomaly detected",
 _xlfn.TEXTJOIN(", ", TRUE,
  IF(X44&gt;0.7,"Login anomaly",""),
  IF(Y44&gt;0.7,"File anomaly",""),
  IF(Z44&gt;0.7,"Network anomaly",""),
  IF(AA44&gt;0.7,"USB anomaly","")
 )))</f>
        <v/>
      </c>
    </row>
    <row r="45" spans="1:40" x14ac:dyDescent="0.3">
      <c r="A45" t="s">
        <v>68</v>
      </c>
      <c r="B45">
        <v>0.12892249527410199</v>
      </c>
      <c r="C45">
        <v>0.36953165208440503</v>
      </c>
      <c r="D45">
        <v>0</v>
      </c>
      <c r="E45">
        <v>0</v>
      </c>
      <c r="F45">
        <v>0</v>
      </c>
      <c r="G45">
        <v>0.993686676659433</v>
      </c>
      <c r="H45">
        <v>8</v>
      </c>
      <c r="I45">
        <v>8</v>
      </c>
      <c r="J45">
        <v>0.67406135203473105</v>
      </c>
      <c r="K45">
        <v>2.36541598694942E-2</v>
      </c>
      <c r="L45">
        <v>8.9605170626961099E-3</v>
      </c>
      <c r="M45">
        <v>5.1948051948051896E-3</v>
      </c>
      <c r="N45">
        <v>4.6556245509125002E-3</v>
      </c>
      <c r="O45">
        <v>1406</v>
      </c>
      <c r="P45">
        <v>0.50824214365881004</v>
      </c>
      <c r="Q45">
        <v>0.50829271713594404</v>
      </c>
      <c r="R45">
        <v>0</v>
      </c>
      <c r="S45">
        <v>0</v>
      </c>
      <c r="T45" t="s">
        <v>24</v>
      </c>
      <c r="U45">
        <v>2.5918570009930399E-2</v>
      </c>
      <c r="V45">
        <v>0</v>
      </c>
      <c r="W45">
        <v>0</v>
      </c>
      <c r="X45">
        <v>0</v>
      </c>
      <c r="Y45">
        <v>0.14068921630356801</v>
      </c>
      <c r="Z45">
        <v>0.30680753601565097</v>
      </c>
      <c r="AA45">
        <v>0</v>
      </c>
      <c r="AB45">
        <v>2.4888999760150909E-2</v>
      </c>
      <c r="AC45">
        <v>3.2780000474303961E-3</v>
      </c>
      <c r="AD45">
        <v>0.1086369976401329</v>
      </c>
      <c r="AE45">
        <v>8.9199998183175921E-4</v>
      </c>
      <c r="AF45">
        <f>0.16*X45 + 0.28*Y45 + 0.28*Z45 + 0.28*AA45</f>
        <v>0.12529909064938133</v>
      </c>
      <c r="AG45">
        <f t="shared" si="0"/>
        <v>3.5568199309054763E-2</v>
      </c>
      <c r="AH45">
        <f>IF(T45="IT_Admin", 0.25, IF(AND(T45="HR", AA45&gt;0.6), 0.25, IF(AND(T45="General", Z45&gt;0.7), 0.2, 0.1)))</f>
        <v>0.25</v>
      </c>
      <c r="AI45">
        <f>IF(V45&gt;0.7, 0.1,
 IF(F45&gt;0.5, 0.08,
 IF(E45&gt;0.5, 0.05,
 0)))</f>
        <v>0</v>
      </c>
      <c r="AJ45">
        <f t="shared" si="1"/>
        <v>6.2487466711152725E-2</v>
      </c>
      <c r="AK45">
        <f t="shared" si="2"/>
        <v>7.810933338894091E-2</v>
      </c>
      <c r="AL45" t="str">
        <f>IF(MAX(X45, Y45, Z45, AA45)&gt;0.9,
 "Critical",
 IF(AK45&lt;=0.2,"Very Low",
 IF(AK45&lt;=0.4,"Low",
 IF(AK45&lt;=0.6,"Medium",
 IF(AK45&lt;=0.8,"High","Critical")))))</f>
        <v>Very Low</v>
      </c>
      <c r="AM45" t="str">
        <f>IF(MAX(X45:AA45)&gt;0.9,"CRITICAL ALERT",
 IF(AK45&gt;0.8,"CRITICAL ALERT",
 IF(AK45&gt;0.6,"ALERT",
 IF(AK45&gt;=0.4,"REVIEW","NO ACTION"))))</f>
        <v>NO ACTION</v>
      </c>
      <c r="AN45" t="str">
        <f>IF(AM45="NO ACTION","",
 IF(_xlfn.TEXTJOIN(", ", TRUE,
  IF(X45&gt;0.7,"Login anomaly",""),
  IF(Y45&gt;0.7,"File anomaly",""),
  IF(Z45&gt;0.7,"Network anomaly",""),
  IF(AA45&gt;0.7,"USB anomaly","")
 )="",
 "General anomaly detected",
 _xlfn.TEXTJOIN(", ", TRUE,
  IF(X45&gt;0.7,"Login anomaly",""),
  IF(Y45&gt;0.7,"File anomaly",""),
  IF(Z45&gt;0.7,"Network anomaly",""),
  IF(AA45&gt;0.7,"USB anomaly","")
 )))</f>
        <v/>
      </c>
    </row>
    <row r="46" spans="1:40" x14ac:dyDescent="0.3">
      <c r="A46" t="s">
        <v>69</v>
      </c>
      <c r="B46">
        <v>0.26351606805292999</v>
      </c>
      <c r="C46">
        <v>0.79810402461596197</v>
      </c>
      <c r="D46">
        <v>0.37095572234212498</v>
      </c>
      <c r="E46">
        <v>0</v>
      </c>
      <c r="F46">
        <v>0</v>
      </c>
      <c r="G46">
        <v>0.41301479652704398</v>
      </c>
      <c r="H46">
        <v>8</v>
      </c>
      <c r="I46">
        <v>15</v>
      </c>
      <c r="J46">
        <v>0.51619674633843804</v>
      </c>
      <c r="K46">
        <v>2.9363784665579099E-2</v>
      </c>
      <c r="L46">
        <v>1.4523615939824101E-2</v>
      </c>
      <c r="M46">
        <v>1.4141414141414101E-2</v>
      </c>
      <c r="N46">
        <v>1.65477406863088E-2</v>
      </c>
      <c r="O46">
        <v>1125</v>
      </c>
      <c r="P46">
        <v>0.39898989898989901</v>
      </c>
      <c r="Q46">
        <v>0.39906728847435002</v>
      </c>
      <c r="R46">
        <v>0.87020648967551595</v>
      </c>
      <c r="S46">
        <v>1</v>
      </c>
      <c r="T46" t="s">
        <v>24</v>
      </c>
      <c r="U46">
        <v>1.22264150943396E-2</v>
      </c>
      <c r="V46">
        <v>0</v>
      </c>
      <c r="W46">
        <v>0</v>
      </c>
      <c r="X46">
        <v>0.111286716702637</v>
      </c>
      <c r="Y46">
        <v>0.115465479443492</v>
      </c>
      <c r="Z46">
        <v>0.246013035668462</v>
      </c>
      <c r="AA46">
        <v>0.87020648967551595</v>
      </c>
      <c r="AB46">
        <v>5.2049998193979263E-2</v>
      </c>
      <c r="AC46">
        <v>2.0349998958408828E-3</v>
      </c>
      <c r="AD46">
        <v>5.6763000786304467E-2</v>
      </c>
      <c r="AE46">
        <v>0.76373201608657837</v>
      </c>
      <c r="AF46">
        <f>0.16*X46 + 0.28*Y46 + 0.28*Z46 + 0.28*AA46</f>
        <v>0.36267767601291356</v>
      </c>
      <c r="AG46">
        <f t="shared" si="0"/>
        <v>0.23863640440627934</v>
      </c>
      <c r="AH46">
        <f>IF(T46="IT_Admin", 0.25, IF(AND(T46="HR", AA46&gt;0.6), 0.25, IF(AND(T46="General", Z46&gt;0.7), 0.2, 0.1)))</f>
        <v>0.25</v>
      </c>
      <c r="AI46">
        <f>IF(V46&gt;0.7, 0.1,
 IF(F46&gt;0.5, 0.08,
 IF(E46&gt;0.5, 0.05,
 0)))</f>
        <v>0</v>
      </c>
      <c r="AJ46">
        <f t="shared" si="1"/>
        <v>0.27584878588826961</v>
      </c>
      <c r="AK46">
        <f t="shared" si="2"/>
        <v>0.34481098236033703</v>
      </c>
      <c r="AL46" t="str">
        <f>IF(MAX(X46, Y46, Z46, AA46)&gt;0.9,
 "Critical",
 IF(AK46&lt;=0.2,"Very Low",
 IF(AK46&lt;=0.4,"Low",
 IF(AK46&lt;=0.6,"Medium",
 IF(AK46&lt;=0.8,"High","Critical")))))</f>
        <v>Low</v>
      </c>
      <c r="AM46" t="str">
        <f>IF(MAX(X46:AA46)&gt;0.9,"CRITICAL ALERT",
 IF(AK46&gt;0.8,"CRITICAL ALERT",
 IF(AK46&gt;0.6,"ALERT",
 IF(AK46&gt;=0.4,"REVIEW","NO ACTION"))))</f>
        <v>NO ACTION</v>
      </c>
      <c r="AN46" t="str">
        <f>IF(AM46="NO ACTION","",
 IF(_xlfn.TEXTJOIN(", ", TRUE,
  IF(X46&gt;0.7,"Login anomaly",""),
  IF(Y46&gt;0.7,"File anomaly",""),
  IF(Z46&gt;0.7,"Network anomaly",""),
  IF(AA46&gt;0.7,"USB anomaly","")
 )="",
 "General anomaly detected",
 _xlfn.TEXTJOIN(", ", TRUE,
  IF(X46&gt;0.7,"Login anomaly",""),
  IF(Y46&gt;0.7,"File anomaly",""),
  IF(Z46&gt;0.7,"Network anomaly",""),
  IF(AA46&gt;0.7,"USB anomaly","")
 )))</f>
        <v/>
      </c>
    </row>
    <row r="47" spans="1:40" x14ac:dyDescent="0.3">
      <c r="A47" t="s">
        <v>70</v>
      </c>
      <c r="B47">
        <v>4.1587901701323197E-2</v>
      </c>
      <c r="C47">
        <v>0.93031214165109</v>
      </c>
      <c r="D47">
        <v>0.52281121114005702</v>
      </c>
      <c r="E47">
        <v>0</v>
      </c>
      <c r="F47">
        <v>5.2631578947368397E-2</v>
      </c>
      <c r="G47">
        <v>0.317448891064389</v>
      </c>
      <c r="H47">
        <v>5</v>
      </c>
      <c r="I47">
        <v>23</v>
      </c>
      <c r="J47">
        <v>2.2947378464767899E-2</v>
      </c>
      <c r="K47">
        <v>8.1566068515497503E-4</v>
      </c>
      <c r="L47">
        <v>8.9859477908433901E-3</v>
      </c>
      <c r="M47">
        <v>0</v>
      </c>
      <c r="N47">
        <v>0</v>
      </c>
      <c r="O47">
        <v>115</v>
      </c>
      <c r="P47">
        <v>1.7220819304152601E-2</v>
      </c>
      <c r="Q47">
        <v>1.7391914162488101E-2</v>
      </c>
      <c r="R47">
        <v>0.10176991150442399</v>
      </c>
      <c r="S47">
        <v>1</v>
      </c>
      <c r="T47" t="s">
        <v>49</v>
      </c>
      <c r="U47">
        <v>1.6981132075471601E-2</v>
      </c>
      <c r="V47">
        <v>0</v>
      </c>
      <c r="W47">
        <v>1.54338621437029E-2</v>
      </c>
      <c r="X47">
        <v>0.177895994920964</v>
      </c>
      <c r="Y47">
        <v>9.0824495883752802E-3</v>
      </c>
      <c r="Z47">
        <v>1.03324915824915E-2</v>
      </c>
      <c r="AA47">
        <v>0.10176991150442399</v>
      </c>
      <c r="AB47">
        <v>0.14933900535106659</v>
      </c>
      <c r="AC47">
        <v>1.140999956987798E-3</v>
      </c>
      <c r="AD47">
        <v>1.305899955332279E-2</v>
      </c>
      <c r="AE47">
        <v>5.7753000408411033E-2</v>
      </c>
      <c r="AF47">
        <f>0.16*X47 + 0.28*Y47 + 0.28*Z47 + 0.28*AA47</f>
        <v>6.2395117936435665E-2</v>
      </c>
      <c r="AG47">
        <f t="shared" si="0"/>
        <v>4.404108083341271E-2</v>
      </c>
      <c r="AH47">
        <f>IF(T47="IT_Admin", 0.25, IF(AND(T47="HR", AA47&gt;0.6), 0.25, IF(AND(T47="General", Z47&gt;0.7), 0.2, 0.1)))</f>
        <v>0.1</v>
      </c>
      <c r="AI47">
        <f>IF(V47&gt;0.7, 0.1,
 IF(F47&gt;0.5, 0.08,
 IF(E47&gt;0.5, 0.05,
 0)))</f>
        <v>0</v>
      </c>
      <c r="AJ47">
        <f t="shared" si="1"/>
        <v>4.954729196431959E-2</v>
      </c>
      <c r="AK47">
        <f t="shared" si="2"/>
        <v>5.4502021160751556E-2</v>
      </c>
      <c r="AL47" t="str">
        <f>IF(MAX(X47, Y47, Z47, AA47)&gt;0.9,
 "Critical",
 IF(AK47&lt;=0.2,"Very Low",
 IF(AK47&lt;=0.4,"Low",
 IF(AK47&lt;=0.6,"Medium",
 IF(AK47&lt;=0.8,"High","Critical")))))</f>
        <v>Very Low</v>
      </c>
      <c r="AM47" t="str">
        <f>IF(MAX(X47:AA47)&gt;0.9,"CRITICAL ALERT",
 IF(AK47&gt;0.8,"CRITICAL ALERT",
 IF(AK47&gt;0.6,"ALERT",
 IF(AK47&gt;=0.4,"REVIEW","NO ACTION"))))</f>
        <v>NO ACTION</v>
      </c>
      <c r="AN47" t="str">
        <f>IF(AM47="NO ACTION","",
 IF(_xlfn.TEXTJOIN(", ", TRUE,
  IF(X47&gt;0.7,"Login anomaly",""),
  IF(Y47&gt;0.7,"File anomaly",""),
  IF(Z47&gt;0.7,"Network anomaly",""),
  IF(AA47&gt;0.7,"USB anomaly","")
 )="",
 "General anomaly detected",
 _xlfn.TEXTJOIN(", ", TRUE,
  IF(X47&gt;0.7,"Login anomaly",""),
  IF(Y47&gt;0.7,"File anomaly",""),
  IF(Z47&gt;0.7,"Network anomaly",""),
  IF(AA47&gt;0.7,"USB anomaly","")
 )))</f>
        <v/>
      </c>
    </row>
    <row r="48" spans="1:40" x14ac:dyDescent="0.3">
      <c r="A48" t="s">
        <v>71</v>
      </c>
      <c r="B48">
        <v>0.12892249527410199</v>
      </c>
      <c r="C48">
        <v>0.18476582604220201</v>
      </c>
      <c r="D48">
        <v>0</v>
      </c>
      <c r="E48">
        <v>0</v>
      </c>
      <c r="F48">
        <v>0</v>
      </c>
      <c r="G48">
        <v>0.99366529326306796</v>
      </c>
      <c r="H48">
        <v>7</v>
      </c>
      <c r="I48">
        <v>7</v>
      </c>
      <c r="J48">
        <v>0.528075950574877</v>
      </c>
      <c r="K48">
        <v>1.71288743882544E-2</v>
      </c>
      <c r="L48">
        <v>8.2816130714599701E-3</v>
      </c>
      <c r="M48">
        <v>2.8860028860028799E-3</v>
      </c>
      <c r="N48">
        <v>3.3011557302689599E-3</v>
      </c>
      <c r="O48">
        <v>1125</v>
      </c>
      <c r="P48">
        <v>0.39699074074073998</v>
      </c>
      <c r="Q48">
        <v>0.39706862091938699</v>
      </c>
      <c r="R48">
        <v>0</v>
      </c>
      <c r="S48">
        <v>0</v>
      </c>
      <c r="T48" t="s">
        <v>24</v>
      </c>
      <c r="U48">
        <v>3.2418524871354999E-2</v>
      </c>
      <c r="V48">
        <v>0</v>
      </c>
      <c r="W48">
        <v>0</v>
      </c>
      <c r="X48">
        <v>0</v>
      </c>
      <c r="Y48">
        <v>0.110746343369786</v>
      </c>
      <c r="Z48">
        <v>0.23951490673655201</v>
      </c>
      <c r="AA48">
        <v>0</v>
      </c>
      <c r="AB48">
        <v>3.6651000380516052E-2</v>
      </c>
      <c r="AC48">
        <v>1.6230000182986259E-3</v>
      </c>
      <c r="AD48">
        <v>5.1980998367071152E-2</v>
      </c>
      <c r="AE48">
        <v>1.20599998626858E-3</v>
      </c>
      <c r="AF48">
        <f>0.16*X48 + 0.28*Y48 + 0.28*Z48 + 0.28*AA48</f>
        <v>9.8073150029774653E-2</v>
      </c>
      <c r="AG48">
        <f t="shared" si="0"/>
        <v>2.121095960494131E-2</v>
      </c>
      <c r="AH48">
        <f>IF(T48="IT_Admin", 0.25, IF(AND(T48="HR", AA48&gt;0.6), 0.25, IF(AND(T48="General", Z48&gt;0.7), 0.2, 0.1)))</f>
        <v>0.25</v>
      </c>
      <c r="AI48">
        <f>IF(V48&gt;0.7, 0.1,
 IF(F48&gt;0.5, 0.08,
 IF(E48&gt;0.5, 0.05,
 0)))</f>
        <v>0</v>
      </c>
      <c r="AJ48">
        <f t="shared" si="1"/>
        <v>4.4269616732391312E-2</v>
      </c>
      <c r="AK48">
        <f t="shared" si="2"/>
        <v>5.5337020915489143E-2</v>
      </c>
      <c r="AL48" t="str">
        <f>IF(MAX(X48, Y48, Z48, AA48)&gt;0.9,
 "Critical",
 IF(AK48&lt;=0.2,"Very Low",
 IF(AK48&lt;=0.4,"Low",
 IF(AK48&lt;=0.6,"Medium",
 IF(AK48&lt;=0.8,"High","Critical")))))</f>
        <v>Very Low</v>
      </c>
      <c r="AM48" t="str">
        <f>IF(MAX(X48:AA48)&gt;0.9,"CRITICAL ALERT",
 IF(AK48&gt;0.8,"CRITICAL ALERT",
 IF(AK48&gt;0.6,"ALERT",
 IF(AK48&gt;=0.4,"REVIEW","NO ACTION"))))</f>
        <v>NO ACTION</v>
      </c>
      <c r="AN48" t="str">
        <f>IF(AM48="NO ACTION","",
 IF(_xlfn.TEXTJOIN(", ", TRUE,
  IF(X48&gt;0.7,"Login anomaly",""),
  IF(Y48&gt;0.7,"File anomaly",""),
  IF(Z48&gt;0.7,"Network anomaly",""),
  IF(AA48&gt;0.7,"USB anomaly","")
 )="",
 "General anomaly detected",
 _xlfn.TEXTJOIN(", ", TRUE,
  IF(X48&gt;0.7,"Login anomaly",""),
  IF(Y48&gt;0.7,"File anomaly",""),
  IF(Z48&gt;0.7,"Network anomaly",""),
  IF(AA48&gt;0.7,"USB anomaly","")
 )))</f>
        <v/>
      </c>
    </row>
    <row r="49" spans="1:40" x14ac:dyDescent="0.3">
      <c r="A49" t="s">
        <v>72</v>
      </c>
      <c r="B49">
        <v>0.27901701323251399</v>
      </c>
      <c r="C49">
        <v>0.69125327910128598</v>
      </c>
      <c r="D49">
        <v>0.42939238311982603</v>
      </c>
      <c r="E49">
        <v>0</v>
      </c>
      <c r="F49">
        <v>0</v>
      </c>
      <c r="G49">
        <v>0.38185959331804298</v>
      </c>
      <c r="H49">
        <v>7</v>
      </c>
      <c r="I49">
        <v>17</v>
      </c>
      <c r="J49">
        <v>0.67096035494489703</v>
      </c>
      <c r="K49">
        <v>2.6101141924959201E-2</v>
      </c>
      <c r="L49">
        <v>9.9331480590800006E-3</v>
      </c>
      <c r="M49">
        <v>8.9466089466089405E-3</v>
      </c>
      <c r="N49">
        <v>8.0550640078680402E-3</v>
      </c>
      <c r="O49">
        <v>1455</v>
      </c>
      <c r="P49">
        <v>0.50883838383838298</v>
      </c>
      <c r="Q49">
        <v>0.50888881096812599</v>
      </c>
      <c r="R49">
        <v>0</v>
      </c>
      <c r="S49">
        <v>0</v>
      </c>
      <c r="T49" t="s">
        <v>24</v>
      </c>
      <c r="U49">
        <v>1.6981132075471601E-2</v>
      </c>
      <c r="V49">
        <v>0</v>
      </c>
      <c r="W49">
        <v>0</v>
      </c>
      <c r="X49">
        <v>0.12881771493594699</v>
      </c>
      <c r="Y49">
        <v>0.14157516422087901</v>
      </c>
      <c r="Z49">
        <v>0.30852505590617701</v>
      </c>
      <c r="AA49">
        <v>0</v>
      </c>
      <c r="AB49">
        <v>5.7891998440027237E-2</v>
      </c>
      <c r="AC49">
        <v>3.3730000723153348E-3</v>
      </c>
      <c r="AD49">
        <v>0.10985399782657621</v>
      </c>
      <c r="AE49">
        <v>3.6989999935030942E-3</v>
      </c>
      <c r="AF49">
        <f>0.16*X49 + 0.28*Y49 + 0.28*Z49 + 0.28*AA49</f>
        <v>0.1466388960253272</v>
      </c>
      <c r="AG49">
        <f t="shared" si="0"/>
        <v>4.2001999160274861E-2</v>
      </c>
      <c r="AH49">
        <f>IF(T49="IT_Admin", 0.25, IF(AND(T49="HR", AA49&gt;0.6), 0.25, IF(AND(T49="General", Z49&gt;0.7), 0.2, 0.1)))</f>
        <v>0.25</v>
      </c>
      <c r="AI49">
        <f>IF(V49&gt;0.7, 0.1,
 IF(F49&gt;0.5, 0.08,
 IF(E49&gt;0.5, 0.05,
 0)))</f>
        <v>0</v>
      </c>
      <c r="AJ49">
        <f t="shared" si="1"/>
        <v>7.3393068219790553E-2</v>
      </c>
      <c r="AK49">
        <f t="shared" si="2"/>
        <v>9.1741335274738184E-2</v>
      </c>
      <c r="AL49" t="str">
        <f>IF(MAX(X49, Y49, Z49, AA49)&gt;0.9,
 "Critical",
 IF(AK49&lt;=0.2,"Very Low",
 IF(AK49&lt;=0.4,"Low",
 IF(AK49&lt;=0.6,"Medium",
 IF(AK49&lt;=0.8,"High","Critical")))))</f>
        <v>Very Low</v>
      </c>
      <c r="AM49" t="str">
        <f>IF(MAX(X49:AA49)&gt;0.9,"CRITICAL ALERT",
 IF(AK49&gt;0.8,"CRITICAL ALERT",
 IF(AK49&gt;0.6,"ALERT",
 IF(AK49&gt;=0.4,"REVIEW","NO ACTION"))))</f>
        <v>NO ACTION</v>
      </c>
      <c r="AN49" t="str">
        <f>IF(AM49="NO ACTION","",
 IF(_xlfn.TEXTJOIN(", ", TRUE,
  IF(X49&gt;0.7,"Login anomaly",""),
  IF(Y49&gt;0.7,"File anomaly",""),
  IF(Z49&gt;0.7,"Network anomaly",""),
  IF(AA49&gt;0.7,"USB anomaly","")
 )="",
 "General anomaly detected",
 _xlfn.TEXTJOIN(", ", TRUE,
  IF(X49&gt;0.7,"Login anomaly",""),
  IF(Y49&gt;0.7,"File anomaly",""),
  IF(Z49&gt;0.7,"Network anomaly",""),
  IF(AA49&gt;0.7,"USB anomaly","")
 )))</f>
        <v/>
      </c>
    </row>
    <row r="50" spans="1:40" x14ac:dyDescent="0.3">
      <c r="A50" t="s">
        <v>73</v>
      </c>
      <c r="B50">
        <v>0.159546313799621</v>
      </c>
      <c r="C50">
        <v>0.511792663684974</v>
      </c>
      <c r="D50">
        <v>0.52603392425725304</v>
      </c>
      <c r="E50">
        <v>0.320813771517996</v>
      </c>
      <c r="F50">
        <v>9.6244131455399007E-2</v>
      </c>
      <c r="G50">
        <v>0.77695071670044902</v>
      </c>
      <c r="H50">
        <v>0</v>
      </c>
      <c r="I50">
        <v>23</v>
      </c>
      <c r="J50">
        <v>0.66700062019941797</v>
      </c>
      <c r="K50">
        <v>2.9363784665579099E-2</v>
      </c>
      <c r="L50">
        <v>1.1241108433332999E-2</v>
      </c>
      <c r="M50">
        <v>8.0808080808080808E-3</v>
      </c>
      <c r="N50">
        <v>7.3187184298295401E-3</v>
      </c>
      <c r="O50">
        <v>1391</v>
      </c>
      <c r="P50">
        <v>0.50690937149270399</v>
      </c>
      <c r="Q50">
        <v>0.50696027209930195</v>
      </c>
      <c r="R50">
        <v>5.8997050147492597E-2</v>
      </c>
      <c r="S50">
        <v>1</v>
      </c>
      <c r="T50" t="s">
        <v>24</v>
      </c>
      <c r="U50">
        <v>2.1080026024723399E-2</v>
      </c>
      <c r="V50">
        <v>0</v>
      </c>
      <c r="W50">
        <v>3.5305935338354903E-2</v>
      </c>
      <c r="X50">
        <v>0.29255196131473399</v>
      </c>
      <c r="Y50">
        <v>0.14121629378549899</v>
      </c>
      <c r="Z50">
        <v>0.30707311026755402</v>
      </c>
      <c r="AA50">
        <v>5.8997050147492597E-2</v>
      </c>
      <c r="AB50">
        <v>0.1959670037031174</v>
      </c>
      <c r="AC50">
        <v>3.325999947264791E-3</v>
      </c>
      <c r="AD50">
        <v>0.1121449992060661</v>
      </c>
      <c r="AE50">
        <v>6.0444999486207962E-2</v>
      </c>
      <c r="AF50">
        <f>0.16*X50 + 0.28*Y50 + 0.28*Z50 + 0.28*AA50</f>
        <v>0.18884852098651023</v>
      </c>
      <c r="AG50">
        <f t="shared" si="0"/>
        <v>8.0611200211569672E-2</v>
      </c>
      <c r="AH50">
        <f>IF(T50="IT_Admin", 0.25, IF(AND(T50="HR", AA50&gt;0.6), 0.25, IF(AND(T50="General", Z50&gt;0.7), 0.2, 0.1)))</f>
        <v>0.25</v>
      </c>
      <c r="AI50">
        <f>IF(V50&gt;0.7, 0.1,
 IF(F50&gt;0.5, 0.08,
 IF(E50&gt;0.5, 0.05,
 0)))</f>
        <v>0</v>
      </c>
      <c r="AJ50">
        <f t="shared" si="1"/>
        <v>0.11308239644405182</v>
      </c>
      <c r="AK50">
        <f t="shared" si="2"/>
        <v>0.14135299555506478</v>
      </c>
      <c r="AL50" t="str">
        <f>IF(MAX(X50, Y50, Z50, AA50)&gt;0.9,
 "Critical",
 IF(AK50&lt;=0.2,"Very Low",
 IF(AK50&lt;=0.4,"Low",
 IF(AK50&lt;=0.6,"Medium",
 IF(AK50&lt;=0.8,"High","Critical")))))</f>
        <v>Very Low</v>
      </c>
      <c r="AM50" t="str">
        <f>IF(MAX(X50:AA50)&gt;0.9,"CRITICAL ALERT",
 IF(AK50&gt;0.8,"CRITICAL ALERT",
 IF(AK50&gt;0.6,"ALERT",
 IF(AK50&gt;=0.4,"REVIEW","NO ACTION"))))</f>
        <v>NO ACTION</v>
      </c>
      <c r="AN50" t="str">
        <f>IF(AM50="NO ACTION","",
 IF(_xlfn.TEXTJOIN(", ", TRUE,
  IF(X50&gt;0.7,"Login anomaly",""),
  IF(Y50&gt;0.7,"File anomaly",""),
  IF(Z50&gt;0.7,"Network anomaly",""),
  IF(AA50&gt;0.7,"USB anomaly","")
 )="",
 "General anomaly detected",
 _xlfn.TEXTJOIN(", ", TRUE,
  IF(X50&gt;0.7,"Login anomaly",""),
  IF(Y50&gt;0.7,"File anomaly",""),
  IF(Z50&gt;0.7,"Network anomaly",""),
  IF(AA50&gt;0.7,"USB anomaly","")
 )))</f>
        <v/>
      </c>
    </row>
    <row r="51" spans="1:40" x14ac:dyDescent="0.3">
      <c r="A51" t="s">
        <v>74</v>
      </c>
      <c r="B51">
        <v>0.12892249527410199</v>
      </c>
      <c r="C51">
        <v>0</v>
      </c>
      <c r="D51">
        <v>0</v>
      </c>
      <c r="E51">
        <v>0</v>
      </c>
      <c r="F51">
        <v>1</v>
      </c>
      <c r="G51">
        <v>0.99368788098088001</v>
      </c>
      <c r="H51">
        <v>6</v>
      </c>
      <c r="I51">
        <v>6</v>
      </c>
      <c r="J51">
        <v>0.65249749534850399</v>
      </c>
      <c r="K51">
        <v>1.4681892332789499E-2</v>
      </c>
      <c r="L51">
        <v>5.7454371637405298E-3</v>
      </c>
      <c r="M51">
        <v>4.3290043290043203E-3</v>
      </c>
      <c r="N51">
        <v>4.0078568802439504E-3</v>
      </c>
      <c r="O51">
        <v>1411</v>
      </c>
      <c r="P51">
        <v>0.48811026936026902</v>
      </c>
      <c r="Q51">
        <v>0.48816578421403201</v>
      </c>
      <c r="R51">
        <v>0</v>
      </c>
      <c r="S51">
        <v>0</v>
      </c>
      <c r="T51" t="s">
        <v>24</v>
      </c>
      <c r="U51">
        <v>1.9103773584905601E-2</v>
      </c>
      <c r="V51">
        <v>0</v>
      </c>
      <c r="W51">
        <v>0</v>
      </c>
      <c r="X51">
        <v>0.4</v>
      </c>
      <c r="Y51">
        <v>0.13457457471564399</v>
      </c>
      <c r="Z51">
        <v>0.29446930436825902</v>
      </c>
      <c r="AA51">
        <v>0</v>
      </c>
      <c r="AB51">
        <v>0.11886200308799739</v>
      </c>
      <c r="AC51">
        <v>3.0239999759942289E-3</v>
      </c>
      <c r="AD51">
        <v>9.6343003213405609E-2</v>
      </c>
      <c r="AE51">
        <v>4.2799999937415118E-4</v>
      </c>
      <c r="AF51">
        <f>0.16*X51 + 0.28*Y51 + 0.28*Z51 + 0.28*AA51</f>
        <v>0.18413228614349286</v>
      </c>
      <c r="AG51">
        <f t="shared" si="0"/>
        <v>4.6960521386936308E-2</v>
      </c>
      <c r="AH51">
        <f>IF(T51="IT_Admin", 0.25, IF(AND(T51="HR", AA51&gt;0.6), 0.25, IF(AND(T51="General", Z51&gt;0.7), 0.2, 0.1)))</f>
        <v>0.25</v>
      </c>
      <c r="AI51">
        <f>IF(V51&gt;0.7, 0.1,
 IF(F51&gt;0.5, 0.08,
 IF(E51&gt;0.5, 0.05,
 0)))</f>
        <v>0.08</v>
      </c>
      <c r="AJ51">
        <f t="shared" si="1"/>
        <v>8.8112050813903275E-2</v>
      </c>
      <c r="AK51">
        <f t="shared" si="2"/>
        <v>0.11718902758249136</v>
      </c>
      <c r="AL51" t="str">
        <f>IF(MAX(X51, Y51, Z51, AA51)&gt;0.9,
 "Critical",
 IF(AK51&lt;=0.2,"Very Low",
 IF(AK51&lt;=0.4,"Low",
 IF(AK51&lt;=0.6,"Medium",
 IF(AK51&lt;=0.8,"High","Critical")))))</f>
        <v>Very Low</v>
      </c>
      <c r="AM51" t="str">
        <f>IF(MAX(X51:AA51)&gt;0.9,"CRITICAL ALERT",
 IF(AK51&gt;0.8,"CRITICAL ALERT",
 IF(AK51&gt;0.6,"ALERT",
 IF(AK51&gt;=0.4,"REVIEW","NO ACTION"))))</f>
        <v>NO ACTION</v>
      </c>
      <c r="AN51" t="str">
        <f>IF(AM51="NO ACTION","",
 IF(_xlfn.TEXTJOIN(", ", TRUE,
  IF(X51&gt;0.7,"Login anomaly",""),
  IF(Y51&gt;0.7,"File anomaly",""),
  IF(Z51&gt;0.7,"Network anomaly",""),
  IF(AA51&gt;0.7,"USB anomaly","")
 )="",
 "General anomaly detected",
 _xlfn.TEXTJOIN(", ", TRUE,
  IF(X51&gt;0.7,"Login anomaly",""),
  IF(Y51&gt;0.7,"File anomaly",""),
  IF(Z51&gt;0.7,"Network anomaly",""),
  IF(AA51&gt;0.7,"USB anomaly","")
 )))</f>
        <v/>
      </c>
    </row>
    <row r="52" spans="1:40" x14ac:dyDescent="0.3">
      <c r="A52" t="s">
        <v>75</v>
      </c>
      <c r="B52">
        <v>0.12892249527410199</v>
      </c>
      <c r="C52">
        <v>0.36953165208440503</v>
      </c>
      <c r="D52">
        <v>0</v>
      </c>
      <c r="E52">
        <v>0</v>
      </c>
      <c r="F52">
        <v>0</v>
      </c>
      <c r="G52">
        <v>0.99365640804705602</v>
      </c>
      <c r="H52">
        <v>8</v>
      </c>
      <c r="I52">
        <v>8</v>
      </c>
      <c r="J52">
        <v>0.58041123992175903</v>
      </c>
      <c r="K52">
        <v>1.38662316476345E-2</v>
      </c>
      <c r="L52">
        <v>6.0999014582161001E-3</v>
      </c>
      <c r="M52">
        <v>5.1948051948051896E-3</v>
      </c>
      <c r="N52">
        <v>5.4065070579736498E-3</v>
      </c>
      <c r="O52">
        <v>1246</v>
      </c>
      <c r="P52">
        <v>0.43518518518518501</v>
      </c>
      <c r="Q52">
        <v>0.43525369052210799</v>
      </c>
      <c r="R52">
        <v>0</v>
      </c>
      <c r="S52">
        <v>0</v>
      </c>
      <c r="T52" t="s">
        <v>24</v>
      </c>
      <c r="U52">
        <v>1.51936444885799E-2</v>
      </c>
      <c r="V52">
        <v>0</v>
      </c>
      <c r="W52">
        <v>0</v>
      </c>
      <c r="X52">
        <v>0</v>
      </c>
      <c r="Y52">
        <v>0.120754150830852</v>
      </c>
      <c r="Z52">
        <v>0.26327371393429999</v>
      </c>
      <c r="AA52">
        <v>0</v>
      </c>
      <c r="AB52">
        <v>2.476000040769577E-2</v>
      </c>
      <c r="AC52">
        <v>2.2579999640583992E-3</v>
      </c>
      <c r="AD52">
        <v>6.9269001483917236E-2</v>
      </c>
      <c r="AE52">
        <v>1.047000056132674E-3</v>
      </c>
      <c r="AF52">
        <f>0.16*X52 + 0.28*Y52 + 0.28*Z52 + 0.28*AA52</f>
        <v>0.10752780213424257</v>
      </c>
      <c r="AG52">
        <f t="shared" si="0"/>
        <v>2.4282320486381653E-2</v>
      </c>
      <c r="AH52">
        <f>IF(T52="IT_Admin", 0.25, IF(AND(T52="HR", AA52&gt;0.6), 0.25, IF(AND(T52="General", Z52&gt;0.7), 0.2, 0.1)))</f>
        <v>0.25</v>
      </c>
      <c r="AI52">
        <f>IF(V52&gt;0.7, 0.1,
 IF(F52&gt;0.5, 0.08,
 IF(E52&gt;0.5, 0.05,
 0)))</f>
        <v>0</v>
      </c>
      <c r="AJ52">
        <f t="shared" si="1"/>
        <v>4.9255964980739926E-2</v>
      </c>
      <c r="AK52">
        <f t="shared" si="2"/>
        <v>6.1569956225924906E-2</v>
      </c>
      <c r="AL52" t="str">
        <f>IF(MAX(X52, Y52, Z52, AA52)&gt;0.9,
 "Critical",
 IF(AK52&lt;=0.2,"Very Low",
 IF(AK52&lt;=0.4,"Low",
 IF(AK52&lt;=0.6,"Medium",
 IF(AK52&lt;=0.8,"High","Critical")))))</f>
        <v>Very Low</v>
      </c>
      <c r="AM52" t="str">
        <f>IF(MAX(X52:AA52)&gt;0.9,"CRITICAL ALERT",
 IF(AK52&gt;0.8,"CRITICAL ALERT",
 IF(AK52&gt;0.6,"ALERT",
 IF(AK52&gt;=0.4,"REVIEW","NO ACTION"))))</f>
        <v>NO ACTION</v>
      </c>
      <c r="AN52" t="str">
        <f>IF(AM52="NO ACTION","",
 IF(_xlfn.TEXTJOIN(", ", TRUE,
  IF(X52&gt;0.7,"Login anomaly",""),
  IF(Y52&gt;0.7,"File anomaly",""),
  IF(Z52&gt;0.7,"Network anomaly",""),
  IF(AA52&gt;0.7,"USB anomaly","")
 )="",
 "General anomaly detected",
 _xlfn.TEXTJOIN(", ", TRUE,
  IF(X52&gt;0.7,"Login anomaly",""),
  IF(Y52&gt;0.7,"File anomaly",""),
  IF(Z52&gt;0.7,"Network anomaly",""),
  IF(AA52&gt;0.7,"USB anomaly","")
 )))</f>
        <v/>
      </c>
    </row>
    <row r="53" spans="1:40" x14ac:dyDescent="0.3">
      <c r="A53" t="s">
        <v>76</v>
      </c>
      <c r="B53">
        <v>0.12892249527410199</v>
      </c>
      <c r="C53">
        <v>0</v>
      </c>
      <c r="D53">
        <v>0</v>
      </c>
      <c r="E53">
        <v>0</v>
      </c>
      <c r="F53">
        <v>1</v>
      </c>
      <c r="G53">
        <v>0.99369280531746496</v>
      </c>
      <c r="H53">
        <v>6</v>
      </c>
      <c r="I53">
        <v>6</v>
      </c>
      <c r="J53">
        <v>0.66432899193740702</v>
      </c>
      <c r="K53">
        <v>1.6313213703099499E-2</v>
      </c>
      <c r="L53">
        <v>6.2701660105526002E-3</v>
      </c>
      <c r="M53">
        <v>5.1948051948051896E-3</v>
      </c>
      <c r="N53">
        <v>4.7238045515145197E-3</v>
      </c>
      <c r="O53">
        <v>1435</v>
      </c>
      <c r="P53">
        <v>0.49793069584736199</v>
      </c>
      <c r="Q53">
        <v>0.49798380027350098</v>
      </c>
      <c r="R53">
        <v>0</v>
      </c>
      <c r="S53">
        <v>0</v>
      </c>
      <c r="T53" t="s">
        <v>24</v>
      </c>
      <c r="U53">
        <v>1.7874875868917499E-2</v>
      </c>
      <c r="V53">
        <v>0</v>
      </c>
      <c r="W53">
        <v>0</v>
      </c>
      <c r="X53">
        <v>0.4</v>
      </c>
      <c r="Y53">
        <v>0.13741802275821199</v>
      </c>
      <c r="Z53">
        <v>0.30064793932902301</v>
      </c>
      <c r="AA53">
        <v>0</v>
      </c>
      <c r="AB53">
        <v>0.1188480034470558</v>
      </c>
      <c r="AC53">
        <v>3.193000098690391E-3</v>
      </c>
      <c r="AD53">
        <v>0.1020449995994568</v>
      </c>
      <c r="AE53">
        <v>4.4599999091587961E-4</v>
      </c>
      <c r="AF53">
        <f>0.16*X53 + 0.28*Y53 + 0.28*Z53 + 0.28*AA53</f>
        <v>0.18665846938442582</v>
      </c>
      <c r="AG53">
        <f t="shared" si="0"/>
        <v>4.8607200464466593E-2</v>
      </c>
      <c r="AH53">
        <f>IF(T53="IT_Admin", 0.25, IF(AND(T53="HR", AA53&gt;0.6), 0.25, IF(AND(T53="General", Z53&gt;0.7), 0.2, 0.1)))</f>
        <v>0.25</v>
      </c>
      <c r="AI53">
        <f>IF(V53&gt;0.7, 0.1,
 IF(F53&gt;0.5, 0.08,
 IF(E53&gt;0.5, 0.05,
 0)))</f>
        <v>0.08</v>
      </c>
      <c r="AJ53">
        <f t="shared" si="1"/>
        <v>9.0022581140454361E-2</v>
      </c>
      <c r="AK53">
        <f t="shared" si="2"/>
        <v>0.11973003291680431</v>
      </c>
      <c r="AL53" t="str">
        <f>IF(MAX(X53, Y53, Z53, AA53)&gt;0.9,
 "Critical",
 IF(AK53&lt;=0.2,"Very Low",
 IF(AK53&lt;=0.4,"Low",
 IF(AK53&lt;=0.6,"Medium",
 IF(AK53&lt;=0.8,"High","Critical")))))</f>
        <v>Very Low</v>
      </c>
      <c r="AM53" t="str">
        <f>IF(MAX(X53:AA53)&gt;0.9,"CRITICAL ALERT",
 IF(AK53&gt;0.8,"CRITICAL ALERT",
 IF(AK53&gt;0.6,"ALERT",
 IF(AK53&gt;=0.4,"REVIEW","NO ACTION"))))</f>
        <v>NO ACTION</v>
      </c>
      <c r="AN53" t="str">
        <f>IF(AM53="NO ACTION","",
 IF(_xlfn.TEXTJOIN(", ", TRUE,
  IF(X53&gt;0.7,"Login anomaly",""),
  IF(Y53&gt;0.7,"File anomaly",""),
  IF(Z53&gt;0.7,"Network anomaly",""),
  IF(AA53&gt;0.7,"USB anomaly","")
 )="",
 "General anomaly detected",
 _xlfn.TEXTJOIN(", ", TRUE,
  IF(X53&gt;0.7,"Login anomaly",""),
  IF(Y53&gt;0.7,"File anomaly",""),
  IF(Z53&gt;0.7,"Network anomaly",""),
  IF(AA53&gt;0.7,"USB anomaly","")
 )))</f>
        <v/>
      </c>
    </row>
    <row r="54" spans="1:40" x14ac:dyDescent="0.3">
      <c r="A54" t="s">
        <v>77</v>
      </c>
      <c r="B54">
        <v>0.12892249527410199</v>
      </c>
      <c r="C54">
        <v>0.18476582604220201</v>
      </c>
      <c r="D54">
        <v>0</v>
      </c>
      <c r="E54">
        <v>0</v>
      </c>
      <c r="F54">
        <v>0</v>
      </c>
      <c r="G54">
        <v>0.99369767612865201</v>
      </c>
      <c r="H54">
        <v>7</v>
      </c>
      <c r="I54">
        <v>7</v>
      </c>
      <c r="J54">
        <v>0.51261867277324502</v>
      </c>
      <c r="K54">
        <v>1.30505709624796E-2</v>
      </c>
      <c r="L54">
        <v>6.4999748857300704E-3</v>
      </c>
      <c r="M54">
        <v>1.1544011544011501E-3</v>
      </c>
      <c r="N54">
        <v>1.3602604114232001E-3</v>
      </c>
      <c r="O54">
        <v>1158</v>
      </c>
      <c r="P54">
        <v>0.38303170594837199</v>
      </c>
      <c r="Q54">
        <v>0.383113012377713</v>
      </c>
      <c r="R54">
        <v>0</v>
      </c>
      <c r="S54">
        <v>0</v>
      </c>
      <c r="T54" t="s">
        <v>24</v>
      </c>
      <c r="U54">
        <v>5.4339622641509398E-2</v>
      </c>
      <c r="V54">
        <v>0</v>
      </c>
      <c r="W54">
        <v>0</v>
      </c>
      <c r="X54">
        <v>0</v>
      </c>
      <c r="Y54">
        <v>0.106181800120941</v>
      </c>
      <c r="Z54">
        <v>0.23036312773359199</v>
      </c>
      <c r="AA54">
        <v>0</v>
      </c>
      <c r="AB54">
        <v>3.664800152182579E-2</v>
      </c>
      <c r="AC54">
        <v>1.569999963976443E-3</v>
      </c>
      <c r="AD54">
        <v>4.6195000410079963E-2</v>
      </c>
      <c r="AE54">
        <v>1.291999942623079E-3</v>
      </c>
      <c r="AF54">
        <f>0.16*X54 + 0.28*Y54 + 0.28*Z54 + 0.28*AA54</f>
        <v>9.4232579799269245E-2</v>
      </c>
      <c r="AG54">
        <f t="shared" si="0"/>
        <v>1.9599640332162382E-2</v>
      </c>
      <c r="AH54">
        <f>IF(T54="IT_Admin", 0.25, IF(AND(T54="HR", AA54&gt;0.6), 0.25, IF(AND(T54="General", Z54&gt;0.7), 0.2, 0.1)))</f>
        <v>0.25</v>
      </c>
      <c r="AI54">
        <f>IF(V54&gt;0.7, 0.1,
 IF(F54&gt;0.5, 0.08,
 IF(E54&gt;0.5, 0.05,
 0)))</f>
        <v>0</v>
      </c>
      <c r="AJ54">
        <f t="shared" si="1"/>
        <v>4.1989522172294437E-2</v>
      </c>
      <c r="AK54">
        <f t="shared" si="2"/>
        <v>5.2486902715368045E-2</v>
      </c>
      <c r="AL54" t="str">
        <f>IF(MAX(X54, Y54, Z54, AA54)&gt;0.9,
 "Critical",
 IF(AK54&lt;=0.2,"Very Low",
 IF(AK54&lt;=0.4,"Low",
 IF(AK54&lt;=0.6,"Medium",
 IF(AK54&lt;=0.8,"High","Critical")))))</f>
        <v>Very Low</v>
      </c>
      <c r="AM54" t="str">
        <f>IF(MAX(X54:AA54)&gt;0.9,"CRITICAL ALERT",
 IF(AK54&gt;0.8,"CRITICAL ALERT",
 IF(AK54&gt;0.6,"ALERT",
 IF(AK54&gt;=0.4,"REVIEW","NO ACTION"))))</f>
        <v>NO ACTION</v>
      </c>
      <c r="AN54" t="str">
        <f>IF(AM54="NO ACTION","",
 IF(_xlfn.TEXTJOIN(", ", TRUE,
  IF(X54&gt;0.7,"Login anomaly",""),
  IF(Y54&gt;0.7,"File anomaly",""),
  IF(Z54&gt;0.7,"Network anomaly",""),
  IF(AA54&gt;0.7,"USB anomaly","")
 )="",
 "General anomaly detected",
 _xlfn.TEXTJOIN(", ", TRUE,
  IF(X54&gt;0.7,"Login anomaly",""),
  IF(Y54&gt;0.7,"File anomaly",""),
  IF(Z54&gt;0.7,"Network anomaly",""),
  IF(AA54&gt;0.7,"USB anomaly","")
 )))</f>
        <v/>
      </c>
    </row>
    <row r="55" spans="1:40" x14ac:dyDescent="0.3">
      <c r="A55" t="s">
        <v>78</v>
      </c>
      <c r="B55">
        <v>0.12892249527410199</v>
      </c>
      <c r="C55">
        <v>0.27634540938485902</v>
      </c>
      <c r="D55">
        <v>7.5129964412319103E-2</v>
      </c>
      <c r="E55">
        <v>0</v>
      </c>
      <c r="F55">
        <v>0</v>
      </c>
      <c r="G55">
        <v>0.993671823361582</v>
      </c>
      <c r="H55">
        <v>7</v>
      </c>
      <c r="I55">
        <v>8</v>
      </c>
      <c r="J55">
        <v>0.51476551691236105</v>
      </c>
      <c r="K55">
        <v>1.2234910277324601E-2</v>
      </c>
      <c r="L55">
        <v>6.0683241681564002E-3</v>
      </c>
      <c r="M55">
        <v>5.1948051948051896E-3</v>
      </c>
      <c r="N55">
        <v>6.0956551554050302E-3</v>
      </c>
      <c r="O55">
        <v>1096</v>
      </c>
      <c r="P55">
        <v>0.38622334455667701</v>
      </c>
      <c r="Q55">
        <v>0.38630386759704</v>
      </c>
      <c r="R55">
        <v>0</v>
      </c>
      <c r="S55">
        <v>0</v>
      </c>
      <c r="T55" t="s">
        <v>24</v>
      </c>
      <c r="U55">
        <v>1.34061569016881E-2</v>
      </c>
      <c r="V55">
        <v>0</v>
      </c>
      <c r="W55">
        <v>0</v>
      </c>
      <c r="X55">
        <v>2.2538989323695701E-2</v>
      </c>
      <c r="Y55">
        <v>0.10781596201317099</v>
      </c>
      <c r="Z55">
        <v>0.23417226879616801</v>
      </c>
      <c r="AA55">
        <v>0</v>
      </c>
      <c r="AB55">
        <v>1.8395999446511269E-2</v>
      </c>
      <c r="AC55">
        <v>1.690999954007566E-3</v>
      </c>
      <c r="AD55">
        <v>4.780999943614006E-2</v>
      </c>
      <c r="AE55">
        <v>1.3050000416114931E-3</v>
      </c>
      <c r="AF55">
        <f>0.16*X55 + 0.28*Y55 + 0.28*Z55 + 0.28*AA55</f>
        <v>9.9362942918406236E-2</v>
      </c>
      <c r="AG55">
        <f t="shared" si="0"/>
        <v>1.7169039752334355E-2</v>
      </c>
      <c r="AH55">
        <f>IF(T55="IT_Admin", 0.25, IF(AND(T55="HR", AA55&gt;0.6), 0.25, IF(AND(T55="General", Z55&gt;0.7), 0.2, 0.1)))</f>
        <v>0.25</v>
      </c>
      <c r="AI55">
        <f>IF(V55&gt;0.7, 0.1,
 IF(F55&gt;0.5, 0.08,
 IF(E55&gt;0.5, 0.05,
 0)))</f>
        <v>0</v>
      </c>
      <c r="AJ55">
        <f t="shared" si="1"/>
        <v>4.182721070215592E-2</v>
      </c>
      <c r="AK55">
        <f t="shared" si="2"/>
        <v>5.22840133776949E-2</v>
      </c>
      <c r="AL55" t="str">
        <f>IF(MAX(X55, Y55, Z55, AA55)&gt;0.9,
 "Critical",
 IF(AK55&lt;=0.2,"Very Low",
 IF(AK55&lt;=0.4,"Low",
 IF(AK55&lt;=0.6,"Medium",
 IF(AK55&lt;=0.8,"High","Critical")))))</f>
        <v>Very Low</v>
      </c>
      <c r="AM55" t="str">
        <f>IF(MAX(X55:AA55)&gt;0.9,"CRITICAL ALERT",
 IF(AK55&gt;0.8,"CRITICAL ALERT",
 IF(AK55&gt;0.6,"ALERT",
 IF(AK55&gt;=0.4,"REVIEW","NO ACTION"))))</f>
        <v>NO ACTION</v>
      </c>
      <c r="AN55" t="str">
        <f>IF(AM55="NO ACTION","",
 IF(_xlfn.TEXTJOIN(", ", TRUE,
  IF(X55&gt;0.7,"Login anomaly",""),
  IF(Y55&gt;0.7,"File anomaly",""),
  IF(Z55&gt;0.7,"Network anomaly",""),
  IF(AA55&gt;0.7,"USB anomaly","")
 )="",
 "General anomaly detected",
 _xlfn.TEXTJOIN(", ", TRUE,
  IF(X55&gt;0.7,"Login anomaly",""),
  IF(Y55&gt;0.7,"File anomaly",""),
  IF(Z55&gt;0.7,"Network anomaly",""),
  IF(AA55&gt;0.7,"USB anomaly","")
 )))</f>
        <v/>
      </c>
    </row>
    <row r="56" spans="1:40" x14ac:dyDescent="0.3">
      <c r="A56" t="s">
        <v>79</v>
      </c>
      <c r="B56">
        <v>0.12892249527410199</v>
      </c>
      <c r="C56">
        <v>0.18476582604220201</v>
      </c>
      <c r="D56">
        <v>0</v>
      </c>
      <c r="E56">
        <v>0</v>
      </c>
      <c r="F56">
        <v>0</v>
      </c>
      <c r="G56">
        <v>0.99364779045803298</v>
      </c>
      <c r="H56">
        <v>7</v>
      </c>
      <c r="I56">
        <v>7</v>
      </c>
      <c r="J56">
        <v>0.51056724392920105</v>
      </c>
      <c r="K56">
        <v>1.8760195758564399E-2</v>
      </c>
      <c r="L56">
        <v>9.3812388536515801E-3</v>
      </c>
      <c r="M56">
        <v>2.0202020202020202E-3</v>
      </c>
      <c r="N56">
        <v>2.3900157831230899E-3</v>
      </c>
      <c r="O56">
        <v>1147</v>
      </c>
      <c r="P56">
        <v>0.38439955106621698</v>
      </c>
      <c r="Q56">
        <v>0.38448052175742398</v>
      </c>
      <c r="R56">
        <v>0</v>
      </c>
      <c r="S56">
        <v>0</v>
      </c>
      <c r="T56" t="s">
        <v>24</v>
      </c>
      <c r="U56">
        <v>4.88207547169811E-2</v>
      </c>
      <c r="V56">
        <v>0</v>
      </c>
      <c r="W56">
        <v>0</v>
      </c>
      <c r="X56">
        <v>0</v>
      </c>
      <c r="Y56">
        <v>0.10752107294760301</v>
      </c>
      <c r="Z56">
        <v>0.231595736952979</v>
      </c>
      <c r="AA56">
        <v>0</v>
      </c>
      <c r="AB56">
        <v>3.665199875831604E-2</v>
      </c>
      <c r="AC56">
        <v>1.521999947726727E-3</v>
      </c>
      <c r="AD56">
        <v>4.6813998371362693E-2</v>
      </c>
      <c r="AE56">
        <v>1.2619999470189209E-3</v>
      </c>
      <c r="AF56">
        <f>0.16*X56 + 0.28*Y56 + 0.28*Z56 + 0.28*AA56</f>
        <v>9.495270677216297E-2</v>
      </c>
      <c r="AG56">
        <f t="shared" si="0"/>
        <v>1.9751759315840903E-2</v>
      </c>
      <c r="AH56">
        <f>IF(T56="IT_Admin", 0.25, IF(AND(T56="HR", AA56&gt;0.6), 0.25, IF(AND(T56="General", Z56&gt;0.7), 0.2, 0.1)))</f>
        <v>0.25</v>
      </c>
      <c r="AI56">
        <f>IF(V56&gt;0.7, 0.1,
 IF(F56&gt;0.5, 0.08,
 IF(E56&gt;0.5, 0.05,
 0)))</f>
        <v>0</v>
      </c>
      <c r="AJ56">
        <f t="shared" si="1"/>
        <v>4.2312043552737523E-2</v>
      </c>
      <c r="AK56">
        <f t="shared" si="2"/>
        <v>5.2890054440921902E-2</v>
      </c>
      <c r="AL56" t="str">
        <f>IF(MAX(X56, Y56, Z56, AA56)&gt;0.9,
 "Critical",
 IF(AK56&lt;=0.2,"Very Low",
 IF(AK56&lt;=0.4,"Low",
 IF(AK56&lt;=0.6,"Medium",
 IF(AK56&lt;=0.8,"High","Critical")))))</f>
        <v>Very Low</v>
      </c>
      <c r="AM56" t="str">
        <f>IF(MAX(X56:AA56)&gt;0.9,"CRITICAL ALERT",
 IF(AK56&gt;0.8,"CRITICAL ALERT",
 IF(AK56&gt;0.6,"ALERT",
 IF(AK56&gt;=0.4,"REVIEW","NO ACTION"))))</f>
        <v>NO ACTION</v>
      </c>
      <c r="AN56" t="str">
        <f>IF(AM56="NO ACTION","",
 IF(_xlfn.TEXTJOIN(", ", TRUE,
  IF(X56&gt;0.7,"Login anomaly",""),
  IF(Y56&gt;0.7,"File anomaly",""),
  IF(Z56&gt;0.7,"Network anomaly",""),
  IF(AA56&gt;0.7,"USB anomaly","")
 )="",
 "General anomaly detected",
 _xlfn.TEXTJOIN(", ", TRUE,
  IF(X56&gt;0.7,"Login anomaly",""),
  IF(Y56&gt;0.7,"File anomaly",""),
  IF(Z56&gt;0.7,"Network anomaly",""),
  IF(AA56&gt;0.7,"USB anomaly","")
 )))</f>
        <v/>
      </c>
    </row>
    <row r="57" spans="1:40" x14ac:dyDescent="0.3">
      <c r="A57" t="s">
        <v>80</v>
      </c>
      <c r="B57">
        <v>0.27977315689981003</v>
      </c>
      <c r="C57">
        <v>0.82002252364429196</v>
      </c>
      <c r="D57">
        <v>0.51075797007254797</v>
      </c>
      <c r="E57">
        <v>0.42861409796893601</v>
      </c>
      <c r="F57">
        <v>5.7795698924731097E-2</v>
      </c>
      <c r="G57">
        <v>0.38055934612944398</v>
      </c>
      <c r="H57">
        <v>0</v>
      </c>
      <c r="I57">
        <v>23</v>
      </c>
      <c r="J57">
        <v>0.63713563284194397</v>
      </c>
      <c r="K57">
        <v>1.38662316476345E-2</v>
      </c>
      <c r="L57">
        <v>5.5570284916128801E-3</v>
      </c>
      <c r="M57">
        <v>4.3290043290043203E-3</v>
      </c>
      <c r="N57">
        <v>4.1044534308007303E-3</v>
      </c>
      <c r="O57">
        <v>1335</v>
      </c>
      <c r="P57">
        <v>0.47646604938271597</v>
      </c>
      <c r="Q57">
        <v>0.47652442231494702</v>
      </c>
      <c r="R57">
        <v>1.6224188790560399E-2</v>
      </c>
      <c r="S57">
        <v>1</v>
      </c>
      <c r="T57" t="s">
        <v>24</v>
      </c>
      <c r="U57">
        <v>1.8042452830188599E-2</v>
      </c>
      <c r="V57">
        <v>0</v>
      </c>
      <c r="W57">
        <v>1.0480993949454899E-2</v>
      </c>
      <c r="X57">
        <v>0.30492989998233799</v>
      </c>
      <c r="Y57">
        <v>0.131436976843435</v>
      </c>
      <c r="Z57">
        <v>0.287521411001949</v>
      </c>
      <c r="AA57">
        <v>1.6224188790560399E-2</v>
      </c>
      <c r="AB57">
        <v>0.29290300607681269</v>
      </c>
      <c r="AC57">
        <v>2.743999939411879E-3</v>
      </c>
      <c r="AD57">
        <v>9.468899667263031E-2</v>
      </c>
      <c r="AE57">
        <v>6.895899772644043E-2</v>
      </c>
      <c r="AF57">
        <f>0.16*X57 + 0.28*Y57 + 0.28*Z57 + 0.28*AA57</f>
        <v>0.17063990545523852</v>
      </c>
      <c r="AG57">
        <f t="shared" si="0"/>
        <v>9.3454239387065166E-2</v>
      </c>
      <c r="AH57">
        <f>IF(T57="IT_Admin", 0.25, IF(AND(T57="HR", AA57&gt;0.6), 0.25, IF(AND(T57="General", Z57&gt;0.7), 0.2, 0.1)))</f>
        <v>0.25</v>
      </c>
      <c r="AI57">
        <f>IF(V57&gt;0.7, 0.1,
 IF(F57&gt;0.5, 0.08,
 IF(E57&gt;0.5, 0.05,
 0)))</f>
        <v>0</v>
      </c>
      <c r="AJ57">
        <f t="shared" si="1"/>
        <v>0.11660993920751717</v>
      </c>
      <c r="AK57">
        <f t="shared" si="2"/>
        <v>0.14576242400939646</v>
      </c>
      <c r="AL57" t="str">
        <f>IF(MAX(X57, Y57, Z57, AA57)&gt;0.9,
 "Critical",
 IF(AK57&lt;=0.2,"Very Low",
 IF(AK57&lt;=0.4,"Low",
 IF(AK57&lt;=0.6,"Medium",
 IF(AK57&lt;=0.8,"High","Critical")))))</f>
        <v>Very Low</v>
      </c>
      <c r="AM57" t="str">
        <f>IF(MAX(X57:AA57)&gt;0.9,"CRITICAL ALERT",
 IF(AK57&gt;0.8,"CRITICAL ALERT",
 IF(AK57&gt;0.6,"ALERT",
 IF(AK57&gt;=0.4,"REVIEW","NO ACTION"))))</f>
        <v>NO ACTION</v>
      </c>
      <c r="AN57" t="str">
        <f>IF(AM57="NO ACTION","",
 IF(_xlfn.TEXTJOIN(", ", TRUE,
  IF(X57&gt;0.7,"Login anomaly",""),
  IF(Y57&gt;0.7,"File anomaly",""),
  IF(Z57&gt;0.7,"Network anomaly",""),
  IF(AA57&gt;0.7,"USB anomaly","")
 )="",
 "General anomaly detected",
 _xlfn.TEXTJOIN(", ", TRUE,
  IF(X57&gt;0.7,"Login anomaly",""),
  IF(Y57&gt;0.7,"File anomaly",""),
  IF(Z57&gt;0.7,"Network anomaly",""),
  IF(AA57&gt;0.7,"USB anomaly","")
 )))</f>
        <v/>
      </c>
    </row>
    <row r="58" spans="1:40" x14ac:dyDescent="0.3">
      <c r="A58" t="s">
        <v>81</v>
      </c>
      <c r="B58">
        <v>0.25028355387523599</v>
      </c>
      <c r="C58">
        <v>0.77707068880511898</v>
      </c>
      <c r="D58">
        <v>0.48482650055319099</v>
      </c>
      <c r="E58">
        <v>0.136803470136803</v>
      </c>
      <c r="F58">
        <v>5.4054054054054002E-2</v>
      </c>
      <c r="G58">
        <v>0.44249813871212801</v>
      </c>
      <c r="H58">
        <v>0</v>
      </c>
      <c r="I58">
        <v>23</v>
      </c>
      <c r="J58">
        <v>0.53933495539334897</v>
      </c>
      <c r="K58">
        <v>1.5497553017944501E-2</v>
      </c>
      <c r="L58">
        <v>7.3365377454153698E-3</v>
      </c>
      <c r="M58">
        <v>3.4632034632034602E-3</v>
      </c>
      <c r="N58">
        <v>3.8787266373473202E-3</v>
      </c>
      <c r="O58">
        <v>1152</v>
      </c>
      <c r="P58">
        <v>0.40484708193041502</v>
      </c>
      <c r="Q58">
        <v>0.40492303376696198</v>
      </c>
      <c r="R58">
        <v>0</v>
      </c>
      <c r="S58">
        <v>0</v>
      </c>
      <c r="T58" t="s">
        <v>24</v>
      </c>
      <c r="U58">
        <v>2.4818577648766299E-2</v>
      </c>
      <c r="V58">
        <v>0</v>
      </c>
      <c r="W58">
        <v>0</v>
      </c>
      <c r="X58">
        <v>0.20811061282861901</v>
      </c>
      <c r="Y58">
        <v>0.112698877942581</v>
      </c>
      <c r="Z58">
        <v>0.244459739813188</v>
      </c>
      <c r="AA58">
        <v>0</v>
      </c>
      <c r="AB58">
        <v>0.1664440035820007</v>
      </c>
      <c r="AC58">
        <v>1.6629999736323951E-3</v>
      </c>
      <c r="AD58">
        <v>5.7732999324798577E-2</v>
      </c>
      <c r="AE58">
        <v>1.5788000077009201E-2</v>
      </c>
      <c r="AF58">
        <f>0.16*X58 + 0.28*Y58 + 0.28*Z58 + 0.28*AA58</f>
        <v>0.13330211102419437</v>
      </c>
      <c r="AG58">
        <f t="shared" si="0"/>
        <v>4.7682560398243361E-2</v>
      </c>
      <c r="AH58">
        <f>IF(T58="IT_Admin", 0.25, IF(AND(T58="HR", AA58&gt;0.6), 0.25, IF(AND(T58="General", Z58&gt;0.7), 0.2, 0.1)))</f>
        <v>0.25</v>
      </c>
      <c r="AI58">
        <f>IF(V58&gt;0.7, 0.1,
 IF(F58&gt;0.5, 0.08,
 IF(E58&gt;0.5, 0.05,
 0)))</f>
        <v>0</v>
      </c>
      <c r="AJ58">
        <f t="shared" si="1"/>
        <v>7.3368425586028657E-2</v>
      </c>
      <c r="AK58">
        <f t="shared" si="2"/>
        <v>9.1710531982535815E-2</v>
      </c>
      <c r="AL58" t="str">
        <f>IF(MAX(X58, Y58, Z58, AA58)&gt;0.9,
 "Critical",
 IF(AK58&lt;=0.2,"Very Low",
 IF(AK58&lt;=0.4,"Low",
 IF(AK58&lt;=0.6,"Medium",
 IF(AK58&lt;=0.8,"High","Critical")))))</f>
        <v>Very Low</v>
      </c>
      <c r="AM58" t="str">
        <f>IF(MAX(X58:AA58)&gt;0.9,"CRITICAL ALERT",
 IF(AK58&gt;0.8,"CRITICAL ALERT",
 IF(AK58&gt;0.6,"ALERT",
 IF(AK58&gt;=0.4,"REVIEW","NO ACTION"))))</f>
        <v>NO ACTION</v>
      </c>
      <c r="AN58" t="str">
        <f>IF(AM58="NO ACTION","",
 IF(_xlfn.TEXTJOIN(", ", TRUE,
  IF(X58&gt;0.7,"Login anomaly",""),
  IF(Y58&gt;0.7,"File anomaly",""),
  IF(Z58&gt;0.7,"Network anomaly",""),
  IF(AA58&gt;0.7,"USB anomaly","")
 )="",
 "General anomaly detected",
 _xlfn.TEXTJOIN(", ", TRUE,
  IF(X58&gt;0.7,"Login anomaly",""),
  IF(Y58&gt;0.7,"File anomaly",""),
  IF(Z58&gt;0.7,"Network anomaly",""),
  IF(AA58&gt;0.7,"USB anomaly","")
 )))</f>
        <v/>
      </c>
    </row>
    <row r="59" spans="1:40" x14ac:dyDescent="0.3">
      <c r="A59" t="s">
        <v>82</v>
      </c>
      <c r="B59">
        <v>0.12892249527410199</v>
      </c>
      <c r="C59">
        <v>0.18476582604220201</v>
      </c>
      <c r="D59">
        <v>0</v>
      </c>
      <c r="E59">
        <v>0</v>
      </c>
      <c r="F59">
        <v>0</v>
      </c>
      <c r="G59">
        <v>0.99369208272459597</v>
      </c>
      <c r="H59">
        <v>7</v>
      </c>
      <c r="I59">
        <v>7</v>
      </c>
      <c r="J59">
        <v>0.51037641333905803</v>
      </c>
      <c r="K59">
        <v>2.6916802610114102E-2</v>
      </c>
      <c r="L59">
        <v>1.34650687348917E-2</v>
      </c>
      <c r="M59">
        <v>6.1183261183261103E-2</v>
      </c>
      <c r="N59">
        <v>7.2410386752159994E-2</v>
      </c>
      <c r="O59">
        <v>1211</v>
      </c>
      <c r="P59">
        <v>0.416526374859708</v>
      </c>
      <c r="Q59">
        <v>0.41659946000911602</v>
      </c>
      <c r="R59">
        <v>0</v>
      </c>
      <c r="S59">
        <v>0</v>
      </c>
      <c r="T59" t="s">
        <v>24</v>
      </c>
      <c r="U59">
        <v>2.6308796173266E-3</v>
      </c>
      <c r="V59">
        <v>0</v>
      </c>
      <c r="W59">
        <v>0</v>
      </c>
      <c r="X59">
        <v>0</v>
      </c>
      <c r="Y59">
        <v>0.13053093306090499</v>
      </c>
      <c r="Z59">
        <v>0.27887997961668898</v>
      </c>
      <c r="AA59">
        <v>0</v>
      </c>
      <c r="AB59">
        <v>3.6720998585224152E-2</v>
      </c>
      <c r="AC59">
        <v>5.6500001810491094E-3</v>
      </c>
      <c r="AD59">
        <v>6.7247003316879272E-2</v>
      </c>
      <c r="AE59">
        <v>9.9299999419599771E-4</v>
      </c>
      <c r="AF59">
        <f>0.16*X59 + 0.28*Y59 + 0.28*Z59 + 0.28*AA59</f>
        <v>0.11463505554972632</v>
      </c>
      <c r="AG59">
        <f t="shared" si="0"/>
        <v>2.6564560751430693E-2</v>
      </c>
      <c r="AH59">
        <f>IF(T59="IT_Admin", 0.25, IF(AND(T59="HR", AA59&gt;0.6), 0.25, IF(AND(T59="General", Z59&gt;0.7), 0.2, 0.1)))</f>
        <v>0.25</v>
      </c>
      <c r="AI59">
        <f>IF(V59&gt;0.7, 0.1,
 IF(F59&gt;0.5, 0.08,
 IF(E59&gt;0.5, 0.05,
 0)))</f>
        <v>0</v>
      </c>
      <c r="AJ59">
        <f t="shared" si="1"/>
        <v>5.2985709190919383E-2</v>
      </c>
      <c r="AK59">
        <f t="shared" si="2"/>
        <v>6.6232136488649229E-2</v>
      </c>
      <c r="AL59" t="str">
        <f>IF(MAX(X59, Y59, Z59, AA59)&gt;0.9,
 "Critical",
 IF(AK59&lt;=0.2,"Very Low",
 IF(AK59&lt;=0.4,"Low",
 IF(AK59&lt;=0.6,"Medium",
 IF(AK59&lt;=0.8,"High","Critical")))))</f>
        <v>Very Low</v>
      </c>
      <c r="AM59" t="str">
        <f>IF(MAX(X59:AA59)&gt;0.9,"CRITICAL ALERT",
 IF(AK59&gt;0.8,"CRITICAL ALERT",
 IF(AK59&gt;0.6,"ALERT",
 IF(AK59&gt;=0.4,"REVIEW","NO ACTION"))))</f>
        <v>NO ACTION</v>
      </c>
      <c r="AN59" t="str">
        <f>IF(AM59="NO ACTION","",
 IF(_xlfn.TEXTJOIN(", ", TRUE,
  IF(X59&gt;0.7,"Login anomaly",""),
  IF(Y59&gt;0.7,"File anomaly",""),
  IF(Z59&gt;0.7,"Network anomaly",""),
  IF(AA59&gt;0.7,"USB anomaly","")
 )="",
 "General anomaly detected",
 _xlfn.TEXTJOIN(", ", TRUE,
  IF(X59&gt;0.7,"Login anomaly",""),
  IF(Y59&gt;0.7,"File anomaly",""),
  IF(Z59&gt;0.7,"Network anomaly",""),
  IF(AA59&gt;0.7,"USB anomaly","")
 )))</f>
        <v/>
      </c>
    </row>
    <row r="60" spans="1:40" x14ac:dyDescent="0.3">
      <c r="A60" t="s">
        <v>83</v>
      </c>
      <c r="B60">
        <v>0.26767485822306197</v>
      </c>
      <c r="C60">
        <v>0.73724678621614803</v>
      </c>
      <c r="D60">
        <v>0.39984732761692598</v>
      </c>
      <c r="E60">
        <v>0</v>
      </c>
      <c r="F60">
        <v>0</v>
      </c>
      <c r="G60">
        <v>0.40427367966088301</v>
      </c>
      <c r="H60">
        <v>7</v>
      </c>
      <c r="I60">
        <v>18</v>
      </c>
      <c r="J60">
        <v>0.565526453890558</v>
      </c>
      <c r="K60">
        <v>3.9967373572593799E-2</v>
      </c>
      <c r="L60">
        <v>1.80446378860902E-2</v>
      </c>
      <c r="M60">
        <v>6.7821067821067796E-2</v>
      </c>
      <c r="N60">
        <v>7.2441982130826005E-2</v>
      </c>
      <c r="O60">
        <v>1353</v>
      </c>
      <c r="P60">
        <v>0.46590909090909</v>
      </c>
      <c r="Q60">
        <v>0.46597005505101802</v>
      </c>
      <c r="R60">
        <v>0</v>
      </c>
      <c r="S60">
        <v>0</v>
      </c>
      <c r="T60" t="s">
        <v>24</v>
      </c>
      <c r="U60">
        <v>3.5257435241445399E-3</v>
      </c>
      <c r="V60">
        <v>0</v>
      </c>
      <c r="W60">
        <v>0</v>
      </c>
      <c r="X60">
        <v>0.119954198285077</v>
      </c>
      <c r="Y60">
        <v>0.143860204360404</v>
      </c>
      <c r="Z60">
        <v>0.308522247397784</v>
      </c>
      <c r="AA60">
        <v>0</v>
      </c>
      <c r="AB60">
        <v>5.9422001242637627E-2</v>
      </c>
      <c r="AC60">
        <v>7.2139999829232693E-3</v>
      </c>
      <c r="AD60">
        <v>9.2883996665477753E-2</v>
      </c>
      <c r="AE60">
        <v>3.2069999724626541E-3</v>
      </c>
      <c r="AF60">
        <f>0.16*X60 + 0.28*Y60 + 0.28*Z60 + 0.28*AA60</f>
        <v>0.14585975821790498</v>
      </c>
      <c r="AG60">
        <f t="shared" si="0"/>
        <v>3.8432919252663851E-2</v>
      </c>
      <c r="AH60">
        <f>IF(T60="IT_Admin", 0.25, IF(AND(T60="HR", AA60&gt;0.6), 0.25, IF(AND(T60="General", Z60&gt;0.7), 0.2, 0.1)))</f>
        <v>0.25</v>
      </c>
      <c r="AI60">
        <f>IF(V60&gt;0.7, 0.1,
 IF(F60&gt;0.5, 0.08,
 IF(E60&gt;0.5, 0.05,
 0)))</f>
        <v>0</v>
      </c>
      <c r="AJ60">
        <f t="shared" si="1"/>
        <v>7.0660970942236195E-2</v>
      </c>
      <c r="AK60">
        <f t="shared" si="2"/>
        <v>8.8326213677795251E-2</v>
      </c>
      <c r="AL60" t="str">
        <f>IF(MAX(X60, Y60, Z60, AA60)&gt;0.9,
 "Critical",
 IF(AK60&lt;=0.2,"Very Low",
 IF(AK60&lt;=0.4,"Low",
 IF(AK60&lt;=0.6,"Medium",
 IF(AK60&lt;=0.8,"High","Critical")))))</f>
        <v>Very Low</v>
      </c>
      <c r="AM60" t="str">
        <f>IF(MAX(X60:AA60)&gt;0.9,"CRITICAL ALERT",
 IF(AK60&gt;0.8,"CRITICAL ALERT",
 IF(AK60&gt;0.6,"ALERT",
 IF(AK60&gt;=0.4,"REVIEW","NO ACTION"))))</f>
        <v>NO ACTION</v>
      </c>
      <c r="AN60" t="str">
        <f>IF(AM60="NO ACTION","",
 IF(_xlfn.TEXTJOIN(", ", TRUE,
  IF(X60&gt;0.7,"Login anomaly",""),
  IF(Y60&gt;0.7,"File anomaly",""),
  IF(Z60&gt;0.7,"Network anomaly",""),
  IF(AA60&gt;0.7,"USB anomaly","")
 )="",
 "General anomaly detected",
 _xlfn.TEXTJOIN(", ", TRUE,
  IF(X60&gt;0.7,"Login anomaly",""),
  IF(Y60&gt;0.7,"File anomaly",""),
  IF(Z60&gt;0.7,"Network anomaly",""),
  IF(AA60&gt;0.7,"USB anomaly","")
 )))</f>
        <v/>
      </c>
    </row>
    <row r="61" spans="1:40" x14ac:dyDescent="0.3">
      <c r="A61" t="s">
        <v>84</v>
      </c>
      <c r="B61">
        <v>0.12892249527410199</v>
      </c>
      <c r="C61">
        <v>0.36953165208440503</v>
      </c>
      <c r="D61">
        <v>0</v>
      </c>
      <c r="E61">
        <v>0</v>
      </c>
      <c r="F61">
        <v>0</v>
      </c>
      <c r="G61">
        <v>0.99366411570431901</v>
      </c>
      <c r="H61">
        <v>8</v>
      </c>
      <c r="I61">
        <v>8</v>
      </c>
      <c r="J61">
        <v>0.61409283908210399</v>
      </c>
      <c r="K61">
        <v>3.9151712887438801E-2</v>
      </c>
      <c r="L61">
        <v>1.6278961719716899E-2</v>
      </c>
      <c r="M61">
        <v>7.4747474747474701E-2</v>
      </c>
      <c r="N61">
        <v>7.3528481993186498E-2</v>
      </c>
      <c r="O61">
        <v>1369</v>
      </c>
      <c r="P61">
        <v>0.50462962962962898</v>
      </c>
      <c r="Q61">
        <v>0.50468108979978199</v>
      </c>
      <c r="R61">
        <v>0</v>
      </c>
      <c r="S61">
        <v>0</v>
      </c>
      <c r="T61" t="s">
        <v>24</v>
      </c>
      <c r="U61">
        <v>3.1349782293178499E-3</v>
      </c>
      <c r="V61">
        <v>0</v>
      </c>
      <c r="W61">
        <v>0</v>
      </c>
      <c r="X61">
        <v>0</v>
      </c>
      <c r="Y61">
        <v>0.153016593274235</v>
      </c>
      <c r="Z61">
        <v>0.33218917057505198</v>
      </c>
      <c r="AA61">
        <v>0</v>
      </c>
      <c r="AB61">
        <v>2.4991000071167949E-2</v>
      </c>
      <c r="AC61">
        <v>8.3969999104738235E-3</v>
      </c>
      <c r="AD61">
        <v>0.1152819991111755</v>
      </c>
      <c r="AE61">
        <v>8.5999997099861503E-4</v>
      </c>
      <c r="AF61">
        <f>0.16*X61 + 0.28*Y61 + 0.28*Z61 + 0.28*AA61</f>
        <v>0.13585761387780038</v>
      </c>
      <c r="AG61">
        <f t="shared" si="0"/>
        <v>3.8869479729328298E-2</v>
      </c>
      <c r="AH61">
        <f>IF(T61="IT_Admin", 0.25, IF(AND(T61="HR", AA61&gt;0.6), 0.25, IF(AND(T61="General", Z61&gt;0.7), 0.2, 0.1)))</f>
        <v>0.25</v>
      </c>
      <c r="AI61">
        <f>IF(V61&gt;0.7, 0.1,
 IF(F61&gt;0.5, 0.08,
 IF(E61&gt;0.5, 0.05,
 0)))</f>
        <v>0</v>
      </c>
      <c r="AJ61">
        <f t="shared" si="1"/>
        <v>6.7965919973869915E-2</v>
      </c>
      <c r="AK61">
        <f t="shared" si="2"/>
        <v>8.4957399967337394E-2</v>
      </c>
      <c r="AL61" t="str">
        <f>IF(MAX(X61, Y61, Z61, AA61)&gt;0.9,
 "Critical",
 IF(AK61&lt;=0.2,"Very Low",
 IF(AK61&lt;=0.4,"Low",
 IF(AK61&lt;=0.6,"Medium",
 IF(AK61&lt;=0.8,"High","Critical")))))</f>
        <v>Very Low</v>
      </c>
      <c r="AM61" t="str">
        <f>IF(MAX(X61:AA61)&gt;0.9,"CRITICAL ALERT",
 IF(AK61&gt;0.8,"CRITICAL ALERT",
 IF(AK61&gt;0.6,"ALERT",
 IF(AK61&gt;=0.4,"REVIEW","NO ACTION"))))</f>
        <v>NO ACTION</v>
      </c>
      <c r="AN61" t="str">
        <f>IF(AM61="NO ACTION","",
 IF(_xlfn.TEXTJOIN(", ", TRUE,
  IF(X61&gt;0.7,"Login anomaly",""),
  IF(Y61&gt;0.7,"File anomaly",""),
  IF(Z61&gt;0.7,"Network anomaly",""),
  IF(AA61&gt;0.7,"USB anomaly","")
 )="",
 "General anomaly detected",
 _xlfn.TEXTJOIN(", ", TRUE,
  IF(X61&gt;0.7,"Login anomaly",""),
  IF(Y61&gt;0.7,"File anomaly",""),
  IF(Z61&gt;0.7,"Network anomaly",""),
  IF(AA61&gt;0.7,"USB anomaly","")
 )))</f>
        <v/>
      </c>
    </row>
    <row r="62" spans="1:40" x14ac:dyDescent="0.3">
      <c r="A62" t="s">
        <v>85</v>
      </c>
      <c r="B62">
        <v>0.12892249527410199</v>
      </c>
      <c r="C62">
        <v>0.18476582604220201</v>
      </c>
      <c r="D62">
        <v>0</v>
      </c>
      <c r="E62">
        <v>0</v>
      </c>
      <c r="F62">
        <v>0</v>
      </c>
      <c r="G62">
        <v>0.99368742601500004</v>
      </c>
      <c r="H62">
        <v>7</v>
      </c>
      <c r="I62">
        <v>7</v>
      </c>
      <c r="J62">
        <v>0.62463622918753803</v>
      </c>
      <c r="K62">
        <v>4.07830342577487E-2</v>
      </c>
      <c r="L62">
        <v>1.66711353884176E-2</v>
      </c>
      <c r="M62">
        <v>7.0418470418470394E-2</v>
      </c>
      <c r="N62">
        <v>6.8101295219939198E-2</v>
      </c>
      <c r="O62">
        <v>1508</v>
      </c>
      <c r="P62">
        <v>0.51097783389450002</v>
      </c>
      <c r="Q62">
        <v>0.51102773589536798</v>
      </c>
      <c r="R62">
        <v>0</v>
      </c>
      <c r="S62">
        <v>0</v>
      </c>
      <c r="T62" t="s">
        <v>24</v>
      </c>
      <c r="U62">
        <v>3.4655371582595299E-3</v>
      </c>
      <c r="V62">
        <v>0</v>
      </c>
      <c r="W62">
        <v>0</v>
      </c>
      <c r="X62">
        <v>0</v>
      </c>
      <c r="Y62">
        <v>0.15369320209769799</v>
      </c>
      <c r="Z62">
        <v>0.333827218424676</v>
      </c>
      <c r="AA62">
        <v>0</v>
      </c>
      <c r="AB62">
        <v>3.6897998303174973E-2</v>
      </c>
      <c r="AC62">
        <v>7.9420004040002823E-3</v>
      </c>
      <c r="AD62">
        <v>0.11847399920225141</v>
      </c>
      <c r="AE62">
        <v>9.0500002261251211E-4</v>
      </c>
      <c r="AF62">
        <f>0.16*X62 + 0.28*Y62 + 0.28*Z62 + 0.28*AA62</f>
        <v>0.13650571774626474</v>
      </c>
      <c r="AG62">
        <f t="shared" si="0"/>
        <v>4.1553559624589974E-2</v>
      </c>
      <c r="AH62">
        <f>IF(T62="IT_Admin", 0.25, IF(AND(T62="HR", AA62&gt;0.6), 0.25, IF(AND(T62="General", Z62&gt;0.7), 0.2, 0.1)))</f>
        <v>0.25</v>
      </c>
      <c r="AI62">
        <f>IF(V62&gt;0.7, 0.1,
 IF(F62&gt;0.5, 0.08,
 IF(E62&gt;0.5, 0.05,
 0)))</f>
        <v>0</v>
      </c>
      <c r="AJ62">
        <f t="shared" si="1"/>
        <v>7.0039207061092401E-2</v>
      </c>
      <c r="AK62">
        <f t="shared" si="2"/>
        <v>8.7549008826365501E-2</v>
      </c>
      <c r="AL62" t="str">
        <f>IF(MAX(X62, Y62, Z62, AA62)&gt;0.9,
 "Critical",
 IF(AK62&lt;=0.2,"Very Low",
 IF(AK62&lt;=0.4,"Low",
 IF(AK62&lt;=0.6,"Medium",
 IF(AK62&lt;=0.8,"High","Critical")))))</f>
        <v>Very Low</v>
      </c>
      <c r="AM62" t="str">
        <f>IF(MAX(X62:AA62)&gt;0.9,"CRITICAL ALERT",
 IF(AK62&gt;0.8,"CRITICAL ALERT",
 IF(AK62&gt;0.6,"ALERT",
 IF(AK62&gt;=0.4,"REVIEW","NO ACTION"))))</f>
        <v>NO ACTION</v>
      </c>
      <c r="AN62" t="str">
        <f>IF(AM62="NO ACTION","",
 IF(_xlfn.TEXTJOIN(", ", TRUE,
  IF(X62&gt;0.7,"Login anomaly",""),
  IF(Y62&gt;0.7,"File anomaly",""),
  IF(Z62&gt;0.7,"Network anomaly",""),
  IF(AA62&gt;0.7,"USB anomaly","")
 )="",
 "General anomaly detected",
 _xlfn.TEXTJOIN(", ", TRUE,
  IF(X62&gt;0.7,"Login anomaly",""),
  IF(Y62&gt;0.7,"File anomaly",""),
  IF(Z62&gt;0.7,"Network anomaly",""),
  IF(AA62&gt;0.7,"USB anomaly","")
 )))</f>
        <v/>
      </c>
    </row>
    <row r="63" spans="1:40" x14ac:dyDescent="0.3">
      <c r="A63" t="s">
        <v>86</v>
      </c>
      <c r="B63">
        <v>0.12892249527410199</v>
      </c>
      <c r="C63">
        <v>0.284378706169303</v>
      </c>
      <c r="D63">
        <v>7.4902366299490403E-2</v>
      </c>
      <c r="E63">
        <v>0</v>
      </c>
      <c r="F63">
        <v>0</v>
      </c>
      <c r="G63">
        <v>0.99369165452141495</v>
      </c>
      <c r="H63">
        <v>7</v>
      </c>
      <c r="I63">
        <v>8</v>
      </c>
      <c r="J63">
        <v>0.52115834168217101</v>
      </c>
      <c r="K63">
        <v>1.7944535073409401E-2</v>
      </c>
      <c r="L63">
        <v>8.7910837020493699E-3</v>
      </c>
      <c r="M63">
        <v>7.7922077922077896E-3</v>
      </c>
      <c r="N63">
        <v>9.0313748836943902E-3</v>
      </c>
      <c r="O63">
        <v>1139</v>
      </c>
      <c r="P63">
        <v>0.394640852974186</v>
      </c>
      <c r="Q63">
        <v>0.394719309933728</v>
      </c>
      <c r="R63">
        <v>0</v>
      </c>
      <c r="S63">
        <v>0</v>
      </c>
      <c r="T63" t="s">
        <v>24</v>
      </c>
      <c r="U63">
        <v>1.3342318059299099E-2</v>
      </c>
      <c r="V63">
        <v>0</v>
      </c>
      <c r="W63">
        <v>0</v>
      </c>
      <c r="X63">
        <v>2.2470709889847101E-2</v>
      </c>
      <c r="Y63">
        <v>0.111336622652567</v>
      </c>
      <c r="Z63">
        <v>0.240397061737989</v>
      </c>
      <c r="AA63">
        <v>0</v>
      </c>
      <c r="AB63">
        <v>1.7907999455928799E-2</v>
      </c>
      <c r="AC63">
        <v>1.780000049620867E-3</v>
      </c>
      <c r="AD63">
        <v>5.1479000598192208E-2</v>
      </c>
      <c r="AE63">
        <v>1.2529999949038031E-3</v>
      </c>
      <c r="AF63">
        <f>0.16*X63 + 0.28*Y63 + 0.28*Z63 + 0.28*AA63</f>
        <v>0.10208074521173122</v>
      </c>
      <c r="AG63">
        <f t="shared" si="0"/>
        <v>1.8128640092909334E-2</v>
      </c>
      <c r="AH63">
        <f>IF(T63="IT_Admin", 0.25, IF(AND(T63="HR", AA63&gt;0.6), 0.25, IF(AND(T63="General", Z63&gt;0.7), 0.2, 0.1)))</f>
        <v>0.25</v>
      </c>
      <c r="AI63">
        <f>IF(V63&gt;0.7, 0.1,
 IF(F63&gt;0.5, 0.08,
 IF(E63&gt;0.5, 0.05,
 0)))</f>
        <v>0</v>
      </c>
      <c r="AJ63">
        <f t="shared" si="1"/>
        <v>4.3314271628555896E-2</v>
      </c>
      <c r="AK63">
        <f t="shared" si="2"/>
        <v>5.4142839535694869E-2</v>
      </c>
      <c r="AL63" t="str">
        <f>IF(MAX(X63, Y63, Z63, AA63)&gt;0.9,
 "Critical",
 IF(AK63&lt;=0.2,"Very Low",
 IF(AK63&lt;=0.4,"Low",
 IF(AK63&lt;=0.6,"Medium",
 IF(AK63&lt;=0.8,"High","Critical")))))</f>
        <v>Very Low</v>
      </c>
      <c r="AM63" t="str">
        <f>IF(MAX(X63:AA63)&gt;0.9,"CRITICAL ALERT",
 IF(AK63&gt;0.8,"CRITICAL ALERT",
 IF(AK63&gt;0.6,"ALERT",
 IF(AK63&gt;=0.4,"REVIEW","NO ACTION"))))</f>
        <v>NO ACTION</v>
      </c>
      <c r="AN63" t="str">
        <f>IF(AM63="NO ACTION","",
 IF(_xlfn.TEXTJOIN(", ", TRUE,
  IF(X63&gt;0.7,"Login anomaly",""),
  IF(Y63&gt;0.7,"File anomaly",""),
  IF(Z63&gt;0.7,"Network anomaly",""),
  IF(AA63&gt;0.7,"USB anomaly","")
 )="",
 "General anomaly detected",
 _xlfn.TEXTJOIN(", ", TRUE,
  IF(X63&gt;0.7,"Login anomaly",""),
  IF(Y63&gt;0.7,"File anomaly",""),
  IF(Z63&gt;0.7,"Network anomaly",""),
  IF(AA63&gt;0.7,"USB anomaly","")
 )))</f>
        <v/>
      </c>
    </row>
    <row r="64" spans="1:40" x14ac:dyDescent="0.3">
      <c r="A64" t="s">
        <v>87</v>
      </c>
      <c r="B64">
        <v>0.12892249527410199</v>
      </c>
      <c r="C64">
        <v>0.18476582604220201</v>
      </c>
      <c r="D64">
        <v>0</v>
      </c>
      <c r="E64">
        <v>0</v>
      </c>
      <c r="F64">
        <v>0</v>
      </c>
      <c r="G64">
        <v>0.99368263549190905</v>
      </c>
      <c r="H64">
        <v>7</v>
      </c>
      <c r="I64">
        <v>7</v>
      </c>
      <c r="J64">
        <v>0.55903821382567598</v>
      </c>
      <c r="K64">
        <v>2.6101141924959201E-2</v>
      </c>
      <c r="L64">
        <v>1.19209639207708E-2</v>
      </c>
      <c r="M64">
        <v>6.0606060606060597E-3</v>
      </c>
      <c r="N64">
        <v>6.5486391682757703E-3</v>
      </c>
      <c r="O64">
        <v>1234</v>
      </c>
      <c r="P64">
        <v>0.42515432098765399</v>
      </c>
      <c r="Q64">
        <v>0.42522528840422102</v>
      </c>
      <c r="R64">
        <v>0</v>
      </c>
      <c r="S64">
        <v>0</v>
      </c>
      <c r="T64" t="s">
        <v>24</v>
      </c>
      <c r="U64">
        <v>2.4699828473413302E-2</v>
      </c>
      <c r="V64">
        <v>0</v>
      </c>
      <c r="W64">
        <v>0</v>
      </c>
      <c r="X64">
        <v>0</v>
      </c>
      <c r="Y64">
        <v>0.119732716476003</v>
      </c>
      <c r="Z64">
        <v>0.25771204825990202</v>
      </c>
      <c r="AA64">
        <v>0</v>
      </c>
      <c r="AB64">
        <v>3.6703001707792282E-2</v>
      </c>
      <c r="AC64">
        <v>2.0620001014322038E-3</v>
      </c>
      <c r="AD64">
        <v>6.4649000763893127E-2</v>
      </c>
      <c r="AE64">
        <v>1.0900000343099241E-3</v>
      </c>
      <c r="AF64">
        <f>0.16*X64 + 0.28*Y64 + 0.28*Z64 + 0.28*AA64</f>
        <v>0.10568453412605341</v>
      </c>
      <c r="AG64">
        <f t="shared" si="0"/>
        <v>2.4856760525144638E-2</v>
      </c>
      <c r="AH64">
        <f>IF(T64="IT_Admin", 0.25, IF(AND(T64="HR", AA64&gt;0.6), 0.25, IF(AND(T64="General", Z64&gt;0.7), 0.2, 0.1)))</f>
        <v>0.25</v>
      </c>
      <c r="AI64">
        <f>IF(V64&gt;0.7, 0.1,
 IF(F64&gt;0.5, 0.08,
 IF(E64&gt;0.5, 0.05,
 0)))</f>
        <v>0</v>
      </c>
      <c r="AJ64">
        <f t="shared" si="1"/>
        <v>4.9105092605417275E-2</v>
      </c>
      <c r="AK64">
        <f t="shared" si="2"/>
        <v>6.1381365756771597E-2</v>
      </c>
      <c r="AL64" t="str">
        <f>IF(MAX(X64, Y64, Z64, AA64)&gt;0.9,
 "Critical",
 IF(AK64&lt;=0.2,"Very Low",
 IF(AK64&lt;=0.4,"Low",
 IF(AK64&lt;=0.6,"Medium",
 IF(AK64&lt;=0.8,"High","Critical")))))</f>
        <v>Very Low</v>
      </c>
      <c r="AM64" t="str">
        <f>IF(MAX(X64:AA64)&gt;0.9,"CRITICAL ALERT",
 IF(AK64&gt;0.8,"CRITICAL ALERT",
 IF(AK64&gt;0.6,"ALERT",
 IF(AK64&gt;=0.4,"REVIEW","NO ACTION"))))</f>
        <v>NO ACTION</v>
      </c>
      <c r="AN64" t="str">
        <f>IF(AM64="NO ACTION","",
 IF(_xlfn.TEXTJOIN(", ", TRUE,
  IF(X64&gt;0.7,"Login anomaly",""),
  IF(Y64&gt;0.7,"File anomaly",""),
  IF(Z64&gt;0.7,"Network anomaly",""),
  IF(AA64&gt;0.7,"USB anomaly","")
 )="",
 "General anomaly detected",
 _xlfn.TEXTJOIN(", ", TRUE,
  IF(X64&gt;0.7,"Login anomaly",""),
  IF(Y64&gt;0.7,"File anomaly",""),
  IF(Z64&gt;0.7,"Network anomaly",""),
  IF(AA64&gt;0.7,"USB anomaly","")
 )))</f>
        <v/>
      </c>
    </row>
    <row r="65" spans="1:40" x14ac:dyDescent="0.3">
      <c r="A65" t="s">
        <v>88</v>
      </c>
      <c r="B65">
        <v>0.23327032136105799</v>
      </c>
      <c r="C65">
        <v>0.55548759616874799</v>
      </c>
      <c r="D65">
        <v>0.34606450503855701</v>
      </c>
      <c r="E65">
        <v>0</v>
      </c>
      <c r="F65">
        <v>0</v>
      </c>
      <c r="G65">
        <v>0.48537543553835799</v>
      </c>
      <c r="H65">
        <v>7</v>
      </c>
      <c r="I65">
        <v>13</v>
      </c>
      <c r="J65">
        <v>0.498306378512475</v>
      </c>
      <c r="K65">
        <v>1.5497553017944501E-2</v>
      </c>
      <c r="L65">
        <v>7.9403102297270697E-3</v>
      </c>
      <c r="M65">
        <v>4.6176046176046098E-3</v>
      </c>
      <c r="N65">
        <v>5.5972437982007303E-3</v>
      </c>
      <c r="O65">
        <v>1116</v>
      </c>
      <c r="P65">
        <v>0.37524551066217698</v>
      </c>
      <c r="Q65">
        <v>0.375328728216276</v>
      </c>
      <c r="R65">
        <v>0</v>
      </c>
      <c r="S65">
        <v>0</v>
      </c>
      <c r="T65" t="s">
        <v>24</v>
      </c>
      <c r="U65">
        <v>1.8978912319644801E-2</v>
      </c>
      <c r="V65">
        <v>0</v>
      </c>
      <c r="W65">
        <v>0</v>
      </c>
      <c r="X65">
        <v>0.103819351511567</v>
      </c>
      <c r="Y65">
        <v>0.105310603956818</v>
      </c>
      <c r="Z65">
        <v>0.22738620391658601</v>
      </c>
      <c r="AA65">
        <v>0</v>
      </c>
      <c r="AB65">
        <v>1.5753999352455139E-2</v>
      </c>
      <c r="AC65">
        <v>1.443000044673681E-3</v>
      </c>
      <c r="AD65">
        <v>4.3962001800537109E-2</v>
      </c>
      <c r="AE65">
        <v>5.0119999796152106E-3</v>
      </c>
      <c r="AF65">
        <f>0.16*X65 + 0.28*Y65 + 0.28*Z65 + 0.28*AA65</f>
        <v>0.10976620244640387</v>
      </c>
      <c r="AG65">
        <f t="shared" si="0"/>
        <v>1.6637400407344103E-2</v>
      </c>
      <c r="AH65">
        <f>IF(T65="IT_Admin", 0.25, IF(AND(T65="HR", AA65&gt;0.6), 0.25, IF(AND(T65="General", Z65&gt;0.7), 0.2, 0.1)))</f>
        <v>0.25</v>
      </c>
      <c r="AI65">
        <f>IF(V65&gt;0.7, 0.1,
 IF(F65&gt;0.5, 0.08,
 IF(E65&gt;0.5, 0.05,
 0)))</f>
        <v>0</v>
      </c>
      <c r="AJ65">
        <f t="shared" si="1"/>
        <v>4.4576041019062027E-2</v>
      </c>
      <c r="AK65">
        <f t="shared" si="2"/>
        <v>5.5720051273827537E-2</v>
      </c>
      <c r="AL65" t="str">
        <f>IF(MAX(X65, Y65, Z65, AA65)&gt;0.9,
 "Critical",
 IF(AK65&lt;=0.2,"Very Low",
 IF(AK65&lt;=0.4,"Low",
 IF(AK65&lt;=0.6,"Medium",
 IF(AK65&lt;=0.8,"High","Critical")))))</f>
        <v>Very Low</v>
      </c>
      <c r="AM65" t="str">
        <f>IF(MAX(X65:AA65)&gt;0.9,"CRITICAL ALERT",
 IF(AK65&gt;0.8,"CRITICAL ALERT",
 IF(AK65&gt;0.6,"ALERT",
 IF(AK65&gt;=0.4,"REVIEW","NO ACTION"))))</f>
        <v>NO ACTION</v>
      </c>
      <c r="AN65" t="str">
        <f>IF(AM65="NO ACTION","",
 IF(_xlfn.TEXTJOIN(", ", TRUE,
  IF(X65&gt;0.7,"Login anomaly",""),
  IF(Y65&gt;0.7,"File anomaly",""),
  IF(Z65&gt;0.7,"Network anomaly",""),
  IF(AA65&gt;0.7,"USB anomaly","")
 )="",
 "General anomaly detected",
 _xlfn.TEXTJOIN(", ", TRUE,
  IF(X65&gt;0.7,"Login anomaly",""),
  IF(Y65&gt;0.7,"File anomaly",""),
  IF(Z65&gt;0.7,"Network anomaly",""),
  IF(AA65&gt;0.7,"USB anomaly","")
 )))</f>
        <v/>
      </c>
    </row>
    <row r="66" spans="1:40" x14ac:dyDescent="0.3">
      <c r="A66" t="s">
        <v>89</v>
      </c>
      <c r="B66">
        <v>0.2351606805293</v>
      </c>
      <c r="C66">
        <v>0.78127019414330701</v>
      </c>
      <c r="D66">
        <v>0.37923000372680099</v>
      </c>
      <c r="E66">
        <v>0</v>
      </c>
      <c r="F66">
        <v>0</v>
      </c>
      <c r="G66">
        <v>0.480384665724718</v>
      </c>
      <c r="H66">
        <v>8</v>
      </c>
      <c r="I66">
        <v>14</v>
      </c>
      <c r="J66">
        <v>0.50827727684747803</v>
      </c>
      <c r="K66">
        <v>1.4681892332789499E-2</v>
      </c>
      <c r="L66">
        <v>7.37490114216137E-3</v>
      </c>
      <c r="M66">
        <v>7.5036075036075001E-3</v>
      </c>
      <c r="N66">
        <v>8.9171776196825397E-3</v>
      </c>
      <c r="O66">
        <v>1130</v>
      </c>
      <c r="P66">
        <v>0.38362794612794598</v>
      </c>
      <c r="Q66">
        <v>0.38370910620989501</v>
      </c>
      <c r="R66">
        <v>0</v>
      </c>
      <c r="S66">
        <v>0</v>
      </c>
      <c r="T66" t="s">
        <v>24</v>
      </c>
      <c r="U66">
        <v>1.13207547169811E-2</v>
      </c>
      <c r="V66">
        <v>0</v>
      </c>
      <c r="W66">
        <v>0</v>
      </c>
      <c r="X66">
        <v>0.11376900111804</v>
      </c>
      <c r="Y66">
        <v>0.108018059226481</v>
      </c>
      <c r="Z66">
        <v>0.23374363872463999</v>
      </c>
      <c r="AA66">
        <v>0</v>
      </c>
      <c r="AB66">
        <v>4.0233001112937927E-2</v>
      </c>
      <c r="AC66">
        <v>1.660999958403409E-3</v>
      </c>
      <c r="AD66">
        <v>4.7430001199245453E-2</v>
      </c>
      <c r="AE66">
        <v>4.5019998215138912E-3</v>
      </c>
      <c r="AF66">
        <f>0.16*X66 + 0.28*Y66 + 0.28*Z66 + 0.28*AA66</f>
        <v>0.11389631560520028</v>
      </c>
      <c r="AG66">
        <f t="shared" si="0"/>
        <v>2.1443320452235643E-2</v>
      </c>
      <c r="AH66">
        <f>IF(T66="IT_Admin", 0.25, IF(AND(T66="HR", AA66&gt;0.6), 0.25, IF(AND(T66="General", Z66&gt;0.7), 0.2, 0.1)))</f>
        <v>0.25</v>
      </c>
      <c r="AI66">
        <f>IF(V66&gt;0.7, 0.1,
 IF(F66&gt;0.5, 0.08,
 IF(E66&gt;0.5, 0.05,
 0)))</f>
        <v>0</v>
      </c>
      <c r="AJ66">
        <f t="shared" si="1"/>
        <v>4.9179218998125038E-2</v>
      </c>
      <c r="AK66">
        <f t="shared" si="2"/>
        <v>6.1474023747656301E-2</v>
      </c>
      <c r="AL66" t="str">
        <f>IF(MAX(X66, Y66, Z66, AA66)&gt;0.9,
 "Critical",
 IF(AK66&lt;=0.2,"Very Low",
 IF(AK66&lt;=0.4,"Low",
 IF(AK66&lt;=0.6,"Medium",
 IF(AK66&lt;=0.8,"High","Critical")))))</f>
        <v>Very Low</v>
      </c>
      <c r="AM66" t="str">
        <f>IF(MAX(X66:AA66)&gt;0.9,"CRITICAL ALERT",
 IF(AK66&gt;0.8,"CRITICAL ALERT",
 IF(AK66&gt;0.6,"ALERT",
 IF(AK66&gt;=0.4,"REVIEW","NO ACTION"))))</f>
        <v>NO ACTION</v>
      </c>
      <c r="AN66" t="str">
        <f>IF(AM66="NO ACTION","",
 IF(_xlfn.TEXTJOIN(", ", TRUE,
  IF(X66&gt;0.7,"Login anomaly",""),
  IF(Y66&gt;0.7,"File anomaly",""),
  IF(Z66&gt;0.7,"Network anomaly",""),
  IF(AA66&gt;0.7,"USB anomaly","")
 )="",
 "General anomaly detected",
 _xlfn.TEXTJOIN(", ", TRUE,
  IF(X66&gt;0.7,"Login anomaly",""),
  IF(Y66&gt;0.7,"File anomaly",""),
  IF(Z66&gt;0.7,"Network anomaly",""),
  IF(AA66&gt;0.7,"USB anomaly","")
 )))</f>
        <v/>
      </c>
    </row>
    <row r="67" spans="1:40" x14ac:dyDescent="0.3">
      <c r="A67" t="s">
        <v>90</v>
      </c>
      <c r="B67">
        <v>0.24801512287334501</v>
      </c>
      <c r="C67">
        <v>0.56885478563296299</v>
      </c>
      <c r="D67">
        <v>0.46008584439122202</v>
      </c>
      <c r="E67">
        <v>0.276094276094276</v>
      </c>
      <c r="F67">
        <v>4.54545454545454E-2</v>
      </c>
      <c r="G67">
        <v>0.44784249683621102</v>
      </c>
      <c r="H67">
        <v>0</v>
      </c>
      <c r="I67">
        <v>23</v>
      </c>
      <c r="J67">
        <v>0.68274414388626403</v>
      </c>
      <c r="K67">
        <v>3.0179445350734E-2</v>
      </c>
      <c r="L67">
        <v>1.1287043390258799E-2</v>
      </c>
      <c r="M67">
        <v>8.0808080808080808E-3</v>
      </c>
      <c r="N67">
        <v>7.1500136881528301E-3</v>
      </c>
      <c r="O67">
        <v>1383</v>
      </c>
      <c r="P67">
        <v>0.51883417508417495</v>
      </c>
      <c r="Q67">
        <v>0.51888214874294303</v>
      </c>
      <c r="R67">
        <v>0.98967551622418803</v>
      </c>
      <c r="S67">
        <v>1</v>
      </c>
      <c r="T67" t="s">
        <v>24</v>
      </c>
      <c r="U67">
        <v>2.1665582303188002E-2</v>
      </c>
      <c r="V67">
        <v>0</v>
      </c>
      <c r="W67">
        <v>1.6742559095650301E-2</v>
      </c>
      <c r="X67">
        <v>0.23903585432746699</v>
      </c>
      <c r="Y67">
        <v>0.14433735457882799</v>
      </c>
      <c r="Z67">
        <v>0.31416051052576599</v>
      </c>
      <c r="AA67">
        <v>0.98967551622418803</v>
      </c>
      <c r="AB67">
        <v>0.1746219992637634</v>
      </c>
      <c r="AC67">
        <v>3.6309999413788319E-3</v>
      </c>
      <c r="AD67">
        <v>0.1216870024800301</v>
      </c>
      <c r="AE67">
        <v>0.97869598865509033</v>
      </c>
      <c r="AF67">
        <f>0.16*X67 + 0.28*Y67 + 0.28*Z67 + 0.28*AA67</f>
        <v>0.44373428346445376</v>
      </c>
      <c r="AG67">
        <f t="shared" ref="AG67:AG130" si="3">0.16*AB67 + 0.28*AC67 + 0.28*AD67 + 0.28*AE67</f>
        <v>0.33706343738362199</v>
      </c>
      <c r="AH67">
        <f>IF(T67="IT_Admin", 0.25, IF(AND(T67="HR", AA67&gt;0.6), 0.25, IF(AND(T67="General", Z67&gt;0.7), 0.2, 0.1)))</f>
        <v>0.25</v>
      </c>
      <c r="AI67">
        <f>IF(V67&gt;0.7, 0.1,
 IF(F67&gt;0.5, 0.08,
 IF(E67&gt;0.5, 0.05,
 0)))</f>
        <v>0</v>
      </c>
      <c r="AJ67">
        <f t="shared" ref="AJ67:AJ130" si="4">0.3*AF67+0.7*AG67</f>
        <v>0.3690646912078715</v>
      </c>
      <c r="AK67">
        <f t="shared" ref="AK67:AK130" si="5">MIN(1,AJ67*(1+AH67+AI67))</f>
        <v>0.46133086400983936</v>
      </c>
      <c r="AL67" t="str">
        <f>IF(MAX(X67, Y67, Z67, AA67)&gt;0.9,
 "Critical",
 IF(AK67&lt;=0.2,"Very Low",
 IF(AK67&lt;=0.4,"Low",
 IF(AK67&lt;=0.6,"Medium",
 IF(AK67&lt;=0.8,"High","Critical")))))</f>
        <v>Critical</v>
      </c>
      <c r="AM67" t="str">
        <f>IF(MAX(X67:AA67)&gt;0.9,"CRITICAL ALERT",
 IF(AK67&gt;0.8,"CRITICAL ALERT",
 IF(AK67&gt;0.6,"ALERT",
 IF(AK67&gt;=0.4,"REVIEW","NO ACTION"))))</f>
        <v>CRITICAL ALERT</v>
      </c>
      <c r="AN67" t="str">
        <f>IF(AM67="NO ACTION","",
 IF(_xlfn.TEXTJOIN(", ", TRUE,
  IF(X67&gt;0.7,"Login anomaly",""),
  IF(Y67&gt;0.7,"File anomaly",""),
  IF(Z67&gt;0.7,"Network anomaly",""),
  IF(AA67&gt;0.7,"USB anomaly","")
 )="",
 "General anomaly detected",
 _xlfn.TEXTJOIN(", ", TRUE,
  IF(X67&gt;0.7,"Login anomaly",""),
  IF(Y67&gt;0.7,"File anomaly",""),
  IF(Z67&gt;0.7,"Network anomaly",""),
  IF(AA67&gt;0.7,"USB anomaly","")
 )))</f>
        <v>USB anomaly</v>
      </c>
    </row>
    <row r="68" spans="1:40" x14ac:dyDescent="0.3">
      <c r="A68" t="s">
        <v>91</v>
      </c>
      <c r="B68">
        <v>0.14971644612476301</v>
      </c>
      <c r="C68">
        <v>0.19123262995367901</v>
      </c>
      <c r="D68">
        <v>0.24031942148973501</v>
      </c>
      <c r="E68">
        <v>0</v>
      </c>
      <c r="F68">
        <v>0.43</v>
      </c>
      <c r="G68">
        <v>0.83623099383905697</v>
      </c>
      <c r="H68">
        <v>6</v>
      </c>
      <c r="I68">
        <v>14</v>
      </c>
      <c r="J68">
        <v>0.45861361576260601</v>
      </c>
      <c r="K68">
        <v>1.0603588907014599E-2</v>
      </c>
      <c r="L68">
        <v>5.90280912274366E-3</v>
      </c>
      <c r="M68">
        <v>5.7720057720057703E-3</v>
      </c>
      <c r="N68">
        <v>7.6017880135160198E-3</v>
      </c>
      <c r="O68">
        <v>1059</v>
      </c>
      <c r="P68">
        <v>0.344521604938271</v>
      </c>
      <c r="Q68">
        <v>0.34461236368736597</v>
      </c>
      <c r="R68">
        <v>0</v>
      </c>
      <c r="S68">
        <v>0</v>
      </c>
      <c r="T68" t="s">
        <v>24</v>
      </c>
      <c r="U68">
        <v>1.05121293800539E-2</v>
      </c>
      <c r="V68">
        <v>0</v>
      </c>
      <c r="W68">
        <v>0</v>
      </c>
      <c r="X68">
        <v>0.24409582644691999</v>
      </c>
      <c r="Y68">
        <v>9.6954664117947995E-2</v>
      </c>
      <c r="Z68">
        <v>0.20975367816836901</v>
      </c>
      <c r="AA68">
        <v>0</v>
      </c>
      <c r="AB68">
        <v>2.7711000293493271E-2</v>
      </c>
      <c r="AC68">
        <v>1.3269999762997029E-3</v>
      </c>
      <c r="AD68">
        <v>3.2829999923706048E-2</v>
      </c>
      <c r="AE68">
        <v>2.2720000706613059E-3</v>
      </c>
      <c r="AF68">
        <f>0.16*X68 + 0.28*Y68 + 0.28*Z68 + 0.28*AA68</f>
        <v>0.12493366807167597</v>
      </c>
      <c r="AG68">
        <f t="shared" si="3"/>
        <v>1.46338800387457E-2</v>
      </c>
      <c r="AH68">
        <f>IF(T68="IT_Admin", 0.25, IF(AND(T68="HR", AA68&gt;0.6), 0.25, IF(AND(T68="General", Z68&gt;0.7), 0.2, 0.1)))</f>
        <v>0.25</v>
      </c>
      <c r="AI68">
        <f>IF(V68&gt;0.7, 0.1,
 IF(F68&gt;0.5, 0.08,
 IF(E68&gt;0.5, 0.05,
 0)))</f>
        <v>0</v>
      </c>
      <c r="AJ68">
        <f t="shared" si="4"/>
        <v>4.7723816448624778E-2</v>
      </c>
      <c r="AK68">
        <f t="shared" si="5"/>
        <v>5.9654770560780973E-2</v>
      </c>
      <c r="AL68" t="str">
        <f>IF(MAX(X68, Y68, Z68, AA68)&gt;0.9,
 "Critical",
 IF(AK68&lt;=0.2,"Very Low",
 IF(AK68&lt;=0.4,"Low",
 IF(AK68&lt;=0.6,"Medium",
 IF(AK68&lt;=0.8,"High","Critical")))))</f>
        <v>Very Low</v>
      </c>
      <c r="AM68" t="str">
        <f>IF(MAX(X68:AA68)&gt;0.9,"CRITICAL ALERT",
 IF(AK68&gt;0.8,"CRITICAL ALERT",
 IF(AK68&gt;0.6,"ALERT",
 IF(AK68&gt;=0.4,"REVIEW","NO ACTION"))))</f>
        <v>NO ACTION</v>
      </c>
      <c r="AN68" t="str">
        <f>IF(AM68="NO ACTION","",
 IF(_xlfn.TEXTJOIN(", ", TRUE,
  IF(X68&gt;0.7,"Login anomaly",""),
  IF(Y68&gt;0.7,"File anomaly",""),
  IF(Z68&gt;0.7,"Network anomaly",""),
  IF(AA68&gt;0.7,"USB anomaly","")
 )="",
 "General anomaly detected",
 _xlfn.TEXTJOIN(", ", TRUE,
  IF(X68&gt;0.7,"Login anomaly",""),
  IF(Y68&gt;0.7,"File anomaly",""),
  IF(Z68&gt;0.7,"Network anomaly",""),
  IF(AA68&gt;0.7,"USB anomaly","")
 )))</f>
        <v/>
      </c>
    </row>
    <row r="69" spans="1:40" x14ac:dyDescent="0.3">
      <c r="A69" t="s">
        <v>92</v>
      </c>
      <c r="B69">
        <v>0.12892249527410199</v>
      </c>
      <c r="C69">
        <v>0.36953165208440503</v>
      </c>
      <c r="D69">
        <v>0</v>
      </c>
      <c r="E69">
        <v>0</v>
      </c>
      <c r="F69">
        <v>0</v>
      </c>
      <c r="G69">
        <v>0.99364487332385998</v>
      </c>
      <c r="H69">
        <v>8</v>
      </c>
      <c r="I69">
        <v>8</v>
      </c>
      <c r="J69">
        <v>0.496684318496254</v>
      </c>
      <c r="K69">
        <v>1.4681892332789499E-2</v>
      </c>
      <c r="L69">
        <v>7.5469538473788402E-3</v>
      </c>
      <c r="M69">
        <v>6.3492063492063397E-3</v>
      </c>
      <c r="N69">
        <v>7.72133226050276E-3</v>
      </c>
      <c r="O69">
        <v>1089</v>
      </c>
      <c r="P69">
        <v>0.37454405162738402</v>
      </c>
      <c r="Q69">
        <v>0.37462744135488601</v>
      </c>
      <c r="R69">
        <v>0</v>
      </c>
      <c r="S69">
        <v>0</v>
      </c>
      <c r="T69" t="s">
        <v>24</v>
      </c>
      <c r="U69">
        <v>1.32895816242821E-2</v>
      </c>
      <c r="V69">
        <v>0</v>
      </c>
      <c r="W69">
        <v>0</v>
      </c>
      <c r="X69">
        <v>0</v>
      </c>
      <c r="Y69">
        <v>0.105426740301091</v>
      </c>
      <c r="Z69">
        <v>0.22781496388063199</v>
      </c>
      <c r="AA69">
        <v>0</v>
      </c>
      <c r="AB69">
        <v>2.4679999798536301E-2</v>
      </c>
      <c r="AC69">
        <v>1.5620000194758179E-3</v>
      </c>
      <c r="AD69">
        <v>4.341600090265274E-2</v>
      </c>
      <c r="AE69">
        <v>1.1950000189244749E-3</v>
      </c>
      <c r="AF69">
        <f>0.16*X69 + 0.28*Y69 + 0.28*Z69 + 0.28*AA69</f>
        <v>9.3307677170882439E-2</v>
      </c>
      <c r="AG69">
        <f t="shared" si="3"/>
        <v>1.6877240231260658E-2</v>
      </c>
      <c r="AH69">
        <f>IF(T69="IT_Admin", 0.25, IF(AND(T69="HR", AA69&gt;0.6), 0.25, IF(AND(T69="General", Z69&gt;0.7), 0.2, 0.1)))</f>
        <v>0.25</v>
      </c>
      <c r="AI69">
        <f>IF(V69&gt;0.7, 0.1,
 IF(F69&gt;0.5, 0.08,
 IF(E69&gt;0.5, 0.05,
 0)))</f>
        <v>0</v>
      </c>
      <c r="AJ69">
        <f t="shared" si="4"/>
        <v>3.9806371313147189E-2</v>
      </c>
      <c r="AK69">
        <f t="shared" si="5"/>
        <v>4.9757964141433984E-2</v>
      </c>
      <c r="AL69" t="str">
        <f>IF(MAX(X69, Y69, Z69, AA69)&gt;0.9,
 "Critical",
 IF(AK69&lt;=0.2,"Very Low",
 IF(AK69&lt;=0.4,"Low",
 IF(AK69&lt;=0.6,"Medium",
 IF(AK69&lt;=0.8,"High","Critical")))))</f>
        <v>Very Low</v>
      </c>
      <c r="AM69" t="str">
        <f>IF(MAX(X69:AA69)&gt;0.9,"CRITICAL ALERT",
 IF(AK69&gt;0.8,"CRITICAL ALERT",
 IF(AK69&gt;0.6,"ALERT",
 IF(AK69&gt;=0.4,"REVIEW","NO ACTION"))))</f>
        <v>NO ACTION</v>
      </c>
      <c r="AN69" t="str">
        <f>IF(AM69="NO ACTION","",
 IF(_xlfn.TEXTJOIN(", ", TRUE,
  IF(X69&gt;0.7,"Login anomaly",""),
  IF(Y69&gt;0.7,"File anomaly",""),
  IF(Z69&gt;0.7,"Network anomaly",""),
  IF(AA69&gt;0.7,"USB anomaly","")
 )="",
 "General anomaly detected",
 _xlfn.TEXTJOIN(", ", TRUE,
  IF(X69&gt;0.7,"Login anomaly",""),
  IF(Y69&gt;0.7,"File anomaly",""),
  IF(Z69&gt;0.7,"Network anomaly",""),
  IF(AA69&gt;0.7,"USB anomaly","")
 )))</f>
        <v/>
      </c>
    </row>
    <row r="70" spans="1:40" x14ac:dyDescent="0.3">
      <c r="A70" t="s">
        <v>93</v>
      </c>
      <c r="B70">
        <v>0.12892249527410199</v>
      </c>
      <c r="C70">
        <v>0.27741651562278502</v>
      </c>
      <c r="D70">
        <v>7.5132489407342906E-2</v>
      </c>
      <c r="E70">
        <v>0</v>
      </c>
      <c r="F70">
        <v>0</v>
      </c>
      <c r="G70">
        <v>0.99366350016224603</v>
      </c>
      <c r="H70">
        <v>7</v>
      </c>
      <c r="I70">
        <v>8</v>
      </c>
      <c r="J70">
        <v>0.57091741806211505</v>
      </c>
      <c r="K70">
        <v>1.71288743882544E-2</v>
      </c>
      <c r="L70">
        <v>7.6604229162502199E-3</v>
      </c>
      <c r="M70">
        <v>4.6176046176046098E-3</v>
      </c>
      <c r="N70">
        <v>4.8856663624455097E-3</v>
      </c>
      <c r="O70">
        <v>1214</v>
      </c>
      <c r="P70">
        <v>0.42932800224466799</v>
      </c>
      <c r="Q70">
        <v>0.42939794522949598</v>
      </c>
      <c r="R70">
        <v>0</v>
      </c>
      <c r="S70">
        <v>0</v>
      </c>
      <c r="T70" t="s">
        <v>24</v>
      </c>
      <c r="U70">
        <v>2.09766925638179E-2</v>
      </c>
      <c r="V70">
        <v>0</v>
      </c>
      <c r="W70">
        <v>0</v>
      </c>
      <c r="X70">
        <v>2.2539746822202798E-2</v>
      </c>
      <c r="Y70">
        <v>0.11947939497928101</v>
      </c>
      <c r="Z70">
        <v>0.25955106789177901</v>
      </c>
      <c r="AA70">
        <v>0</v>
      </c>
      <c r="AB70">
        <v>1.8409000709652901E-2</v>
      </c>
      <c r="AC70">
        <v>2.0979999098926778E-3</v>
      </c>
      <c r="AD70">
        <v>6.6426001489162445E-2</v>
      </c>
      <c r="AE70">
        <v>1.1759999906644229E-3</v>
      </c>
      <c r="AF70">
        <f>0.16*X70 + 0.28*Y70 + 0.28*Z70 + 0.28*AA70</f>
        <v>0.10973488909544926</v>
      </c>
      <c r="AG70">
        <f t="shared" si="3"/>
        <v>2.2461440502665939E-2</v>
      </c>
      <c r="AH70">
        <f>IF(T70="IT_Admin", 0.25, IF(AND(T70="HR", AA70&gt;0.6), 0.25, IF(AND(T70="General", Z70&gt;0.7), 0.2, 0.1)))</f>
        <v>0.25</v>
      </c>
      <c r="AI70">
        <f>IF(V70&gt;0.7, 0.1,
 IF(F70&gt;0.5, 0.08,
 IF(E70&gt;0.5, 0.05,
 0)))</f>
        <v>0</v>
      </c>
      <c r="AJ70">
        <f t="shared" si="4"/>
        <v>4.8643475080500938E-2</v>
      </c>
      <c r="AK70">
        <f t="shared" si="5"/>
        <v>6.080434385062617E-2</v>
      </c>
      <c r="AL70" t="str">
        <f>IF(MAX(X70, Y70, Z70, AA70)&gt;0.9,
 "Critical",
 IF(AK70&lt;=0.2,"Very Low",
 IF(AK70&lt;=0.4,"Low",
 IF(AK70&lt;=0.6,"Medium",
 IF(AK70&lt;=0.8,"High","Critical")))))</f>
        <v>Very Low</v>
      </c>
      <c r="AM70" t="str">
        <f>IF(MAX(X70:AA70)&gt;0.9,"CRITICAL ALERT",
 IF(AK70&gt;0.8,"CRITICAL ALERT",
 IF(AK70&gt;0.6,"ALERT",
 IF(AK70&gt;=0.4,"REVIEW","NO ACTION"))))</f>
        <v>NO ACTION</v>
      </c>
      <c r="AN70" t="str">
        <f>IF(AM70="NO ACTION","",
 IF(_xlfn.TEXTJOIN(", ", TRUE,
  IF(X70&gt;0.7,"Login anomaly",""),
  IF(Y70&gt;0.7,"File anomaly",""),
  IF(Z70&gt;0.7,"Network anomaly",""),
  IF(AA70&gt;0.7,"USB anomaly","")
 )="",
 "General anomaly detected",
 _xlfn.TEXTJOIN(", ", TRUE,
  IF(X70&gt;0.7,"Login anomaly",""),
  IF(Y70&gt;0.7,"File anomaly",""),
  IF(Z70&gt;0.7,"Network anomaly",""),
  IF(AA70&gt;0.7,"USB anomaly","")
 )))</f>
        <v/>
      </c>
    </row>
    <row r="71" spans="1:40" x14ac:dyDescent="0.3">
      <c r="A71" t="s">
        <v>94</v>
      </c>
      <c r="B71">
        <v>0.22873345935727701</v>
      </c>
      <c r="C71">
        <v>0.58129938045461405</v>
      </c>
      <c r="D71">
        <v>0.37630158864423102</v>
      </c>
      <c r="E71">
        <v>0</v>
      </c>
      <c r="F71">
        <v>0</v>
      </c>
      <c r="G71">
        <v>0.49790592365381198</v>
      </c>
      <c r="H71">
        <v>7</v>
      </c>
      <c r="I71">
        <v>13</v>
      </c>
      <c r="J71">
        <v>0.61666905204904299</v>
      </c>
      <c r="K71">
        <v>1.4681892332789499E-2</v>
      </c>
      <c r="L71">
        <v>6.0791177228596404E-3</v>
      </c>
      <c r="M71">
        <v>7.7922077922077896E-3</v>
      </c>
      <c r="N71">
        <v>7.6331216536923699E-3</v>
      </c>
      <c r="O71">
        <v>1349</v>
      </c>
      <c r="P71">
        <v>0.46345398428731699</v>
      </c>
      <c r="Q71">
        <v>0.463515551036151</v>
      </c>
      <c r="R71">
        <v>0</v>
      </c>
      <c r="S71">
        <v>0</v>
      </c>
      <c r="T71" t="s">
        <v>24</v>
      </c>
      <c r="U71">
        <v>1.0916442048517499E-2</v>
      </c>
      <c r="V71">
        <v>0</v>
      </c>
      <c r="W71">
        <v>0</v>
      </c>
      <c r="X71">
        <v>0.11289047659326901</v>
      </c>
      <c r="Y71">
        <v>0.128663305767346</v>
      </c>
      <c r="Z71">
        <v>0.28112563923386702</v>
      </c>
      <c r="AA71">
        <v>0</v>
      </c>
      <c r="AB71">
        <v>1.8106000497937199E-2</v>
      </c>
      <c r="AC71">
        <v>2.700000070035458E-3</v>
      </c>
      <c r="AD71">
        <v>8.3921998739242554E-2</v>
      </c>
      <c r="AE71">
        <v>2.7620000764727588E-3</v>
      </c>
      <c r="AF71">
        <f>0.16*X71 + 0.28*Y71 + 0.28*Z71 + 0.28*AA71</f>
        <v>0.13280338085526269</v>
      </c>
      <c r="AG71">
        <f t="shared" si="3"/>
        <v>2.7924479767680168E-2</v>
      </c>
      <c r="AH71">
        <f>IF(T71="IT_Admin", 0.25, IF(AND(T71="HR", AA71&gt;0.6), 0.25, IF(AND(T71="General", Z71&gt;0.7), 0.2, 0.1)))</f>
        <v>0.25</v>
      </c>
      <c r="AI71">
        <f>IF(V71&gt;0.7, 0.1,
 IF(F71&gt;0.5, 0.08,
 IF(E71&gt;0.5, 0.05,
 0)))</f>
        <v>0</v>
      </c>
      <c r="AJ71">
        <f t="shared" si="4"/>
        <v>5.9388150093954928E-2</v>
      </c>
      <c r="AK71">
        <f t="shared" si="5"/>
        <v>7.423518761744366E-2</v>
      </c>
      <c r="AL71" t="str">
        <f>IF(MAX(X71, Y71, Z71, AA71)&gt;0.9,
 "Critical",
 IF(AK71&lt;=0.2,"Very Low",
 IF(AK71&lt;=0.4,"Low",
 IF(AK71&lt;=0.6,"Medium",
 IF(AK71&lt;=0.8,"High","Critical")))))</f>
        <v>Very Low</v>
      </c>
      <c r="AM71" t="str">
        <f>IF(MAX(X71:AA71)&gt;0.9,"CRITICAL ALERT",
 IF(AK71&gt;0.8,"CRITICAL ALERT",
 IF(AK71&gt;0.6,"ALERT",
 IF(AK71&gt;=0.4,"REVIEW","NO ACTION"))))</f>
        <v>NO ACTION</v>
      </c>
      <c r="AN71" t="str">
        <f>IF(AM71="NO ACTION","",
 IF(_xlfn.TEXTJOIN(", ", TRUE,
  IF(X71&gt;0.7,"Login anomaly",""),
  IF(Y71&gt;0.7,"File anomaly",""),
  IF(Z71&gt;0.7,"Network anomaly",""),
  IF(AA71&gt;0.7,"USB anomaly","")
 )="",
 "General anomaly detected",
 _xlfn.TEXTJOIN(", ", TRUE,
  IF(X71&gt;0.7,"Login anomaly",""),
  IF(Y71&gt;0.7,"File anomaly",""),
  IF(Z71&gt;0.7,"Network anomaly",""),
  IF(AA71&gt;0.7,"USB anomaly","")
 )))</f>
        <v/>
      </c>
    </row>
    <row r="72" spans="1:40" x14ac:dyDescent="0.3">
      <c r="A72" t="s">
        <v>95</v>
      </c>
      <c r="B72">
        <v>0.12892249527410199</v>
      </c>
      <c r="C72">
        <v>0.18476582604220201</v>
      </c>
      <c r="D72">
        <v>0</v>
      </c>
      <c r="E72">
        <v>0</v>
      </c>
      <c r="F72">
        <v>0</v>
      </c>
      <c r="G72">
        <v>0.99366277756937704</v>
      </c>
      <c r="H72">
        <v>7</v>
      </c>
      <c r="I72">
        <v>7</v>
      </c>
      <c r="J72">
        <v>0.55984924383378598</v>
      </c>
      <c r="K72">
        <v>2.0391517128874301E-2</v>
      </c>
      <c r="L72">
        <v>9.2997670918864798E-3</v>
      </c>
      <c r="M72">
        <v>9.23520923520923E-3</v>
      </c>
      <c r="N72">
        <v>9.9644289082108407E-3</v>
      </c>
      <c r="O72">
        <v>1177</v>
      </c>
      <c r="P72">
        <v>0.42483866442199703</v>
      </c>
      <c r="Q72">
        <v>0.424909709316595</v>
      </c>
      <c r="R72">
        <v>0</v>
      </c>
      <c r="S72">
        <v>0</v>
      </c>
      <c r="T72" t="s">
        <v>24</v>
      </c>
      <c r="U72">
        <v>1.2864493996569399E-2</v>
      </c>
      <c r="V72">
        <v>0</v>
      </c>
      <c r="W72">
        <v>0</v>
      </c>
      <c r="X72">
        <v>0</v>
      </c>
      <c r="Y72">
        <v>0.119609060985163</v>
      </c>
      <c r="Z72">
        <v>0.25888897021648299</v>
      </c>
      <c r="AA72">
        <v>0</v>
      </c>
      <c r="AB72">
        <v>3.6681000143289573E-2</v>
      </c>
      <c r="AC72">
        <v>2.1730000153183941E-3</v>
      </c>
      <c r="AD72">
        <v>6.4823001623153687E-2</v>
      </c>
      <c r="AE72">
        <v>1.1119999689981339E-3</v>
      </c>
      <c r="AF72">
        <f>0.16*X72 + 0.28*Y72 + 0.28*Z72 + 0.28*AA72</f>
        <v>0.1059794487364609</v>
      </c>
      <c r="AG72">
        <f t="shared" si="3"/>
        <v>2.4939200473017998E-2</v>
      </c>
      <c r="AH72">
        <f>IF(T72="IT_Admin", 0.25, IF(AND(T72="HR", AA72&gt;0.6), 0.25, IF(AND(T72="General", Z72&gt;0.7), 0.2, 0.1)))</f>
        <v>0.25</v>
      </c>
      <c r="AI72">
        <f>IF(V72&gt;0.7, 0.1,
 IF(F72&gt;0.5, 0.08,
 IF(E72&gt;0.5, 0.05,
 0)))</f>
        <v>0</v>
      </c>
      <c r="AJ72">
        <f t="shared" si="4"/>
        <v>4.9251274952050866E-2</v>
      </c>
      <c r="AK72">
        <f t="shared" si="5"/>
        <v>6.1564093690063583E-2</v>
      </c>
      <c r="AL72" t="str">
        <f>IF(MAX(X72, Y72, Z72, AA72)&gt;0.9,
 "Critical",
 IF(AK72&lt;=0.2,"Very Low",
 IF(AK72&lt;=0.4,"Low",
 IF(AK72&lt;=0.6,"Medium",
 IF(AK72&lt;=0.8,"High","Critical")))))</f>
        <v>Very Low</v>
      </c>
      <c r="AM72" t="str">
        <f>IF(MAX(X72:AA72)&gt;0.9,"CRITICAL ALERT",
 IF(AK72&gt;0.8,"CRITICAL ALERT",
 IF(AK72&gt;0.6,"ALERT",
 IF(AK72&gt;=0.4,"REVIEW","NO ACTION"))))</f>
        <v>NO ACTION</v>
      </c>
      <c r="AN72" t="str">
        <f>IF(AM72="NO ACTION","",
 IF(_xlfn.TEXTJOIN(", ", TRUE,
  IF(X72&gt;0.7,"Login anomaly",""),
  IF(Y72&gt;0.7,"File anomaly",""),
  IF(Z72&gt;0.7,"Network anomaly",""),
  IF(AA72&gt;0.7,"USB anomaly","")
 )="",
 "General anomaly detected",
 _xlfn.TEXTJOIN(", ", TRUE,
  IF(X72&gt;0.7,"Login anomaly",""),
  IF(Y72&gt;0.7,"File anomaly",""),
  IF(Z72&gt;0.7,"Network anomaly",""),
  IF(AA72&gt;0.7,"USB anomaly","")
 )))</f>
        <v/>
      </c>
    </row>
    <row r="73" spans="1:40" x14ac:dyDescent="0.3">
      <c r="A73" t="s">
        <v>96</v>
      </c>
      <c r="B73">
        <v>0.12892249527410199</v>
      </c>
      <c r="C73">
        <v>0.28598536552619103</v>
      </c>
      <c r="D73">
        <v>7.4788307505895393E-2</v>
      </c>
      <c r="E73">
        <v>0</v>
      </c>
      <c r="F73">
        <v>0</v>
      </c>
      <c r="G73">
        <v>0.99366981615917005</v>
      </c>
      <c r="H73">
        <v>7</v>
      </c>
      <c r="I73">
        <v>8</v>
      </c>
      <c r="J73">
        <v>0.502743189733314</v>
      </c>
      <c r="K73">
        <v>1.5497553017944501E-2</v>
      </c>
      <c r="L73">
        <v>7.8702686048229102E-3</v>
      </c>
      <c r="M73">
        <v>4.9062049062049001E-3</v>
      </c>
      <c r="N73">
        <v>5.8946123064495398E-3</v>
      </c>
      <c r="O73">
        <v>1107</v>
      </c>
      <c r="P73">
        <v>0.37864758698091999</v>
      </c>
      <c r="Q73">
        <v>0.37872996949402099</v>
      </c>
      <c r="R73">
        <v>0</v>
      </c>
      <c r="S73">
        <v>0</v>
      </c>
      <c r="T73" t="s">
        <v>24</v>
      </c>
      <c r="U73">
        <v>1.7924528301886698E-2</v>
      </c>
      <c r="V73">
        <v>0</v>
      </c>
      <c r="W73">
        <v>0</v>
      </c>
      <c r="X73">
        <v>2.2436492251768601E-2</v>
      </c>
      <c r="Y73">
        <v>0.10625215594100899</v>
      </c>
      <c r="Z73">
        <v>0.22954639711113201</v>
      </c>
      <c r="AA73">
        <v>0</v>
      </c>
      <c r="AB73">
        <v>1.7782999202609059E-2</v>
      </c>
      <c r="AC73">
        <v>1.53200002387166E-3</v>
      </c>
      <c r="AD73">
        <v>4.4821999967098243E-2</v>
      </c>
      <c r="AE73">
        <v>1.3160000089555981E-3</v>
      </c>
      <c r="AF73">
        <f>0.16*X73 + 0.28*Y73 + 0.28*Z73 + 0.28*AA73</f>
        <v>9.7613433614882464E-2</v>
      </c>
      <c r="AG73">
        <f t="shared" si="3"/>
        <v>1.6192879872396593E-2</v>
      </c>
      <c r="AH73">
        <f>IF(T73="IT_Admin", 0.25, IF(AND(T73="HR", AA73&gt;0.6), 0.25, IF(AND(T73="General", Z73&gt;0.7), 0.2, 0.1)))</f>
        <v>0.25</v>
      </c>
      <c r="AI73">
        <f>IF(V73&gt;0.7, 0.1,
 IF(F73&gt;0.5, 0.08,
 IF(E73&gt;0.5, 0.05,
 0)))</f>
        <v>0</v>
      </c>
      <c r="AJ73">
        <f t="shared" si="4"/>
        <v>4.061904599514235E-2</v>
      </c>
      <c r="AK73">
        <f t="shared" si="5"/>
        <v>5.0773807493927937E-2</v>
      </c>
      <c r="AL73" t="str">
        <f>IF(MAX(X73, Y73, Z73, AA73)&gt;0.9,
 "Critical",
 IF(AK73&lt;=0.2,"Very Low",
 IF(AK73&lt;=0.4,"Low",
 IF(AK73&lt;=0.6,"Medium",
 IF(AK73&lt;=0.8,"High","Critical")))))</f>
        <v>Very Low</v>
      </c>
      <c r="AM73" t="str">
        <f>IF(MAX(X73:AA73)&gt;0.9,"CRITICAL ALERT",
 IF(AK73&gt;0.8,"CRITICAL ALERT",
 IF(AK73&gt;0.6,"ALERT",
 IF(AK73&gt;=0.4,"REVIEW","NO ACTION"))))</f>
        <v>NO ACTION</v>
      </c>
      <c r="AN73" t="str">
        <f>IF(AM73="NO ACTION","",
 IF(_xlfn.TEXTJOIN(", ", TRUE,
  IF(X73&gt;0.7,"Login anomaly",""),
  IF(Y73&gt;0.7,"File anomaly",""),
  IF(Z73&gt;0.7,"Network anomaly",""),
  IF(AA73&gt;0.7,"USB anomaly","")
 )="",
 "General anomaly detected",
 _xlfn.TEXTJOIN(", ", TRUE,
  IF(X73&gt;0.7,"Login anomaly",""),
  IF(Y73&gt;0.7,"File anomaly",""),
  IF(Z73&gt;0.7,"Network anomaly",""),
  IF(AA73&gt;0.7,"USB anomaly","")
 )))</f>
        <v/>
      </c>
    </row>
    <row r="74" spans="1:40" x14ac:dyDescent="0.3">
      <c r="A74" t="s">
        <v>97</v>
      </c>
      <c r="B74">
        <v>0.236672967863894</v>
      </c>
      <c r="C74">
        <v>0.60210196962641604</v>
      </c>
      <c r="D74">
        <v>0.38181407203623502</v>
      </c>
      <c r="E74">
        <v>0</v>
      </c>
      <c r="F74">
        <v>0</v>
      </c>
      <c r="G74">
        <v>0.47634068035870403</v>
      </c>
      <c r="H74">
        <v>7</v>
      </c>
      <c r="I74">
        <v>13</v>
      </c>
      <c r="J74">
        <v>0.56886598921807097</v>
      </c>
      <c r="K74">
        <v>2.2838499184339299E-2</v>
      </c>
      <c r="L74">
        <v>1.0250714857724601E-2</v>
      </c>
      <c r="M74">
        <v>8.0808080808080808E-3</v>
      </c>
      <c r="N74">
        <v>8.5807356827559602E-3</v>
      </c>
      <c r="O74">
        <v>1201</v>
      </c>
      <c r="P74">
        <v>0.43195847362514</v>
      </c>
      <c r="Q74">
        <v>0.43202777095971101</v>
      </c>
      <c r="R74">
        <v>0</v>
      </c>
      <c r="S74">
        <v>0</v>
      </c>
      <c r="T74" t="s">
        <v>24</v>
      </c>
      <c r="U74">
        <v>1.6395575797007102E-2</v>
      </c>
      <c r="V74">
        <v>0</v>
      </c>
      <c r="W74">
        <v>0</v>
      </c>
      <c r="X74">
        <v>0.11454422161087</v>
      </c>
      <c r="Y74">
        <v>0.12147277597730299</v>
      </c>
      <c r="Z74">
        <v>0.26260737844818599</v>
      </c>
      <c r="AA74">
        <v>0</v>
      </c>
      <c r="AB74">
        <v>2.1679999306797981E-2</v>
      </c>
      <c r="AC74">
        <v>2.1909999195486311E-3</v>
      </c>
      <c r="AD74">
        <v>6.8400003015995026E-2</v>
      </c>
      <c r="AE74">
        <v>3.8189999759197239E-3</v>
      </c>
      <c r="AF74">
        <f>0.16*X74 + 0.28*Y74 + 0.28*Z74 + 0.28*AA74</f>
        <v>0.12586951869687613</v>
      </c>
      <c r="AG74">
        <f t="shared" si="3"/>
        <v>2.4303600704297424E-2</v>
      </c>
      <c r="AH74">
        <f>IF(T74="IT_Admin", 0.25, IF(AND(T74="HR", AA74&gt;0.6), 0.25, IF(AND(T74="General", Z74&gt;0.7), 0.2, 0.1)))</f>
        <v>0.25</v>
      </c>
      <c r="AI74">
        <f>IF(V74&gt;0.7, 0.1,
 IF(F74&gt;0.5, 0.08,
 IF(E74&gt;0.5, 0.05,
 0)))</f>
        <v>0</v>
      </c>
      <c r="AJ74">
        <f t="shared" si="4"/>
        <v>5.4773376102071031E-2</v>
      </c>
      <c r="AK74">
        <f t="shared" si="5"/>
        <v>6.8466720127588782E-2</v>
      </c>
      <c r="AL74" t="str">
        <f>IF(MAX(X74, Y74, Z74, AA74)&gt;0.9,
 "Critical",
 IF(AK74&lt;=0.2,"Very Low",
 IF(AK74&lt;=0.4,"Low",
 IF(AK74&lt;=0.6,"Medium",
 IF(AK74&lt;=0.8,"High","Critical")))))</f>
        <v>Very Low</v>
      </c>
      <c r="AM74" t="str">
        <f>IF(MAX(X74:AA74)&gt;0.9,"CRITICAL ALERT",
 IF(AK74&gt;0.8,"CRITICAL ALERT",
 IF(AK74&gt;0.6,"ALERT",
 IF(AK74&gt;=0.4,"REVIEW","NO ACTION"))))</f>
        <v>NO ACTION</v>
      </c>
      <c r="AN74" t="str">
        <f>IF(AM74="NO ACTION","",
 IF(_xlfn.TEXTJOIN(", ", TRUE,
  IF(X74&gt;0.7,"Login anomaly",""),
  IF(Y74&gt;0.7,"File anomaly",""),
  IF(Z74&gt;0.7,"Network anomaly",""),
  IF(AA74&gt;0.7,"USB anomaly","")
 )="",
 "General anomaly detected",
 _xlfn.TEXTJOIN(", ", TRUE,
  IF(X74&gt;0.7,"Login anomaly",""),
  IF(Y74&gt;0.7,"File anomaly",""),
  IF(Z74&gt;0.7,"Network anomaly",""),
  IF(AA74&gt;0.7,"USB anomaly","")
 )))</f>
        <v/>
      </c>
    </row>
    <row r="75" spans="1:40" x14ac:dyDescent="0.3">
      <c r="A75" t="s">
        <v>98</v>
      </c>
      <c r="B75">
        <v>0.23364839319470701</v>
      </c>
      <c r="C75">
        <v>0.77797700708123596</v>
      </c>
      <c r="D75">
        <v>0.37820698134494901</v>
      </c>
      <c r="E75">
        <v>0</v>
      </c>
      <c r="F75">
        <v>0</v>
      </c>
      <c r="G75">
        <v>0.48443768069255699</v>
      </c>
      <c r="H75">
        <v>8</v>
      </c>
      <c r="I75">
        <v>14</v>
      </c>
      <c r="J75">
        <v>0.66614188254377105</v>
      </c>
      <c r="K75">
        <v>2.6101141924959201E-2</v>
      </c>
      <c r="L75">
        <v>1.0004972798052399E-2</v>
      </c>
      <c r="M75">
        <v>9.23520923520923E-3</v>
      </c>
      <c r="N75">
        <v>8.3750283062997803E-3</v>
      </c>
      <c r="O75">
        <v>1356</v>
      </c>
      <c r="P75">
        <v>0.50543630751964097</v>
      </c>
      <c r="Q75">
        <v>0.505487569690381</v>
      </c>
      <c r="R75">
        <v>0</v>
      </c>
      <c r="S75">
        <v>0</v>
      </c>
      <c r="T75" t="s">
        <v>24</v>
      </c>
      <c r="U75">
        <v>1.6466552315608899E-2</v>
      </c>
      <c r="V75">
        <v>0</v>
      </c>
      <c r="W75">
        <v>0</v>
      </c>
      <c r="X75">
        <v>0.113462094403484</v>
      </c>
      <c r="Y75">
        <v>0.14074337139967</v>
      </c>
      <c r="Z75">
        <v>0.30661179583430398</v>
      </c>
      <c r="AA75">
        <v>0</v>
      </c>
      <c r="AB75">
        <v>3.9935998618602753E-2</v>
      </c>
      <c r="AC75">
        <v>3.342000069096684E-3</v>
      </c>
      <c r="AD75">
        <v>0.1073850020766258</v>
      </c>
      <c r="AE75">
        <v>1.913000014610589E-3</v>
      </c>
      <c r="AF75">
        <f>0.16*X75 + 0.28*Y75 + 0.28*Z75 + 0.28*AA75</f>
        <v>0.14341338193007017</v>
      </c>
      <c r="AG75">
        <f t="shared" si="3"/>
        <v>3.7928960383869705E-2</v>
      </c>
      <c r="AH75">
        <f>IF(T75="IT_Admin", 0.25, IF(AND(T75="HR", AA75&gt;0.6), 0.25, IF(AND(T75="General", Z75&gt;0.7), 0.2, 0.1)))</f>
        <v>0.25</v>
      </c>
      <c r="AI75">
        <f>IF(V75&gt;0.7, 0.1,
 IF(F75&gt;0.5, 0.08,
 IF(E75&gt;0.5, 0.05,
 0)))</f>
        <v>0</v>
      </c>
      <c r="AJ75">
        <f t="shared" si="4"/>
        <v>6.9574286847729844E-2</v>
      </c>
      <c r="AK75">
        <f t="shared" si="5"/>
        <v>8.6967858559662298E-2</v>
      </c>
      <c r="AL75" t="str">
        <f>IF(MAX(X75, Y75, Z75, AA75)&gt;0.9,
 "Critical",
 IF(AK75&lt;=0.2,"Very Low",
 IF(AK75&lt;=0.4,"Low",
 IF(AK75&lt;=0.6,"Medium",
 IF(AK75&lt;=0.8,"High","Critical")))))</f>
        <v>Very Low</v>
      </c>
      <c r="AM75" t="str">
        <f>IF(MAX(X75:AA75)&gt;0.9,"CRITICAL ALERT",
 IF(AK75&gt;0.8,"CRITICAL ALERT",
 IF(AK75&gt;0.6,"ALERT",
 IF(AK75&gt;=0.4,"REVIEW","NO ACTION"))))</f>
        <v>NO ACTION</v>
      </c>
      <c r="AN75" t="str">
        <f>IF(AM75="NO ACTION","",
 IF(_xlfn.TEXTJOIN(", ", TRUE,
  IF(X75&gt;0.7,"Login anomaly",""),
  IF(Y75&gt;0.7,"File anomaly",""),
  IF(Z75&gt;0.7,"Network anomaly",""),
  IF(AA75&gt;0.7,"USB anomaly","")
 )="",
 "General anomaly detected",
 _xlfn.TEXTJOIN(", ", TRUE,
  IF(X75&gt;0.7,"Login anomaly",""),
  IF(Y75&gt;0.7,"File anomaly",""),
  IF(Z75&gt;0.7,"Network anomaly",""),
  IF(AA75&gt;0.7,"USB anomaly","")
 )))</f>
        <v/>
      </c>
    </row>
    <row r="76" spans="1:40" x14ac:dyDescent="0.3">
      <c r="A76" t="s">
        <v>99</v>
      </c>
      <c r="B76">
        <v>0.12892249527410199</v>
      </c>
      <c r="C76">
        <v>0.18476582604220201</v>
      </c>
      <c r="D76">
        <v>0</v>
      </c>
      <c r="E76">
        <v>0</v>
      </c>
      <c r="F76">
        <v>0</v>
      </c>
      <c r="G76">
        <v>0.99364953003345702</v>
      </c>
      <c r="H76">
        <v>7</v>
      </c>
      <c r="I76">
        <v>7</v>
      </c>
      <c r="J76">
        <v>0.60698439959925499</v>
      </c>
      <c r="K76">
        <v>2.5285481239804199E-2</v>
      </c>
      <c r="L76">
        <v>1.0636572078633401E-2</v>
      </c>
      <c r="M76">
        <v>8.3694083694083703E-3</v>
      </c>
      <c r="N76">
        <v>8.3292972827856502E-3</v>
      </c>
      <c r="O76">
        <v>1297</v>
      </c>
      <c r="P76">
        <v>0.46117424242424199</v>
      </c>
      <c r="Q76">
        <v>0.46123636873663099</v>
      </c>
      <c r="R76">
        <v>0</v>
      </c>
      <c r="S76">
        <v>0</v>
      </c>
      <c r="T76" t="s">
        <v>24</v>
      </c>
      <c r="U76">
        <v>1.7547169811320699E-2</v>
      </c>
      <c r="V76">
        <v>0</v>
      </c>
      <c r="W76">
        <v>0</v>
      </c>
      <c r="X76">
        <v>0</v>
      </c>
      <c r="Y76">
        <v>0.129213955144003</v>
      </c>
      <c r="Z76">
        <v>0.28003626436765899</v>
      </c>
      <c r="AA76">
        <v>0</v>
      </c>
      <c r="AB76">
        <v>3.6750998347997672E-2</v>
      </c>
      <c r="AC76">
        <v>2.638000063598156E-3</v>
      </c>
      <c r="AD76">
        <v>8.2611002027988434E-2</v>
      </c>
      <c r="AE76">
        <v>1.00299995392561E-3</v>
      </c>
      <c r="AF76">
        <f>0.16*X76 + 0.28*Y76 + 0.28*Z76 + 0.28*AA76</f>
        <v>0.11459006146326536</v>
      </c>
      <c r="AG76">
        <f t="shared" si="3"/>
        <v>3.0030720308423044E-2</v>
      </c>
      <c r="AH76">
        <f>IF(T76="IT_Admin", 0.25, IF(AND(T76="HR", AA76&gt;0.6), 0.25, IF(AND(T76="General", Z76&gt;0.7), 0.2, 0.1)))</f>
        <v>0.25</v>
      </c>
      <c r="AI76">
        <f>IF(V76&gt;0.7, 0.1,
 IF(F76&gt;0.5, 0.08,
 IF(E76&gt;0.5, 0.05,
 0)))</f>
        <v>0</v>
      </c>
      <c r="AJ76">
        <f t="shared" si="4"/>
        <v>5.5398522654875736E-2</v>
      </c>
      <c r="AK76">
        <f t="shared" si="5"/>
        <v>6.9248153318594671E-2</v>
      </c>
      <c r="AL76" t="str">
        <f>IF(MAX(X76, Y76, Z76, AA76)&gt;0.9,
 "Critical",
 IF(AK76&lt;=0.2,"Very Low",
 IF(AK76&lt;=0.4,"Low",
 IF(AK76&lt;=0.6,"Medium",
 IF(AK76&lt;=0.8,"High","Critical")))))</f>
        <v>Very Low</v>
      </c>
      <c r="AM76" t="str">
        <f>IF(MAX(X76:AA76)&gt;0.9,"CRITICAL ALERT",
 IF(AK76&gt;0.8,"CRITICAL ALERT",
 IF(AK76&gt;0.6,"ALERT",
 IF(AK76&gt;=0.4,"REVIEW","NO ACTION"))))</f>
        <v>NO ACTION</v>
      </c>
      <c r="AN76" t="str">
        <f>IF(AM76="NO ACTION","",
 IF(_xlfn.TEXTJOIN(", ", TRUE,
  IF(X76&gt;0.7,"Login anomaly",""),
  IF(Y76&gt;0.7,"File anomaly",""),
  IF(Z76&gt;0.7,"Network anomaly",""),
  IF(AA76&gt;0.7,"USB anomaly","")
 )="",
 "General anomaly detected",
 _xlfn.TEXTJOIN(", ", TRUE,
  IF(X76&gt;0.7,"Login anomaly",""),
  IF(Y76&gt;0.7,"File anomaly",""),
  IF(Z76&gt;0.7,"Network anomaly",""),
  IF(AA76&gt;0.7,"USB anomaly","")
 )))</f>
        <v/>
      </c>
    </row>
    <row r="77" spans="1:40" x14ac:dyDescent="0.3">
      <c r="A77" t="s">
        <v>100</v>
      </c>
      <c r="B77">
        <v>0.12892249527410199</v>
      </c>
      <c r="C77">
        <v>0.36953165208440503</v>
      </c>
      <c r="D77">
        <v>0</v>
      </c>
      <c r="E77">
        <v>0</v>
      </c>
      <c r="F77">
        <v>0</v>
      </c>
      <c r="G77">
        <v>0.99368590054116701</v>
      </c>
      <c r="H77">
        <v>8</v>
      </c>
      <c r="I77">
        <v>8</v>
      </c>
      <c r="J77">
        <v>0.50298172797099305</v>
      </c>
      <c r="K77">
        <v>1.38662316476345E-2</v>
      </c>
      <c r="L77">
        <v>7.0384812900974704E-3</v>
      </c>
      <c r="M77">
        <v>7.2150072150072098E-3</v>
      </c>
      <c r="N77">
        <v>8.6644384141539993E-3</v>
      </c>
      <c r="O77">
        <v>1141</v>
      </c>
      <c r="P77">
        <v>0.37924382716049299</v>
      </c>
      <c r="Q77">
        <v>0.379326063326203</v>
      </c>
      <c r="R77">
        <v>0</v>
      </c>
      <c r="S77">
        <v>0</v>
      </c>
      <c r="T77" t="s">
        <v>24</v>
      </c>
      <c r="U77">
        <v>1.1103047895500699E-2</v>
      </c>
      <c r="V77">
        <v>0</v>
      </c>
      <c r="W77">
        <v>0</v>
      </c>
      <c r="X77">
        <v>0</v>
      </c>
      <c r="Y77">
        <v>0.106714917763493</v>
      </c>
      <c r="Z77">
        <v>0.231012071661957</v>
      </c>
      <c r="AA77">
        <v>0</v>
      </c>
      <c r="AB77">
        <v>2.4694999679923061E-2</v>
      </c>
      <c r="AC77">
        <v>1.65200000628829E-3</v>
      </c>
      <c r="AD77">
        <v>4.5295000076293952E-2</v>
      </c>
      <c r="AE77">
        <v>1.172999967820942E-3</v>
      </c>
      <c r="AF77">
        <f>0.16*X77 + 0.28*Y77 + 0.28*Z77 + 0.28*AA77</f>
        <v>9.4563557039126001E-2</v>
      </c>
      <c r="AG77">
        <f t="shared" si="3"/>
        <v>1.742479996290058E-2</v>
      </c>
      <c r="AH77">
        <f>IF(T77="IT_Admin", 0.25, IF(AND(T77="HR", AA77&gt;0.6), 0.25, IF(AND(T77="General", Z77&gt;0.7), 0.2, 0.1)))</f>
        <v>0.25</v>
      </c>
      <c r="AI77">
        <f>IF(V77&gt;0.7, 0.1,
 IF(F77&gt;0.5, 0.08,
 IF(E77&gt;0.5, 0.05,
 0)))</f>
        <v>0</v>
      </c>
      <c r="AJ77">
        <f t="shared" si="4"/>
        <v>4.05664270857682E-2</v>
      </c>
      <c r="AK77">
        <f t="shared" si="5"/>
        <v>5.0708033857210247E-2</v>
      </c>
      <c r="AL77" t="str">
        <f>IF(MAX(X77, Y77, Z77, AA77)&gt;0.9,
 "Critical",
 IF(AK77&lt;=0.2,"Very Low",
 IF(AK77&lt;=0.4,"Low",
 IF(AK77&lt;=0.6,"Medium",
 IF(AK77&lt;=0.8,"High","Critical")))))</f>
        <v>Very Low</v>
      </c>
      <c r="AM77" t="str">
        <f>IF(MAX(X77:AA77)&gt;0.9,"CRITICAL ALERT",
 IF(AK77&gt;0.8,"CRITICAL ALERT",
 IF(AK77&gt;0.6,"ALERT",
 IF(AK77&gt;=0.4,"REVIEW","NO ACTION"))))</f>
        <v>NO ACTION</v>
      </c>
      <c r="AN77" t="str">
        <f>IF(AM77="NO ACTION","",
 IF(_xlfn.TEXTJOIN(", ", TRUE,
  IF(X77&gt;0.7,"Login anomaly",""),
  IF(Y77&gt;0.7,"File anomaly",""),
  IF(Z77&gt;0.7,"Network anomaly",""),
  IF(AA77&gt;0.7,"USB anomaly","")
 )="",
 "General anomaly detected",
 _xlfn.TEXTJOIN(", ", TRUE,
  IF(X77&gt;0.7,"Login anomaly",""),
  IF(Y77&gt;0.7,"File anomaly",""),
  IF(Z77&gt;0.7,"Network anomaly",""),
  IF(AA77&gt;0.7,"USB anomaly","")
 )))</f>
        <v/>
      </c>
    </row>
    <row r="78" spans="1:40" x14ac:dyDescent="0.3">
      <c r="A78" t="s">
        <v>101</v>
      </c>
      <c r="B78">
        <v>0.12892249527410199</v>
      </c>
      <c r="C78">
        <v>0.283307599931377</v>
      </c>
      <c r="D78">
        <v>7.4965657310309297E-2</v>
      </c>
      <c r="E78">
        <v>0</v>
      </c>
      <c r="F78">
        <v>0</v>
      </c>
      <c r="G78">
        <v>0.99365766589390103</v>
      </c>
      <c r="H78">
        <v>7</v>
      </c>
      <c r="I78">
        <v>8</v>
      </c>
      <c r="J78">
        <v>0.50441295739707004</v>
      </c>
      <c r="K78">
        <v>2.36541598694942E-2</v>
      </c>
      <c r="L78">
        <v>1.19727687808798E-2</v>
      </c>
      <c r="M78">
        <v>9.23520923520923E-3</v>
      </c>
      <c r="N78">
        <v>1.10590277351479E-2</v>
      </c>
      <c r="O78">
        <v>1119</v>
      </c>
      <c r="P78">
        <v>0.385486812570145</v>
      </c>
      <c r="Q78">
        <v>0.38556751639258002</v>
      </c>
      <c r="R78">
        <v>0</v>
      </c>
      <c r="S78">
        <v>0</v>
      </c>
      <c r="T78" t="s">
        <v>24</v>
      </c>
      <c r="U78">
        <v>1.4922813036020499E-2</v>
      </c>
      <c r="V78">
        <v>0</v>
      </c>
      <c r="W78">
        <v>0</v>
      </c>
      <c r="X78">
        <v>2.2489697193092802E-2</v>
      </c>
      <c r="Y78">
        <v>0.110186684190398</v>
      </c>
      <c r="Z78">
        <v>0.235715698636146</v>
      </c>
      <c r="AA78">
        <v>0</v>
      </c>
      <c r="AB78">
        <v>1.7963999882340431E-2</v>
      </c>
      <c r="AC78">
        <v>1.6870000399649141E-3</v>
      </c>
      <c r="AD78">
        <v>4.7929998487234123E-2</v>
      </c>
      <c r="AE78">
        <v>1.26100005581975E-3</v>
      </c>
      <c r="AF78">
        <f>0.16*X78 + 0.28*Y78 + 0.28*Z78 + 0.28*AA78</f>
        <v>0.10045101874232717</v>
      </c>
      <c r="AG78">
        <f t="shared" si="3"/>
        <v>1.7120079584419731E-2</v>
      </c>
      <c r="AH78">
        <f>IF(T78="IT_Admin", 0.25, IF(AND(T78="HR", AA78&gt;0.6), 0.25, IF(AND(T78="General", Z78&gt;0.7), 0.2, 0.1)))</f>
        <v>0.25</v>
      </c>
      <c r="AI78">
        <f>IF(V78&gt;0.7, 0.1,
 IF(F78&gt;0.5, 0.08,
 IF(E78&gt;0.5, 0.05,
 0)))</f>
        <v>0</v>
      </c>
      <c r="AJ78">
        <f t="shared" si="4"/>
        <v>4.2119361331791963E-2</v>
      </c>
      <c r="AK78">
        <f t="shared" si="5"/>
        <v>5.264920166473995E-2</v>
      </c>
      <c r="AL78" t="str">
        <f>IF(MAX(X78, Y78, Z78, AA78)&gt;0.9,
 "Critical",
 IF(AK78&lt;=0.2,"Very Low",
 IF(AK78&lt;=0.4,"Low",
 IF(AK78&lt;=0.6,"Medium",
 IF(AK78&lt;=0.8,"High","Critical")))))</f>
        <v>Very Low</v>
      </c>
      <c r="AM78" t="str">
        <f>IF(MAX(X78:AA78)&gt;0.9,"CRITICAL ALERT",
 IF(AK78&gt;0.8,"CRITICAL ALERT",
 IF(AK78&gt;0.6,"ALERT",
 IF(AK78&gt;=0.4,"REVIEW","NO ACTION"))))</f>
        <v>NO ACTION</v>
      </c>
      <c r="AN78" t="str">
        <f>IF(AM78="NO ACTION","",
 IF(_xlfn.TEXTJOIN(", ", TRUE,
  IF(X78&gt;0.7,"Login anomaly",""),
  IF(Y78&gt;0.7,"File anomaly",""),
  IF(Z78&gt;0.7,"Network anomaly",""),
  IF(AA78&gt;0.7,"USB anomaly","")
 )="",
 "General anomaly detected",
 _xlfn.TEXTJOIN(", ", TRUE,
  IF(X78&gt;0.7,"Login anomaly",""),
  IF(Y78&gt;0.7,"File anomaly",""),
  IF(Z78&gt;0.7,"Network anomaly",""),
  IF(AA78&gt;0.7,"USB anomaly","")
 )))</f>
        <v/>
      </c>
    </row>
    <row r="79" spans="1:40" x14ac:dyDescent="0.3">
      <c r="A79" t="s">
        <v>102</v>
      </c>
      <c r="B79">
        <v>0.12892249527410199</v>
      </c>
      <c r="C79">
        <v>0.281165387455525</v>
      </c>
      <c r="D79">
        <v>7.5061757440099602E-2</v>
      </c>
      <c r="E79">
        <v>0</v>
      </c>
      <c r="F79">
        <v>0</v>
      </c>
      <c r="G79">
        <v>0.99368322427128397</v>
      </c>
      <c r="H79">
        <v>7</v>
      </c>
      <c r="I79">
        <v>8</v>
      </c>
      <c r="J79">
        <v>0.44029387910882101</v>
      </c>
      <c r="K79">
        <v>1.71288743882544E-2</v>
      </c>
      <c r="L79">
        <v>9.9318370319847991E-3</v>
      </c>
      <c r="M79">
        <v>6.63780663780663E-3</v>
      </c>
      <c r="N79">
        <v>9.1055985143054605E-3</v>
      </c>
      <c r="O79">
        <v>1030</v>
      </c>
      <c r="P79">
        <v>0.33428030303030298</v>
      </c>
      <c r="Q79">
        <v>0.334373575511062</v>
      </c>
      <c r="R79">
        <v>0</v>
      </c>
      <c r="S79">
        <v>0</v>
      </c>
      <c r="T79" t="s">
        <v>24</v>
      </c>
      <c r="U79">
        <v>1.48584905660377E-2</v>
      </c>
      <c r="V79">
        <v>0</v>
      </c>
      <c r="W79">
        <v>0</v>
      </c>
      <c r="X79">
        <v>2.2518527232029802E-2</v>
      </c>
      <c r="Y79">
        <v>9.5756373892048205E-2</v>
      </c>
      <c r="Z79">
        <v>0.20421042122390401</v>
      </c>
      <c r="AA79">
        <v>0</v>
      </c>
      <c r="AB79">
        <v>1.8075000494718552E-2</v>
      </c>
      <c r="AC79">
        <v>1.1449999874457719E-3</v>
      </c>
      <c r="AD79">
        <v>2.9532000422477719E-2</v>
      </c>
      <c r="AE79">
        <v>1.5030000358819959E-3</v>
      </c>
      <c r="AF79">
        <f>0.16*X79 + 0.28*Y79 + 0.28*Z79 + 0.28*AA79</f>
        <v>8.7593666989591396E-2</v>
      </c>
      <c r="AG79">
        <f t="shared" si="3"/>
        <v>1.1902400203980505E-2</v>
      </c>
      <c r="AH79">
        <f>IF(T79="IT_Admin", 0.25, IF(AND(T79="HR", AA79&gt;0.6), 0.25, IF(AND(T79="General", Z79&gt;0.7), 0.2, 0.1)))</f>
        <v>0.25</v>
      </c>
      <c r="AI79">
        <f>IF(V79&gt;0.7, 0.1,
 IF(F79&gt;0.5, 0.08,
 IF(E79&gt;0.5, 0.05,
 0)))</f>
        <v>0</v>
      </c>
      <c r="AJ79">
        <f t="shared" si="4"/>
        <v>3.4609780239663768E-2</v>
      </c>
      <c r="AK79">
        <f t="shared" si="5"/>
        <v>4.326222529957971E-2</v>
      </c>
      <c r="AL79" t="str">
        <f>IF(MAX(X79, Y79, Z79, AA79)&gt;0.9,
 "Critical",
 IF(AK79&lt;=0.2,"Very Low",
 IF(AK79&lt;=0.4,"Low",
 IF(AK79&lt;=0.6,"Medium",
 IF(AK79&lt;=0.8,"High","Critical")))))</f>
        <v>Very Low</v>
      </c>
      <c r="AM79" t="str">
        <f>IF(MAX(X79:AA79)&gt;0.9,"CRITICAL ALERT",
 IF(AK79&gt;0.8,"CRITICAL ALERT",
 IF(AK79&gt;0.6,"ALERT",
 IF(AK79&gt;=0.4,"REVIEW","NO ACTION"))))</f>
        <v>NO ACTION</v>
      </c>
      <c r="AN79" t="str">
        <f>IF(AM79="NO ACTION","",
 IF(_xlfn.TEXTJOIN(", ", TRUE,
  IF(X79&gt;0.7,"Login anomaly",""),
  IF(Y79&gt;0.7,"File anomaly",""),
  IF(Z79&gt;0.7,"Network anomaly",""),
  IF(AA79&gt;0.7,"USB anomaly","")
 )="",
 "General anomaly detected",
 _xlfn.TEXTJOIN(", ", TRUE,
  IF(X79&gt;0.7,"Login anomaly",""),
  IF(Y79&gt;0.7,"File anomaly",""),
  IF(Z79&gt;0.7,"Network anomaly",""),
  IF(AA79&gt;0.7,"USB anomaly","")
 )))</f>
        <v/>
      </c>
    </row>
    <row r="80" spans="1:40" x14ac:dyDescent="0.3">
      <c r="A80" t="s">
        <v>103</v>
      </c>
      <c r="B80">
        <v>7.8638941398865694E-2</v>
      </c>
      <c r="C80">
        <v>0.67631264626768495</v>
      </c>
      <c r="D80">
        <v>0.36892348856120999</v>
      </c>
      <c r="E80">
        <v>0</v>
      </c>
      <c r="F80">
        <v>0</v>
      </c>
      <c r="G80">
        <v>0.443958054319471</v>
      </c>
      <c r="H80">
        <v>7</v>
      </c>
      <c r="I80">
        <v>15</v>
      </c>
      <c r="J80">
        <v>6.4786985353752199E-2</v>
      </c>
      <c r="K80">
        <v>1.6313213703099501E-3</v>
      </c>
      <c r="L80">
        <v>6.4081740665442198E-3</v>
      </c>
      <c r="M80">
        <v>5.7720057720057698E-4</v>
      </c>
      <c r="N80">
        <v>5.3641964133526801E-3</v>
      </c>
      <c r="O80">
        <v>214</v>
      </c>
      <c r="P80">
        <v>4.8611111111111098E-2</v>
      </c>
      <c r="Q80">
        <v>4.8774501209719802E-2</v>
      </c>
      <c r="R80">
        <v>0.315634218289085</v>
      </c>
      <c r="S80">
        <v>1</v>
      </c>
      <c r="T80" t="s">
        <v>49</v>
      </c>
      <c r="U80">
        <v>1.13207547169811E-2</v>
      </c>
      <c r="V80">
        <v>0</v>
      </c>
      <c r="W80">
        <v>0</v>
      </c>
      <c r="X80">
        <v>0.110677046568363</v>
      </c>
      <c r="Y80">
        <v>1.77707430280283E-2</v>
      </c>
      <c r="Z80">
        <v>3.1312345232007703E-2</v>
      </c>
      <c r="AA80">
        <v>0.315634218289085</v>
      </c>
      <c r="AB80">
        <v>3.5138998180627823E-2</v>
      </c>
      <c r="AC80">
        <v>9.7400002414360642E-4</v>
      </c>
      <c r="AD80">
        <v>7.2180000133812428E-3</v>
      </c>
      <c r="AE80">
        <v>0.1100969985127449</v>
      </c>
      <c r="AF80">
        <f>0.16*X80 + 0.28*Y80 + 0.28*Z80 + 0.28*AA80</f>
        <v>0.11982917328469198</v>
      </c>
      <c r="AG80">
        <f t="shared" si="3"/>
        <v>3.8743159302975984E-2</v>
      </c>
      <c r="AH80">
        <f>IF(T80="IT_Admin", 0.25, IF(AND(T80="HR", AA80&gt;0.6), 0.25, IF(AND(T80="General", Z80&gt;0.7), 0.2, 0.1)))</f>
        <v>0.1</v>
      </c>
      <c r="AI80">
        <f>IF(V80&gt;0.7, 0.1,
 IF(F80&gt;0.5, 0.08,
 IF(E80&gt;0.5, 0.05,
 0)))</f>
        <v>0</v>
      </c>
      <c r="AJ80">
        <f t="shared" si="4"/>
        <v>6.3068963497490776E-2</v>
      </c>
      <c r="AK80">
        <f t="shared" si="5"/>
        <v>6.937585984723986E-2</v>
      </c>
      <c r="AL80" t="str">
        <f>IF(MAX(X80, Y80, Z80, AA80)&gt;0.9,
 "Critical",
 IF(AK80&lt;=0.2,"Very Low",
 IF(AK80&lt;=0.4,"Low",
 IF(AK80&lt;=0.6,"Medium",
 IF(AK80&lt;=0.8,"High","Critical")))))</f>
        <v>Very Low</v>
      </c>
      <c r="AM80" t="str">
        <f>IF(MAX(X80:AA80)&gt;0.9,"CRITICAL ALERT",
 IF(AK80&gt;0.8,"CRITICAL ALERT",
 IF(AK80&gt;0.6,"ALERT",
 IF(AK80&gt;=0.4,"REVIEW","NO ACTION"))))</f>
        <v>NO ACTION</v>
      </c>
      <c r="AN80" t="str">
        <f>IF(AM80="NO ACTION","",
 IF(_xlfn.TEXTJOIN(", ", TRUE,
  IF(X80&gt;0.7,"Login anomaly",""),
  IF(Y80&gt;0.7,"File anomaly",""),
  IF(Z80&gt;0.7,"Network anomaly",""),
  IF(AA80&gt;0.7,"USB anomaly","")
 )="",
 "General anomaly detected",
 _xlfn.TEXTJOIN(", ", TRUE,
  IF(X80&gt;0.7,"Login anomaly",""),
  IF(Y80&gt;0.7,"File anomaly",""),
  IF(Z80&gt;0.7,"Network anomaly",""),
  IF(AA80&gt;0.7,"USB anomaly","")
 )))</f>
        <v/>
      </c>
    </row>
    <row r="81" spans="1:40" x14ac:dyDescent="0.3">
      <c r="A81" t="s">
        <v>104</v>
      </c>
      <c r="B81">
        <v>0.12892249527410199</v>
      </c>
      <c r="C81">
        <v>0.36953165208440503</v>
      </c>
      <c r="D81">
        <v>0</v>
      </c>
      <c r="E81">
        <v>0</v>
      </c>
      <c r="F81">
        <v>0</v>
      </c>
      <c r="G81">
        <v>0.99369607036672203</v>
      </c>
      <c r="H81">
        <v>8</v>
      </c>
      <c r="I81">
        <v>8</v>
      </c>
      <c r="J81">
        <v>0.60865416726301202</v>
      </c>
      <c r="K81">
        <v>2.1207177814029299E-2</v>
      </c>
      <c r="L81">
        <v>8.89653187221634E-3</v>
      </c>
      <c r="M81">
        <v>9.5238095238095195E-3</v>
      </c>
      <c r="N81">
        <v>9.4521738805997992E-3</v>
      </c>
      <c r="O81">
        <v>1327</v>
      </c>
      <c r="P81">
        <v>0.46120931537598198</v>
      </c>
      <c r="Q81">
        <v>0.46127143307970098</v>
      </c>
      <c r="R81">
        <v>0</v>
      </c>
      <c r="S81">
        <v>0</v>
      </c>
      <c r="T81" t="s">
        <v>24</v>
      </c>
      <c r="U81">
        <v>1.29855715871254E-2</v>
      </c>
      <c r="V81">
        <v>0</v>
      </c>
      <c r="W81">
        <v>0</v>
      </c>
      <c r="X81">
        <v>0</v>
      </c>
      <c r="Y81">
        <v>0.12901475155288999</v>
      </c>
      <c r="Z81">
        <v>0.28050645877782898</v>
      </c>
      <c r="AA81">
        <v>0</v>
      </c>
      <c r="AB81">
        <v>2.481099963188171E-2</v>
      </c>
      <c r="AC81">
        <v>2.681999932974577E-3</v>
      </c>
      <c r="AD81">
        <v>8.2750000059604645E-2</v>
      </c>
      <c r="AE81">
        <v>9.5600000349804759E-4</v>
      </c>
      <c r="AF81">
        <f>0.16*X81 + 0.28*Y81 + 0.28*Z81 + 0.28*AA81</f>
        <v>0.11466593889260132</v>
      </c>
      <c r="AG81">
        <f t="shared" si="3"/>
        <v>2.8158399940002708E-2</v>
      </c>
      <c r="AH81">
        <f>IF(T81="IT_Admin", 0.25, IF(AND(T81="HR", AA81&gt;0.6), 0.25, IF(AND(T81="General", Z81&gt;0.7), 0.2, 0.1)))</f>
        <v>0.25</v>
      </c>
      <c r="AI81">
        <f>IF(V81&gt;0.7, 0.1,
 IF(F81&gt;0.5, 0.08,
 IF(E81&gt;0.5, 0.05,
 0)))</f>
        <v>0</v>
      </c>
      <c r="AJ81">
        <f t="shared" si="4"/>
        <v>5.4110661625782291E-2</v>
      </c>
      <c r="AK81">
        <f t="shared" si="5"/>
        <v>6.7638327032227857E-2</v>
      </c>
      <c r="AL81" t="str">
        <f>IF(MAX(X81, Y81, Z81, AA81)&gt;0.9,
 "Critical",
 IF(AK81&lt;=0.2,"Very Low",
 IF(AK81&lt;=0.4,"Low",
 IF(AK81&lt;=0.6,"Medium",
 IF(AK81&lt;=0.8,"High","Critical")))))</f>
        <v>Very Low</v>
      </c>
      <c r="AM81" t="str">
        <f>IF(MAX(X81:AA81)&gt;0.9,"CRITICAL ALERT",
 IF(AK81&gt;0.8,"CRITICAL ALERT",
 IF(AK81&gt;0.6,"ALERT",
 IF(AK81&gt;=0.4,"REVIEW","NO ACTION"))))</f>
        <v>NO ACTION</v>
      </c>
      <c r="AN81" t="str">
        <f>IF(AM81="NO ACTION","",
 IF(_xlfn.TEXTJOIN(", ", TRUE,
  IF(X81&gt;0.7,"Login anomaly",""),
  IF(Y81&gt;0.7,"File anomaly",""),
  IF(Z81&gt;0.7,"Network anomaly",""),
  IF(AA81&gt;0.7,"USB anomaly","")
 )="",
 "General anomaly detected",
 _xlfn.TEXTJOIN(", ", TRUE,
  IF(X81&gt;0.7,"Login anomaly",""),
  IF(Y81&gt;0.7,"File anomaly",""),
  IF(Z81&gt;0.7,"Network anomaly",""),
  IF(AA81&gt;0.7,"USB anomaly","")
 )))</f>
        <v/>
      </c>
    </row>
    <row r="82" spans="1:40" x14ac:dyDescent="0.3">
      <c r="A82" t="s">
        <v>105</v>
      </c>
      <c r="B82">
        <v>0.12665406427221099</v>
      </c>
      <c r="C82">
        <v>0.18476582604220201</v>
      </c>
      <c r="D82">
        <v>0</v>
      </c>
      <c r="E82">
        <v>0</v>
      </c>
      <c r="F82">
        <v>0</v>
      </c>
      <c r="G82">
        <v>0.99513191338789597</v>
      </c>
      <c r="H82">
        <v>7</v>
      </c>
      <c r="I82">
        <v>7</v>
      </c>
      <c r="J82">
        <v>0.44411049091169302</v>
      </c>
      <c r="K82">
        <v>1.6313213703099499E-2</v>
      </c>
      <c r="L82">
        <v>9.3776478985395997E-3</v>
      </c>
      <c r="M82">
        <v>6.0606060606060597E-3</v>
      </c>
      <c r="N82">
        <v>8.2423982144832399E-3</v>
      </c>
      <c r="O82">
        <v>996</v>
      </c>
      <c r="P82">
        <v>0.33645482603815902</v>
      </c>
      <c r="Q82">
        <v>0.33654756478137299</v>
      </c>
      <c r="R82">
        <v>0</v>
      </c>
      <c r="S82">
        <v>0</v>
      </c>
      <c r="T82" t="s">
        <v>24</v>
      </c>
      <c r="U82">
        <v>1.54373927958833E-2</v>
      </c>
      <c r="V82">
        <v>0</v>
      </c>
      <c r="W82">
        <v>0</v>
      </c>
      <c r="X82">
        <v>0</v>
      </c>
      <c r="Y82">
        <v>9.5983641595953406E-2</v>
      </c>
      <c r="Z82">
        <v>0.205169854908688</v>
      </c>
      <c r="AA82">
        <v>0</v>
      </c>
      <c r="AB82">
        <v>3.6883998662233353E-2</v>
      </c>
      <c r="AC82">
        <v>1.158999977633357E-3</v>
      </c>
      <c r="AD82">
        <v>3.0186999589204792E-2</v>
      </c>
      <c r="AE82">
        <v>1.288000028580427E-3</v>
      </c>
      <c r="AF82">
        <f>0.16*X82 + 0.28*Y82 + 0.28*Z82 + 0.28*AA82</f>
        <v>8.4322979021299607E-2</v>
      </c>
      <c r="AG82">
        <f t="shared" si="3"/>
        <v>1.5038959672674539E-2</v>
      </c>
      <c r="AH82">
        <f>IF(T82="IT_Admin", 0.25, IF(AND(T82="HR", AA82&gt;0.6), 0.25, IF(AND(T82="General", Z82&gt;0.7), 0.2, 0.1)))</f>
        <v>0.25</v>
      </c>
      <c r="AI82">
        <f>IF(V82&gt;0.7, 0.1,
 IF(F82&gt;0.5, 0.08,
 IF(E82&gt;0.5, 0.05,
 0)))</f>
        <v>0</v>
      </c>
      <c r="AJ82">
        <f t="shared" si="4"/>
        <v>3.5824165477262054E-2</v>
      </c>
      <c r="AK82">
        <f t="shared" si="5"/>
        <v>4.4780206846577568E-2</v>
      </c>
      <c r="AL82" t="str">
        <f>IF(MAX(X82, Y82, Z82, AA82)&gt;0.9,
 "Critical",
 IF(AK82&lt;=0.2,"Very Low",
 IF(AK82&lt;=0.4,"Low",
 IF(AK82&lt;=0.6,"Medium",
 IF(AK82&lt;=0.8,"High","Critical")))))</f>
        <v>Very Low</v>
      </c>
      <c r="AM82" t="str">
        <f>IF(MAX(X82:AA82)&gt;0.9,"CRITICAL ALERT",
 IF(AK82&gt;0.8,"CRITICAL ALERT",
 IF(AK82&gt;0.6,"ALERT",
 IF(AK82&gt;=0.4,"REVIEW","NO ACTION"))))</f>
        <v>NO ACTION</v>
      </c>
      <c r="AN82" t="str">
        <f>IF(AM82="NO ACTION","",
 IF(_xlfn.TEXTJOIN(", ", TRUE,
  IF(X82&gt;0.7,"Login anomaly",""),
  IF(Y82&gt;0.7,"File anomaly",""),
  IF(Z82&gt;0.7,"Network anomaly",""),
  IF(AA82&gt;0.7,"USB anomaly","")
 )="",
 "General anomaly detected",
 _xlfn.TEXTJOIN(", ", TRUE,
  IF(X82&gt;0.7,"Login anomaly",""),
  IF(Y82&gt;0.7,"File anomaly",""),
  IF(Z82&gt;0.7,"Network anomaly",""),
  IF(AA82&gt;0.7,"USB anomaly","")
 )))</f>
        <v/>
      </c>
    </row>
    <row r="83" spans="1:40" x14ac:dyDescent="0.3">
      <c r="A83" t="s">
        <v>106</v>
      </c>
      <c r="B83">
        <v>0.26238185255198399</v>
      </c>
      <c r="C83">
        <v>0.91429966067302004</v>
      </c>
      <c r="D83">
        <v>0.410160982500343</v>
      </c>
      <c r="E83">
        <v>0</v>
      </c>
      <c r="F83">
        <v>1.4326647564469901E-3</v>
      </c>
      <c r="G83">
        <v>0.41538620195770398</v>
      </c>
      <c r="H83">
        <v>8</v>
      </c>
      <c r="I83">
        <v>20</v>
      </c>
      <c r="J83">
        <v>0.59992366776394201</v>
      </c>
      <c r="K83">
        <v>2.6101141924959201E-2</v>
      </c>
      <c r="L83">
        <v>1.11088600988232E-2</v>
      </c>
      <c r="M83">
        <v>9.23520923520923E-3</v>
      </c>
      <c r="N83">
        <v>9.2990775343716504E-3</v>
      </c>
      <c r="O83">
        <v>1292</v>
      </c>
      <c r="P83">
        <v>0.45675505050505</v>
      </c>
      <c r="Q83">
        <v>0.45681826150986998</v>
      </c>
      <c r="R83">
        <v>0</v>
      </c>
      <c r="S83">
        <v>0</v>
      </c>
      <c r="T83" t="s">
        <v>24</v>
      </c>
      <c r="U83">
        <v>1.6466552315608899E-2</v>
      </c>
      <c r="V83">
        <v>0</v>
      </c>
      <c r="W83">
        <v>0</v>
      </c>
      <c r="X83">
        <v>0.12362136065268101</v>
      </c>
      <c r="Y83">
        <v>0.12832888686251101</v>
      </c>
      <c r="Z83">
        <v>0.27777266131677802</v>
      </c>
      <c r="AA83">
        <v>0</v>
      </c>
      <c r="AB83">
        <v>9.4756998121738434E-2</v>
      </c>
      <c r="AC83">
        <v>2.5649999734014268E-3</v>
      </c>
      <c r="AD83">
        <v>8.0943003296852112E-2</v>
      </c>
      <c r="AE83">
        <v>4.5630000531673431E-3</v>
      </c>
      <c r="AF83">
        <f>0.16*X83 + 0.28*Y83 + 0.28*Z83 + 0.28*AA83</f>
        <v>0.13348785119462991</v>
      </c>
      <c r="AG83">
        <f t="shared" si="3"/>
        <v>3.9821000630035998E-2</v>
      </c>
      <c r="AH83">
        <f>IF(T83="IT_Admin", 0.25, IF(AND(T83="HR", AA83&gt;0.6), 0.25, IF(AND(T83="General", Z83&gt;0.7), 0.2, 0.1)))</f>
        <v>0.25</v>
      </c>
      <c r="AI83">
        <f>IF(V83&gt;0.7, 0.1,
 IF(F83&gt;0.5, 0.08,
 IF(E83&gt;0.5, 0.05,
 0)))</f>
        <v>0</v>
      </c>
      <c r="AJ83">
        <f t="shared" si="4"/>
        <v>6.7921055799414168E-2</v>
      </c>
      <c r="AK83">
        <f t="shared" si="5"/>
        <v>8.4901319749267706E-2</v>
      </c>
      <c r="AL83" t="str">
        <f>IF(MAX(X83, Y83, Z83, AA83)&gt;0.9,
 "Critical",
 IF(AK83&lt;=0.2,"Very Low",
 IF(AK83&lt;=0.4,"Low",
 IF(AK83&lt;=0.6,"Medium",
 IF(AK83&lt;=0.8,"High","Critical")))))</f>
        <v>Very Low</v>
      </c>
      <c r="AM83" t="str">
        <f>IF(MAX(X83:AA83)&gt;0.9,"CRITICAL ALERT",
 IF(AK83&gt;0.8,"CRITICAL ALERT",
 IF(AK83&gt;0.6,"ALERT",
 IF(AK83&gt;=0.4,"REVIEW","NO ACTION"))))</f>
        <v>NO ACTION</v>
      </c>
      <c r="AN83" t="str">
        <f>IF(AM83="NO ACTION","",
 IF(_xlfn.TEXTJOIN(", ", TRUE,
  IF(X83&gt;0.7,"Login anomaly",""),
  IF(Y83&gt;0.7,"File anomaly",""),
  IF(Z83&gt;0.7,"Network anomaly",""),
  IF(AA83&gt;0.7,"USB anomaly","")
 )="",
 "General anomaly detected",
 _xlfn.TEXTJOIN(", ", TRUE,
  IF(X83&gt;0.7,"Login anomaly",""),
  IF(Y83&gt;0.7,"File anomaly",""),
  IF(Z83&gt;0.7,"Network anomaly",""),
  IF(AA83&gt;0.7,"USB anomaly","")
 )))</f>
        <v/>
      </c>
    </row>
    <row r="84" spans="1:40" x14ac:dyDescent="0.3">
      <c r="A84" t="s">
        <v>107</v>
      </c>
      <c r="B84">
        <v>0.12892249527410199</v>
      </c>
      <c r="C84">
        <v>0.27313209067108202</v>
      </c>
      <c r="D84">
        <v>7.5061757440099602E-2</v>
      </c>
      <c r="E84">
        <v>0</v>
      </c>
      <c r="F84">
        <v>0</v>
      </c>
      <c r="G84">
        <v>0.99367243890365498</v>
      </c>
      <c r="H84">
        <v>7</v>
      </c>
      <c r="I84">
        <v>8</v>
      </c>
      <c r="J84">
        <v>0.44764085682934901</v>
      </c>
      <c r="K84">
        <v>1.38662316476345E-2</v>
      </c>
      <c r="L84">
        <v>7.9081700732795204E-3</v>
      </c>
      <c r="M84">
        <v>6.63780663780663E-3</v>
      </c>
      <c r="N84">
        <v>8.9562310056558007E-3</v>
      </c>
      <c r="O84">
        <v>1011</v>
      </c>
      <c r="P84">
        <v>0.33827861952861898</v>
      </c>
      <c r="Q84">
        <v>0.33837091062098901</v>
      </c>
      <c r="R84">
        <v>0</v>
      </c>
      <c r="S84">
        <v>0</v>
      </c>
      <c r="T84" t="s">
        <v>24</v>
      </c>
      <c r="U84">
        <v>1.20283018867924E-2</v>
      </c>
      <c r="V84">
        <v>0</v>
      </c>
      <c r="W84">
        <v>0</v>
      </c>
      <c r="X84">
        <v>2.2518527232029802E-2</v>
      </c>
      <c r="Y84">
        <v>9.6169125704206396E-2</v>
      </c>
      <c r="Z84">
        <v>0.20654966411943401</v>
      </c>
      <c r="AA84">
        <v>0</v>
      </c>
      <c r="AB84">
        <v>1.8624000251293179E-2</v>
      </c>
      <c r="AC84">
        <v>1.2329999590292571E-3</v>
      </c>
      <c r="AD84">
        <v>3.0787000432610508E-2</v>
      </c>
      <c r="AE84">
        <v>1.5200000489130621E-3</v>
      </c>
      <c r="AF84">
        <f>0.16*X84 + 0.28*Y84 + 0.28*Z84 + 0.28*AA84</f>
        <v>8.8364225507744087E-2</v>
      </c>
      <c r="AG84">
        <f t="shared" si="3"/>
        <v>1.23710401635617E-2</v>
      </c>
      <c r="AH84">
        <f>IF(T84="IT_Admin", 0.25, IF(AND(T84="HR", AA84&gt;0.6), 0.25, IF(AND(T84="General", Z84&gt;0.7), 0.2, 0.1)))</f>
        <v>0.25</v>
      </c>
      <c r="AI84">
        <f>IF(V84&gt;0.7, 0.1,
 IF(F84&gt;0.5, 0.08,
 IF(E84&gt;0.5, 0.05,
 0)))</f>
        <v>0</v>
      </c>
      <c r="AJ84">
        <f t="shared" si="4"/>
        <v>3.5168995766816417E-2</v>
      </c>
      <c r="AK84">
        <f t="shared" si="5"/>
        <v>4.3961244708520524E-2</v>
      </c>
      <c r="AL84" t="str">
        <f>IF(MAX(X84, Y84, Z84, AA84)&gt;0.9,
 "Critical",
 IF(AK84&lt;=0.2,"Very Low",
 IF(AK84&lt;=0.4,"Low",
 IF(AK84&lt;=0.6,"Medium",
 IF(AK84&lt;=0.8,"High","Critical")))))</f>
        <v>Very Low</v>
      </c>
      <c r="AM84" t="str">
        <f>IF(MAX(X84:AA84)&gt;0.9,"CRITICAL ALERT",
 IF(AK84&gt;0.8,"CRITICAL ALERT",
 IF(AK84&gt;0.6,"ALERT",
 IF(AK84&gt;=0.4,"REVIEW","NO ACTION"))))</f>
        <v>NO ACTION</v>
      </c>
      <c r="AN84" t="str">
        <f>IF(AM84="NO ACTION","",
 IF(_xlfn.TEXTJOIN(", ", TRUE,
  IF(X84&gt;0.7,"Login anomaly",""),
  IF(Y84&gt;0.7,"File anomaly",""),
  IF(Z84&gt;0.7,"Network anomaly",""),
  IF(AA84&gt;0.7,"USB anomaly","")
 )="",
 "General anomaly detected",
 _xlfn.TEXTJOIN(", ", TRUE,
  IF(X84&gt;0.7,"Login anomaly",""),
  IF(Y84&gt;0.7,"File anomaly",""),
  IF(Z84&gt;0.7,"Network anomaly",""),
  IF(AA84&gt;0.7,"USB anomaly","")
 )))</f>
        <v/>
      </c>
    </row>
    <row r="85" spans="1:40" x14ac:dyDescent="0.3">
      <c r="A85" t="s">
        <v>108</v>
      </c>
      <c r="B85">
        <v>0.12892249527410199</v>
      </c>
      <c r="C85">
        <v>0.36953165208440503</v>
      </c>
      <c r="D85">
        <v>0</v>
      </c>
      <c r="E85">
        <v>0</v>
      </c>
      <c r="F85">
        <v>0</v>
      </c>
      <c r="G85">
        <v>0.99366435656860896</v>
      </c>
      <c r="H85">
        <v>8</v>
      </c>
      <c r="I85">
        <v>8</v>
      </c>
      <c r="J85">
        <v>0.66347025428176098</v>
      </c>
      <c r="K85">
        <v>0.102773246329526</v>
      </c>
      <c r="L85">
        <v>3.95531554715415E-2</v>
      </c>
      <c r="M85">
        <v>1.7893217893217801E-2</v>
      </c>
      <c r="N85">
        <v>1.6291934377040702E-2</v>
      </c>
      <c r="O85">
        <v>1437</v>
      </c>
      <c r="P85">
        <v>0.54064955106621704</v>
      </c>
      <c r="Q85">
        <v>0.54069217013219195</v>
      </c>
      <c r="R85">
        <v>0</v>
      </c>
      <c r="S85">
        <v>0</v>
      </c>
      <c r="T85" t="s">
        <v>24</v>
      </c>
      <c r="U85">
        <v>3.3962264150943298E-2</v>
      </c>
      <c r="V85">
        <v>0</v>
      </c>
      <c r="W85">
        <v>0</v>
      </c>
      <c r="X85">
        <v>0</v>
      </c>
      <c r="Y85">
        <v>0.157358208905235</v>
      </c>
      <c r="Z85">
        <v>0.33090650439054697</v>
      </c>
      <c r="AA85">
        <v>0</v>
      </c>
      <c r="AB85">
        <v>2.517599985003471E-2</v>
      </c>
      <c r="AC85">
        <v>8.0000003799796104E-3</v>
      </c>
      <c r="AD85">
        <v>0.13035100698471069</v>
      </c>
      <c r="AE85">
        <v>9.7799999639391899E-4</v>
      </c>
      <c r="AF85">
        <f>0.16*X85 + 0.28*Y85 + 0.28*Z85 + 0.28*AA85</f>
        <v>0.13671411972281897</v>
      </c>
      <c r="AG85">
        <f t="shared" si="3"/>
        <v>4.3040282037109141E-2</v>
      </c>
      <c r="AH85">
        <f>IF(T85="IT_Admin", 0.25, IF(AND(T85="HR", AA85&gt;0.6), 0.25, IF(AND(T85="General", Z85&gt;0.7), 0.2, 0.1)))</f>
        <v>0.25</v>
      </c>
      <c r="AI85">
        <f>IF(V85&gt;0.7, 0.1,
 IF(F85&gt;0.5, 0.08,
 IF(E85&gt;0.5, 0.05,
 0)))</f>
        <v>0</v>
      </c>
      <c r="AJ85">
        <f t="shared" si="4"/>
        <v>7.1142433342822081E-2</v>
      </c>
      <c r="AK85">
        <f t="shared" si="5"/>
        <v>8.8928041678527608E-2</v>
      </c>
      <c r="AL85" t="str">
        <f>IF(MAX(X85, Y85, Z85, AA85)&gt;0.9,
 "Critical",
 IF(AK85&lt;=0.2,"Very Low",
 IF(AK85&lt;=0.4,"Low",
 IF(AK85&lt;=0.6,"Medium",
 IF(AK85&lt;=0.8,"High","Critical")))))</f>
        <v>Very Low</v>
      </c>
      <c r="AM85" t="str">
        <f>IF(MAX(X85:AA85)&gt;0.9,"CRITICAL ALERT",
 IF(AK85&gt;0.8,"CRITICAL ALERT",
 IF(AK85&gt;0.6,"ALERT",
 IF(AK85&gt;=0.4,"REVIEW","NO ACTION"))))</f>
        <v>NO ACTION</v>
      </c>
      <c r="AN85" t="str">
        <f>IF(AM85="NO ACTION","",
 IF(_xlfn.TEXTJOIN(", ", TRUE,
  IF(X85&gt;0.7,"Login anomaly",""),
  IF(Y85&gt;0.7,"File anomaly",""),
  IF(Z85&gt;0.7,"Network anomaly",""),
  IF(AA85&gt;0.7,"USB anomaly","")
 )="",
 "General anomaly detected",
 _xlfn.TEXTJOIN(", ", TRUE,
  IF(X85&gt;0.7,"Login anomaly",""),
  IF(Y85&gt;0.7,"File anomaly",""),
  IF(Z85&gt;0.7,"Network anomaly",""),
  IF(AA85&gt;0.7,"USB anomaly","")
 )))</f>
        <v/>
      </c>
    </row>
    <row r="86" spans="1:40" x14ac:dyDescent="0.3">
      <c r="A86" t="s">
        <v>109</v>
      </c>
      <c r="B86">
        <v>0.133081285444234</v>
      </c>
      <c r="C86">
        <v>0.29583292371925601</v>
      </c>
      <c r="D86">
        <v>0.124233663836833</v>
      </c>
      <c r="E86">
        <v>0</v>
      </c>
      <c r="F86">
        <v>0</v>
      </c>
      <c r="G86">
        <v>0.95828164574894104</v>
      </c>
      <c r="H86">
        <v>7</v>
      </c>
      <c r="I86">
        <v>16</v>
      </c>
      <c r="J86">
        <v>0.53523209770526203</v>
      </c>
      <c r="K86">
        <v>1.30505709624796E-2</v>
      </c>
      <c r="L86">
        <v>6.2254748771915702E-3</v>
      </c>
      <c r="M86">
        <v>3.4632034632034602E-3</v>
      </c>
      <c r="N86">
        <v>3.9084460324659799E-3</v>
      </c>
      <c r="O86">
        <v>1197</v>
      </c>
      <c r="P86">
        <v>0.40077861952861898</v>
      </c>
      <c r="Q86">
        <v>0.400855569970896</v>
      </c>
      <c r="R86">
        <v>0.67846607669616499</v>
      </c>
      <c r="S86">
        <v>1</v>
      </c>
      <c r="T86" t="s">
        <v>24</v>
      </c>
      <c r="U86">
        <v>2.0899854862119E-2</v>
      </c>
      <c r="V86">
        <v>0</v>
      </c>
      <c r="W86">
        <v>0</v>
      </c>
      <c r="X86">
        <v>3.7270099151050097E-2</v>
      </c>
      <c r="Y86">
        <v>0.111331690789388</v>
      </c>
      <c r="Z86">
        <v>0.24203055013015801</v>
      </c>
      <c r="AA86">
        <v>0.67846607669616499</v>
      </c>
      <c r="AB86">
        <v>1.80210005491972E-2</v>
      </c>
      <c r="AC86">
        <v>1.6560000367462639E-3</v>
      </c>
      <c r="AD86">
        <v>5.5580999702215188E-2</v>
      </c>
      <c r="AE86">
        <v>0.46167799830436712</v>
      </c>
      <c r="AF86">
        <f>0.16*X86 + 0.28*Y86 + 0.28*Z86 + 0.28*AA86</f>
        <v>0.29487514479656712</v>
      </c>
      <c r="AG86">
        <f t="shared" si="3"/>
        <v>0.14817955954000356</v>
      </c>
      <c r="AH86">
        <f>IF(T86="IT_Admin", 0.25, IF(AND(T86="HR", AA86&gt;0.6), 0.25, IF(AND(T86="General", Z86&gt;0.7), 0.2, 0.1)))</f>
        <v>0.25</v>
      </c>
      <c r="AI86">
        <f>IF(V86&gt;0.7, 0.1,
 IF(F86&gt;0.5, 0.08,
 IF(E86&gt;0.5, 0.05,
 0)))</f>
        <v>0</v>
      </c>
      <c r="AJ86">
        <f t="shared" si="4"/>
        <v>0.19218823511697261</v>
      </c>
      <c r="AK86">
        <f t="shared" si="5"/>
        <v>0.24023529389621576</v>
      </c>
      <c r="AL86" t="str">
        <f>IF(MAX(X86, Y86, Z86, AA86)&gt;0.9,
 "Critical",
 IF(AK86&lt;=0.2,"Very Low",
 IF(AK86&lt;=0.4,"Low",
 IF(AK86&lt;=0.6,"Medium",
 IF(AK86&lt;=0.8,"High","Critical")))))</f>
        <v>Low</v>
      </c>
      <c r="AM86" t="str">
        <f>IF(MAX(X86:AA86)&gt;0.9,"CRITICAL ALERT",
 IF(AK86&gt;0.8,"CRITICAL ALERT",
 IF(AK86&gt;0.6,"ALERT",
 IF(AK86&gt;=0.4,"REVIEW","NO ACTION"))))</f>
        <v>NO ACTION</v>
      </c>
      <c r="AN86" t="str">
        <f>IF(AM86="NO ACTION","",
 IF(_xlfn.TEXTJOIN(", ", TRUE,
  IF(X86&gt;0.7,"Login anomaly",""),
  IF(Y86&gt;0.7,"File anomaly",""),
  IF(Z86&gt;0.7,"Network anomaly",""),
  IF(AA86&gt;0.7,"USB anomaly","")
 )="",
 "General anomaly detected",
 _xlfn.TEXTJOIN(", ", TRUE,
  IF(X86&gt;0.7,"Login anomaly",""),
  IF(Y86&gt;0.7,"File anomaly",""),
  IF(Z86&gt;0.7,"Network anomaly",""),
  IF(AA86&gt;0.7,"USB anomaly","")
 )))</f>
        <v/>
      </c>
    </row>
    <row r="87" spans="1:40" x14ac:dyDescent="0.3">
      <c r="A87" t="s">
        <v>110</v>
      </c>
      <c r="B87">
        <v>0.2351606805293</v>
      </c>
      <c r="C87">
        <v>0.60712987886391501</v>
      </c>
      <c r="D87">
        <v>0.38831068948142999</v>
      </c>
      <c r="E87">
        <v>0</v>
      </c>
      <c r="F87">
        <v>0</v>
      </c>
      <c r="G87">
        <v>0.48009305216445403</v>
      </c>
      <c r="H87">
        <v>7</v>
      </c>
      <c r="I87">
        <v>13</v>
      </c>
      <c r="J87">
        <v>0.44864271742760298</v>
      </c>
      <c r="K87">
        <v>2.0391517128874301E-2</v>
      </c>
      <c r="L87">
        <v>1.16037055647515E-2</v>
      </c>
      <c r="M87">
        <v>6.3492063492063397E-3</v>
      </c>
      <c r="N87">
        <v>8.5477093023059603E-3</v>
      </c>
      <c r="O87">
        <v>1019</v>
      </c>
      <c r="P87">
        <v>0.34168069584736199</v>
      </c>
      <c r="Q87">
        <v>0.341772151898734</v>
      </c>
      <c r="R87">
        <v>0.51032448377581097</v>
      </c>
      <c r="S87">
        <v>1</v>
      </c>
      <c r="T87" t="s">
        <v>24</v>
      </c>
      <c r="U87">
        <v>1.84577522559474E-2</v>
      </c>
      <c r="V87">
        <v>0</v>
      </c>
      <c r="W87">
        <v>0</v>
      </c>
      <c r="X87">
        <v>0.116493206844429</v>
      </c>
      <c r="Y87">
        <v>9.8094709058588206E-2</v>
      </c>
      <c r="Z87">
        <v>0.20842750122933901</v>
      </c>
      <c r="AA87">
        <v>0.51032448377581097</v>
      </c>
      <c r="AB87">
        <v>2.048699930310249E-2</v>
      </c>
      <c r="AC87">
        <v>1.1249999515712259E-3</v>
      </c>
      <c r="AD87">
        <v>3.3730000257492072E-2</v>
      </c>
      <c r="AE87">
        <v>0.25240901112556458</v>
      </c>
      <c r="AF87">
        <f>0.16*X87 + 0.28*Y87 + 0.28*Z87 + 0.28*AA87</f>
        <v>0.24735598743295534</v>
      </c>
      <c r="AG87">
        <f t="shared" si="3"/>
        <v>8.3711843062192218E-2</v>
      </c>
      <c r="AH87">
        <f>IF(T87="IT_Admin", 0.25, IF(AND(T87="HR", AA87&gt;0.6), 0.25, IF(AND(T87="General", Z87&gt;0.7), 0.2, 0.1)))</f>
        <v>0.25</v>
      </c>
      <c r="AI87">
        <f>IF(V87&gt;0.7, 0.1,
 IF(F87&gt;0.5, 0.08,
 IF(E87&gt;0.5, 0.05,
 0)))</f>
        <v>0</v>
      </c>
      <c r="AJ87">
        <f t="shared" si="4"/>
        <v>0.13280508637342114</v>
      </c>
      <c r="AK87">
        <f t="shared" si="5"/>
        <v>0.16600635796677643</v>
      </c>
      <c r="AL87" t="str">
        <f>IF(MAX(X87, Y87, Z87, AA87)&gt;0.9,
 "Critical",
 IF(AK87&lt;=0.2,"Very Low",
 IF(AK87&lt;=0.4,"Low",
 IF(AK87&lt;=0.6,"Medium",
 IF(AK87&lt;=0.8,"High","Critical")))))</f>
        <v>Very Low</v>
      </c>
      <c r="AM87" t="str">
        <f>IF(MAX(X87:AA87)&gt;0.9,"CRITICAL ALERT",
 IF(AK87&gt;0.8,"CRITICAL ALERT",
 IF(AK87&gt;0.6,"ALERT",
 IF(AK87&gt;=0.4,"REVIEW","NO ACTION"))))</f>
        <v>NO ACTION</v>
      </c>
      <c r="AN87" t="str">
        <f>IF(AM87="NO ACTION","",
 IF(_xlfn.TEXTJOIN(", ", TRUE,
  IF(X87&gt;0.7,"Login anomaly",""),
  IF(Y87&gt;0.7,"File anomaly",""),
  IF(Z87&gt;0.7,"Network anomaly",""),
  IF(AA87&gt;0.7,"USB anomaly","")
 )="",
 "General anomaly detected",
 _xlfn.TEXTJOIN(", ", TRUE,
  IF(X87&gt;0.7,"Login anomaly",""),
  IF(Y87&gt;0.7,"File anomaly",""),
  IF(Z87&gt;0.7,"Network anomaly",""),
  IF(AA87&gt;0.7,"USB anomaly","")
 )))</f>
        <v/>
      </c>
    </row>
    <row r="88" spans="1:40" x14ac:dyDescent="0.3">
      <c r="A88" t="s">
        <v>111</v>
      </c>
      <c r="B88">
        <v>0.12892249527410199</v>
      </c>
      <c r="C88">
        <v>0.28384315305034002</v>
      </c>
      <c r="D88">
        <v>7.4935284296444499E-2</v>
      </c>
      <c r="E88">
        <v>0</v>
      </c>
      <c r="F88">
        <v>0</v>
      </c>
      <c r="G88">
        <v>0.99365247393032796</v>
      </c>
      <c r="H88">
        <v>7</v>
      </c>
      <c r="I88">
        <v>8</v>
      </c>
      <c r="J88">
        <v>0.50813415390487005</v>
      </c>
      <c r="K88">
        <v>1.8760195758564399E-2</v>
      </c>
      <c r="L88">
        <v>9.4261378008678193E-3</v>
      </c>
      <c r="M88">
        <v>1.01010101010101E-2</v>
      </c>
      <c r="N88">
        <v>1.2007272423939E-2</v>
      </c>
      <c r="O88">
        <v>1088</v>
      </c>
      <c r="P88">
        <v>0.38653900112233402</v>
      </c>
      <c r="Q88">
        <v>0.38661944668466602</v>
      </c>
      <c r="R88">
        <v>0</v>
      </c>
      <c r="S88">
        <v>0</v>
      </c>
      <c r="T88" t="s">
        <v>24</v>
      </c>
      <c r="U88">
        <v>1.0849056603773499E-2</v>
      </c>
      <c r="V88">
        <v>0</v>
      </c>
      <c r="W88">
        <v>0</v>
      </c>
      <c r="X88">
        <v>2.2480585288933298E-2</v>
      </c>
      <c r="Y88">
        <v>0.10994208140858901</v>
      </c>
      <c r="Z88">
        <v>0.236726309642976</v>
      </c>
      <c r="AA88">
        <v>0</v>
      </c>
      <c r="AB88">
        <v>1.7915999516844749E-2</v>
      </c>
      <c r="AC88">
        <v>1.747000031173229E-3</v>
      </c>
      <c r="AD88">
        <v>4.8427000641822808E-2</v>
      </c>
      <c r="AE88">
        <v>1.275000046007335E-3</v>
      </c>
      <c r="AF88">
        <f>0.16*X88 + 0.28*Y88 + 0.28*Z88 + 0.28*AA88</f>
        <v>0.10066404314066754</v>
      </c>
      <c r="AG88">
        <f t="shared" si="3"/>
        <v>1.7272280124016104E-2</v>
      </c>
      <c r="AH88">
        <f>IF(T88="IT_Admin", 0.25, IF(AND(T88="HR", AA88&gt;0.6), 0.25, IF(AND(T88="General", Z88&gt;0.7), 0.2, 0.1)))</f>
        <v>0.25</v>
      </c>
      <c r="AI88">
        <f>IF(V88&gt;0.7, 0.1,
 IF(F88&gt;0.5, 0.08,
 IF(E88&gt;0.5, 0.05,
 0)))</f>
        <v>0</v>
      </c>
      <c r="AJ88">
        <f t="shared" si="4"/>
        <v>4.2289809029011534E-2</v>
      </c>
      <c r="AK88">
        <f t="shared" si="5"/>
        <v>5.2862261286264416E-2</v>
      </c>
      <c r="AL88" t="str">
        <f>IF(MAX(X88, Y88, Z88, AA88)&gt;0.9,
 "Critical",
 IF(AK88&lt;=0.2,"Very Low",
 IF(AK88&lt;=0.4,"Low",
 IF(AK88&lt;=0.6,"Medium",
 IF(AK88&lt;=0.8,"High","Critical")))))</f>
        <v>Very Low</v>
      </c>
      <c r="AM88" t="str">
        <f>IF(MAX(X88:AA88)&gt;0.9,"CRITICAL ALERT",
 IF(AK88&gt;0.8,"CRITICAL ALERT",
 IF(AK88&gt;0.6,"ALERT",
 IF(AK88&gt;=0.4,"REVIEW","NO ACTION"))))</f>
        <v>NO ACTION</v>
      </c>
      <c r="AN88" t="str">
        <f>IF(AM88="NO ACTION","",
 IF(_xlfn.TEXTJOIN(", ", TRUE,
  IF(X88&gt;0.7,"Login anomaly",""),
  IF(Y88&gt;0.7,"File anomaly",""),
  IF(Z88&gt;0.7,"Network anomaly",""),
  IF(AA88&gt;0.7,"USB anomaly","")
 )="",
 "General anomaly detected",
 _xlfn.TEXTJOIN(", ", TRUE,
  IF(X88&gt;0.7,"Login anomaly",""),
  IF(Y88&gt;0.7,"File anomaly",""),
  IF(Z88&gt;0.7,"Network anomaly",""),
  IF(AA88&gt;0.7,"USB anomaly","")
 )))</f>
        <v/>
      </c>
    </row>
    <row r="89" spans="1:40" x14ac:dyDescent="0.3">
      <c r="A89" t="s">
        <v>112</v>
      </c>
      <c r="B89">
        <v>0.12892249527410199</v>
      </c>
      <c r="C89">
        <v>0.36953165208440503</v>
      </c>
      <c r="D89">
        <v>0</v>
      </c>
      <c r="E89">
        <v>0</v>
      </c>
      <c r="F89">
        <v>0</v>
      </c>
      <c r="G89">
        <v>0.99369047696266699</v>
      </c>
      <c r="H89">
        <v>8</v>
      </c>
      <c r="I89">
        <v>8</v>
      </c>
      <c r="J89">
        <v>0.61189828729545304</v>
      </c>
      <c r="K89">
        <v>1.8760195758564399E-2</v>
      </c>
      <c r="L89">
        <v>7.82830055381868E-3</v>
      </c>
      <c r="M89">
        <v>6.63780663780663E-3</v>
      </c>
      <c r="N89">
        <v>6.5529652155791899E-3</v>
      </c>
      <c r="O89">
        <v>1285</v>
      </c>
      <c r="P89">
        <v>0.461139169472502</v>
      </c>
      <c r="Q89">
        <v>0.46120130439356199</v>
      </c>
      <c r="R89">
        <v>0</v>
      </c>
      <c r="S89">
        <v>0</v>
      </c>
      <c r="T89" t="s">
        <v>24</v>
      </c>
      <c r="U89">
        <v>1.6273584905660301E-2</v>
      </c>
      <c r="V89">
        <v>0</v>
      </c>
      <c r="W89">
        <v>0</v>
      </c>
      <c r="X89">
        <v>0</v>
      </c>
      <c r="Y89">
        <v>0.12825969730067299</v>
      </c>
      <c r="Z89">
        <v>0.279304687769733</v>
      </c>
      <c r="AA89">
        <v>0</v>
      </c>
      <c r="AB89">
        <v>2.4798000231385231E-2</v>
      </c>
      <c r="AC89">
        <v>2.608000067993999E-3</v>
      </c>
      <c r="AD89">
        <v>8.2400001585483551E-2</v>
      </c>
      <c r="AE89">
        <v>9.7699998877942562E-4</v>
      </c>
      <c r="AF89">
        <f>0.16*X89 + 0.28*Y89 + 0.28*Z89 + 0.28*AA89</f>
        <v>0.1141180278197137</v>
      </c>
      <c r="AG89">
        <f t="shared" si="3"/>
        <v>2.8043480496853592E-2</v>
      </c>
      <c r="AH89">
        <f>IF(T89="IT_Admin", 0.25, IF(AND(T89="HR", AA89&gt;0.6), 0.25, IF(AND(T89="General", Z89&gt;0.7), 0.2, 0.1)))</f>
        <v>0.25</v>
      </c>
      <c r="AI89">
        <f>IF(V89&gt;0.7, 0.1,
 IF(F89&gt;0.5, 0.08,
 IF(E89&gt;0.5, 0.05,
 0)))</f>
        <v>0</v>
      </c>
      <c r="AJ89">
        <f t="shared" si="4"/>
        <v>5.3865844693711619E-2</v>
      </c>
      <c r="AK89">
        <f t="shared" si="5"/>
        <v>6.7332305867139522E-2</v>
      </c>
      <c r="AL89" t="str">
        <f>IF(MAX(X89, Y89, Z89, AA89)&gt;0.9,
 "Critical",
 IF(AK89&lt;=0.2,"Very Low",
 IF(AK89&lt;=0.4,"Low",
 IF(AK89&lt;=0.6,"Medium",
 IF(AK89&lt;=0.8,"High","Critical")))))</f>
        <v>Very Low</v>
      </c>
      <c r="AM89" t="str">
        <f>IF(MAX(X89:AA89)&gt;0.9,"CRITICAL ALERT",
 IF(AK89&gt;0.8,"CRITICAL ALERT",
 IF(AK89&gt;0.6,"ALERT",
 IF(AK89&gt;=0.4,"REVIEW","NO ACTION"))))</f>
        <v>NO ACTION</v>
      </c>
      <c r="AN89" t="str">
        <f>IF(AM89="NO ACTION","",
 IF(_xlfn.TEXTJOIN(", ", TRUE,
  IF(X89&gt;0.7,"Login anomaly",""),
  IF(Y89&gt;0.7,"File anomaly",""),
  IF(Z89&gt;0.7,"Network anomaly",""),
  IF(AA89&gt;0.7,"USB anomaly","")
 )="",
 "General anomaly detected",
 _xlfn.TEXTJOIN(", ", TRUE,
  IF(X89&gt;0.7,"Login anomaly",""),
  IF(Y89&gt;0.7,"File anomaly",""),
  IF(Z89&gt;0.7,"Network anomaly",""),
  IF(AA89&gt;0.7,"USB anomaly","")
 )))</f>
        <v/>
      </c>
    </row>
    <row r="90" spans="1:40" x14ac:dyDescent="0.3">
      <c r="A90" t="s">
        <v>113</v>
      </c>
      <c r="B90">
        <v>0.12892249527410199</v>
      </c>
      <c r="C90">
        <v>0.27741651562278502</v>
      </c>
      <c r="D90">
        <v>7.5132489407342906E-2</v>
      </c>
      <c r="E90">
        <v>0</v>
      </c>
      <c r="F90">
        <v>0</v>
      </c>
      <c r="G90">
        <v>0.99369210948729503</v>
      </c>
      <c r="H90">
        <v>7</v>
      </c>
      <c r="I90">
        <v>8</v>
      </c>
      <c r="J90">
        <v>0.433996469634082</v>
      </c>
      <c r="K90">
        <v>1.6313213703099499E-2</v>
      </c>
      <c r="L90">
        <v>9.5960681747965099E-3</v>
      </c>
      <c r="M90">
        <v>5.1948051948051896E-3</v>
      </c>
      <c r="N90">
        <v>7.2294657660511297E-3</v>
      </c>
      <c r="O90">
        <v>955</v>
      </c>
      <c r="P90">
        <v>0.32859848484848397</v>
      </c>
      <c r="Q90">
        <v>0.328693151933798</v>
      </c>
      <c r="R90">
        <v>0</v>
      </c>
      <c r="S90">
        <v>0</v>
      </c>
      <c r="T90" t="s">
        <v>24</v>
      </c>
      <c r="U90">
        <v>1.7874875868917499E-2</v>
      </c>
      <c r="V90">
        <v>0</v>
      </c>
      <c r="W90">
        <v>0</v>
      </c>
      <c r="X90">
        <v>2.2539746822202798E-2</v>
      </c>
      <c r="Y90">
        <v>9.3766167744030002E-2</v>
      </c>
      <c r="Z90">
        <v>0.20005087721551101</v>
      </c>
      <c r="AA90">
        <v>0</v>
      </c>
      <c r="AB90">
        <v>1.833299919962883E-2</v>
      </c>
      <c r="AC90">
        <v>1.0550000006332989E-3</v>
      </c>
      <c r="AD90">
        <v>2.7661999687552449E-2</v>
      </c>
      <c r="AE90">
        <v>1.5999999595806E-3</v>
      </c>
      <c r="AF90">
        <f>0.16*X90 + 0.28*Y90 + 0.28*Z90 + 0.28*AA90</f>
        <v>8.5875132080223932E-2</v>
      </c>
      <c r="AG90">
        <f t="shared" si="3"/>
        <v>1.1422039773315192E-2</v>
      </c>
      <c r="AH90">
        <f>IF(T90="IT_Admin", 0.25, IF(AND(T90="HR", AA90&gt;0.6), 0.25, IF(AND(T90="General", Z90&gt;0.7), 0.2, 0.1)))</f>
        <v>0.25</v>
      </c>
      <c r="AI90">
        <f>IF(V90&gt;0.7, 0.1,
 IF(F90&gt;0.5, 0.08,
 IF(E90&gt;0.5, 0.05,
 0)))</f>
        <v>0</v>
      </c>
      <c r="AJ90">
        <f t="shared" si="4"/>
        <v>3.3757967465387811E-2</v>
      </c>
      <c r="AK90">
        <f t="shared" si="5"/>
        <v>4.2197459331734764E-2</v>
      </c>
      <c r="AL90" t="str">
        <f>IF(MAX(X90, Y90, Z90, AA90)&gt;0.9,
 "Critical",
 IF(AK90&lt;=0.2,"Very Low",
 IF(AK90&lt;=0.4,"Low",
 IF(AK90&lt;=0.6,"Medium",
 IF(AK90&lt;=0.8,"High","Critical")))))</f>
        <v>Very Low</v>
      </c>
      <c r="AM90" t="str">
        <f>IF(MAX(X90:AA90)&gt;0.9,"CRITICAL ALERT",
 IF(AK90&gt;0.8,"CRITICAL ALERT",
 IF(AK90&gt;0.6,"ALERT",
 IF(AK90&gt;=0.4,"REVIEW","NO ACTION"))))</f>
        <v>NO ACTION</v>
      </c>
      <c r="AN90" t="str">
        <f>IF(AM90="NO ACTION","",
 IF(_xlfn.TEXTJOIN(", ", TRUE,
  IF(X90&gt;0.7,"Login anomaly",""),
  IF(Y90&gt;0.7,"File anomaly",""),
  IF(Z90&gt;0.7,"Network anomaly",""),
  IF(AA90&gt;0.7,"USB anomaly","")
 )="",
 "General anomaly detected",
 _xlfn.TEXTJOIN(", ", TRUE,
  IF(X90&gt;0.7,"Login anomaly",""),
  IF(Y90&gt;0.7,"File anomaly",""),
  IF(Z90&gt;0.7,"Network anomaly",""),
  IF(AA90&gt;0.7,"USB anomaly","")
 )))</f>
        <v/>
      </c>
    </row>
    <row r="91" spans="1:40" x14ac:dyDescent="0.3">
      <c r="A91" t="s">
        <v>114</v>
      </c>
      <c r="B91">
        <v>0.26540642722117203</v>
      </c>
      <c r="C91">
        <v>0.72022033040813205</v>
      </c>
      <c r="D91">
        <v>0.38818962965238701</v>
      </c>
      <c r="E91">
        <v>0</v>
      </c>
      <c r="F91">
        <v>0</v>
      </c>
      <c r="G91">
        <v>0.40899837662698502</v>
      </c>
      <c r="H91">
        <v>7</v>
      </c>
      <c r="I91">
        <v>16</v>
      </c>
      <c r="J91">
        <v>0.51848671342016095</v>
      </c>
      <c r="K91">
        <v>1.71288743882544E-2</v>
      </c>
      <c r="L91">
        <v>8.4347082822907801E-3</v>
      </c>
      <c r="M91">
        <v>4.9062049062049001E-3</v>
      </c>
      <c r="N91">
        <v>5.7157084104568698E-3</v>
      </c>
      <c r="O91">
        <v>1148</v>
      </c>
      <c r="P91">
        <v>0.39092312008978602</v>
      </c>
      <c r="Q91">
        <v>0.39100248956835698</v>
      </c>
      <c r="R91">
        <v>0.38348082595870198</v>
      </c>
      <c r="S91">
        <v>1</v>
      </c>
      <c r="T91" t="s">
        <v>24</v>
      </c>
      <c r="U91">
        <v>1.98113207547169E-2</v>
      </c>
      <c r="V91">
        <v>0</v>
      </c>
      <c r="W91">
        <v>0</v>
      </c>
      <c r="X91">
        <v>0.116456888895716</v>
      </c>
      <c r="Y91">
        <v>0.109629409348314</v>
      </c>
      <c r="Z91">
        <v>0.236840155418054</v>
      </c>
      <c r="AA91">
        <v>0.38348082595870198</v>
      </c>
      <c r="AB91">
        <v>4.4821001589298248E-2</v>
      </c>
      <c r="AC91">
        <v>1.5679999487474561E-3</v>
      </c>
      <c r="AD91">
        <v>5.1885999739170068E-2</v>
      </c>
      <c r="AE91">
        <v>0.147709995508194</v>
      </c>
      <c r="AF91">
        <f>0.16*X91 + 0.28*Y91 + 0.28*Z91 + 0.28*AA91</f>
        <v>0.22301921162633417</v>
      </c>
      <c r="AG91">
        <f t="shared" si="3"/>
        <v>6.3497278909198956E-2</v>
      </c>
      <c r="AH91">
        <f>IF(T91="IT_Admin", 0.25, IF(AND(T91="HR", AA91&gt;0.6), 0.25, IF(AND(T91="General", Z91&gt;0.7), 0.2, 0.1)))</f>
        <v>0.25</v>
      </c>
      <c r="AI91">
        <f>IF(V91&gt;0.7, 0.1,
 IF(F91&gt;0.5, 0.08,
 IF(E91&gt;0.5, 0.05,
 0)))</f>
        <v>0</v>
      </c>
      <c r="AJ91">
        <f t="shared" si="4"/>
        <v>0.11135385872433952</v>
      </c>
      <c r="AK91">
        <f t="shared" si="5"/>
        <v>0.1391923234054244</v>
      </c>
      <c r="AL91" t="str">
        <f>IF(MAX(X91, Y91, Z91, AA91)&gt;0.9,
 "Critical",
 IF(AK91&lt;=0.2,"Very Low",
 IF(AK91&lt;=0.4,"Low",
 IF(AK91&lt;=0.6,"Medium",
 IF(AK91&lt;=0.8,"High","Critical")))))</f>
        <v>Very Low</v>
      </c>
      <c r="AM91" t="str">
        <f>IF(MAX(X91:AA91)&gt;0.9,"CRITICAL ALERT",
 IF(AK91&gt;0.8,"CRITICAL ALERT",
 IF(AK91&gt;0.6,"ALERT",
 IF(AK91&gt;=0.4,"REVIEW","NO ACTION"))))</f>
        <v>NO ACTION</v>
      </c>
      <c r="AN91" t="str">
        <f>IF(AM91="NO ACTION","",
 IF(_xlfn.TEXTJOIN(", ", TRUE,
  IF(X91&gt;0.7,"Login anomaly",""),
  IF(Y91&gt;0.7,"File anomaly",""),
  IF(Z91&gt;0.7,"Network anomaly",""),
  IF(AA91&gt;0.7,"USB anomaly","")
 )="",
 "General anomaly detected",
 _xlfn.TEXTJOIN(", ", TRUE,
  IF(X91&gt;0.7,"Login anomaly",""),
  IF(Y91&gt;0.7,"File anomaly",""),
  IF(Z91&gt;0.7,"Network anomaly",""),
  IF(AA91&gt;0.7,"USB anomaly","")
 )))</f>
        <v/>
      </c>
    </row>
    <row r="92" spans="1:40" x14ac:dyDescent="0.3">
      <c r="A92" t="s">
        <v>115</v>
      </c>
      <c r="B92">
        <v>0.900567107750472</v>
      </c>
      <c r="C92">
        <v>0.934902689776828</v>
      </c>
      <c r="D92">
        <v>0.99702093309169504</v>
      </c>
      <c r="E92">
        <v>0</v>
      </c>
      <c r="F92">
        <v>0.395641240569991</v>
      </c>
      <c r="G92">
        <v>1.6384702646370299E-2</v>
      </c>
      <c r="H92">
        <v>0</v>
      </c>
      <c r="I92">
        <v>23</v>
      </c>
      <c r="J92">
        <v>0.28161824340441699</v>
      </c>
      <c r="K92">
        <v>1.1419249592169599E-2</v>
      </c>
      <c r="L92">
        <v>1.03487455600708E-2</v>
      </c>
      <c r="M92">
        <v>4.3290043290043203E-3</v>
      </c>
      <c r="N92">
        <v>9.2815669999149995E-3</v>
      </c>
      <c r="O92">
        <v>680</v>
      </c>
      <c r="P92">
        <v>0.21405022446689101</v>
      </c>
      <c r="Q92">
        <v>0.21417300746870499</v>
      </c>
      <c r="R92">
        <v>0</v>
      </c>
      <c r="S92">
        <v>0</v>
      </c>
      <c r="T92" t="s">
        <v>24</v>
      </c>
      <c r="U92">
        <v>1.48584905660377E-2</v>
      </c>
      <c r="V92">
        <v>0</v>
      </c>
      <c r="W92">
        <v>0</v>
      </c>
      <c r="X92">
        <v>0.45736277615550502</v>
      </c>
      <c r="Y92">
        <v>6.4282491560893398E-2</v>
      </c>
      <c r="Z92">
        <v>0.13214276148010001</v>
      </c>
      <c r="AA92">
        <v>0</v>
      </c>
      <c r="AB92">
        <v>0.90583598613739014</v>
      </c>
      <c r="AC92">
        <v>4.4199998956173658E-4</v>
      </c>
      <c r="AD92">
        <v>4.8279999755322933E-3</v>
      </c>
      <c r="AE92">
        <v>1.888200081884861E-2</v>
      </c>
      <c r="AF92">
        <f>0.16*X92 + 0.28*Y92 + 0.28*Z92 + 0.28*AA92</f>
        <v>0.12817711503635898</v>
      </c>
      <c r="AG92">
        <f t="shared" si="3"/>
        <v>0.15169631800148634</v>
      </c>
      <c r="AH92">
        <f>IF(T92="IT_Admin", 0.25, IF(AND(T92="HR", AA92&gt;0.6), 0.25, IF(AND(T92="General", Z92&gt;0.7), 0.2, 0.1)))</f>
        <v>0.25</v>
      </c>
      <c r="AI92">
        <f>IF(V92&gt;0.7, 0.1,
 IF(F92&gt;0.5, 0.08,
 IF(E92&gt;0.5, 0.05,
 0)))</f>
        <v>0</v>
      </c>
      <c r="AJ92">
        <f t="shared" si="4"/>
        <v>0.14464055711194812</v>
      </c>
      <c r="AK92">
        <f t="shared" si="5"/>
        <v>0.18080069638993515</v>
      </c>
      <c r="AL92" t="str">
        <f>IF(MAX(X92, Y92, Z92, AA92)&gt;0.9,
 "Critical",
 IF(AK92&lt;=0.2,"Very Low",
 IF(AK92&lt;=0.4,"Low",
 IF(AK92&lt;=0.6,"Medium",
 IF(AK92&lt;=0.8,"High","Critical")))))</f>
        <v>Very Low</v>
      </c>
      <c r="AM92" t="str">
        <f>IF(MAX(X92:AA92)&gt;0.9,"CRITICAL ALERT",
 IF(AK92&gt;0.8,"CRITICAL ALERT",
 IF(AK92&gt;0.6,"ALERT",
 IF(AK92&gt;=0.4,"REVIEW","NO ACTION"))))</f>
        <v>NO ACTION</v>
      </c>
      <c r="AN92" t="str">
        <f>IF(AM92="NO ACTION","",
 IF(_xlfn.TEXTJOIN(", ", TRUE,
  IF(X92&gt;0.7,"Login anomaly",""),
  IF(Y92&gt;0.7,"File anomaly",""),
  IF(Z92&gt;0.7,"Network anomaly",""),
  IF(AA92&gt;0.7,"USB anomaly","")
 )="",
 "General anomaly detected",
 _xlfn.TEXTJOIN(", ", TRUE,
  IF(X92&gt;0.7,"Login anomaly",""),
  IF(Y92&gt;0.7,"File anomaly",""),
  IF(Z92&gt;0.7,"Network anomaly",""),
  IF(AA92&gt;0.7,"USB anomaly","")
 )))</f>
        <v/>
      </c>
    </row>
    <row r="93" spans="1:40" x14ac:dyDescent="0.3">
      <c r="A93" t="s">
        <v>116</v>
      </c>
      <c r="B93">
        <v>0.12892249527410199</v>
      </c>
      <c r="C93">
        <v>0.36953165208440503</v>
      </c>
      <c r="D93">
        <v>0</v>
      </c>
      <c r="E93">
        <v>0</v>
      </c>
      <c r="F93">
        <v>0</v>
      </c>
      <c r="G93">
        <v>0.99366743427897397</v>
      </c>
      <c r="H93">
        <v>8</v>
      </c>
      <c r="I93">
        <v>8</v>
      </c>
      <c r="J93">
        <v>0.499833023233624</v>
      </c>
      <c r="K93">
        <v>2.1207177814029299E-2</v>
      </c>
      <c r="L93">
        <v>1.0832516340879301E-2</v>
      </c>
      <c r="M93">
        <v>6.3492063492063397E-3</v>
      </c>
      <c r="N93">
        <v>7.67271482783789E-3</v>
      </c>
      <c r="O93">
        <v>1067</v>
      </c>
      <c r="P93">
        <v>0.37966470258136897</v>
      </c>
      <c r="Q93">
        <v>0.379746835443038</v>
      </c>
      <c r="R93">
        <v>0</v>
      </c>
      <c r="S93">
        <v>0</v>
      </c>
      <c r="T93" t="s">
        <v>24</v>
      </c>
      <c r="U93">
        <v>1.9196062346185299E-2</v>
      </c>
      <c r="V93">
        <v>0</v>
      </c>
      <c r="W93">
        <v>0</v>
      </c>
      <c r="X93">
        <v>0</v>
      </c>
      <c r="Y93">
        <v>0.10768467726551501</v>
      </c>
      <c r="Z93">
        <v>0.230867907479956</v>
      </c>
      <c r="AA93">
        <v>0</v>
      </c>
      <c r="AB93">
        <v>2.4693999439477921E-2</v>
      </c>
      <c r="AC93">
        <v>1.5399999683722849E-3</v>
      </c>
      <c r="AD93">
        <v>4.5380000025033951E-2</v>
      </c>
      <c r="AE93">
        <v>1.1769999982789161E-3</v>
      </c>
      <c r="AF93">
        <f>0.16*X93 + 0.28*Y93 + 0.28*Z93 + 0.28*AA93</f>
        <v>9.4794723728731892E-2</v>
      </c>
      <c r="AG93">
        <f t="shared" si="3"/>
        <v>1.7418199907988312E-2</v>
      </c>
      <c r="AH93">
        <f>IF(T93="IT_Admin", 0.25, IF(AND(T93="HR", AA93&gt;0.6), 0.25, IF(AND(T93="General", Z93&gt;0.7), 0.2, 0.1)))</f>
        <v>0.25</v>
      </c>
      <c r="AI93">
        <f>IF(V93&gt;0.7, 0.1,
 IF(F93&gt;0.5, 0.08,
 IF(E93&gt;0.5, 0.05,
 0)))</f>
        <v>0</v>
      </c>
      <c r="AJ93">
        <f t="shared" si="4"/>
        <v>4.0631157054211386E-2</v>
      </c>
      <c r="AK93">
        <f t="shared" si="5"/>
        <v>5.0788946317764233E-2</v>
      </c>
      <c r="AL93" t="str">
        <f>IF(MAX(X93, Y93, Z93, AA93)&gt;0.9,
 "Critical",
 IF(AK93&lt;=0.2,"Very Low",
 IF(AK93&lt;=0.4,"Low",
 IF(AK93&lt;=0.6,"Medium",
 IF(AK93&lt;=0.8,"High","Critical")))))</f>
        <v>Very Low</v>
      </c>
      <c r="AM93" t="str">
        <f>IF(MAX(X93:AA93)&gt;0.9,"CRITICAL ALERT",
 IF(AK93&gt;0.8,"CRITICAL ALERT",
 IF(AK93&gt;0.6,"ALERT",
 IF(AK93&gt;=0.4,"REVIEW","NO ACTION"))))</f>
        <v>NO ACTION</v>
      </c>
      <c r="AN93" t="str">
        <f>IF(AM93="NO ACTION","",
 IF(_xlfn.TEXTJOIN(", ", TRUE,
  IF(X93&gt;0.7,"Login anomaly",""),
  IF(Y93&gt;0.7,"File anomaly",""),
  IF(Z93&gt;0.7,"Network anomaly",""),
  IF(AA93&gt;0.7,"USB anomaly","")
 )="",
 "General anomaly detected",
 _xlfn.TEXTJOIN(", ", TRUE,
  IF(X93&gt;0.7,"Login anomaly",""),
  IF(Y93&gt;0.7,"File anomaly",""),
  IF(Z93&gt;0.7,"Network anomaly",""),
  IF(AA93&gt;0.7,"USB anomaly","")
 )))</f>
        <v/>
      </c>
    </row>
    <row r="94" spans="1:40" x14ac:dyDescent="0.3">
      <c r="A94" t="s">
        <v>117</v>
      </c>
      <c r="B94">
        <v>0.14933837429111499</v>
      </c>
      <c r="C94">
        <v>0.29775545399783498</v>
      </c>
      <c r="D94">
        <v>0.26599863640391402</v>
      </c>
      <c r="E94">
        <v>0</v>
      </c>
      <c r="F94">
        <v>0</v>
      </c>
      <c r="G94">
        <v>0.83866852466205799</v>
      </c>
      <c r="H94">
        <v>7</v>
      </c>
      <c r="I94">
        <v>15</v>
      </c>
      <c r="J94">
        <v>0.47492963121988402</v>
      </c>
      <c r="K94">
        <v>1.6313213703099499E-2</v>
      </c>
      <c r="L94">
        <v>8.7694189284134305E-3</v>
      </c>
      <c r="M94">
        <v>6.9264069264069203E-3</v>
      </c>
      <c r="N94">
        <v>8.8089153149394101E-3</v>
      </c>
      <c r="O94">
        <v>1073</v>
      </c>
      <c r="P94">
        <v>0.35953282828282801</v>
      </c>
      <c r="Q94">
        <v>0.35961990252112602</v>
      </c>
      <c r="R94">
        <v>0</v>
      </c>
      <c r="S94">
        <v>0</v>
      </c>
      <c r="T94" t="s">
        <v>24</v>
      </c>
      <c r="U94">
        <v>1.3584905660377299E-2</v>
      </c>
      <c r="V94">
        <v>0</v>
      </c>
      <c r="W94">
        <v>0</v>
      </c>
      <c r="X94">
        <v>7.9799590921174404E-2</v>
      </c>
      <c r="Y94">
        <v>0.102013310302665</v>
      </c>
      <c r="Z94">
        <v>0.21924326309567199</v>
      </c>
      <c r="AA94">
        <v>0</v>
      </c>
      <c r="AB94">
        <v>7.3770000599324703E-3</v>
      </c>
      <c r="AC94">
        <v>1.3849999522790311E-3</v>
      </c>
      <c r="AD94">
        <v>3.8130998611450202E-2</v>
      </c>
      <c r="AE94">
        <v>2.9249999206513171E-3</v>
      </c>
      <c r="AF94">
        <f>0.16*X94 + 0.28*Y94 + 0.28*Z94 + 0.28*AA94</f>
        <v>0.10271977509892227</v>
      </c>
      <c r="AG94">
        <f t="shared" si="3"/>
        <v>1.3063799585215752E-2</v>
      </c>
      <c r="AH94">
        <f>IF(T94="IT_Admin", 0.25, IF(AND(T94="HR", AA94&gt;0.6), 0.25, IF(AND(T94="General", Z94&gt;0.7), 0.2, 0.1)))</f>
        <v>0.25</v>
      </c>
      <c r="AI94">
        <f>IF(V94&gt;0.7, 0.1,
 IF(F94&gt;0.5, 0.08,
 IF(E94&gt;0.5, 0.05,
 0)))</f>
        <v>0</v>
      </c>
      <c r="AJ94">
        <f t="shared" si="4"/>
        <v>3.9960592239327707E-2</v>
      </c>
      <c r="AK94">
        <f t="shared" si="5"/>
        <v>4.9950740299159635E-2</v>
      </c>
      <c r="AL94" t="str">
        <f>IF(MAX(X94, Y94, Z94, AA94)&gt;0.9,
 "Critical",
 IF(AK94&lt;=0.2,"Very Low",
 IF(AK94&lt;=0.4,"Low",
 IF(AK94&lt;=0.6,"Medium",
 IF(AK94&lt;=0.8,"High","Critical")))))</f>
        <v>Very Low</v>
      </c>
      <c r="AM94" t="str">
        <f>IF(MAX(X94:AA94)&gt;0.9,"CRITICAL ALERT",
 IF(AK94&gt;0.8,"CRITICAL ALERT",
 IF(AK94&gt;0.6,"ALERT",
 IF(AK94&gt;=0.4,"REVIEW","NO ACTION"))))</f>
        <v>NO ACTION</v>
      </c>
      <c r="AN94" t="str">
        <f>IF(AM94="NO ACTION","",
 IF(_xlfn.TEXTJOIN(", ", TRUE,
  IF(X94&gt;0.7,"Login anomaly",""),
  IF(Y94&gt;0.7,"File anomaly",""),
  IF(Z94&gt;0.7,"Network anomaly",""),
  IF(AA94&gt;0.7,"USB anomaly","")
 )="",
 "General anomaly detected",
 _xlfn.TEXTJOIN(", ", TRUE,
  IF(X94&gt;0.7,"Login anomaly",""),
  IF(Y94&gt;0.7,"File anomaly",""),
  IF(Z94&gt;0.7,"Network anomaly",""),
  IF(AA94&gt;0.7,"USB anomaly","")
 )))</f>
        <v/>
      </c>
    </row>
    <row r="95" spans="1:40" x14ac:dyDescent="0.3">
      <c r="A95" t="s">
        <v>118</v>
      </c>
      <c r="B95">
        <v>0.27221172022684298</v>
      </c>
      <c r="C95">
        <v>0.64540438406178202</v>
      </c>
      <c r="D95">
        <v>0.52118535117810505</v>
      </c>
      <c r="E95">
        <v>0.125844076120319</v>
      </c>
      <c r="F95">
        <v>5.6629834254143599E-2</v>
      </c>
      <c r="G95">
        <v>0.395144129429987</v>
      </c>
      <c r="H95">
        <v>0</v>
      </c>
      <c r="I95">
        <v>23</v>
      </c>
      <c r="J95">
        <v>0.439148895567959</v>
      </c>
      <c r="K95">
        <v>1.7944535073409401E-2</v>
      </c>
      <c r="L95">
        <v>1.04318950900866E-2</v>
      </c>
      <c r="M95">
        <v>6.3492063492063397E-3</v>
      </c>
      <c r="N95">
        <v>8.7323992209985598E-3</v>
      </c>
      <c r="O95">
        <v>1038</v>
      </c>
      <c r="P95">
        <v>0.333648989898989</v>
      </c>
      <c r="Q95">
        <v>0.333742417335811</v>
      </c>
      <c r="R95">
        <v>4.1297935103244802E-2</v>
      </c>
      <c r="S95">
        <v>1</v>
      </c>
      <c r="T95" t="s">
        <v>24</v>
      </c>
      <c r="U95">
        <v>1.6242821985233798E-2</v>
      </c>
      <c r="V95">
        <v>0</v>
      </c>
      <c r="W95">
        <v>1.9278481727393298E-2</v>
      </c>
      <c r="X95">
        <v>0.21676076189118401</v>
      </c>
      <c r="Y95">
        <v>9.56654464249347E-2</v>
      </c>
      <c r="Z95">
        <v>0.20368235362779299</v>
      </c>
      <c r="AA95">
        <v>4.1297935103244802E-2</v>
      </c>
      <c r="AB95">
        <v>0.16634200513362879</v>
      </c>
      <c r="AC95">
        <v>1.0829999810084701E-3</v>
      </c>
      <c r="AD95">
        <v>3.1394999474287033E-2</v>
      </c>
      <c r="AE95">
        <v>6.3623003661632538E-2</v>
      </c>
      <c r="AF95">
        <f>0.16*X95 + 0.28*Y95 + 0.28*Z95 + 0.28*AA95</f>
        <v>0.13006252774626176</v>
      </c>
      <c r="AG95">
        <f t="shared" si="3"/>
        <v>5.3523001694120456E-2</v>
      </c>
      <c r="AH95">
        <f>IF(T95="IT_Admin", 0.25, IF(AND(T95="HR", AA95&gt;0.6), 0.25, IF(AND(T95="General", Z95&gt;0.7), 0.2, 0.1)))</f>
        <v>0.25</v>
      </c>
      <c r="AI95">
        <f>IF(V95&gt;0.7, 0.1,
 IF(F95&gt;0.5, 0.08,
 IF(E95&gt;0.5, 0.05,
 0)))</f>
        <v>0</v>
      </c>
      <c r="AJ95">
        <f t="shared" si="4"/>
        <v>7.6484859509762845E-2</v>
      </c>
      <c r="AK95">
        <f t="shared" si="5"/>
        <v>9.560607438720356E-2</v>
      </c>
      <c r="AL95" t="str">
        <f>IF(MAX(X95, Y95, Z95, AA95)&gt;0.9,
 "Critical",
 IF(AK95&lt;=0.2,"Very Low",
 IF(AK95&lt;=0.4,"Low",
 IF(AK95&lt;=0.6,"Medium",
 IF(AK95&lt;=0.8,"High","Critical")))))</f>
        <v>Very Low</v>
      </c>
      <c r="AM95" t="str">
        <f>IF(MAX(X95:AA95)&gt;0.9,"CRITICAL ALERT",
 IF(AK95&gt;0.8,"CRITICAL ALERT",
 IF(AK95&gt;0.6,"ALERT",
 IF(AK95&gt;=0.4,"REVIEW","NO ACTION"))))</f>
        <v>NO ACTION</v>
      </c>
      <c r="AN95" t="str">
        <f>IF(AM95="NO ACTION","",
 IF(_xlfn.TEXTJOIN(", ", TRUE,
  IF(X95&gt;0.7,"Login anomaly",""),
  IF(Y95&gt;0.7,"File anomaly",""),
  IF(Z95&gt;0.7,"Network anomaly",""),
  IF(AA95&gt;0.7,"USB anomaly","")
 )="",
 "General anomaly detected",
 _xlfn.TEXTJOIN(", ", TRUE,
  IF(X95&gt;0.7,"Login anomaly",""),
  IF(Y95&gt;0.7,"File anomaly",""),
  IF(Z95&gt;0.7,"Network anomaly",""),
  IF(AA95&gt;0.7,"USB anomaly","")
 )))</f>
        <v/>
      </c>
    </row>
    <row r="96" spans="1:40" x14ac:dyDescent="0.3">
      <c r="A96" t="s">
        <v>119</v>
      </c>
      <c r="B96">
        <v>0.12892249527410199</v>
      </c>
      <c r="C96">
        <v>0.18476582604220201</v>
      </c>
      <c r="D96">
        <v>0</v>
      </c>
      <c r="E96">
        <v>0</v>
      </c>
      <c r="F96">
        <v>0</v>
      </c>
      <c r="G96">
        <v>0.99364610440800705</v>
      </c>
      <c r="H96">
        <v>7</v>
      </c>
      <c r="I96">
        <v>7</v>
      </c>
      <c r="J96">
        <v>0.43848098850245598</v>
      </c>
      <c r="K96">
        <v>1.30505709624796E-2</v>
      </c>
      <c r="L96">
        <v>7.5983829949541398E-3</v>
      </c>
      <c r="M96">
        <v>7.2150072150072098E-3</v>
      </c>
      <c r="N96">
        <v>9.9382879939643697E-3</v>
      </c>
      <c r="O96">
        <v>989</v>
      </c>
      <c r="P96">
        <v>0.33147446689113302</v>
      </c>
      <c r="Q96">
        <v>0.33156842806550002</v>
      </c>
      <c r="R96">
        <v>0</v>
      </c>
      <c r="S96">
        <v>0</v>
      </c>
      <c r="T96" t="s">
        <v>24</v>
      </c>
      <c r="U96">
        <v>1.04499274310595E-2</v>
      </c>
      <c r="V96">
        <v>0</v>
      </c>
      <c r="W96">
        <v>0</v>
      </c>
      <c r="X96">
        <v>0</v>
      </c>
      <c r="Y96">
        <v>9.4476875596157694E-2</v>
      </c>
      <c r="Z96">
        <v>0.20285999533226501</v>
      </c>
      <c r="AA96">
        <v>0</v>
      </c>
      <c r="AB96">
        <v>3.6575999110937119E-2</v>
      </c>
      <c r="AC96">
        <v>1.210000016726553E-3</v>
      </c>
      <c r="AD96">
        <v>2.8735000640153881E-2</v>
      </c>
      <c r="AE96">
        <v>1.3010000111535189E-3</v>
      </c>
      <c r="AF96">
        <f>0.16*X96 + 0.28*Y96 + 0.28*Z96 + 0.28*AA96</f>
        <v>8.325432385995836E-2</v>
      </c>
      <c r="AG96">
        <f t="shared" si="3"/>
        <v>1.4601040044799448E-2</v>
      </c>
      <c r="AH96">
        <f>IF(T96="IT_Admin", 0.25, IF(AND(T96="HR", AA96&gt;0.6), 0.25, IF(AND(T96="General", Z96&gt;0.7), 0.2, 0.1)))</f>
        <v>0.25</v>
      </c>
      <c r="AI96">
        <f>IF(V96&gt;0.7, 0.1,
 IF(F96&gt;0.5, 0.08,
 IF(E96&gt;0.5, 0.05,
 0)))</f>
        <v>0</v>
      </c>
      <c r="AJ96">
        <f t="shared" si="4"/>
        <v>3.5197025189347121E-2</v>
      </c>
      <c r="AK96">
        <f t="shared" si="5"/>
        <v>4.39962814866839E-2</v>
      </c>
      <c r="AL96" t="str">
        <f>IF(MAX(X96, Y96, Z96, AA96)&gt;0.9,
 "Critical",
 IF(AK96&lt;=0.2,"Very Low",
 IF(AK96&lt;=0.4,"Low",
 IF(AK96&lt;=0.6,"Medium",
 IF(AK96&lt;=0.8,"High","Critical")))))</f>
        <v>Very Low</v>
      </c>
      <c r="AM96" t="str">
        <f>IF(MAX(X96:AA96)&gt;0.9,"CRITICAL ALERT",
 IF(AK96&gt;0.8,"CRITICAL ALERT",
 IF(AK96&gt;0.6,"ALERT",
 IF(AK96&gt;=0.4,"REVIEW","NO ACTION"))))</f>
        <v>NO ACTION</v>
      </c>
      <c r="AN96" t="str">
        <f>IF(AM96="NO ACTION","",
 IF(_xlfn.TEXTJOIN(", ", TRUE,
  IF(X96&gt;0.7,"Login anomaly",""),
  IF(Y96&gt;0.7,"File anomaly",""),
  IF(Z96&gt;0.7,"Network anomaly",""),
  IF(AA96&gt;0.7,"USB anomaly","")
 )="",
 "General anomaly detected",
 _xlfn.TEXTJOIN(", ", TRUE,
  IF(X96&gt;0.7,"Login anomaly",""),
  IF(Y96&gt;0.7,"File anomaly",""),
  IF(Z96&gt;0.7,"Network anomaly",""),
  IF(AA96&gt;0.7,"USB anomaly","")
 )))</f>
        <v/>
      </c>
    </row>
    <row r="97" spans="1:40" x14ac:dyDescent="0.3">
      <c r="A97" t="s">
        <v>120</v>
      </c>
      <c r="B97">
        <v>0.12892249527410199</v>
      </c>
      <c r="C97">
        <v>0.27688096250382199</v>
      </c>
      <c r="D97">
        <v>7.5132489407342906E-2</v>
      </c>
      <c r="E97">
        <v>0</v>
      </c>
      <c r="F97">
        <v>0</v>
      </c>
      <c r="G97">
        <v>0.99368111001807602</v>
      </c>
      <c r="H97">
        <v>7</v>
      </c>
      <c r="I97">
        <v>8</v>
      </c>
      <c r="J97">
        <v>0.50059634559419797</v>
      </c>
      <c r="K97">
        <v>2.2022838499184301E-2</v>
      </c>
      <c r="L97">
        <v>1.12320067547577E-2</v>
      </c>
      <c r="M97">
        <v>4.3290043290043203E-3</v>
      </c>
      <c r="N97">
        <v>5.2234233030575101E-3</v>
      </c>
      <c r="O97">
        <v>1143</v>
      </c>
      <c r="P97">
        <v>0.37959455667788999</v>
      </c>
      <c r="Q97">
        <v>0.37967670675689802</v>
      </c>
      <c r="R97">
        <v>0</v>
      </c>
      <c r="S97">
        <v>0</v>
      </c>
      <c r="T97" t="s">
        <v>24</v>
      </c>
      <c r="U97">
        <v>2.8655660377358401E-2</v>
      </c>
      <c r="V97">
        <v>0</v>
      </c>
      <c r="W97">
        <v>0</v>
      </c>
      <c r="X97">
        <v>2.2539746822202798E-2</v>
      </c>
      <c r="Y97">
        <v>0.107302299487135</v>
      </c>
      <c r="Z97">
        <v>0.22984610332795699</v>
      </c>
      <c r="AA97">
        <v>0</v>
      </c>
      <c r="AB97">
        <v>1.8378999084234241E-2</v>
      </c>
      <c r="AC97">
        <v>1.4540000120177869E-3</v>
      </c>
      <c r="AD97">
        <v>4.5145999640226357E-2</v>
      </c>
      <c r="AE97">
        <v>1.2829999905079601E-3</v>
      </c>
      <c r="AF97">
        <f>0.16*X97 + 0.28*Y97 + 0.28*Z97 + 0.28*AA97</f>
        <v>9.8007912279778217E-2</v>
      </c>
      <c r="AG97">
        <f t="shared" si="3"/>
        <v>1.634787975344807E-2</v>
      </c>
      <c r="AH97">
        <f>IF(T97="IT_Admin", 0.25, IF(AND(T97="HR", AA97&gt;0.6), 0.25, IF(AND(T97="General", Z97&gt;0.7), 0.2, 0.1)))</f>
        <v>0.25</v>
      </c>
      <c r="AI97">
        <f>IF(V97&gt;0.7, 0.1,
 IF(F97&gt;0.5, 0.08,
 IF(E97&gt;0.5, 0.05,
 0)))</f>
        <v>0</v>
      </c>
      <c r="AJ97">
        <f t="shared" si="4"/>
        <v>4.0845889511347114E-2</v>
      </c>
      <c r="AK97">
        <f t="shared" si="5"/>
        <v>5.1057361889183889E-2</v>
      </c>
      <c r="AL97" t="str">
        <f>IF(MAX(X97, Y97, Z97, AA97)&gt;0.9,
 "Critical",
 IF(AK97&lt;=0.2,"Very Low",
 IF(AK97&lt;=0.4,"Low",
 IF(AK97&lt;=0.6,"Medium",
 IF(AK97&lt;=0.8,"High","Critical")))))</f>
        <v>Very Low</v>
      </c>
      <c r="AM97" t="str">
        <f>IF(MAX(X97:AA97)&gt;0.9,"CRITICAL ALERT",
 IF(AK97&gt;0.8,"CRITICAL ALERT",
 IF(AK97&gt;0.6,"ALERT",
 IF(AK97&gt;=0.4,"REVIEW","NO ACTION"))))</f>
        <v>NO ACTION</v>
      </c>
      <c r="AN97" t="str">
        <f>IF(AM97="NO ACTION","",
 IF(_xlfn.TEXTJOIN(", ", TRUE,
  IF(X97&gt;0.7,"Login anomaly",""),
  IF(Y97&gt;0.7,"File anomaly",""),
  IF(Z97&gt;0.7,"Network anomaly",""),
  IF(AA97&gt;0.7,"USB anomaly","")
 )="",
 "General anomaly detected",
 _xlfn.TEXTJOIN(", ", TRUE,
  IF(X97&gt;0.7,"Login anomaly",""),
  IF(Y97&gt;0.7,"File anomaly",""),
  IF(Z97&gt;0.7,"Network anomaly",""),
  IF(AA97&gt;0.7,"USB anomaly","")
 )))</f>
        <v/>
      </c>
    </row>
    <row r="98" spans="1:40" x14ac:dyDescent="0.3">
      <c r="A98" t="s">
        <v>121</v>
      </c>
      <c r="B98">
        <v>0.12892249527410199</v>
      </c>
      <c r="C98">
        <v>0.28491425928826603</v>
      </c>
      <c r="D98">
        <v>7.4866899962459793E-2</v>
      </c>
      <c r="E98">
        <v>0</v>
      </c>
      <c r="F98">
        <v>0</v>
      </c>
      <c r="G98">
        <v>0.99367318825922302</v>
      </c>
      <c r="H98">
        <v>7</v>
      </c>
      <c r="I98">
        <v>8</v>
      </c>
      <c r="J98">
        <v>0.60407423309956498</v>
      </c>
      <c r="K98">
        <v>0.16231647634584001</v>
      </c>
      <c r="L98">
        <v>6.8608743557561205E-2</v>
      </c>
      <c r="M98">
        <v>1</v>
      </c>
      <c r="N98">
        <v>1</v>
      </c>
      <c r="O98">
        <v>1345</v>
      </c>
      <c r="P98">
        <v>1</v>
      </c>
      <c r="Q98">
        <v>0.99992987131386002</v>
      </c>
      <c r="R98">
        <v>0</v>
      </c>
      <c r="S98">
        <v>0</v>
      </c>
      <c r="T98" t="s">
        <v>24</v>
      </c>
      <c r="U98">
        <v>9.7496978736839803E-4</v>
      </c>
      <c r="V98">
        <v>0</v>
      </c>
      <c r="W98">
        <v>0</v>
      </c>
      <c r="X98">
        <v>2.24600699887379E-2</v>
      </c>
      <c r="Y98">
        <v>0.45511921839869302</v>
      </c>
      <c r="Z98">
        <v>1</v>
      </c>
      <c r="AA98">
        <v>0</v>
      </c>
      <c r="AB98">
        <v>2.0390000194311138E-2</v>
      </c>
      <c r="AC98">
        <v>1</v>
      </c>
      <c r="AD98">
        <v>1</v>
      </c>
      <c r="AE98">
        <v>1.26100005581975E-3</v>
      </c>
      <c r="AF98">
        <f>0.16*X98 + 0.28*Y98 + 0.28*Z98 + 0.28*AA98</f>
        <v>0.41102699234983214</v>
      </c>
      <c r="AG98">
        <f t="shared" si="3"/>
        <v>0.56361548004671935</v>
      </c>
      <c r="AH98">
        <f>IF(T98="IT_Admin", 0.25, IF(AND(T98="HR", AA98&gt;0.6), 0.25, IF(AND(T98="General", Z98&gt;0.7), 0.2, 0.1)))</f>
        <v>0.25</v>
      </c>
      <c r="AI98">
        <f>IF(V98&gt;0.7, 0.1,
 IF(F98&gt;0.5, 0.08,
 IF(E98&gt;0.5, 0.05,
 0)))</f>
        <v>0</v>
      </c>
      <c r="AJ98">
        <f t="shared" si="4"/>
        <v>0.51783893373765311</v>
      </c>
      <c r="AK98">
        <f t="shared" si="5"/>
        <v>0.64729866717206641</v>
      </c>
      <c r="AL98" t="str">
        <f>IF(MAX(X98, Y98, Z98, AA98)&gt;0.9,
 "Critical",
 IF(AK98&lt;=0.2,"Very Low",
 IF(AK98&lt;=0.4,"Low",
 IF(AK98&lt;=0.6,"Medium",
 IF(AK98&lt;=0.8,"High","Critical")))))</f>
        <v>Critical</v>
      </c>
      <c r="AM98" t="str">
        <f>IF(MAX(X98:AA98)&gt;0.9,"CRITICAL ALERT",
 IF(AK98&gt;0.8,"CRITICAL ALERT",
 IF(AK98&gt;0.6,"ALERT",
 IF(AK98&gt;=0.4,"REVIEW","NO ACTION"))))</f>
        <v>CRITICAL ALERT</v>
      </c>
      <c r="AN98" t="str">
        <f>IF(AM98="NO ACTION","",
 IF(_xlfn.TEXTJOIN(", ", TRUE,
  IF(X98&gt;0.7,"Login anomaly",""),
  IF(Y98&gt;0.7,"File anomaly",""),
  IF(Z98&gt;0.7,"Network anomaly",""),
  IF(AA98&gt;0.7,"USB anomaly","")
 )="",
 "General anomaly detected",
 _xlfn.TEXTJOIN(", ", TRUE,
  IF(X98&gt;0.7,"Login anomaly",""),
  IF(Y98&gt;0.7,"File anomaly",""),
  IF(Z98&gt;0.7,"Network anomaly",""),
  IF(AA98&gt;0.7,"USB anomaly","")
 )))</f>
        <v>Network anomaly</v>
      </c>
    </row>
    <row r="99" spans="1:40" x14ac:dyDescent="0.3">
      <c r="A99" t="s">
        <v>122</v>
      </c>
      <c r="B99">
        <v>0.24763705103969699</v>
      </c>
      <c r="C99">
        <v>0.76878284523174401</v>
      </c>
      <c r="D99">
        <v>0.36683902814998998</v>
      </c>
      <c r="E99">
        <v>0</v>
      </c>
      <c r="F99">
        <v>0</v>
      </c>
      <c r="G99">
        <v>0.44857661126624399</v>
      </c>
      <c r="H99">
        <v>8</v>
      </c>
      <c r="I99">
        <v>17</v>
      </c>
      <c r="J99">
        <v>0.52158771050999397</v>
      </c>
      <c r="K99">
        <v>2.8548123980424101E-2</v>
      </c>
      <c r="L99">
        <v>1.3974307178848599E-2</v>
      </c>
      <c r="M99">
        <v>7.7922077922077896E-3</v>
      </c>
      <c r="N99">
        <v>9.0239436920731397E-3</v>
      </c>
      <c r="O99">
        <v>1180</v>
      </c>
      <c r="P99">
        <v>0.39951599326599302</v>
      </c>
      <c r="Q99">
        <v>0.399593253620393</v>
      </c>
      <c r="R99">
        <v>0.10176991150442399</v>
      </c>
      <c r="S99">
        <v>1</v>
      </c>
      <c r="T99" t="s">
        <v>24</v>
      </c>
      <c r="U99">
        <v>2.1226415094339601E-2</v>
      </c>
      <c r="V99">
        <v>0</v>
      </c>
      <c r="W99">
        <v>0</v>
      </c>
      <c r="X99">
        <v>0.110051708444997</v>
      </c>
      <c r="Y99">
        <v>0.11401187879904499</v>
      </c>
      <c r="Z99">
        <v>0.24331917343642501</v>
      </c>
      <c r="AA99">
        <v>0.10176991150442399</v>
      </c>
      <c r="AB99">
        <v>4.9591999500989907E-2</v>
      </c>
      <c r="AC99">
        <v>1.7679999582469459E-3</v>
      </c>
      <c r="AD99">
        <v>5.4855000227689743E-2</v>
      </c>
      <c r="AE99">
        <v>6.1680000275373459E-2</v>
      </c>
      <c r="AF99">
        <f>0.16*X99 + 0.28*Y99 + 0.28*Z99 + 0.28*AA99</f>
        <v>0.14615654319836985</v>
      </c>
      <c r="AG99">
        <f t="shared" si="3"/>
        <v>4.1059560049325233E-2</v>
      </c>
      <c r="AH99">
        <f>IF(T99="IT_Admin", 0.25, IF(AND(T99="HR", AA99&gt;0.6), 0.25, IF(AND(T99="General", Z99&gt;0.7), 0.2, 0.1)))</f>
        <v>0.25</v>
      </c>
      <c r="AI99">
        <f>IF(V99&gt;0.7, 0.1,
 IF(F99&gt;0.5, 0.08,
 IF(E99&gt;0.5, 0.05,
 0)))</f>
        <v>0</v>
      </c>
      <c r="AJ99">
        <f t="shared" si="4"/>
        <v>7.2588654994038618E-2</v>
      </c>
      <c r="AK99">
        <f t="shared" si="5"/>
        <v>9.0735818742548269E-2</v>
      </c>
      <c r="AL99" t="str">
        <f>IF(MAX(X99, Y99, Z99, AA99)&gt;0.9,
 "Critical",
 IF(AK99&lt;=0.2,"Very Low",
 IF(AK99&lt;=0.4,"Low",
 IF(AK99&lt;=0.6,"Medium",
 IF(AK99&lt;=0.8,"High","Critical")))))</f>
        <v>Very Low</v>
      </c>
      <c r="AM99" t="str">
        <f>IF(MAX(X99:AA99)&gt;0.9,"CRITICAL ALERT",
 IF(AK99&gt;0.8,"CRITICAL ALERT",
 IF(AK99&gt;0.6,"ALERT",
 IF(AK99&gt;=0.4,"REVIEW","NO ACTION"))))</f>
        <v>NO ACTION</v>
      </c>
      <c r="AN99" t="str">
        <f>IF(AM99="NO ACTION","",
 IF(_xlfn.TEXTJOIN(", ", TRUE,
  IF(X99&gt;0.7,"Login anomaly",""),
  IF(Y99&gt;0.7,"File anomaly",""),
  IF(Z99&gt;0.7,"Network anomaly",""),
  IF(AA99&gt;0.7,"USB anomaly","")
 )="",
 "General anomaly detected",
 _xlfn.TEXTJOIN(", ", TRUE,
  IF(X99&gt;0.7,"Login anomaly",""),
  IF(Y99&gt;0.7,"File anomaly",""),
  IF(Z99&gt;0.7,"Network anomaly",""),
  IF(AA99&gt;0.7,"USB anomaly","")
 )))</f>
        <v/>
      </c>
    </row>
    <row r="100" spans="1:40" x14ac:dyDescent="0.3">
      <c r="A100" t="s">
        <v>123</v>
      </c>
      <c r="B100">
        <v>0.13119092627599199</v>
      </c>
      <c r="C100">
        <v>0.191082606419713</v>
      </c>
      <c r="D100">
        <v>0.18176213760722401</v>
      </c>
      <c r="E100">
        <v>0.12978790756568501</v>
      </c>
      <c r="F100">
        <v>1.7094017094016999E-2</v>
      </c>
      <c r="G100">
        <v>0.97409076339609602</v>
      </c>
      <c r="H100">
        <v>0</v>
      </c>
      <c r="I100">
        <v>22</v>
      </c>
      <c r="J100">
        <v>0.49821096321740299</v>
      </c>
      <c r="K100">
        <v>1.6313213703099499E-2</v>
      </c>
      <c r="L100">
        <v>8.3598212602409797E-3</v>
      </c>
      <c r="M100">
        <v>5.1948051948051896E-3</v>
      </c>
      <c r="N100">
        <v>6.2981046518565597E-3</v>
      </c>
      <c r="O100">
        <v>1134</v>
      </c>
      <c r="P100">
        <v>0.37580667789001099</v>
      </c>
      <c r="Q100">
        <v>0.37588975770538902</v>
      </c>
      <c r="R100">
        <v>0.77876106194690198</v>
      </c>
      <c r="S100">
        <v>1</v>
      </c>
      <c r="T100" t="s">
        <v>24</v>
      </c>
      <c r="U100">
        <v>1.7874875868917499E-2</v>
      </c>
      <c r="V100">
        <v>0</v>
      </c>
      <c r="W100">
        <v>4.6634298973492801E-3</v>
      </c>
      <c r="X100">
        <v>0.100302620389479</v>
      </c>
      <c r="Y100">
        <v>0.105711534669158</v>
      </c>
      <c r="Z100">
        <v>0.22800324859474899</v>
      </c>
      <c r="AA100">
        <v>0.77876106194690198</v>
      </c>
      <c r="AB100">
        <v>0.11665000021457669</v>
      </c>
      <c r="AC100">
        <v>1.4639999717473979E-3</v>
      </c>
      <c r="AD100">
        <v>4.6819999814033508E-2</v>
      </c>
      <c r="AE100">
        <v>0.59413701295852661</v>
      </c>
      <c r="AF100">
        <f>0.16*X100 + 0.28*Y100 + 0.28*Z100 + 0.28*AA100</f>
        <v>0.32754165592134321</v>
      </c>
      <c r="AG100">
        <f t="shared" si="3"/>
        <v>0.19854188360273839</v>
      </c>
      <c r="AH100">
        <f>IF(T100="IT_Admin", 0.25, IF(AND(T100="HR", AA100&gt;0.6), 0.25, IF(AND(T100="General", Z100&gt;0.7), 0.2, 0.1)))</f>
        <v>0.25</v>
      </c>
      <c r="AI100">
        <f>IF(V100&gt;0.7, 0.1,
 IF(F100&gt;0.5, 0.08,
 IF(E100&gt;0.5, 0.05,
 0)))</f>
        <v>0</v>
      </c>
      <c r="AJ100">
        <f t="shared" si="4"/>
        <v>0.23724181529831984</v>
      </c>
      <c r="AK100">
        <f t="shared" si="5"/>
        <v>0.29655226912289978</v>
      </c>
      <c r="AL100" t="str">
        <f>IF(MAX(X100, Y100, Z100, AA100)&gt;0.9,
 "Critical",
 IF(AK100&lt;=0.2,"Very Low",
 IF(AK100&lt;=0.4,"Low",
 IF(AK100&lt;=0.6,"Medium",
 IF(AK100&lt;=0.8,"High","Critical")))))</f>
        <v>Low</v>
      </c>
      <c r="AM100" t="str">
        <f>IF(MAX(X100:AA100)&gt;0.9,"CRITICAL ALERT",
 IF(AK100&gt;0.8,"CRITICAL ALERT",
 IF(AK100&gt;0.6,"ALERT",
 IF(AK100&gt;=0.4,"REVIEW","NO ACTION"))))</f>
        <v>NO ACTION</v>
      </c>
      <c r="AN100" t="str">
        <f>IF(AM100="NO ACTION","",
 IF(_xlfn.TEXTJOIN(", ", TRUE,
  IF(X100&gt;0.7,"Login anomaly",""),
  IF(Y100&gt;0.7,"File anomaly",""),
  IF(Z100&gt;0.7,"Network anomaly",""),
  IF(AA100&gt;0.7,"USB anomaly","")
 )="",
 "General anomaly detected",
 _xlfn.TEXTJOIN(", ", TRUE,
  IF(X100&gt;0.7,"Login anomaly",""),
  IF(Y100&gt;0.7,"File anomaly",""),
  IF(Z100&gt;0.7,"Network anomaly",""),
  IF(AA100&gt;0.7,"USB anomaly","")
 )))</f>
        <v/>
      </c>
    </row>
    <row r="101" spans="1:40" x14ac:dyDescent="0.3">
      <c r="A101" t="s">
        <v>124</v>
      </c>
      <c r="B101">
        <v>0.2351606805293</v>
      </c>
      <c r="C101">
        <v>0.66379926959890401</v>
      </c>
      <c r="D101">
        <v>0.36305962765025401</v>
      </c>
      <c r="E101">
        <v>0</v>
      </c>
      <c r="F101">
        <v>0</v>
      </c>
      <c r="G101">
        <v>0.48045884695871699</v>
      </c>
      <c r="H101">
        <v>7</v>
      </c>
      <c r="I101">
        <v>15</v>
      </c>
      <c r="J101">
        <v>0.498783454987834</v>
      </c>
      <c r="K101">
        <v>1.9575856443719401E-2</v>
      </c>
      <c r="L101">
        <v>1.00202767717397E-2</v>
      </c>
      <c r="M101">
        <v>7.2150072150072098E-3</v>
      </c>
      <c r="N101">
        <v>8.7373323510990808E-3</v>
      </c>
      <c r="O101">
        <v>1109</v>
      </c>
      <c r="P101">
        <v>0.37861251402918</v>
      </c>
      <c r="Q101">
        <v>0.378694905150952</v>
      </c>
      <c r="R101">
        <v>0</v>
      </c>
      <c r="S101">
        <v>0</v>
      </c>
      <c r="T101" t="s">
        <v>24</v>
      </c>
      <c r="U101">
        <v>1.5674891146589199E-2</v>
      </c>
      <c r="V101">
        <v>0</v>
      </c>
      <c r="W101">
        <v>0</v>
      </c>
      <c r="X101">
        <v>0.108917888295076</v>
      </c>
      <c r="Y101">
        <v>0.107388029088766</v>
      </c>
      <c r="Z101">
        <v>0.230662441357948</v>
      </c>
      <c r="AA101">
        <v>0</v>
      </c>
      <c r="AB101">
        <v>2.7047999203205109E-2</v>
      </c>
      <c r="AC101">
        <v>1.53200002387166E-3</v>
      </c>
      <c r="AD101">
        <v>4.5579999685287483E-2</v>
      </c>
      <c r="AE101">
        <v>5.5709998123347759E-3</v>
      </c>
      <c r="AF101">
        <f>0.16*X101 + 0.28*Y101 + 0.28*Z101 + 0.28*AA101</f>
        <v>0.11208099385229209</v>
      </c>
      <c r="AG101">
        <f t="shared" si="3"/>
        <v>1.9078919738531114E-2</v>
      </c>
      <c r="AH101">
        <f>IF(T101="IT_Admin", 0.25, IF(AND(T101="HR", AA101&gt;0.6), 0.25, IF(AND(T101="General", Z101&gt;0.7), 0.2, 0.1)))</f>
        <v>0.25</v>
      </c>
      <c r="AI101">
        <f>IF(V101&gt;0.7, 0.1,
 IF(F101&gt;0.5, 0.08,
 IF(E101&gt;0.5, 0.05,
 0)))</f>
        <v>0</v>
      </c>
      <c r="AJ101">
        <f t="shared" si="4"/>
        <v>4.6979541972659404E-2</v>
      </c>
      <c r="AK101">
        <f t="shared" si="5"/>
        <v>5.8724427465824257E-2</v>
      </c>
      <c r="AL101" t="str">
        <f>IF(MAX(X101, Y101, Z101, AA101)&gt;0.9,
 "Critical",
 IF(AK101&lt;=0.2,"Very Low",
 IF(AK101&lt;=0.4,"Low",
 IF(AK101&lt;=0.6,"Medium",
 IF(AK101&lt;=0.8,"High","Critical")))))</f>
        <v>Very Low</v>
      </c>
      <c r="AM101" t="str">
        <f>IF(MAX(X101:AA101)&gt;0.9,"CRITICAL ALERT",
 IF(AK101&gt;0.8,"CRITICAL ALERT",
 IF(AK101&gt;0.6,"ALERT",
 IF(AK101&gt;=0.4,"REVIEW","NO ACTION"))))</f>
        <v>NO ACTION</v>
      </c>
      <c r="AN101" t="str">
        <f>IF(AM101="NO ACTION","",
 IF(_xlfn.TEXTJOIN(", ", TRUE,
  IF(X101&gt;0.7,"Login anomaly",""),
  IF(Y101&gt;0.7,"File anomaly",""),
  IF(Z101&gt;0.7,"Network anomaly",""),
  IF(AA101&gt;0.7,"USB anomaly","")
 )="",
 "General anomaly detected",
 _xlfn.TEXTJOIN(", ", TRUE,
  IF(X101&gt;0.7,"Login anomaly",""),
  IF(Y101&gt;0.7,"File anomaly",""),
  IF(Z101&gt;0.7,"Network anomaly",""),
  IF(AA101&gt;0.7,"USB anomaly","")
 )))</f>
        <v/>
      </c>
    </row>
    <row r="102" spans="1:40" x14ac:dyDescent="0.3">
      <c r="A102" t="s">
        <v>125</v>
      </c>
      <c r="B102">
        <v>0.12892249527410199</v>
      </c>
      <c r="C102">
        <v>0.36953165208440503</v>
      </c>
      <c r="D102">
        <v>0</v>
      </c>
      <c r="E102">
        <v>0</v>
      </c>
      <c r="F102">
        <v>0</v>
      </c>
      <c r="G102">
        <v>0.99365964633361503</v>
      </c>
      <c r="H102">
        <v>8</v>
      </c>
      <c r="I102">
        <v>8</v>
      </c>
      <c r="J102">
        <v>0.44177281618243402</v>
      </c>
      <c r="K102">
        <v>1.2234910277324601E-2</v>
      </c>
      <c r="L102">
        <v>7.0704327463840602E-3</v>
      </c>
      <c r="M102">
        <v>4.6176046176046098E-3</v>
      </c>
      <c r="N102">
        <v>6.3131352068211202E-3</v>
      </c>
      <c r="O102">
        <v>1002</v>
      </c>
      <c r="P102">
        <v>0.33228114478114401</v>
      </c>
      <c r="Q102">
        <v>0.33237490795609897</v>
      </c>
      <c r="R102">
        <v>0</v>
      </c>
      <c r="S102">
        <v>0</v>
      </c>
      <c r="T102" t="s">
        <v>24</v>
      </c>
      <c r="U102">
        <v>1.4983351831298499E-2</v>
      </c>
      <c r="V102">
        <v>0</v>
      </c>
      <c r="W102">
        <v>0</v>
      </c>
      <c r="X102">
        <v>0</v>
      </c>
      <c r="Y102">
        <v>9.3783720171725093E-2</v>
      </c>
      <c r="Z102">
        <v>0.201893940951415</v>
      </c>
      <c r="AA102">
        <v>0</v>
      </c>
      <c r="AB102">
        <v>2.4629000574350361E-2</v>
      </c>
      <c r="AC102">
        <v>1.150000025518239E-3</v>
      </c>
      <c r="AD102">
        <v>2.8764000162482262E-2</v>
      </c>
      <c r="AE102">
        <v>1.310999970883131E-3</v>
      </c>
      <c r="AF102">
        <f>0.16*X102 + 0.28*Y102 + 0.28*Z102 + 0.28*AA102</f>
        <v>8.278974511447923E-2</v>
      </c>
      <c r="AG102">
        <f t="shared" si="3"/>
        <v>1.2683640136383477E-2</v>
      </c>
      <c r="AH102">
        <f>IF(T102="IT_Admin", 0.25, IF(AND(T102="HR", AA102&gt;0.6), 0.25, IF(AND(T102="General", Z102&gt;0.7), 0.2, 0.1)))</f>
        <v>0.25</v>
      </c>
      <c r="AI102">
        <f>IF(V102&gt;0.7, 0.1,
 IF(F102&gt;0.5, 0.08,
 IF(E102&gt;0.5, 0.05,
 0)))</f>
        <v>0</v>
      </c>
      <c r="AJ102">
        <f t="shared" si="4"/>
        <v>3.3715471629812199E-2</v>
      </c>
      <c r="AK102">
        <f t="shared" si="5"/>
        <v>4.2144339537265249E-2</v>
      </c>
      <c r="AL102" t="str">
        <f>IF(MAX(X102, Y102, Z102, AA102)&gt;0.9,
 "Critical",
 IF(AK102&lt;=0.2,"Very Low",
 IF(AK102&lt;=0.4,"Low",
 IF(AK102&lt;=0.6,"Medium",
 IF(AK102&lt;=0.8,"High","Critical")))))</f>
        <v>Very Low</v>
      </c>
      <c r="AM102" t="str">
        <f>IF(MAX(X102:AA102)&gt;0.9,"CRITICAL ALERT",
 IF(AK102&gt;0.8,"CRITICAL ALERT",
 IF(AK102&gt;0.6,"ALERT",
 IF(AK102&gt;=0.4,"REVIEW","NO ACTION"))))</f>
        <v>NO ACTION</v>
      </c>
      <c r="AN102" t="str">
        <f>IF(AM102="NO ACTION","",
 IF(_xlfn.TEXTJOIN(", ", TRUE,
  IF(X102&gt;0.7,"Login anomaly",""),
  IF(Y102&gt;0.7,"File anomaly",""),
  IF(Z102&gt;0.7,"Network anomaly",""),
  IF(AA102&gt;0.7,"USB anomaly","")
 )="",
 "General anomaly detected",
 _xlfn.TEXTJOIN(", ", TRUE,
  IF(X102&gt;0.7,"Login anomaly",""),
  IF(Y102&gt;0.7,"File anomaly",""),
  IF(Z102&gt;0.7,"Network anomaly",""),
  IF(AA102&gt;0.7,"USB anomaly","")
 )))</f>
        <v/>
      </c>
    </row>
    <row r="103" spans="1:40" x14ac:dyDescent="0.3">
      <c r="A103" t="s">
        <v>126</v>
      </c>
      <c r="B103">
        <v>0.12892249527410199</v>
      </c>
      <c r="C103">
        <v>0.36953165208440503</v>
      </c>
      <c r="D103">
        <v>0</v>
      </c>
      <c r="E103">
        <v>0</v>
      </c>
      <c r="F103">
        <v>0</v>
      </c>
      <c r="G103">
        <v>0.99368651608323999</v>
      </c>
      <c r="H103">
        <v>8</v>
      </c>
      <c r="I103">
        <v>8</v>
      </c>
      <c r="J103">
        <v>0.50474691092982205</v>
      </c>
      <c r="K103">
        <v>2.2838499184339299E-2</v>
      </c>
      <c r="L103">
        <v>1.15522699610578E-2</v>
      </c>
      <c r="M103">
        <v>5.1948051948051896E-3</v>
      </c>
      <c r="N103">
        <v>6.2165892680772199E-3</v>
      </c>
      <c r="O103">
        <v>1110</v>
      </c>
      <c r="P103">
        <v>0.38341750841750799</v>
      </c>
      <c r="Q103">
        <v>0.38349872015147701</v>
      </c>
      <c r="R103">
        <v>0</v>
      </c>
      <c r="S103">
        <v>0</v>
      </c>
      <c r="T103" t="s">
        <v>24</v>
      </c>
      <c r="U103">
        <v>2.5024826216484601E-2</v>
      </c>
      <c r="V103">
        <v>0</v>
      </c>
      <c r="W103">
        <v>0</v>
      </c>
      <c r="X103">
        <v>0</v>
      </c>
      <c r="Y103">
        <v>0.108590493946916</v>
      </c>
      <c r="Z103">
        <v>0.23253714075773499</v>
      </c>
      <c r="AA103">
        <v>0</v>
      </c>
      <c r="AB103">
        <v>2.4712000042200089E-2</v>
      </c>
      <c r="AC103">
        <v>1.5310000162571671E-3</v>
      </c>
      <c r="AD103">
        <v>4.6732999384403229E-2</v>
      </c>
      <c r="AE103">
        <v>1.1569999624043701E-3</v>
      </c>
      <c r="AF103">
        <f>0.16*X103 + 0.28*Y103 + 0.28*Z103 + 0.28*AA103</f>
        <v>9.551573771730229E-2</v>
      </c>
      <c r="AG103">
        <f t="shared" si="3"/>
        <v>1.779179982841015E-2</v>
      </c>
      <c r="AH103">
        <f>IF(T103="IT_Admin", 0.25, IF(AND(T103="HR", AA103&gt;0.6), 0.25, IF(AND(T103="General", Z103&gt;0.7), 0.2, 0.1)))</f>
        <v>0.25</v>
      </c>
      <c r="AI103">
        <f>IF(V103&gt;0.7, 0.1,
 IF(F103&gt;0.5, 0.08,
 IF(E103&gt;0.5, 0.05,
 0)))</f>
        <v>0</v>
      </c>
      <c r="AJ103">
        <f t="shared" si="4"/>
        <v>4.110898119507779E-2</v>
      </c>
      <c r="AK103">
        <f t="shared" si="5"/>
        <v>5.1386226493847234E-2</v>
      </c>
      <c r="AL103" t="str">
        <f>IF(MAX(X103, Y103, Z103, AA103)&gt;0.9,
 "Critical",
 IF(AK103&lt;=0.2,"Very Low",
 IF(AK103&lt;=0.4,"Low",
 IF(AK103&lt;=0.6,"Medium",
 IF(AK103&lt;=0.8,"High","Critical")))))</f>
        <v>Very Low</v>
      </c>
      <c r="AM103" t="str">
        <f>IF(MAX(X103:AA103)&gt;0.9,"CRITICAL ALERT",
 IF(AK103&gt;0.8,"CRITICAL ALERT",
 IF(AK103&gt;0.6,"ALERT",
 IF(AK103&gt;=0.4,"REVIEW","NO ACTION"))))</f>
        <v>NO ACTION</v>
      </c>
      <c r="AN103" t="str">
        <f>IF(AM103="NO ACTION","",
 IF(_xlfn.TEXTJOIN(", ", TRUE,
  IF(X103&gt;0.7,"Login anomaly",""),
  IF(Y103&gt;0.7,"File anomaly",""),
  IF(Z103&gt;0.7,"Network anomaly",""),
  IF(AA103&gt;0.7,"USB anomaly","")
 )="",
 "General anomaly detected",
 _xlfn.TEXTJOIN(", ", TRUE,
  IF(X103&gt;0.7,"Login anomaly",""),
  IF(Y103&gt;0.7,"File anomaly",""),
  IF(Z103&gt;0.7,"Network anomaly",""),
  IF(AA103&gt;0.7,"USB anomaly","")
 )))</f>
        <v/>
      </c>
    </row>
    <row r="104" spans="1:40" x14ac:dyDescent="0.3">
      <c r="A104" t="s">
        <v>127</v>
      </c>
      <c r="B104">
        <v>0.139130434782608</v>
      </c>
      <c r="C104">
        <v>0.34767762964930599</v>
      </c>
      <c r="D104">
        <v>0.22154488846098699</v>
      </c>
      <c r="E104">
        <v>0</v>
      </c>
      <c r="F104">
        <v>0</v>
      </c>
      <c r="G104">
        <v>0.91054743646468606</v>
      </c>
      <c r="H104">
        <v>7</v>
      </c>
      <c r="I104">
        <v>16</v>
      </c>
      <c r="J104">
        <v>0.48561614426792599</v>
      </c>
      <c r="K104">
        <v>1.71288743882544E-2</v>
      </c>
      <c r="L104">
        <v>9.0053596969115902E-3</v>
      </c>
      <c r="M104">
        <v>4.6176046176046098E-3</v>
      </c>
      <c r="N104">
        <v>5.7434404645716501E-3</v>
      </c>
      <c r="O104">
        <v>1086</v>
      </c>
      <c r="P104">
        <v>0.366617564534231</v>
      </c>
      <c r="Q104">
        <v>0.36670289982117099</v>
      </c>
      <c r="R104">
        <v>0.38053097345132703</v>
      </c>
      <c r="S104">
        <v>1</v>
      </c>
      <c r="T104" t="s">
        <v>24</v>
      </c>
      <c r="U104">
        <v>2.09766925638179E-2</v>
      </c>
      <c r="V104">
        <v>0</v>
      </c>
      <c r="W104">
        <v>0</v>
      </c>
      <c r="X104">
        <v>6.6463466538296295E-2</v>
      </c>
      <c r="Y104">
        <v>0.103348940841412</v>
      </c>
      <c r="Z104">
        <v>0.22226791490636699</v>
      </c>
      <c r="AA104">
        <v>0.38053097345132703</v>
      </c>
      <c r="AB104">
        <v>8.8969999924302101E-3</v>
      </c>
      <c r="AC104">
        <v>1.2969999806955461E-3</v>
      </c>
      <c r="AD104">
        <v>4.17339988052845E-2</v>
      </c>
      <c r="AE104">
        <v>0.15221099555492401</v>
      </c>
      <c r="AF104">
        <f>0.16*X104 + 0.28*Y104 + 0.28*Z104 + 0.28*AA104</f>
        <v>0.2083555468218771</v>
      </c>
      <c r="AG104">
        <f t="shared" si="3"/>
        <v>5.6091278414241975E-2</v>
      </c>
      <c r="AH104">
        <f>IF(T104="IT_Admin", 0.25, IF(AND(T104="HR", AA104&gt;0.6), 0.25, IF(AND(T104="General", Z104&gt;0.7), 0.2, 0.1)))</f>
        <v>0.25</v>
      </c>
      <c r="AI104">
        <f>IF(V104&gt;0.7, 0.1,
 IF(F104&gt;0.5, 0.08,
 IF(E104&gt;0.5, 0.05,
 0)))</f>
        <v>0</v>
      </c>
      <c r="AJ104">
        <f t="shared" si="4"/>
        <v>0.10177055893653252</v>
      </c>
      <c r="AK104">
        <f t="shared" si="5"/>
        <v>0.12721319867066563</v>
      </c>
      <c r="AL104" t="str">
        <f>IF(MAX(X104, Y104, Z104, AA104)&gt;0.9,
 "Critical",
 IF(AK104&lt;=0.2,"Very Low",
 IF(AK104&lt;=0.4,"Low",
 IF(AK104&lt;=0.6,"Medium",
 IF(AK104&lt;=0.8,"High","Critical")))))</f>
        <v>Very Low</v>
      </c>
      <c r="AM104" t="str">
        <f>IF(MAX(X104:AA104)&gt;0.9,"CRITICAL ALERT",
 IF(AK104&gt;0.8,"CRITICAL ALERT",
 IF(AK104&gt;0.6,"ALERT",
 IF(AK104&gt;=0.4,"REVIEW","NO ACTION"))))</f>
        <v>NO ACTION</v>
      </c>
      <c r="AN104" t="str">
        <f>IF(AM104="NO ACTION","",
 IF(_xlfn.TEXTJOIN(", ", TRUE,
  IF(X104&gt;0.7,"Login anomaly",""),
  IF(Y104&gt;0.7,"File anomaly",""),
  IF(Z104&gt;0.7,"Network anomaly",""),
  IF(AA104&gt;0.7,"USB anomaly","")
 )="",
 "General anomaly detected",
 _xlfn.TEXTJOIN(", ", TRUE,
  IF(X104&gt;0.7,"Login anomaly",""),
  IF(Y104&gt;0.7,"File anomaly",""),
  IF(Z104&gt;0.7,"Network anomaly",""),
  IF(AA104&gt;0.7,"USB anomaly","")
 )))</f>
        <v/>
      </c>
    </row>
    <row r="105" spans="1:40" x14ac:dyDescent="0.3">
      <c r="A105" t="s">
        <v>128</v>
      </c>
      <c r="B105">
        <v>0.12892249527410199</v>
      </c>
      <c r="C105">
        <v>0.27580985626589599</v>
      </c>
      <c r="D105">
        <v>7.5124914167671697E-2</v>
      </c>
      <c r="E105">
        <v>0</v>
      </c>
      <c r="F105">
        <v>0</v>
      </c>
      <c r="G105">
        <v>0.99368301016969296</v>
      </c>
      <c r="H105">
        <v>7</v>
      </c>
      <c r="I105">
        <v>8</v>
      </c>
      <c r="J105">
        <v>0.50035780735651902</v>
      </c>
      <c r="K105">
        <v>2.0391517128874301E-2</v>
      </c>
      <c r="L105">
        <v>1.04049619421278E-2</v>
      </c>
      <c r="M105">
        <v>5.4834054834054799E-3</v>
      </c>
      <c r="N105">
        <v>6.6194889219762902E-3</v>
      </c>
      <c r="O105">
        <v>1087</v>
      </c>
      <c r="P105">
        <v>0.37927890011223298</v>
      </c>
      <c r="Q105">
        <v>0.37936112766927299</v>
      </c>
      <c r="R105">
        <v>0</v>
      </c>
      <c r="S105">
        <v>0</v>
      </c>
      <c r="T105" t="s">
        <v>24</v>
      </c>
      <c r="U105">
        <v>2.1226415094339601E-2</v>
      </c>
      <c r="V105">
        <v>0</v>
      </c>
      <c r="W105">
        <v>0</v>
      </c>
      <c r="X105">
        <v>2.25374742503015E-2</v>
      </c>
      <c r="Y105">
        <v>0.10725988911896001</v>
      </c>
      <c r="Z105">
        <v>0.23021513563613</v>
      </c>
      <c r="AA105">
        <v>0</v>
      </c>
      <c r="AB105">
        <v>1.8435999751091E-2</v>
      </c>
      <c r="AC105">
        <v>1.50400004349649E-3</v>
      </c>
      <c r="AD105">
        <v>4.5127999037504203E-2</v>
      </c>
      <c r="AE105">
        <v>1.304000033996999E-3</v>
      </c>
      <c r="AF105">
        <f>0.16*X105 + 0.28*Y105 + 0.28*Z105 + 0.28*AA105</f>
        <v>9.8099002811473462E-2</v>
      </c>
      <c r="AG105">
        <f t="shared" si="3"/>
        <v>1.6371839712373916E-2</v>
      </c>
      <c r="AH105">
        <f>IF(T105="IT_Admin", 0.25, IF(AND(T105="HR", AA105&gt;0.6), 0.25, IF(AND(T105="General", Z105&gt;0.7), 0.2, 0.1)))</f>
        <v>0.25</v>
      </c>
      <c r="AI105">
        <f>IF(V105&gt;0.7, 0.1,
 IF(F105&gt;0.5, 0.08,
 IF(E105&gt;0.5, 0.05,
 0)))</f>
        <v>0</v>
      </c>
      <c r="AJ105">
        <f t="shared" si="4"/>
        <v>4.0889988642103775E-2</v>
      </c>
      <c r="AK105">
        <f t="shared" si="5"/>
        <v>5.1112485802629719E-2</v>
      </c>
      <c r="AL105" t="str">
        <f>IF(MAX(X105, Y105, Z105, AA105)&gt;0.9,
 "Critical",
 IF(AK105&lt;=0.2,"Very Low",
 IF(AK105&lt;=0.4,"Low",
 IF(AK105&lt;=0.6,"Medium",
 IF(AK105&lt;=0.8,"High","Critical")))))</f>
        <v>Very Low</v>
      </c>
      <c r="AM105" t="str">
        <f>IF(MAX(X105:AA105)&gt;0.9,"CRITICAL ALERT",
 IF(AK105&gt;0.8,"CRITICAL ALERT",
 IF(AK105&gt;0.6,"ALERT",
 IF(AK105&gt;=0.4,"REVIEW","NO ACTION"))))</f>
        <v>NO ACTION</v>
      </c>
      <c r="AN105" t="str">
        <f>IF(AM105="NO ACTION","",
 IF(_xlfn.TEXTJOIN(", ", TRUE,
  IF(X105&gt;0.7,"Login anomaly",""),
  IF(Y105&gt;0.7,"File anomaly",""),
  IF(Z105&gt;0.7,"Network anomaly",""),
  IF(AA105&gt;0.7,"USB anomaly","")
 )="",
 "General anomaly detected",
 _xlfn.TEXTJOIN(", ", TRUE,
  IF(X105&gt;0.7,"Login anomaly",""),
  IF(Y105&gt;0.7,"File anomaly",""),
  IF(Z105&gt;0.7,"Network anomaly",""),
  IF(AA105&gt;0.7,"USB anomaly","")
 )))</f>
        <v/>
      </c>
    </row>
    <row r="106" spans="1:40" x14ac:dyDescent="0.3">
      <c r="A106" t="s">
        <v>129</v>
      </c>
      <c r="B106">
        <v>0.12892249527410199</v>
      </c>
      <c r="C106">
        <v>0.18476582604220201</v>
      </c>
      <c r="D106">
        <v>0</v>
      </c>
      <c r="E106">
        <v>0</v>
      </c>
      <c r="F106">
        <v>0</v>
      </c>
      <c r="G106">
        <v>0.99369665914609595</v>
      </c>
      <c r="H106">
        <v>7</v>
      </c>
      <c r="I106">
        <v>7</v>
      </c>
      <c r="J106">
        <v>0.49663661084871902</v>
      </c>
      <c r="K106">
        <v>2.2022838499184301E-2</v>
      </c>
      <c r="L106">
        <v>1.1321517706331901E-2</v>
      </c>
      <c r="M106">
        <v>6.9264069264069203E-3</v>
      </c>
      <c r="N106">
        <v>8.42408032038372E-3</v>
      </c>
      <c r="O106">
        <v>1133</v>
      </c>
      <c r="P106">
        <v>0.37794612794612797</v>
      </c>
      <c r="Q106">
        <v>0.37802868263263001</v>
      </c>
      <c r="R106">
        <v>0</v>
      </c>
      <c r="S106">
        <v>0</v>
      </c>
      <c r="T106" t="s">
        <v>24</v>
      </c>
      <c r="U106">
        <v>1.8339622641509401E-2</v>
      </c>
      <c r="V106">
        <v>0</v>
      </c>
      <c r="W106">
        <v>0</v>
      </c>
      <c r="X106">
        <v>0</v>
      </c>
      <c r="Y106">
        <v>0.107515305119024</v>
      </c>
      <c r="Z106">
        <v>0.23013730889583001</v>
      </c>
      <c r="AA106">
        <v>0</v>
      </c>
      <c r="AB106">
        <v>3.6646001040935523E-2</v>
      </c>
      <c r="AC106">
        <v>1.536999945528805E-3</v>
      </c>
      <c r="AD106">
        <v>4.4771000742912292E-2</v>
      </c>
      <c r="AE106">
        <v>1.201999955810606E-3</v>
      </c>
      <c r="AF106">
        <f>0.16*X106 + 0.28*Y106 + 0.28*Z106 + 0.28*AA106</f>
        <v>9.4542731924159129E-2</v>
      </c>
      <c r="AG106">
        <f t="shared" si="3"/>
        <v>1.9166160346940162E-2</v>
      </c>
      <c r="AH106">
        <f>IF(T106="IT_Admin", 0.25, IF(AND(T106="HR", AA106&gt;0.6), 0.25, IF(AND(T106="General", Z106&gt;0.7), 0.2, 0.1)))</f>
        <v>0.25</v>
      </c>
      <c r="AI106">
        <f>IF(V106&gt;0.7, 0.1,
 IF(F106&gt;0.5, 0.08,
 IF(E106&gt;0.5, 0.05,
 0)))</f>
        <v>0</v>
      </c>
      <c r="AJ106">
        <f t="shared" si="4"/>
        <v>4.1779131820105848E-2</v>
      </c>
      <c r="AK106">
        <f t="shared" si="5"/>
        <v>5.2223914775132309E-2</v>
      </c>
      <c r="AL106" t="str">
        <f>IF(MAX(X106, Y106, Z106, AA106)&gt;0.9,
 "Critical",
 IF(AK106&lt;=0.2,"Very Low",
 IF(AK106&lt;=0.4,"Low",
 IF(AK106&lt;=0.6,"Medium",
 IF(AK106&lt;=0.8,"High","Critical")))))</f>
        <v>Very Low</v>
      </c>
      <c r="AM106" t="str">
        <f>IF(MAX(X106:AA106)&gt;0.9,"CRITICAL ALERT",
 IF(AK106&gt;0.8,"CRITICAL ALERT",
 IF(AK106&gt;0.6,"ALERT",
 IF(AK106&gt;=0.4,"REVIEW","NO ACTION"))))</f>
        <v>NO ACTION</v>
      </c>
      <c r="AN106" t="str">
        <f>IF(AM106="NO ACTION","",
 IF(_xlfn.TEXTJOIN(", ", TRUE,
  IF(X106&gt;0.7,"Login anomaly",""),
  IF(Y106&gt;0.7,"File anomaly",""),
  IF(Z106&gt;0.7,"Network anomaly",""),
  IF(AA106&gt;0.7,"USB anomaly","")
 )="",
 "General anomaly detected",
 _xlfn.TEXTJOIN(", ", TRUE,
  IF(X106&gt;0.7,"Login anomaly",""),
  IF(Y106&gt;0.7,"File anomaly",""),
  IF(Z106&gt;0.7,"Network anomaly",""),
  IF(AA106&gt;0.7,"USB anomaly","")
 )))</f>
        <v/>
      </c>
    </row>
    <row r="107" spans="1:40" x14ac:dyDescent="0.3">
      <c r="A107" t="s">
        <v>130</v>
      </c>
      <c r="B107">
        <v>0.12892249527410199</v>
      </c>
      <c r="C107">
        <v>0.28009428121759899</v>
      </c>
      <c r="D107">
        <v>7.50946055673926E-2</v>
      </c>
      <c r="E107">
        <v>0</v>
      </c>
      <c r="F107">
        <v>0</v>
      </c>
      <c r="G107">
        <v>0.99369007552218402</v>
      </c>
      <c r="H107">
        <v>7</v>
      </c>
      <c r="I107">
        <v>8</v>
      </c>
      <c r="J107">
        <v>0.49988073088115997</v>
      </c>
      <c r="K107">
        <v>1.7944535073409401E-2</v>
      </c>
      <c r="L107">
        <v>9.1651009996849692E-3</v>
      </c>
      <c r="M107">
        <v>6.9264069264069203E-3</v>
      </c>
      <c r="N107">
        <v>8.3694358997230302E-3</v>
      </c>
      <c r="O107">
        <v>1110</v>
      </c>
      <c r="P107">
        <v>0.37857744107744101</v>
      </c>
      <c r="Q107">
        <v>0.37865984080788201</v>
      </c>
      <c r="R107">
        <v>0</v>
      </c>
      <c r="S107">
        <v>0</v>
      </c>
      <c r="T107" t="s">
        <v>24</v>
      </c>
      <c r="U107">
        <v>1.4943396226415001E-2</v>
      </c>
      <c r="V107">
        <v>0</v>
      </c>
      <c r="W107">
        <v>0</v>
      </c>
      <c r="X107">
        <v>2.2528381670217701E-2</v>
      </c>
      <c r="Y107">
        <v>0.10706952744599101</v>
      </c>
      <c r="Z107">
        <v>0.23049423900635299</v>
      </c>
      <c r="AA107">
        <v>0</v>
      </c>
      <c r="AB107">
        <v>1.8147999420762059E-2</v>
      </c>
      <c r="AC107">
        <v>1.5729999868199229E-3</v>
      </c>
      <c r="AD107">
        <v>4.4994000345468521E-2</v>
      </c>
      <c r="AE107">
        <v>1.298999995924532E-3</v>
      </c>
      <c r="AF107">
        <f>0.16*X107 + 0.28*Y107 + 0.28*Z107 + 0.28*AA107</f>
        <v>9.8122395673891152E-2</v>
      </c>
      <c r="AG107">
        <f t="shared" si="3"/>
        <v>1.6306159999221564E-2</v>
      </c>
      <c r="AH107">
        <f>IF(T107="IT_Admin", 0.25, IF(AND(T107="HR", AA107&gt;0.6), 0.25, IF(AND(T107="General", Z107&gt;0.7), 0.2, 0.1)))</f>
        <v>0.25</v>
      </c>
      <c r="AI107">
        <f>IF(V107&gt;0.7, 0.1,
 IF(F107&gt;0.5, 0.08,
 IF(E107&gt;0.5, 0.05,
 0)))</f>
        <v>0</v>
      </c>
      <c r="AJ107">
        <f t="shared" si="4"/>
        <v>4.0851030701622437E-2</v>
      </c>
      <c r="AK107">
        <f t="shared" si="5"/>
        <v>5.1063788377028047E-2</v>
      </c>
      <c r="AL107" t="str">
        <f>IF(MAX(X107, Y107, Z107, AA107)&gt;0.9,
 "Critical",
 IF(AK107&lt;=0.2,"Very Low",
 IF(AK107&lt;=0.4,"Low",
 IF(AK107&lt;=0.6,"Medium",
 IF(AK107&lt;=0.8,"High","Critical")))))</f>
        <v>Very Low</v>
      </c>
      <c r="AM107" t="str">
        <f>IF(MAX(X107:AA107)&gt;0.9,"CRITICAL ALERT",
 IF(AK107&gt;0.8,"CRITICAL ALERT",
 IF(AK107&gt;0.6,"ALERT",
 IF(AK107&gt;=0.4,"REVIEW","NO ACTION"))))</f>
        <v>NO ACTION</v>
      </c>
      <c r="AN107" t="str">
        <f>IF(AM107="NO ACTION","",
 IF(_xlfn.TEXTJOIN(", ", TRUE,
  IF(X107&gt;0.7,"Login anomaly",""),
  IF(Y107&gt;0.7,"File anomaly",""),
  IF(Z107&gt;0.7,"Network anomaly",""),
  IF(AA107&gt;0.7,"USB anomaly","")
 )="",
 "General anomaly detected",
 _xlfn.TEXTJOIN(", ", TRUE,
  IF(X107&gt;0.7,"Login anomaly",""),
  IF(Y107&gt;0.7,"File anomaly",""),
  IF(Z107&gt;0.7,"Network anomaly",""),
  IF(AA107&gt;0.7,"USB anomaly","")
 )))</f>
        <v/>
      </c>
    </row>
    <row r="108" spans="1:40" x14ac:dyDescent="0.3">
      <c r="A108" t="s">
        <v>131</v>
      </c>
      <c r="B108">
        <v>0.16294896030245701</v>
      </c>
      <c r="C108">
        <v>0.50205334800432999</v>
      </c>
      <c r="D108">
        <v>0.46767706808943899</v>
      </c>
      <c r="E108">
        <v>0.31417624521072701</v>
      </c>
      <c r="F108">
        <v>8.2758620689655102E-2</v>
      </c>
      <c r="G108">
        <v>0.75679130751353996</v>
      </c>
      <c r="H108">
        <v>0</v>
      </c>
      <c r="I108">
        <v>23</v>
      </c>
      <c r="J108">
        <v>0.499594484995944</v>
      </c>
      <c r="K108">
        <v>1.71288743882544E-2</v>
      </c>
      <c r="L108">
        <v>8.7535156202488903E-3</v>
      </c>
      <c r="M108">
        <v>5.4834054834054799E-3</v>
      </c>
      <c r="N108">
        <v>6.6295979057265598E-3</v>
      </c>
      <c r="O108">
        <v>1151</v>
      </c>
      <c r="P108">
        <v>0.37731481481481399</v>
      </c>
      <c r="Q108">
        <v>0.37739752445737901</v>
      </c>
      <c r="R108">
        <v>0.44395280235988199</v>
      </c>
      <c r="S108">
        <v>1</v>
      </c>
      <c r="T108" t="s">
        <v>24</v>
      </c>
      <c r="U108">
        <v>1.7830188679245199E-2</v>
      </c>
      <c r="V108">
        <v>0</v>
      </c>
      <c r="W108">
        <v>2.36406863802208E-2</v>
      </c>
      <c r="X108">
        <v>0.26765944226591198</v>
      </c>
      <c r="Y108">
        <v>0.106284534181031</v>
      </c>
      <c r="Z108">
        <v>0.229040728051179</v>
      </c>
      <c r="AA108">
        <v>0.44395280235988199</v>
      </c>
      <c r="AB108">
        <v>0.17736400663852689</v>
      </c>
      <c r="AC108">
        <v>1.4969999901950359E-3</v>
      </c>
      <c r="AD108">
        <v>4.7781001776456833E-2</v>
      </c>
      <c r="AE108">
        <v>0.18029199540615079</v>
      </c>
      <c r="AF108">
        <f>0.16*X108 + 0.28*Y108 + 0.28*Z108 + 0.28*AA108</f>
        <v>0.26102336884833166</v>
      </c>
      <c r="AG108">
        <f t="shared" si="3"/>
        <v>9.2657840270549047E-2</v>
      </c>
      <c r="AH108">
        <f>IF(T108="IT_Admin", 0.25, IF(AND(T108="HR", AA108&gt;0.6), 0.25, IF(AND(T108="General", Z108&gt;0.7), 0.2, 0.1)))</f>
        <v>0.25</v>
      </c>
      <c r="AI108">
        <f>IF(V108&gt;0.7, 0.1,
 IF(F108&gt;0.5, 0.08,
 IF(E108&gt;0.5, 0.05,
 0)))</f>
        <v>0</v>
      </c>
      <c r="AJ108">
        <f t="shared" si="4"/>
        <v>0.14316749884388383</v>
      </c>
      <c r="AK108">
        <f t="shared" si="5"/>
        <v>0.17895937355485478</v>
      </c>
      <c r="AL108" t="str">
        <f>IF(MAX(X108, Y108, Z108, AA108)&gt;0.9,
 "Critical",
 IF(AK108&lt;=0.2,"Very Low",
 IF(AK108&lt;=0.4,"Low",
 IF(AK108&lt;=0.6,"Medium",
 IF(AK108&lt;=0.8,"High","Critical")))))</f>
        <v>Very Low</v>
      </c>
      <c r="AM108" t="str">
        <f>IF(MAX(X108:AA108)&gt;0.9,"CRITICAL ALERT",
 IF(AK108&gt;0.8,"CRITICAL ALERT",
 IF(AK108&gt;0.6,"ALERT",
 IF(AK108&gt;=0.4,"REVIEW","NO ACTION"))))</f>
        <v>NO ACTION</v>
      </c>
      <c r="AN108" t="str">
        <f>IF(AM108="NO ACTION","",
 IF(_xlfn.TEXTJOIN(", ", TRUE,
  IF(X108&gt;0.7,"Login anomaly",""),
  IF(Y108&gt;0.7,"File anomaly",""),
  IF(Z108&gt;0.7,"Network anomaly",""),
  IF(AA108&gt;0.7,"USB anomaly","")
 )="",
 "General anomaly detected",
 _xlfn.TEXTJOIN(", ", TRUE,
  IF(X108&gt;0.7,"Login anomaly",""),
  IF(Y108&gt;0.7,"File anomaly",""),
  IF(Z108&gt;0.7,"Network anomaly",""),
  IF(AA108&gt;0.7,"USB anomaly","")
 )))</f>
        <v/>
      </c>
    </row>
    <row r="109" spans="1:40" x14ac:dyDescent="0.3">
      <c r="A109" t="s">
        <v>132</v>
      </c>
      <c r="B109">
        <v>0.12892249527410199</v>
      </c>
      <c r="C109">
        <v>0.27634540938485902</v>
      </c>
      <c r="D109">
        <v>7.5129964412319103E-2</v>
      </c>
      <c r="E109">
        <v>0</v>
      </c>
      <c r="F109">
        <v>0</v>
      </c>
      <c r="G109">
        <v>0.99368919235312303</v>
      </c>
      <c r="H109">
        <v>7</v>
      </c>
      <c r="I109">
        <v>8</v>
      </c>
      <c r="J109">
        <v>0.49849720910261902</v>
      </c>
      <c r="K109">
        <v>1.30505709624796E-2</v>
      </c>
      <c r="L109">
        <v>6.6840185595559796E-3</v>
      </c>
      <c r="M109">
        <v>6.63780663780663E-3</v>
      </c>
      <c r="N109">
        <v>8.0429593151995996E-3</v>
      </c>
      <c r="O109">
        <v>1097</v>
      </c>
      <c r="P109">
        <v>0.37531565656565602</v>
      </c>
      <c r="Q109">
        <v>0.37539885690241498</v>
      </c>
      <c r="R109">
        <v>0</v>
      </c>
      <c r="S109">
        <v>0</v>
      </c>
      <c r="T109" t="s">
        <v>24</v>
      </c>
      <c r="U109">
        <v>1.13207547169811E-2</v>
      </c>
      <c r="V109">
        <v>0</v>
      </c>
      <c r="W109">
        <v>0</v>
      </c>
      <c r="X109">
        <v>2.2538989323695701E-2</v>
      </c>
      <c r="Y109">
        <v>0.105454338894861</v>
      </c>
      <c r="Z109">
        <v>0.22840657766547301</v>
      </c>
      <c r="AA109">
        <v>0</v>
      </c>
      <c r="AB109">
        <v>1.8386999145150181E-2</v>
      </c>
      <c r="AC109">
        <v>1.6049999976530669E-3</v>
      </c>
      <c r="AD109">
        <v>4.3705999851226807E-2</v>
      </c>
      <c r="AE109">
        <v>1.3379999436438079E-3</v>
      </c>
      <c r="AF109">
        <f>0.16*X109 + 0.28*Y109 + 0.28*Z109 + 0.28*AA109</f>
        <v>9.7087294928684842E-2</v>
      </c>
      <c r="AG109">
        <f t="shared" si="3"/>
        <v>1.600363980513066E-2</v>
      </c>
      <c r="AH109">
        <f>IF(T109="IT_Admin", 0.25, IF(AND(T109="HR", AA109&gt;0.6), 0.25, IF(AND(T109="General", Z109&gt;0.7), 0.2, 0.1)))</f>
        <v>0.25</v>
      </c>
      <c r="AI109">
        <f>IF(V109&gt;0.7, 0.1,
 IF(F109&gt;0.5, 0.08,
 IF(E109&gt;0.5, 0.05,
 0)))</f>
        <v>0</v>
      </c>
      <c r="AJ109">
        <f t="shared" si="4"/>
        <v>4.0328736342196914E-2</v>
      </c>
      <c r="AK109">
        <f t="shared" si="5"/>
        <v>5.0410920427746142E-2</v>
      </c>
      <c r="AL109" t="str">
        <f>IF(MAX(X109, Y109, Z109, AA109)&gt;0.9,
 "Critical",
 IF(AK109&lt;=0.2,"Very Low",
 IF(AK109&lt;=0.4,"Low",
 IF(AK109&lt;=0.6,"Medium",
 IF(AK109&lt;=0.8,"High","Critical")))))</f>
        <v>Very Low</v>
      </c>
      <c r="AM109" t="str">
        <f>IF(MAX(X109:AA109)&gt;0.9,"CRITICAL ALERT",
 IF(AK109&gt;0.8,"CRITICAL ALERT",
 IF(AK109&gt;0.6,"ALERT",
 IF(AK109&gt;=0.4,"REVIEW","NO ACTION"))))</f>
        <v>NO ACTION</v>
      </c>
      <c r="AN109" t="str">
        <f>IF(AM109="NO ACTION","",
 IF(_xlfn.TEXTJOIN(", ", TRUE,
  IF(X109&gt;0.7,"Login anomaly",""),
  IF(Y109&gt;0.7,"File anomaly",""),
  IF(Z109&gt;0.7,"Network anomaly",""),
  IF(AA109&gt;0.7,"USB anomaly","")
 )="",
 "General anomaly detected",
 _xlfn.TEXTJOIN(", ", TRUE,
  IF(X109&gt;0.7,"Login anomaly",""),
  IF(Y109&gt;0.7,"File anomaly",""),
  IF(Z109&gt;0.7,"Network anomaly",""),
  IF(AA109&gt;0.7,"USB anomaly","")
 )))</f>
        <v/>
      </c>
    </row>
    <row r="110" spans="1:40" x14ac:dyDescent="0.3">
      <c r="A110" t="s">
        <v>133</v>
      </c>
      <c r="B110">
        <v>0.12892249527410199</v>
      </c>
      <c r="C110">
        <v>0.36953165208440503</v>
      </c>
      <c r="D110">
        <v>0</v>
      </c>
      <c r="E110">
        <v>0</v>
      </c>
      <c r="F110">
        <v>0</v>
      </c>
      <c r="G110">
        <v>0.993670003498062</v>
      </c>
      <c r="H110">
        <v>8</v>
      </c>
      <c r="I110">
        <v>8</v>
      </c>
      <c r="J110">
        <v>0.50679833977386501</v>
      </c>
      <c r="K110">
        <v>1.6313213703099499E-2</v>
      </c>
      <c r="L110">
        <v>8.2182360300148503E-3</v>
      </c>
      <c r="M110">
        <v>8.6580086580086493E-3</v>
      </c>
      <c r="N110">
        <v>1.0319062445520799E-2</v>
      </c>
      <c r="O110">
        <v>1113</v>
      </c>
      <c r="P110">
        <v>0.38380331088664399</v>
      </c>
      <c r="Q110">
        <v>0.38388442792524202</v>
      </c>
      <c r="R110">
        <v>0</v>
      </c>
      <c r="S110">
        <v>0</v>
      </c>
      <c r="T110" t="s">
        <v>24</v>
      </c>
      <c r="U110">
        <v>1.09555690809494E-2</v>
      </c>
      <c r="V110">
        <v>0</v>
      </c>
      <c r="W110">
        <v>0</v>
      </c>
      <c r="X110">
        <v>0</v>
      </c>
      <c r="Y110">
        <v>0.108564504703436</v>
      </c>
      <c r="Z110">
        <v>0.23440961151019399</v>
      </c>
      <c r="AA110">
        <v>0</v>
      </c>
      <c r="AB110">
        <v>2.4697000160813332E-2</v>
      </c>
      <c r="AC110">
        <v>1.7049999441951509E-3</v>
      </c>
      <c r="AD110">
        <v>4.7214001417160027E-2</v>
      </c>
      <c r="AE110">
        <v>1.163000008091331E-3</v>
      </c>
      <c r="AF110">
        <f>0.16*X110 + 0.28*Y110 + 0.28*Z110 + 0.28*AA110</f>
        <v>9.6032752539816413E-2</v>
      </c>
      <c r="AG110">
        <f t="shared" si="3"/>
        <v>1.7974480409175157E-2</v>
      </c>
      <c r="AH110">
        <f>IF(T110="IT_Admin", 0.25, IF(AND(T110="HR", AA110&gt;0.6), 0.25, IF(AND(T110="General", Z110&gt;0.7), 0.2, 0.1)))</f>
        <v>0.25</v>
      </c>
      <c r="AI110">
        <f>IF(V110&gt;0.7, 0.1,
 IF(F110&gt;0.5, 0.08,
 IF(E110&gt;0.5, 0.05,
 0)))</f>
        <v>0</v>
      </c>
      <c r="AJ110">
        <f t="shared" si="4"/>
        <v>4.139196204836753E-2</v>
      </c>
      <c r="AK110">
        <f t="shared" si="5"/>
        <v>5.1739952560459414E-2</v>
      </c>
      <c r="AL110" t="str">
        <f>IF(MAX(X110, Y110, Z110, AA110)&gt;0.9,
 "Critical",
 IF(AK110&lt;=0.2,"Very Low",
 IF(AK110&lt;=0.4,"Low",
 IF(AK110&lt;=0.6,"Medium",
 IF(AK110&lt;=0.8,"High","Critical")))))</f>
        <v>Very Low</v>
      </c>
      <c r="AM110" t="str">
        <f>IF(MAX(X110:AA110)&gt;0.9,"CRITICAL ALERT",
 IF(AK110&gt;0.8,"CRITICAL ALERT",
 IF(AK110&gt;0.6,"ALERT",
 IF(AK110&gt;=0.4,"REVIEW","NO ACTION"))))</f>
        <v>NO ACTION</v>
      </c>
      <c r="AN110" t="str">
        <f>IF(AM110="NO ACTION","",
 IF(_xlfn.TEXTJOIN(", ", TRUE,
  IF(X110&gt;0.7,"Login anomaly",""),
  IF(Y110&gt;0.7,"File anomaly",""),
  IF(Z110&gt;0.7,"Network anomaly",""),
  IF(AA110&gt;0.7,"USB anomaly","")
 )="",
 "General anomaly detected",
 _xlfn.TEXTJOIN(", ", TRUE,
  IF(X110&gt;0.7,"Login anomaly",""),
  IF(Y110&gt;0.7,"File anomaly",""),
  IF(Z110&gt;0.7,"Network anomaly",""),
  IF(AA110&gt;0.7,"USB anomaly","")
 )))</f>
        <v/>
      </c>
    </row>
    <row r="111" spans="1:40" x14ac:dyDescent="0.3">
      <c r="A111" t="s">
        <v>134</v>
      </c>
      <c r="B111">
        <v>0.13497164461247599</v>
      </c>
      <c r="C111">
        <v>0.354177151305275</v>
      </c>
      <c r="D111">
        <v>0.280435645507493</v>
      </c>
      <c r="E111">
        <v>0</v>
      </c>
      <c r="F111">
        <v>0</v>
      </c>
      <c r="G111">
        <v>0.94290691363497903</v>
      </c>
      <c r="H111">
        <v>7</v>
      </c>
      <c r="I111">
        <v>19</v>
      </c>
      <c r="J111">
        <v>0.65555078479080198</v>
      </c>
      <c r="K111">
        <v>2.4469820554649201E-2</v>
      </c>
      <c r="L111">
        <v>9.5311449723917297E-3</v>
      </c>
      <c r="M111">
        <v>8.3694083694083703E-3</v>
      </c>
      <c r="N111">
        <v>7.7124469529532801E-3</v>
      </c>
      <c r="O111">
        <v>1333</v>
      </c>
      <c r="P111">
        <v>0.49652777777777701</v>
      </c>
      <c r="Q111">
        <v>0.49658122655072001</v>
      </c>
      <c r="R111">
        <v>0</v>
      </c>
      <c r="S111">
        <v>0</v>
      </c>
      <c r="T111" t="s">
        <v>24</v>
      </c>
      <c r="U111">
        <v>1.6981132075471601E-2</v>
      </c>
      <c r="V111">
        <v>0</v>
      </c>
      <c r="W111">
        <v>0</v>
      </c>
      <c r="X111">
        <v>8.4130693652247901E-2</v>
      </c>
      <c r="Y111">
        <v>0.138189463530242</v>
      </c>
      <c r="Z111">
        <v>0.30100164544784702</v>
      </c>
      <c r="AA111">
        <v>0</v>
      </c>
      <c r="AB111">
        <v>2.5508999824523929E-2</v>
      </c>
      <c r="AC111">
        <v>3.1719999387860298E-3</v>
      </c>
      <c r="AD111">
        <v>0.10203000158071519</v>
      </c>
      <c r="AE111">
        <v>1.376000000163913E-3</v>
      </c>
      <c r="AF111">
        <f>0.16*X111 + 0.28*Y111 + 0.28*Z111 + 0.28*AA111</f>
        <v>0.1364344214982246</v>
      </c>
      <c r="AG111">
        <f t="shared" si="3"/>
        <v>3.3923280397430068E-2</v>
      </c>
      <c r="AH111">
        <f>IF(T111="IT_Admin", 0.25, IF(AND(T111="HR", AA111&gt;0.6), 0.25, IF(AND(T111="General", Z111&gt;0.7), 0.2, 0.1)))</f>
        <v>0.25</v>
      </c>
      <c r="AI111">
        <f>IF(V111&gt;0.7, 0.1,
 IF(F111&gt;0.5, 0.08,
 IF(E111&gt;0.5, 0.05,
 0)))</f>
        <v>0</v>
      </c>
      <c r="AJ111">
        <f t="shared" si="4"/>
        <v>6.4676622727668415E-2</v>
      </c>
      <c r="AK111">
        <f t="shared" si="5"/>
        <v>8.0845778409585511E-2</v>
      </c>
      <c r="AL111" t="str">
        <f>IF(MAX(X111, Y111, Z111, AA111)&gt;0.9,
 "Critical",
 IF(AK111&lt;=0.2,"Very Low",
 IF(AK111&lt;=0.4,"Low",
 IF(AK111&lt;=0.6,"Medium",
 IF(AK111&lt;=0.8,"High","Critical")))))</f>
        <v>Very Low</v>
      </c>
      <c r="AM111" t="str">
        <f>IF(MAX(X111:AA111)&gt;0.9,"CRITICAL ALERT",
 IF(AK111&gt;0.8,"CRITICAL ALERT",
 IF(AK111&gt;0.6,"ALERT",
 IF(AK111&gt;=0.4,"REVIEW","NO ACTION"))))</f>
        <v>NO ACTION</v>
      </c>
      <c r="AN111" t="str">
        <f>IF(AM111="NO ACTION","",
 IF(_xlfn.TEXTJOIN(", ", TRUE,
  IF(X111&gt;0.7,"Login anomaly",""),
  IF(Y111&gt;0.7,"File anomaly",""),
  IF(Z111&gt;0.7,"Network anomaly",""),
  IF(AA111&gt;0.7,"USB anomaly","")
 )="",
 "General anomaly detected",
 _xlfn.TEXTJOIN(", ", TRUE,
  IF(X111&gt;0.7,"Login anomaly",""),
  IF(Y111&gt;0.7,"File anomaly",""),
  IF(Z111&gt;0.7,"Network anomaly",""),
  IF(AA111&gt;0.7,"USB anomaly","")
 )))</f>
        <v/>
      </c>
    </row>
    <row r="112" spans="1:40" x14ac:dyDescent="0.3">
      <c r="A112" t="s">
        <v>135</v>
      </c>
      <c r="B112">
        <v>0.12892249527410199</v>
      </c>
      <c r="C112">
        <v>0.27206098443315602</v>
      </c>
      <c r="D112">
        <v>7.5018780494472401E-2</v>
      </c>
      <c r="E112">
        <v>0</v>
      </c>
      <c r="F112">
        <v>0</v>
      </c>
      <c r="G112">
        <v>0.993663071959065</v>
      </c>
      <c r="H112">
        <v>7</v>
      </c>
      <c r="I112">
        <v>8</v>
      </c>
      <c r="J112">
        <v>0.49744764085682902</v>
      </c>
      <c r="K112">
        <v>1.30505709624796E-2</v>
      </c>
      <c r="L112">
        <v>6.6981144575918496E-3</v>
      </c>
      <c r="M112">
        <v>6.63780663780663E-3</v>
      </c>
      <c r="N112">
        <v>8.0599210775591096E-3</v>
      </c>
      <c r="O112">
        <v>1103</v>
      </c>
      <c r="P112">
        <v>0.37454405162738402</v>
      </c>
      <c r="Q112">
        <v>0.37462744135488601</v>
      </c>
      <c r="R112">
        <v>0</v>
      </c>
      <c r="S112">
        <v>0</v>
      </c>
      <c r="T112" t="s">
        <v>24</v>
      </c>
      <c r="U112">
        <v>1.13207547169811E-2</v>
      </c>
      <c r="V112">
        <v>0</v>
      </c>
      <c r="W112">
        <v>0</v>
      </c>
      <c r="X112">
        <v>2.25056341483417E-2</v>
      </c>
      <c r="Y112">
        <v>0.105256561723429</v>
      </c>
      <c r="Z112">
        <v>0.22795039940745401</v>
      </c>
      <c r="AA112">
        <v>0</v>
      </c>
      <c r="AB112">
        <v>1.869300007820129E-2</v>
      </c>
      <c r="AC112">
        <v>1.597000053152442E-3</v>
      </c>
      <c r="AD112">
        <v>4.3414000421762473E-2</v>
      </c>
      <c r="AE112">
        <v>1.3379999436438079E-3</v>
      </c>
      <c r="AF112">
        <f>0.16*X112 + 0.28*Y112 + 0.28*Z112 + 0.28*AA112</f>
        <v>9.6898850580381918E-2</v>
      </c>
      <c r="AG112">
        <f t="shared" si="3"/>
        <v>1.596860012970865E-2</v>
      </c>
      <c r="AH112">
        <f>IF(T112="IT_Admin", 0.25, IF(AND(T112="HR", AA112&gt;0.6), 0.25, IF(AND(T112="General", Z112&gt;0.7), 0.2, 0.1)))</f>
        <v>0.25</v>
      </c>
      <c r="AI112">
        <f>IF(V112&gt;0.7, 0.1,
 IF(F112&gt;0.5, 0.08,
 IF(E112&gt;0.5, 0.05,
 0)))</f>
        <v>0</v>
      </c>
      <c r="AJ112">
        <f t="shared" si="4"/>
        <v>4.0247675264910625E-2</v>
      </c>
      <c r="AK112">
        <f t="shared" si="5"/>
        <v>5.0309594081138283E-2</v>
      </c>
      <c r="AL112" t="str">
        <f>IF(MAX(X112, Y112, Z112, AA112)&gt;0.9,
 "Critical",
 IF(AK112&lt;=0.2,"Very Low",
 IF(AK112&lt;=0.4,"Low",
 IF(AK112&lt;=0.6,"Medium",
 IF(AK112&lt;=0.8,"High","Critical")))))</f>
        <v>Very Low</v>
      </c>
      <c r="AM112" t="str">
        <f>IF(MAX(X112:AA112)&gt;0.9,"CRITICAL ALERT",
 IF(AK112&gt;0.8,"CRITICAL ALERT",
 IF(AK112&gt;0.6,"ALERT",
 IF(AK112&gt;=0.4,"REVIEW","NO ACTION"))))</f>
        <v>NO ACTION</v>
      </c>
      <c r="AN112" t="str">
        <f>IF(AM112="NO ACTION","",
 IF(_xlfn.TEXTJOIN(", ", TRUE,
  IF(X112&gt;0.7,"Login anomaly",""),
  IF(Y112&gt;0.7,"File anomaly",""),
  IF(Z112&gt;0.7,"Network anomaly",""),
  IF(AA112&gt;0.7,"USB anomaly","")
 )="",
 "General anomaly detected",
 _xlfn.TEXTJOIN(", ", TRUE,
  IF(X112&gt;0.7,"Login anomaly",""),
  IF(Y112&gt;0.7,"File anomaly",""),
  IF(Z112&gt;0.7,"Network anomaly",""),
  IF(AA112&gt;0.7,"USB anomaly","")
 )))</f>
        <v/>
      </c>
    </row>
    <row r="113" spans="1:40" x14ac:dyDescent="0.3">
      <c r="A113" t="s">
        <v>136</v>
      </c>
      <c r="B113">
        <v>0.17353497164461201</v>
      </c>
      <c r="C113">
        <v>0.401456632826038</v>
      </c>
      <c r="D113">
        <v>0.358558694902538</v>
      </c>
      <c r="E113">
        <v>0</v>
      </c>
      <c r="F113">
        <v>0</v>
      </c>
      <c r="G113">
        <v>0.70192183911689399</v>
      </c>
      <c r="H113">
        <v>7</v>
      </c>
      <c r="I113">
        <v>16</v>
      </c>
      <c r="J113">
        <v>0.489098802538046</v>
      </c>
      <c r="K113">
        <v>1.5497553017944501E-2</v>
      </c>
      <c r="L113">
        <v>8.0897184265036493E-3</v>
      </c>
      <c r="M113">
        <v>7.5036075036075001E-3</v>
      </c>
      <c r="N113">
        <v>9.2666663008868291E-3</v>
      </c>
      <c r="O113">
        <v>1030</v>
      </c>
      <c r="P113">
        <v>0.36987934904601499</v>
      </c>
      <c r="Q113">
        <v>0.36996388372663802</v>
      </c>
      <c r="R113">
        <v>0</v>
      </c>
      <c r="S113">
        <v>0</v>
      </c>
      <c r="T113" t="s">
        <v>24</v>
      </c>
      <c r="U113">
        <v>1.19496855345911E-2</v>
      </c>
      <c r="V113">
        <v>0</v>
      </c>
      <c r="W113">
        <v>0</v>
      </c>
      <c r="X113">
        <v>0.10756760847076099</v>
      </c>
      <c r="Y113">
        <v>0.104644619611127</v>
      </c>
      <c r="Z113">
        <v>0.22563427594796401</v>
      </c>
      <c r="AA113">
        <v>0</v>
      </c>
      <c r="AB113">
        <v>9.8019996657967567E-3</v>
      </c>
      <c r="AC113">
        <v>1.50400004349649E-3</v>
      </c>
      <c r="AD113">
        <v>4.2157001793384552E-2</v>
      </c>
      <c r="AE113">
        <v>4.5909998007118702E-3</v>
      </c>
      <c r="AF113">
        <f>0.16*X113 + 0.28*Y113 + 0.28*Z113 + 0.28*AA113</f>
        <v>0.10968890811186725</v>
      </c>
      <c r="AG113">
        <f t="shared" si="3"/>
        <v>1.5078880405053499E-2</v>
      </c>
      <c r="AH113">
        <f>IF(T113="IT_Admin", 0.25, IF(AND(T113="HR", AA113&gt;0.6), 0.25, IF(AND(T113="General", Z113&gt;0.7), 0.2, 0.1)))</f>
        <v>0.25</v>
      </c>
      <c r="AI113">
        <f>IF(V113&gt;0.7, 0.1,
 IF(F113&gt;0.5, 0.08,
 IF(E113&gt;0.5, 0.05,
 0)))</f>
        <v>0</v>
      </c>
      <c r="AJ113">
        <f t="shared" si="4"/>
        <v>4.3461888717097621E-2</v>
      </c>
      <c r="AK113">
        <f t="shared" si="5"/>
        <v>5.4327360896372023E-2</v>
      </c>
      <c r="AL113" t="str">
        <f>IF(MAX(X113, Y113, Z113, AA113)&gt;0.9,
 "Critical",
 IF(AK113&lt;=0.2,"Very Low",
 IF(AK113&lt;=0.4,"Low",
 IF(AK113&lt;=0.6,"Medium",
 IF(AK113&lt;=0.8,"High","Critical")))))</f>
        <v>Very Low</v>
      </c>
      <c r="AM113" t="str">
        <f>IF(MAX(X113:AA113)&gt;0.9,"CRITICAL ALERT",
 IF(AK113&gt;0.8,"CRITICAL ALERT",
 IF(AK113&gt;0.6,"ALERT",
 IF(AK113&gt;=0.4,"REVIEW","NO ACTION"))))</f>
        <v>NO ACTION</v>
      </c>
      <c r="AN113" t="str">
        <f>IF(AM113="NO ACTION","",
 IF(_xlfn.TEXTJOIN(", ", TRUE,
  IF(X113&gt;0.7,"Login anomaly",""),
  IF(Y113&gt;0.7,"File anomaly",""),
  IF(Z113&gt;0.7,"Network anomaly",""),
  IF(AA113&gt;0.7,"USB anomaly","")
 )="",
 "General anomaly detected",
 _xlfn.TEXTJOIN(", ", TRUE,
  IF(X113&gt;0.7,"Login anomaly",""),
  IF(Y113&gt;0.7,"File anomaly",""),
  IF(Z113&gt;0.7,"Network anomaly",""),
  IF(AA113&gt;0.7,"USB anomaly","")
 )))</f>
        <v/>
      </c>
    </row>
    <row r="114" spans="1:40" x14ac:dyDescent="0.3">
      <c r="A114" t="s">
        <v>137</v>
      </c>
      <c r="B114">
        <v>0.12892249527410199</v>
      </c>
      <c r="C114">
        <v>0.27848762186071102</v>
      </c>
      <c r="D114">
        <v>7.5124914167671697E-2</v>
      </c>
      <c r="E114">
        <v>0</v>
      </c>
      <c r="F114">
        <v>0</v>
      </c>
      <c r="G114">
        <v>0.99368525823639497</v>
      </c>
      <c r="H114">
        <v>7</v>
      </c>
      <c r="I114">
        <v>8</v>
      </c>
      <c r="J114">
        <v>0.54458279662229803</v>
      </c>
      <c r="K114">
        <v>1.7944535073409401E-2</v>
      </c>
      <c r="L114">
        <v>8.4131132906915592E-3</v>
      </c>
      <c r="M114">
        <v>8.0808080808080808E-3</v>
      </c>
      <c r="N114">
        <v>8.9631870367422005E-3</v>
      </c>
      <c r="O114">
        <v>1134</v>
      </c>
      <c r="P114">
        <v>0.41200196408529699</v>
      </c>
      <c r="Q114">
        <v>0.41207615975314699</v>
      </c>
      <c r="R114">
        <v>0</v>
      </c>
      <c r="S114">
        <v>0</v>
      </c>
      <c r="T114" t="s">
        <v>24</v>
      </c>
      <c r="U114">
        <v>1.28822381262199E-2</v>
      </c>
      <c r="V114">
        <v>0</v>
      </c>
      <c r="W114">
        <v>0</v>
      </c>
      <c r="X114">
        <v>2.25374742503015E-2</v>
      </c>
      <c r="Y114">
        <v>0.115812072080828</v>
      </c>
      <c r="Z114">
        <v>0.25078645326587501</v>
      </c>
      <c r="AA114">
        <v>0</v>
      </c>
      <c r="AB114">
        <v>1.8300000578165051E-2</v>
      </c>
      <c r="AC114">
        <v>1.994000049307942E-3</v>
      </c>
      <c r="AD114">
        <v>5.8901999145746231E-2</v>
      </c>
      <c r="AE114">
        <v>1.2199999764561651E-3</v>
      </c>
      <c r="AF114">
        <f>0.16*X114 + 0.28*Y114 + 0.28*Z114 + 0.28*AA114</f>
        <v>0.1062535829771251</v>
      </c>
      <c r="AG114">
        <f t="shared" si="3"/>
        <v>2.0320479860529306E-2</v>
      </c>
      <c r="AH114">
        <f>IF(T114="IT_Admin", 0.25, IF(AND(T114="HR", AA114&gt;0.6), 0.25, IF(AND(T114="General", Z114&gt;0.7), 0.2, 0.1)))</f>
        <v>0.25</v>
      </c>
      <c r="AI114">
        <f>IF(V114&gt;0.7, 0.1,
 IF(F114&gt;0.5, 0.08,
 IF(E114&gt;0.5, 0.05,
 0)))</f>
        <v>0</v>
      </c>
      <c r="AJ114">
        <f t="shared" si="4"/>
        <v>4.6100410795508043E-2</v>
      </c>
      <c r="AK114">
        <f t="shared" si="5"/>
        <v>5.762551349438505E-2</v>
      </c>
      <c r="AL114" t="str">
        <f>IF(MAX(X114, Y114, Z114, AA114)&gt;0.9,
 "Critical",
 IF(AK114&lt;=0.2,"Very Low",
 IF(AK114&lt;=0.4,"Low",
 IF(AK114&lt;=0.6,"Medium",
 IF(AK114&lt;=0.8,"High","Critical")))))</f>
        <v>Very Low</v>
      </c>
      <c r="AM114" t="str">
        <f>IF(MAX(X114:AA114)&gt;0.9,"CRITICAL ALERT",
 IF(AK114&gt;0.8,"CRITICAL ALERT",
 IF(AK114&gt;0.6,"ALERT",
 IF(AK114&gt;=0.4,"REVIEW","NO ACTION"))))</f>
        <v>NO ACTION</v>
      </c>
      <c r="AN114" t="str">
        <f>IF(AM114="NO ACTION","",
 IF(_xlfn.TEXTJOIN(", ", TRUE,
  IF(X114&gt;0.7,"Login anomaly",""),
  IF(Y114&gt;0.7,"File anomaly",""),
  IF(Z114&gt;0.7,"Network anomaly",""),
  IF(AA114&gt;0.7,"USB anomaly","")
 )="",
 "General anomaly detected",
 _xlfn.TEXTJOIN(", ", TRUE,
  IF(X114&gt;0.7,"Login anomaly",""),
  IF(Y114&gt;0.7,"File anomaly",""),
  IF(Z114&gt;0.7,"Network anomaly",""),
  IF(AA114&gt;0.7,"USB anomaly","")
 )))</f>
        <v/>
      </c>
    </row>
    <row r="115" spans="1:40" x14ac:dyDescent="0.3">
      <c r="A115" t="s">
        <v>138</v>
      </c>
      <c r="B115">
        <v>0.12892249527410199</v>
      </c>
      <c r="C115">
        <v>0.36953165208440503</v>
      </c>
      <c r="D115">
        <v>0</v>
      </c>
      <c r="E115">
        <v>0</v>
      </c>
      <c r="F115">
        <v>0</v>
      </c>
      <c r="G115">
        <v>0.99365292889620804</v>
      </c>
      <c r="H115">
        <v>8</v>
      </c>
      <c r="I115">
        <v>8</v>
      </c>
      <c r="J115">
        <v>0.44473069032965901</v>
      </c>
      <c r="K115">
        <v>1.71288743882544E-2</v>
      </c>
      <c r="L115">
        <v>9.8328061706173097E-3</v>
      </c>
      <c r="M115">
        <v>5.4834054834054799E-3</v>
      </c>
      <c r="N115">
        <v>7.4470137512916501E-3</v>
      </c>
      <c r="O115">
        <v>1012</v>
      </c>
      <c r="P115">
        <v>0.33698092031425297</v>
      </c>
      <c r="Q115">
        <v>0.33707352992741602</v>
      </c>
      <c r="R115">
        <v>0</v>
      </c>
      <c r="S115">
        <v>0</v>
      </c>
      <c r="T115" t="s">
        <v>24</v>
      </c>
      <c r="U115">
        <v>1.7830188679245199E-2</v>
      </c>
      <c r="V115">
        <v>0</v>
      </c>
      <c r="W115">
        <v>0</v>
      </c>
      <c r="X115">
        <v>0</v>
      </c>
      <c r="Y115">
        <v>9.6096645276628104E-2</v>
      </c>
      <c r="Z115">
        <v>0.20516735768906799</v>
      </c>
      <c r="AA115">
        <v>0</v>
      </c>
      <c r="AB115">
        <v>2.4639999493956569E-2</v>
      </c>
      <c r="AC115">
        <v>1.129999989643693E-3</v>
      </c>
      <c r="AD115">
        <v>3.0309999361634251E-2</v>
      </c>
      <c r="AE115">
        <v>1.3099999632686381E-3</v>
      </c>
      <c r="AF115">
        <f>0.16*X115 + 0.28*Y115 + 0.28*Z115 + 0.28*AA115</f>
        <v>8.4353920830394918E-2</v>
      </c>
      <c r="AG115">
        <f t="shared" si="3"/>
        <v>1.3112399727106096E-2</v>
      </c>
      <c r="AH115">
        <f>IF(T115="IT_Admin", 0.25, IF(AND(T115="HR", AA115&gt;0.6), 0.25, IF(AND(T115="General", Z115&gt;0.7), 0.2, 0.1)))</f>
        <v>0.25</v>
      </c>
      <c r="AI115">
        <f>IF(V115&gt;0.7, 0.1,
 IF(F115&gt;0.5, 0.08,
 IF(E115&gt;0.5, 0.05,
 0)))</f>
        <v>0</v>
      </c>
      <c r="AJ115">
        <f t="shared" si="4"/>
        <v>3.448485605809274E-2</v>
      </c>
      <c r="AK115">
        <f t="shared" si="5"/>
        <v>4.3106070072615923E-2</v>
      </c>
      <c r="AL115" t="str">
        <f>IF(MAX(X115, Y115, Z115, AA115)&gt;0.9,
 "Critical",
 IF(AK115&lt;=0.2,"Very Low",
 IF(AK115&lt;=0.4,"Low",
 IF(AK115&lt;=0.6,"Medium",
 IF(AK115&lt;=0.8,"High","Critical")))))</f>
        <v>Very Low</v>
      </c>
      <c r="AM115" t="str">
        <f>IF(MAX(X115:AA115)&gt;0.9,"CRITICAL ALERT",
 IF(AK115&gt;0.8,"CRITICAL ALERT",
 IF(AK115&gt;0.6,"ALERT",
 IF(AK115&gt;=0.4,"REVIEW","NO ACTION"))))</f>
        <v>NO ACTION</v>
      </c>
      <c r="AN115" t="str">
        <f>IF(AM115="NO ACTION","",
 IF(_xlfn.TEXTJOIN(", ", TRUE,
  IF(X115&gt;0.7,"Login anomaly",""),
  IF(Y115&gt;0.7,"File anomaly",""),
  IF(Z115&gt;0.7,"Network anomaly",""),
  IF(AA115&gt;0.7,"USB anomaly","")
 )="",
 "General anomaly detected",
 _xlfn.TEXTJOIN(", ", TRUE,
  IF(X115&gt;0.7,"Login anomaly",""),
  IF(Y115&gt;0.7,"File anomaly",""),
  IF(Z115&gt;0.7,"Network anomaly",""),
  IF(AA115&gt;0.7,"USB anomaly","")
 )))</f>
        <v/>
      </c>
    </row>
    <row r="116" spans="1:40" x14ac:dyDescent="0.3">
      <c r="A116" t="s">
        <v>139</v>
      </c>
      <c r="B116">
        <v>0.12892249527410199</v>
      </c>
      <c r="C116">
        <v>9.0508477104731005E-2</v>
      </c>
      <c r="D116">
        <v>7.51173381640724E-2</v>
      </c>
      <c r="E116">
        <v>0</v>
      </c>
      <c r="F116">
        <v>0.51014492753623097</v>
      </c>
      <c r="G116">
        <v>0.99366628348292396</v>
      </c>
      <c r="H116">
        <v>6</v>
      </c>
      <c r="I116">
        <v>7</v>
      </c>
      <c r="J116">
        <v>0.44787939506702901</v>
      </c>
      <c r="K116">
        <v>2.2022838499184301E-2</v>
      </c>
      <c r="L116">
        <v>1.2553348973857801E-2</v>
      </c>
      <c r="M116">
        <v>5.4834054834054799E-3</v>
      </c>
      <c r="N116">
        <v>7.3946872413815801E-3</v>
      </c>
      <c r="O116">
        <v>1003</v>
      </c>
      <c r="P116">
        <v>0.34140011223344502</v>
      </c>
      <c r="Q116">
        <v>0.34149163715417702</v>
      </c>
      <c r="R116">
        <v>0</v>
      </c>
      <c r="S116">
        <v>0</v>
      </c>
      <c r="T116" t="s">
        <v>24</v>
      </c>
      <c r="U116">
        <v>2.2924528301886699E-2</v>
      </c>
      <c r="V116">
        <v>0</v>
      </c>
      <c r="W116">
        <v>0</v>
      </c>
      <c r="X116">
        <v>0.22659317246371399</v>
      </c>
      <c r="Y116">
        <v>9.8070959672749203E-2</v>
      </c>
      <c r="Z116">
        <v>0.20779794223661999</v>
      </c>
      <c r="AA116">
        <v>0</v>
      </c>
      <c r="AB116">
        <v>4.629800096154213E-2</v>
      </c>
      <c r="AC116">
        <v>1.1380000505596399E-3</v>
      </c>
      <c r="AD116">
        <v>3.1690001487731927E-2</v>
      </c>
      <c r="AE116">
        <v>4.9599999329075217E-4</v>
      </c>
      <c r="AF116">
        <f>0.16*X116 + 0.28*Y116 + 0.28*Z116 + 0.28*AA116</f>
        <v>0.12189820012881762</v>
      </c>
      <c r="AG116">
        <f t="shared" si="3"/>
        <v>1.6738400582689789E-2</v>
      </c>
      <c r="AH116">
        <f>IF(T116="IT_Admin", 0.25, IF(AND(T116="HR", AA116&gt;0.6), 0.25, IF(AND(T116="General", Z116&gt;0.7), 0.2, 0.1)))</f>
        <v>0.25</v>
      </c>
      <c r="AI116">
        <f>IF(V116&gt;0.7, 0.1,
 IF(F116&gt;0.5, 0.08,
 IF(E116&gt;0.5, 0.05,
 0)))</f>
        <v>0.08</v>
      </c>
      <c r="AJ116">
        <f t="shared" si="4"/>
        <v>4.8286340446528138E-2</v>
      </c>
      <c r="AK116">
        <f t="shared" si="5"/>
        <v>6.4220832793882424E-2</v>
      </c>
      <c r="AL116" t="str">
        <f>IF(MAX(X116, Y116, Z116, AA116)&gt;0.9,
 "Critical",
 IF(AK116&lt;=0.2,"Very Low",
 IF(AK116&lt;=0.4,"Low",
 IF(AK116&lt;=0.6,"Medium",
 IF(AK116&lt;=0.8,"High","Critical")))))</f>
        <v>Very Low</v>
      </c>
      <c r="AM116" t="str">
        <f>IF(MAX(X116:AA116)&gt;0.9,"CRITICAL ALERT",
 IF(AK116&gt;0.8,"CRITICAL ALERT",
 IF(AK116&gt;0.6,"ALERT",
 IF(AK116&gt;=0.4,"REVIEW","NO ACTION"))))</f>
        <v>NO ACTION</v>
      </c>
      <c r="AN116" t="str">
        <f>IF(AM116="NO ACTION","",
 IF(_xlfn.TEXTJOIN(", ", TRUE,
  IF(X116&gt;0.7,"Login anomaly",""),
  IF(Y116&gt;0.7,"File anomaly",""),
  IF(Z116&gt;0.7,"Network anomaly",""),
  IF(AA116&gt;0.7,"USB anomaly","")
 )="",
 "General anomaly detected",
 _xlfn.TEXTJOIN(", ", TRUE,
  IF(X116&gt;0.7,"Login anomaly",""),
  IF(Y116&gt;0.7,"File anomaly",""),
  IF(Z116&gt;0.7,"Network anomaly",""),
  IF(AA116&gt;0.7,"USB anomaly","")
 )))</f>
        <v/>
      </c>
    </row>
    <row r="117" spans="1:40" x14ac:dyDescent="0.3">
      <c r="A117" t="s">
        <v>140</v>
      </c>
      <c r="B117">
        <v>0.12892249527410199</v>
      </c>
      <c r="C117">
        <v>8.7295158390953503E-2</v>
      </c>
      <c r="D117">
        <v>7.5018780494472401E-2</v>
      </c>
      <c r="E117">
        <v>0</v>
      </c>
      <c r="F117">
        <v>0.52753623188405796</v>
      </c>
      <c r="G117">
        <v>0.99367342912351198</v>
      </c>
      <c r="H117">
        <v>6</v>
      </c>
      <c r="I117">
        <v>7</v>
      </c>
      <c r="J117">
        <v>0.49973760793855199</v>
      </c>
      <c r="K117">
        <v>2.6101141924959201E-2</v>
      </c>
      <c r="L117">
        <v>1.33348721415263E-2</v>
      </c>
      <c r="M117">
        <v>4.9062049062049001E-3</v>
      </c>
      <c r="N117">
        <v>5.9300474758489999E-3</v>
      </c>
      <c r="O117">
        <v>1133</v>
      </c>
      <c r="P117">
        <v>0.38099747474747397</v>
      </c>
      <c r="Q117">
        <v>0.38107928047967998</v>
      </c>
      <c r="R117">
        <v>0</v>
      </c>
      <c r="S117">
        <v>0</v>
      </c>
      <c r="T117" t="s">
        <v>24</v>
      </c>
      <c r="U117">
        <v>3.0188679245282998E-2</v>
      </c>
      <c r="V117">
        <v>0</v>
      </c>
      <c r="W117">
        <v>0</v>
      </c>
      <c r="X117">
        <v>0.233520126901964</v>
      </c>
      <c r="Y117">
        <v>0.108393971901228</v>
      </c>
      <c r="Z117">
        <v>0.230970503838824</v>
      </c>
      <c r="AA117">
        <v>0</v>
      </c>
      <c r="AB117">
        <v>4.797700047492981E-2</v>
      </c>
      <c r="AC117">
        <v>1.5200000489130621E-3</v>
      </c>
      <c r="AD117">
        <v>4.5687001198530197E-2</v>
      </c>
      <c r="AE117">
        <v>5.2900001173838973E-4</v>
      </c>
      <c r="AF117">
        <f>0.16*X117 + 0.28*Y117 + 0.28*Z117 + 0.28*AA117</f>
        <v>0.13238527351152882</v>
      </c>
      <c r="AG117">
        <f t="shared" si="3"/>
        <v>2.1042400428559632E-2</v>
      </c>
      <c r="AH117">
        <f>IF(T117="IT_Admin", 0.25, IF(AND(T117="HR", AA117&gt;0.6), 0.25, IF(AND(T117="General", Z117&gt;0.7), 0.2, 0.1)))</f>
        <v>0.25</v>
      </c>
      <c r="AI117">
        <f>IF(V117&gt;0.7, 0.1,
 IF(F117&gt;0.5, 0.08,
 IF(E117&gt;0.5, 0.05,
 0)))</f>
        <v>0.08</v>
      </c>
      <c r="AJ117">
        <f t="shared" si="4"/>
        <v>5.4445262353450388E-2</v>
      </c>
      <c r="AK117">
        <f t="shared" si="5"/>
        <v>7.2412198930089017E-2</v>
      </c>
      <c r="AL117" t="str">
        <f>IF(MAX(X117, Y117, Z117, AA117)&gt;0.9,
 "Critical",
 IF(AK117&lt;=0.2,"Very Low",
 IF(AK117&lt;=0.4,"Low",
 IF(AK117&lt;=0.6,"Medium",
 IF(AK117&lt;=0.8,"High","Critical")))))</f>
        <v>Very Low</v>
      </c>
      <c r="AM117" t="str">
        <f>IF(MAX(X117:AA117)&gt;0.9,"CRITICAL ALERT",
 IF(AK117&gt;0.8,"CRITICAL ALERT",
 IF(AK117&gt;0.6,"ALERT",
 IF(AK117&gt;=0.4,"REVIEW","NO ACTION"))))</f>
        <v>NO ACTION</v>
      </c>
      <c r="AN117" t="str">
        <f>IF(AM117="NO ACTION","",
 IF(_xlfn.TEXTJOIN(", ", TRUE,
  IF(X117&gt;0.7,"Login anomaly",""),
  IF(Y117&gt;0.7,"File anomaly",""),
  IF(Z117&gt;0.7,"Network anomaly",""),
  IF(AA117&gt;0.7,"USB anomaly","")
 )="",
 "General anomaly detected",
 _xlfn.TEXTJOIN(", ", TRUE,
  IF(X117&gt;0.7,"Login anomaly",""),
  IF(Y117&gt;0.7,"File anomaly",""),
  IF(Z117&gt;0.7,"Network anomaly",""),
  IF(AA117&gt;0.7,"USB anomaly","")
 )))</f>
        <v/>
      </c>
    </row>
    <row r="118" spans="1:40" x14ac:dyDescent="0.3">
      <c r="A118" t="s">
        <v>141</v>
      </c>
      <c r="B118">
        <v>0.12892249527410199</v>
      </c>
      <c r="C118">
        <v>0.36953165208440503</v>
      </c>
      <c r="D118">
        <v>0</v>
      </c>
      <c r="E118">
        <v>0</v>
      </c>
      <c r="F118">
        <v>0</v>
      </c>
      <c r="G118">
        <v>0.99365697006373099</v>
      </c>
      <c r="H118">
        <v>8</v>
      </c>
      <c r="I118">
        <v>8</v>
      </c>
      <c r="J118">
        <v>0.54377176661418802</v>
      </c>
      <c r="K118">
        <v>1.6313213703099499E-2</v>
      </c>
      <c r="L118">
        <v>7.6596871461017098E-3</v>
      </c>
      <c r="M118">
        <v>9.5238095238095195E-3</v>
      </c>
      <c r="N118">
        <v>1.05795049757164E-2</v>
      </c>
      <c r="O118">
        <v>1215</v>
      </c>
      <c r="P118">
        <v>0.411405723905723</v>
      </c>
      <c r="Q118">
        <v>0.41148006592096498</v>
      </c>
      <c r="R118">
        <v>0</v>
      </c>
      <c r="S118">
        <v>0</v>
      </c>
      <c r="T118" t="s">
        <v>24</v>
      </c>
      <c r="U118">
        <v>9.9889012208657004E-3</v>
      </c>
      <c r="V118">
        <v>0</v>
      </c>
      <c r="W118">
        <v>0</v>
      </c>
      <c r="X118">
        <v>0</v>
      </c>
      <c r="Y118">
        <v>0.115758048388603</v>
      </c>
      <c r="Z118">
        <v>0.25107523633372097</v>
      </c>
      <c r="AA118">
        <v>0</v>
      </c>
      <c r="AB118">
        <v>2.4739999324083332E-2</v>
      </c>
      <c r="AC118">
        <v>2.0479999948292971E-3</v>
      </c>
      <c r="AD118">
        <v>5.8802001178264618E-2</v>
      </c>
      <c r="AE118">
        <v>1.083999988622963E-3</v>
      </c>
      <c r="AF118">
        <f>0.16*X118 + 0.28*Y118 + 0.28*Z118 + 0.28*AA118</f>
        <v>0.10271331972225073</v>
      </c>
      <c r="AG118">
        <f t="shared" si="3"/>
        <v>2.1299920217134061E-2</v>
      </c>
      <c r="AH118">
        <f>IF(T118="IT_Admin", 0.25, IF(AND(T118="HR", AA118&gt;0.6), 0.25, IF(AND(T118="General", Z118&gt;0.7), 0.2, 0.1)))</f>
        <v>0.25</v>
      </c>
      <c r="AI118">
        <f>IF(V118&gt;0.7, 0.1,
 IF(F118&gt;0.5, 0.08,
 IF(E118&gt;0.5, 0.05,
 0)))</f>
        <v>0</v>
      </c>
      <c r="AJ118">
        <f t="shared" si="4"/>
        <v>4.5723940068669061E-2</v>
      </c>
      <c r="AK118">
        <f t="shared" si="5"/>
        <v>5.7154925085836326E-2</v>
      </c>
      <c r="AL118" t="str">
        <f>IF(MAX(X118, Y118, Z118, AA118)&gt;0.9,
 "Critical",
 IF(AK118&lt;=0.2,"Very Low",
 IF(AK118&lt;=0.4,"Low",
 IF(AK118&lt;=0.6,"Medium",
 IF(AK118&lt;=0.8,"High","Critical")))))</f>
        <v>Very Low</v>
      </c>
      <c r="AM118" t="str">
        <f>IF(MAX(X118:AA118)&gt;0.9,"CRITICAL ALERT",
 IF(AK118&gt;0.8,"CRITICAL ALERT",
 IF(AK118&gt;0.6,"ALERT",
 IF(AK118&gt;=0.4,"REVIEW","NO ACTION"))))</f>
        <v>NO ACTION</v>
      </c>
      <c r="AN118" t="str">
        <f>IF(AM118="NO ACTION","",
 IF(_xlfn.TEXTJOIN(", ", TRUE,
  IF(X118&gt;0.7,"Login anomaly",""),
  IF(Y118&gt;0.7,"File anomaly",""),
  IF(Z118&gt;0.7,"Network anomaly",""),
  IF(AA118&gt;0.7,"USB anomaly","")
 )="",
 "General anomaly detected",
 _xlfn.TEXTJOIN(", ", TRUE,
  IF(X118&gt;0.7,"Login anomaly",""),
  IF(Y118&gt;0.7,"File anomaly",""),
  IF(Z118&gt;0.7,"Network anomaly",""),
  IF(AA118&gt;0.7,"USB anomaly","")
 )))</f>
        <v/>
      </c>
    </row>
    <row r="119" spans="1:40" x14ac:dyDescent="0.3">
      <c r="A119" t="s">
        <v>142</v>
      </c>
      <c r="B119">
        <v>0.13875236294896001</v>
      </c>
      <c r="C119">
        <v>0.42082782481310299</v>
      </c>
      <c r="D119">
        <v>0.18630298390568101</v>
      </c>
      <c r="E119">
        <v>0</v>
      </c>
      <c r="F119">
        <v>0</v>
      </c>
      <c r="G119">
        <v>0.91340773185554602</v>
      </c>
      <c r="H119">
        <v>8</v>
      </c>
      <c r="I119">
        <v>17</v>
      </c>
      <c r="J119">
        <v>0.55130957492485999</v>
      </c>
      <c r="K119">
        <v>2.4469820554649201E-2</v>
      </c>
      <c r="L119">
        <v>1.13325074639301E-2</v>
      </c>
      <c r="M119">
        <v>8.3694083694083703E-3</v>
      </c>
      <c r="N119">
        <v>9.1700800809009393E-3</v>
      </c>
      <c r="O119">
        <v>1243</v>
      </c>
      <c r="P119">
        <v>0.41989337822671102</v>
      </c>
      <c r="Q119">
        <v>0.41996563694379102</v>
      </c>
      <c r="R119">
        <v>0.50147492625368695</v>
      </c>
      <c r="S119">
        <v>1</v>
      </c>
      <c r="T119" t="s">
        <v>24</v>
      </c>
      <c r="U119">
        <v>1.6981132075471601E-2</v>
      </c>
      <c r="V119">
        <v>0</v>
      </c>
      <c r="W119">
        <v>0</v>
      </c>
      <c r="X119">
        <v>5.5890895171704397E-2</v>
      </c>
      <c r="Y119">
        <v>0.118679192741207</v>
      </c>
      <c r="Z119">
        <v>0.255604058968387</v>
      </c>
      <c r="AA119">
        <v>0.50147492625368695</v>
      </c>
      <c r="AB119">
        <v>1.4464999549090861E-2</v>
      </c>
      <c r="AC119">
        <v>2.0169999916106458E-3</v>
      </c>
      <c r="AD119">
        <v>6.3920997083187103E-2</v>
      </c>
      <c r="AE119">
        <v>0.25817599892616272</v>
      </c>
      <c r="AF119">
        <f>0.16*X119 + 0.28*Y119 + 0.28*Z119 + 0.28*AA119</f>
        <v>0.25415483305719139</v>
      </c>
      <c r="AG119">
        <f t="shared" si="3"/>
        <v>9.306631880812348E-2</v>
      </c>
      <c r="AH119">
        <f>IF(T119="IT_Admin", 0.25, IF(AND(T119="HR", AA119&gt;0.6), 0.25, IF(AND(T119="General", Z119&gt;0.7), 0.2, 0.1)))</f>
        <v>0.25</v>
      </c>
      <c r="AI119">
        <f>IF(V119&gt;0.7, 0.1,
 IF(F119&gt;0.5, 0.08,
 IF(E119&gt;0.5, 0.05,
 0)))</f>
        <v>0</v>
      </c>
      <c r="AJ119">
        <f t="shared" si="4"/>
        <v>0.14139287308284385</v>
      </c>
      <c r="AK119">
        <f t="shared" si="5"/>
        <v>0.17674109135355481</v>
      </c>
      <c r="AL119" t="str">
        <f>IF(MAX(X119, Y119, Z119, AA119)&gt;0.9,
 "Critical",
 IF(AK119&lt;=0.2,"Very Low",
 IF(AK119&lt;=0.4,"Low",
 IF(AK119&lt;=0.6,"Medium",
 IF(AK119&lt;=0.8,"High","Critical")))))</f>
        <v>Very Low</v>
      </c>
      <c r="AM119" t="str">
        <f>IF(MAX(X119:AA119)&gt;0.9,"CRITICAL ALERT",
 IF(AK119&gt;0.8,"CRITICAL ALERT",
 IF(AK119&gt;0.6,"ALERT",
 IF(AK119&gt;=0.4,"REVIEW","NO ACTION"))))</f>
        <v>NO ACTION</v>
      </c>
      <c r="AN119" t="str">
        <f>IF(AM119="NO ACTION","",
 IF(_xlfn.TEXTJOIN(", ", TRUE,
  IF(X119&gt;0.7,"Login anomaly",""),
  IF(Y119&gt;0.7,"File anomaly",""),
  IF(Z119&gt;0.7,"Network anomaly",""),
  IF(AA119&gt;0.7,"USB anomaly","")
 )="",
 "General anomaly detected",
 _xlfn.TEXTJOIN(", ", TRUE,
  IF(X119&gt;0.7,"Login anomaly",""),
  IF(Y119&gt;0.7,"File anomaly",""),
  IF(Z119&gt;0.7,"Network anomaly",""),
  IF(AA119&gt;0.7,"USB anomaly","")
 )))</f>
        <v/>
      </c>
    </row>
    <row r="120" spans="1:40" x14ac:dyDescent="0.3">
      <c r="A120" t="s">
        <v>143</v>
      </c>
      <c r="B120">
        <v>0.235538752362948</v>
      </c>
      <c r="C120">
        <v>0.66185653156425395</v>
      </c>
      <c r="D120">
        <v>0.36382848101835502</v>
      </c>
      <c r="E120">
        <v>0</v>
      </c>
      <c r="F120">
        <v>0</v>
      </c>
      <c r="G120">
        <v>0.47942544498913398</v>
      </c>
      <c r="H120">
        <v>7</v>
      </c>
      <c r="I120">
        <v>14</v>
      </c>
      <c r="J120">
        <v>0.43652497495348502</v>
      </c>
      <c r="K120">
        <v>5.79119086460032E-2</v>
      </c>
      <c r="L120">
        <v>3.38688273589123E-2</v>
      </c>
      <c r="M120">
        <v>1.3275613275613199E-2</v>
      </c>
      <c r="N120">
        <v>1.8368344441528399E-2</v>
      </c>
      <c r="O120">
        <v>1068</v>
      </c>
      <c r="P120">
        <v>0.35227272727272702</v>
      </c>
      <c r="Q120">
        <v>0.35236158350573299</v>
      </c>
      <c r="R120">
        <v>0</v>
      </c>
      <c r="S120">
        <v>0</v>
      </c>
      <c r="T120" t="s">
        <v>24</v>
      </c>
      <c r="U120">
        <v>2.5652348454435901E-2</v>
      </c>
      <c r="V120">
        <v>0</v>
      </c>
      <c r="W120">
        <v>0</v>
      </c>
      <c r="X120">
        <v>0.109148544305506</v>
      </c>
      <c r="Y120">
        <v>0.109749912002611</v>
      </c>
      <c r="Z120">
        <v>0.21871097414024701</v>
      </c>
      <c r="AA120">
        <v>0</v>
      </c>
      <c r="AB120">
        <v>2.4756999686360359E-2</v>
      </c>
      <c r="AC120">
        <v>2.281999913975596E-3</v>
      </c>
      <c r="AD120">
        <v>3.6587998270988457E-2</v>
      </c>
      <c r="AE120">
        <v>5.5359997786581516E-3</v>
      </c>
      <c r="AF120">
        <f>0.16*X120 + 0.28*Y120 + 0.28*Z120 + 0.28*AA120</f>
        <v>0.10943281520888121</v>
      </c>
      <c r="AG120">
        <f t="shared" si="3"/>
        <v>1.6394799379631876E-2</v>
      </c>
      <c r="AH120">
        <f>IF(T120="IT_Admin", 0.25, IF(AND(T120="HR", AA120&gt;0.6), 0.25, IF(AND(T120="General", Z120&gt;0.7), 0.2, 0.1)))</f>
        <v>0.25</v>
      </c>
      <c r="AI120">
        <f>IF(V120&gt;0.7, 0.1,
 IF(F120&gt;0.5, 0.08,
 IF(E120&gt;0.5, 0.05,
 0)))</f>
        <v>0</v>
      </c>
      <c r="AJ120">
        <f t="shared" si="4"/>
        <v>4.4306204128406676E-2</v>
      </c>
      <c r="AK120">
        <f t="shared" si="5"/>
        <v>5.5382755160508348E-2</v>
      </c>
      <c r="AL120" t="str">
        <f>IF(MAX(X120, Y120, Z120, AA120)&gt;0.9,
 "Critical",
 IF(AK120&lt;=0.2,"Very Low",
 IF(AK120&lt;=0.4,"Low",
 IF(AK120&lt;=0.6,"Medium",
 IF(AK120&lt;=0.8,"High","Critical")))))</f>
        <v>Very Low</v>
      </c>
      <c r="AM120" t="str">
        <f>IF(MAX(X120:AA120)&gt;0.9,"CRITICAL ALERT",
 IF(AK120&gt;0.8,"CRITICAL ALERT",
 IF(AK120&gt;0.6,"ALERT",
 IF(AK120&gt;=0.4,"REVIEW","NO ACTION"))))</f>
        <v>NO ACTION</v>
      </c>
      <c r="AN120" t="str">
        <f>IF(AM120="NO ACTION","",
 IF(_xlfn.TEXTJOIN(", ", TRUE,
  IF(X120&gt;0.7,"Login anomaly",""),
  IF(Y120&gt;0.7,"File anomaly",""),
  IF(Z120&gt;0.7,"Network anomaly",""),
  IF(AA120&gt;0.7,"USB anomaly","")
 )="",
 "General anomaly detected",
 _xlfn.TEXTJOIN(", ", TRUE,
  IF(X120&gt;0.7,"Login anomaly",""),
  IF(Y120&gt;0.7,"File anomaly",""),
  IF(Z120&gt;0.7,"Network anomaly",""),
  IF(AA120&gt;0.7,"USB anomaly","")
 )))</f>
        <v/>
      </c>
    </row>
    <row r="121" spans="1:40" x14ac:dyDescent="0.3">
      <c r="A121" t="s">
        <v>144</v>
      </c>
      <c r="B121">
        <v>0.12892249527410199</v>
      </c>
      <c r="C121">
        <v>0.55429747812660801</v>
      </c>
      <c r="D121">
        <v>0</v>
      </c>
      <c r="E121">
        <v>0</v>
      </c>
      <c r="F121">
        <v>0</v>
      </c>
      <c r="G121">
        <v>0.99364765664453902</v>
      </c>
      <c r="H121">
        <v>9</v>
      </c>
      <c r="I121">
        <v>9</v>
      </c>
      <c r="J121">
        <v>0.54057535422928205</v>
      </c>
      <c r="K121">
        <v>1.6313213703099499E-2</v>
      </c>
      <c r="L121">
        <v>7.7049587620852001E-3</v>
      </c>
      <c r="M121">
        <v>7.2150072150072098E-3</v>
      </c>
      <c r="N121">
        <v>8.0621468236147104E-3</v>
      </c>
      <c r="O121">
        <v>1204</v>
      </c>
      <c r="P121">
        <v>0.40793350168350101</v>
      </c>
      <c r="Q121">
        <v>0.408008695957081</v>
      </c>
      <c r="R121">
        <v>0</v>
      </c>
      <c r="S121">
        <v>0</v>
      </c>
      <c r="T121" t="s">
        <v>24</v>
      </c>
      <c r="U121">
        <v>1.30624092888243E-2</v>
      </c>
      <c r="V121">
        <v>0</v>
      </c>
      <c r="W121">
        <v>0</v>
      </c>
      <c r="X121">
        <v>0</v>
      </c>
      <c r="Y121">
        <v>0.114386194273983</v>
      </c>
      <c r="Z121">
        <v>0.24798495973954601</v>
      </c>
      <c r="AA121">
        <v>0</v>
      </c>
      <c r="AB121">
        <v>2.9086999595165249E-2</v>
      </c>
      <c r="AC121">
        <v>1.943000010214746E-3</v>
      </c>
      <c r="AD121">
        <v>5.7059001177549362E-2</v>
      </c>
      <c r="AE121">
        <v>1.0499999625608329E-3</v>
      </c>
      <c r="AF121">
        <f>0.16*X121 + 0.28*Y121 + 0.28*Z121 + 0.28*AA121</f>
        <v>0.10146392312378813</v>
      </c>
      <c r="AG121">
        <f t="shared" si="3"/>
        <v>2.1468480257317426E-2</v>
      </c>
      <c r="AH121">
        <f>IF(T121="IT_Admin", 0.25, IF(AND(T121="HR", AA121&gt;0.6), 0.25, IF(AND(T121="General", Z121&gt;0.7), 0.2, 0.1)))</f>
        <v>0.25</v>
      </c>
      <c r="AI121">
        <f>IF(V121&gt;0.7, 0.1,
 IF(F121&gt;0.5, 0.08,
 IF(E121&gt;0.5, 0.05,
 0)))</f>
        <v>0</v>
      </c>
      <c r="AJ121">
        <f t="shared" si="4"/>
        <v>4.5467113117258637E-2</v>
      </c>
      <c r="AK121">
        <f t="shared" si="5"/>
        <v>5.6833891396573299E-2</v>
      </c>
      <c r="AL121" t="str">
        <f>IF(MAX(X121, Y121, Z121, AA121)&gt;0.9,
 "Critical",
 IF(AK121&lt;=0.2,"Very Low",
 IF(AK121&lt;=0.4,"Low",
 IF(AK121&lt;=0.6,"Medium",
 IF(AK121&lt;=0.8,"High","Critical")))))</f>
        <v>Very Low</v>
      </c>
      <c r="AM121" t="str">
        <f>IF(MAX(X121:AA121)&gt;0.9,"CRITICAL ALERT",
 IF(AK121&gt;0.8,"CRITICAL ALERT",
 IF(AK121&gt;0.6,"ALERT",
 IF(AK121&gt;=0.4,"REVIEW","NO ACTION"))))</f>
        <v>NO ACTION</v>
      </c>
      <c r="AN121" t="str">
        <f>IF(AM121="NO ACTION","",
 IF(_xlfn.TEXTJOIN(", ", TRUE,
  IF(X121&gt;0.7,"Login anomaly",""),
  IF(Y121&gt;0.7,"File anomaly",""),
  IF(Z121&gt;0.7,"Network anomaly",""),
  IF(AA121&gt;0.7,"USB anomaly","")
 )="",
 "General anomaly detected",
 _xlfn.TEXTJOIN(", ", TRUE,
  IF(X121&gt;0.7,"Login anomaly",""),
  IF(Y121&gt;0.7,"File anomaly",""),
  IF(Z121&gt;0.7,"Network anomaly",""),
  IF(AA121&gt;0.7,"USB anomaly","")
 )))</f>
        <v/>
      </c>
    </row>
    <row r="122" spans="1:40" x14ac:dyDescent="0.3">
      <c r="A122" t="s">
        <v>145</v>
      </c>
      <c r="B122">
        <v>0.12892249527410199</v>
      </c>
      <c r="C122">
        <v>0.18476582604220201</v>
      </c>
      <c r="D122">
        <v>0</v>
      </c>
      <c r="E122">
        <v>0</v>
      </c>
      <c r="F122">
        <v>0</v>
      </c>
      <c r="G122">
        <v>0.99367527574973102</v>
      </c>
      <c r="H122">
        <v>7</v>
      </c>
      <c r="I122">
        <v>7</v>
      </c>
      <c r="J122">
        <v>0.511139735699632</v>
      </c>
      <c r="K122">
        <v>1.2234910277324601E-2</v>
      </c>
      <c r="L122">
        <v>6.1113498829413497E-3</v>
      </c>
      <c r="M122">
        <v>5.1948051948051896E-3</v>
      </c>
      <c r="N122">
        <v>6.1388746527285499E-3</v>
      </c>
      <c r="O122">
        <v>1133</v>
      </c>
      <c r="P122">
        <v>0.38355780022446601</v>
      </c>
      <c r="Q122">
        <v>0.38363897752375598</v>
      </c>
      <c r="R122">
        <v>0</v>
      </c>
      <c r="S122">
        <v>0</v>
      </c>
      <c r="T122" t="s">
        <v>24</v>
      </c>
      <c r="U122">
        <v>1.34061569016881E-2</v>
      </c>
      <c r="V122">
        <v>0</v>
      </c>
      <c r="W122">
        <v>0</v>
      </c>
      <c r="X122">
        <v>0</v>
      </c>
      <c r="Y122">
        <v>0.107125284477215</v>
      </c>
      <c r="Z122">
        <v>0.232590229995771</v>
      </c>
      <c r="AA122">
        <v>0</v>
      </c>
      <c r="AB122">
        <v>3.663099929690361E-2</v>
      </c>
      <c r="AC122">
        <v>1.664999988861382E-3</v>
      </c>
      <c r="AD122">
        <v>4.6773001551628113E-2</v>
      </c>
      <c r="AE122">
        <v>1.2150000547990201E-3</v>
      </c>
      <c r="AF122">
        <f>0.16*X122 + 0.28*Y122 + 0.28*Z122 + 0.28*AA122</f>
        <v>9.5120344052436093E-2</v>
      </c>
      <c r="AG122">
        <f t="shared" si="3"/>
        <v>1.9763800334185365E-2</v>
      </c>
      <c r="AH122">
        <f>IF(T122="IT_Admin", 0.25, IF(AND(T122="HR", AA122&gt;0.6), 0.25, IF(AND(T122="General", Z122&gt;0.7), 0.2, 0.1)))</f>
        <v>0.25</v>
      </c>
      <c r="AI122">
        <f>IF(V122&gt;0.7, 0.1,
 IF(F122&gt;0.5, 0.08,
 IF(E122&gt;0.5, 0.05,
 0)))</f>
        <v>0</v>
      </c>
      <c r="AJ122">
        <f t="shared" si="4"/>
        <v>4.2370763449660578E-2</v>
      </c>
      <c r="AK122">
        <f t="shared" si="5"/>
        <v>5.296345431207572E-2</v>
      </c>
      <c r="AL122" t="str">
        <f>IF(MAX(X122, Y122, Z122, AA122)&gt;0.9,
 "Critical",
 IF(AK122&lt;=0.2,"Very Low",
 IF(AK122&lt;=0.4,"Low",
 IF(AK122&lt;=0.6,"Medium",
 IF(AK122&lt;=0.8,"High","Critical")))))</f>
        <v>Very Low</v>
      </c>
      <c r="AM122" t="str">
        <f>IF(MAX(X122:AA122)&gt;0.9,"CRITICAL ALERT",
 IF(AK122&gt;0.8,"CRITICAL ALERT",
 IF(AK122&gt;0.6,"ALERT",
 IF(AK122&gt;=0.4,"REVIEW","NO ACTION"))))</f>
        <v>NO ACTION</v>
      </c>
      <c r="AN122" t="str">
        <f>IF(AM122="NO ACTION","",
 IF(_xlfn.TEXTJOIN(", ", TRUE,
  IF(X122&gt;0.7,"Login anomaly",""),
  IF(Y122&gt;0.7,"File anomaly",""),
  IF(Z122&gt;0.7,"Network anomaly",""),
  IF(AA122&gt;0.7,"USB anomaly","")
 )="",
 "General anomaly detected",
 _xlfn.TEXTJOIN(", ", TRUE,
  IF(X122&gt;0.7,"Login anomaly",""),
  IF(Y122&gt;0.7,"File anomaly",""),
  IF(Z122&gt;0.7,"Network anomaly",""),
  IF(AA122&gt;0.7,"USB anomaly","")
 )))</f>
        <v/>
      </c>
    </row>
    <row r="123" spans="1:40" x14ac:dyDescent="0.3">
      <c r="A123" t="s">
        <v>146</v>
      </c>
      <c r="B123">
        <v>0.12892249527410199</v>
      </c>
      <c r="C123">
        <v>0.45896902295121</v>
      </c>
      <c r="D123">
        <v>7.50946055673926E-2</v>
      </c>
      <c r="E123">
        <v>0</v>
      </c>
      <c r="F123">
        <v>0</v>
      </c>
      <c r="G123">
        <v>0.99367781820612</v>
      </c>
      <c r="H123">
        <v>8</v>
      </c>
      <c r="I123">
        <v>9</v>
      </c>
      <c r="J123">
        <v>0.60808167549258096</v>
      </c>
      <c r="K123">
        <v>2.0391517128874301E-2</v>
      </c>
      <c r="L123">
        <v>8.5624080980901303E-3</v>
      </c>
      <c r="M123">
        <v>7.5036075036075001E-3</v>
      </c>
      <c r="N123">
        <v>7.4541758488115596E-3</v>
      </c>
      <c r="O123">
        <v>1300</v>
      </c>
      <c r="P123">
        <v>0.45945566778900099</v>
      </c>
      <c r="Q123">
        <v>0.45951821592622399</v>
      </c>
      <c r="R123">
        <v>0</v>
      </c>
      <c r="S123">
        <v>0</v>
      </c>
      <c r="T123" t="s">
        <v>24</v>
      </c>
      <c r="U123">
        <v>1.5723270440251499E-2</v>
      </c>
      <c r="V123">
        <v>0</v>
      </c>
      <c r="W123">
        <v>0</v>
      </c>
      <c r="X123">
        <v>2.2528381670217701E-2</v>
      </c>
      <c r="Y123">
        <v>0.128133791902204</v>
      </c>
      <c r="Z123">
        <v>0.27865507101292503</v>
      </c>
      <c r="AA123">
        <v>0</v>
      </c>
      <c r="AB123">
        <v>1.3427999801933771E-2</v>
      </c>
      <c r="AC123">
        <v>2.596999984234571E-3</v>
      </c>
      <c r="AD123">
        <v>8.1606999039649963E-2</v>
      </c>
      <c r="AE123">
        <v>1.043000025674701E-3</v>
      </c>
      <c r="AF123">
        <f>0.16*X123 + 0.28*Y123 + 0.28*Z123 + 0.28*AA123</f>
        <v>0.11750542268347097</v>
      </c>
      <c r="AG123">
        <f t="shared" si="3"/>
        <v>2.6017639702185992E-2</v>
      </c>
      <c r="AH123">
        <f>IF(T123="IT_Admin", 0.25, IF(AND(T123="HR", AA123&gt;0.6), 0.25, IF(AND(T123="General", Z123&gt;0.7), 0.2, 0.1)))</f>
        <v>0.25</v>
      </c>
      <c r="AI123">
        <f>IF(V123&gt;0.7, 0.1,
 IF(F123&gt;0.5, 0.08,
 IF(E123&gt;0.5, 0.05,
 0)))</f>
        <v>0</v>
      </c>
      <c r="AJ123">
        <f t="shared" si="4"/>
        <v>5.3463974596571484E-2</v>
      </c>
      <c r="AK123">
        <f t="shared" si="5"/>
        <v>6.6829968245714355E-2</v>
      </c>
      <c r="AL123" t="str">
        <f>IF(MAX(X123, Y123, Z123, AA123)&gt;0.9,
 "Critical",
 IF(AK123&lt;=0.2,"Very Low",
 IF(AK123&lt;=0.4,"Low",
 IF(AK123&lt;=0.6,"Medium",
 IF(AK123&lt;=0.8,"High","Critical")))))</f>
        <v>Very Low</v>
      </c>
      <c r="AM123" t="str">
        <f>IF(MAX(X123:AA123)&gt;0.9,"CRITICAL ALERT",
 IF(AK123&gt;0.8,"CRITICAL ALERT",
 IF(AK123&gt;0.6,"ALERT",
 IF(AK123&gt;=0.4,"REVIEW","NO ACTION"))))</f>
        <v>NO ACTION</v>
      </c>
      <c r="AN123" t="str">
        <f>IF(AM123="NO ACTION","",
 IF(_xlfn.TEXTJOIN(", ", TRUE,
  IF(X123&gt;0.7,"Login anomaly",""),
  IF(Y123&gt;0.7,"File anomaly",""),
  IF(Z123&gt;0.7,"Network anomaly",""),
  IF(AA123&gt;0.7,"USB anomaly","")
 )="",
 "General anomaly detected",
 _xlfn.TEXTJOIN(", ", TRUE,
  IF(X123&gt;0.7,"Login anomaly",""),
  IF(Y123&gt;0.7,"File anomaly",""),
  IF(Z123&gt;0.7,"Network anomaly",""),
  IF(AA123&gt;0.7,"USB anomaly","")
 )))</f>
        <v/>
      </c>
    </row>
    <row r="124" spans="1:40" x14ac:dyDescent="0.3">
      <c r="A124" t="s">
        <v>147</v>
      </c>
      <c r="B124">
        <v>0.12892249527410199</v>
      </c>
      <c r="C124">
        <v>0</v>
      </c>
      <c r="D124">
        <v>0</v>
      </c>
      <c r="E124">
        <v>0</v>
      </c>
      <c r="F124">
        <v>1</v>
      </c>
      <c r="G124">
        <v>0.99366079712966404</v>
      </c>
      <c r="H124">
        <v>6</v>
      </c>
      <c r="I124">
        <v>6</v>
      </c>
      <c r="J124">
        <v>0.50655980153618596</v>
      </c>
      <c r="K124">
        <v>2.4469820554649201E-2</v>
      </c>
      <c r="L124">
        <v>1.23331562449869E-2</v>
      </c>
      <c r="M124">
        <v>7.2150072150072098E-3</v>
      </c>
      <c r="N124">
        <v>8.6032661576293298E-3</v>
      </c>
      <c r="O124">
        <v>1113</v>
      </c>
      <c r="P124">
        <v>0.386433782267115</v>
      </c>
      <c r="Q124">
        <v>0.386514253655457</v>
      </c>
      <c r="R124">
        <v>0</v>
      </c>
      <c r="S124">
        <v>0</v>
      </c>
      <c r="T124" t="s">
        <v>24</v>
      </c>
      <c r="U124">
        <v>1.9593613933236501E-2</v>
      </c>
      <c r="V124">
        <v>0</v>
      </c>
      <c r="W124">
        <v>0</v>
      </c>
      <c r="X124">
        <v>0.4</v>
      </c>
      <c r="Y124">
        <v>0.110059518277019</v>
      </c>
      <c r="Z124">
        <v>0.23530157582332101</v>
      </c>
      <c r="AA124">
        <v>0</v>
      </c>
      <c r="AB124">
        <v>0.11899299919605261</v>
      </c>
      <c r="AC124">
        <v>1.654000021517277E-3</v>
      </c>
      <c r="AD124">
        <v>4.7892998903989792E-2</v>
      </c>
      <c r="AE124">
        <v>2.7799999224953348E-4</v>
      </c>
      <c r="AF124">
        <f>0.16*X124 + 0.28*Y124 + 0.28*Z124 + 0.28*AA124</f>
        <v>0.1607011063480952</v>
      </c>
      <c r="AG124">
        <f t="shared" si="3"/>
        <v>3.2989879568340263E-2</v>
      </c>
      <c r="AH124">
        <f>IF(T124="IT_Admin", 0.25, IF(AND(T124="HR", AA124&gt;0.6), 0.25, IF(AND(T124="General", Z124&gt;0.7), 0.2, 0.1)))</f>
        <v>0.25</v>
      </c>
      <c r="AI124">
        <f>IF(V124&gt;0.7, 0.1,
 IF(F124&gt;0.5, 0.08,
 IF(E124&gt;0.5, 0.05,
 0)))</f>
        <v>0.08</v>
      </c>
      <c r="AJ124">
        <f t="shared" si="4"/>
        <v>7.1303247602266751E-2</v>
      </c>
      <c r="AK124">
        <f t="shared" si="5"/>
        <v>9.4833319311014783E-2</v>
      </c>
      <c r="AL124" t="str">
        <f>IF(MAX(X124, Y124, Z124, AA124)&gt;0.9,
 "Critical",
 IF(AK124&lt;=0.2,"Very Low",
 IF(AK124&lt;=0.4,"Low",
 IF(AK124&lt;=0.6,"Medium",
 IF(AK124&lt;=0.8,"High","Critical")))))</f>
        <v>Very Low</v>
      </c>
      <c r="AM124" t="str">
        <f>IF(MAX(X124:AA124)&gt;0.9,"CRITICAL ALERT",
 IF(AK124&gt;0.8,"CRITICAL ALERT",
 IF(AK124&gt;0.6,"ALERT",
 IF(AK124&gt;=0.4,"REVIEW","NO ACTION"))))</f>
        <v>NO ACTION</v>
      </c>
      <c r="AN124" t="str">
        <f>IF(AM124="NO ACTION","",
 IF(_xlfn.TEXTJOIN(", ", TRUE,
  IF(X124&gt;0.7,"Login anomaly",""),
  IF(Y124&gt;0.7,"File anomaly",""),
  IF(Z124&gt;0.7,"Network anomaly",""),
  IF(AA124&gt;0.7,"USB anomaly","")
 )="",
 "General anomaly detected",
 _xlfn.TEXTJOIN(", ", TRUE,
  IF(X124&gt;0.7,"Login anomaly",""),
  IF(Y124&gt;0.7,"File anomaly",""),
  IF(Z124&gt;0.7,"Network anomaly",""),
  IF(AA124&gt;0.7,"USB anomaly","")
 )))</f>
        <v/>
      </c>
    </row>
    <row r="125" spans="1:40" x14ac:dyDescent="0.3">
      <c r="A125" t="s">
        <v>148</v>
      </c>
      <c r="B125">
        <v>0.12892249527410199</v>
      </c>
      <c r="C125">
        <v>0.55429747812660801</v>
      </c>
      <c r="D125">
        <v>0</v>
      </c>
      <c r="E125">
        <v>0</v>
      </c>
      <c r="F125">
        <v>0</v>
      </c>
      <c r="G125">
        <v>0.99369165452141495</v>
      </c>
      <c r="H125">
        <v>9</v>
      </c>
      <c r="I125">
        <v>9</v>
      </c>
      <c r="J125">
        <v>0.44420590620676398</v>
      </c>
      <c r="K125">
        <v>1.6313213703099499E-2</v>
      </c>
      <c r="L125">
        <v>9.3756346636966297E-3</v>
      </c>
      <c r="M125">
        <v>4.0404040404040404E-3</v>
      </c>
      <c r="N125">
        <v>5.49375246670223E-3</v>
      </c>
      <c r="O125">
        <v>1013</v>
      </c>
      <c r="P125">
        <v>0.335542929292929</v>
      </c>
      <c r="Q125">
        <v>0.33563589186156501</v>
      </c>
      <c r="R125">
        <v>0</v>
      </c>
      <c r="S125">
        <v>0</v>
      </c>
      <c r="T125" t="s">
        <v>24</v>
      </c>
      <c r="U125">
        <v>2.26415094339622E-2</v>
      </c>
      <c r="V125">
        <v>0</v>
      </c>
      <c r="W125">
        <v>0</v>
      </c>
      <c r="X125">
        <v>0</v>
      </c>
      <c r="Y125">
        <v>9.5177124313211903E-2</v>
      </c>
      <c r="Z125">
        <v>0.203523258562438</v>
      </c>
      <c r="AA125">
        <v>0</v>
      </c>
      <c r="AB125">
        <v>2.898699976503849E-2</v>
      </c>
      <c r="AC125">
        <v>1.0689999908208849E-3</v>
      </c>
      <c r="AD125">
        <v>2.9736999422311779E-2</v>
      </c>
      <c r="AE125">
        <v>1.269000000320375E-3</v>
      </c>
      <c r="AF125">
        <f>0.16*X125 + 0.28*Y125 + 0.28*Z125 + 0.28*AA125</f>
        <v>8.3636107205181984E-2</v>
      </c>
      <c r="AG125">
        <f t="shared" si="3"/>
        <v>1.361891979817301E-2</v>
      </c>
      <c r="AH125">
        <f>IF(T125="IT_Admin", 0.25, IF(AND(T125="HR", AA125&gt;0.6), 0.25, IF(AND(T125="General", Z125&gt;0.7), 0.2, 0.1)))</f>
        <v>0.25</v>
      </c>
      <c r="AI125">
        <f>IF(V125&gt;0.7, 0.1,
 IF(F125&gt;0.5, 0.08,
 IF(E125&gt;0.5, 0.05,
 0)))</f>
        <v>0</v>
      </c>
      <c r="AJ125">
        <f t="shared" si="4"/>
        <v>3.4624076020275701E-2</v>
      </c>
      <c r="AK125">
        <f t="shared" si="5"/>
        <v>4.3280095025344627E-2</v>
      </c>
      <c r="AL125" t="str">
        <f>IF(MAX(X125, Y125, Z125, AA125)&gt;0.9,
 "Critical",
 IF(AK125&lt;=0.2,"Very Low",
 IF(AK125&lt;=0.4,"Low",
 IF(AK125&lt;=0.6,"Medium",
 IF(AK125&lt;=0.8,"High","Critical")))))</f>
        <v>Very Low</v>
      </c>
      <c r="AM125" t="str">
        <f>IF(MAX(X125:AA125)&gt;0.9,"CRITICAL ALERT",
 IF(AK125&gt;0.8,"CRITICAL ALERT",
 IF(AK125&gt;0.6,"ALERT",
 IF(AK125&gt;=0.4,"REVIEW","NO ACTION"))))</f>
        <v>NO ACTION</v>
      </c>
      <c r="AN125" t="str">
        <f>IF(AM125="NO ACTION","",
 IF(_xlfn.TEXTJOIN(", ", TRUE,
  IF(X125&gt;0.7,"Login anomaly",""),
  IF(Y125&gt;0.7,"File anomaly",""),
  IF(Z125&gt;0.7,"Network anomaly",""),
  IF(AA125&gt;0.7,"USB anomaly","")
 )="",
 "General anomaly detected",
 _xlfn.TEXTJOIN(", ", TRUE,
  IF(X125&gt;0.7,"Login anomaly",""),
  IF(Y125&gt;0.7,"File anomaly",""),
  IF(Z125&gt;0.7,"Network anomaly",""),
  IF(AA125&gt;0.7,"USB anomaly","")
 )))</f>
        <v/>
      </c>
    </row>
    <row r="126" spans="1:40" x14ac:dyDescent="0.3">
      <c r="A126" t="s">
        <v>149</v>
      </c>
      <c r="B126">
        <v>0.25973534971644602</v>
      </c>
      <c r="C126">
        <v>0.62194690502773198</v>
      </c>
      <c r="D126">
        <v>0.37693569947949701</v>
      </c>
      <c r="E126">
        <v>0</v>
      </c>
      <c r="F126">
        <v>0</v>
      </c>
      <c r="G126">
        <v>0.42115940646554201</v>
      </c>
      <c r="H126">
        <v>7</v>
      </c>
      <c r="I126">
        <v>14</v>
      </c>
      <c r="J126">
        <v>0.40699394112876203</v>
      </c>
      <c r="K126">
        <v>8.9722675367047301E-3</v>
      </c>
      <c r="L126">
        <v>5.6277971989044896E-3</v>
      </c>
      <c r="M126">
        <v>4.3290043290043203E-3</v>
      </c>
      <c r="N126">
        <v>6.4240273940367604E-3</v>
      </c>
      <c r="O126">
        <v>931</v>
      </c>
      <c r="P126">
        <v>0.30516975308641903</v>
      </c>
      <c r="Q126">
        <v>0.30527017076335</v>
      </c>
      <c r="R126">
        <v>0</v>
      </c>
      <c r="S126">
        <v>0</v>
      </c>
      <c r="T126" t="s">
        <v>24</v>
      </c>
      <c r="U126">
        <v>1.16745283018867E-2</v>
      </c>
      <c r="V126">
        <v>0</v>
      </c>
      <c r="W126">
        <v>0</v>
      </c>
      <c r="X126">
        <v>0.11308070984384901</v>
      </c>
      <c r="Y126">
        <v>8.6139895043415807E-2</v>
      </c>
      <c r="Z126">
        <v>0.185671462809466</v>
      </c>
      <c r="AA126">
        <v>0</v>
      </c>
      <c r="AB126">
        <v>3.0660999938845631E-2</v>
      </c>
      <c r="AC126">
        <v>9.679999784566462E-4</v>
      </c>
      <c r="AD126">
        <v>2.1607000380754471E-2</v>
      </c>
      <c r="AE126">
        <v>8.1690000370144844E-3</v>
      </c>
      <c r="AF126">
        <f>0.16*X126 + 0.28*Y126 + 0.28*Z126 + 0.28*AA126</f>
        <v>9.4200093773822768E-2</v>
      </c>
      <c r="AG126">
        <f t="shared" si="3"/>
        <v>1.351408010115847E-2</v>
      </c>
      <c r="AH126">
        <f>IF(T126="IT_Admin", 0.25, IF(AND(T126="HR", AA126&gt;0.6), 0.25, IF(AND(T126="General", Z126&gt;0.7), 0.2, 0.1)))</f>
        <v>0.25</v>
      </c>
      <c r="AI126">
        <f>IF(V126&gt;0.7, 0.1,
 IF(F126&gt;0.5, 0.08,
 IF(E126&gt;0.5, 0.05,
 0)))</f>
        <v>0</v>
      </c>
      <c r="AJ126">
        <f t="shared" si="4"/>
        <v>3.7719884202957757E-2</v>
      </c>
      <c r="AK126">
        <f t="shared" si="5"/>
        <v>4.7149855253697193E-2</v>
      </c>
      <c r="AL126" t="str">
        <f>IF(MAX(X126, Y126, Z126, AA126)&gt;0.9,
 "Critical",
 IF(AK126&lt;=0.2,"Very Low",
 IF(AK126&lt;=0.4,"Low",
 IF(AK126&lt;=0.6,"Medium",
 IF(AK126&lt;=0.8,"High","Critical")))))</f>
        <v>Very Low</v>
      </c>
      <c r="AM126" t="str">
        <f>IF(MAX(X126:AA126)&gt;0.9,"CRITICAL ALERT",
 IF(AK126&gt;0.8,"CRITICAL ALERT",
 IF(AK126&gt;0.6,"ALERT",
 IF(AK126&gt;=0.4,"REVIEW","NO ACTION"))))</f>
        <v>NO ACTION</v>
      </c>
      <c r="AN126" t="str">
        <f>IF(AM126="NO ACTION","",
 IF(_xlfn.TEXTJOIN(", ", TRUE,
  IF(X126&gt;0.7,"Login anomaly",""),
  IF(Y126&gt;0.7,"File anomaly",""),
  IF(Z126&gt;0.7,"Network anomaly",""),
  IF(AA126&gt;0.7,"USB anomaly","")
 )="",
 "General anomaly detected",
 _xlfn.TEXTJOIN(", ", TRUE,
  IF(X126&gt;0.7,"Login anomaly",""),
  IF(Y126&gt;0.7,"File anomaly",""),
  IF(Z126&gt;0.7,"Network anomaly",""),
  IF(AA126&gt;0.7,"USB anomaly","")
 )))</f>
        <v/>
      </c>
    </row>
    <row r="127" spans="1:40" x14ac:dyDescent="0.3">
      <c r="A127" t="s">
        <v>150</v>
      </c>
      <c r="B127">
        <v>0.12892249527410199</v>
      </c>
      <c r="C127">
        <v>0.36953165208440503</v>
      </c>
      <c r="D127">
        <v>0</v>
      </c>
      <c r="E127">
        <v>0</v>
      </c>
      <c r="F127">
        <v>0</v>
      </c>
      <c r="G127">
        <v>0.99367158249729304</v>
      </c>
      <c r="H127">
        <v>8</v>
      </c>
      <c r="I127">
        <v>8</v>
      </c>
      <c r="J127">
        <v>0.54563236486808797</v>
      </c>
      <c r="K127">
        <v>2.2022838499184301E-2</v>
      </c>
      <c r="L127">
        <v>1.0305331839839799E-2</v>
      </c>
      <c r="M127">
        <v>6.63780663780663E-3</v>
      </c>
      <c r="N127">
        <v>7.3484615173131096E-3</v>
      </c>
      <c r="O127">
        <v>1170</v>
      </c>
      <c r="P127">
        <v>0.41382575757575701</v>
      </c>
      <c r="Q127">
        <v>0.41389950559276201</v>
      </c>
      <c r="R127">
        <v>0</v>
      </c>
      <c r="S127">
        <v>0</v>
      </c>
      <c r="T127" t="s">
        <v>24</v>
      </c>
      <c r="U127">
        <v>1.9103773584905601E-2</v>
      </c>
      <c r="V127">
        <v>0</v>
      </c>
      <c r="W127">
        <v>0</v>
      </c>
      <c r="X127">
        <v>0</v>
      </c>
      <c r="Y127">
        <v>0.116483677348731</v>
      </c>
      <c r="Z127">
        <v>0.25123483915237899</v>
      </c>
      <c r="AA127">
        <v>0</v>
      </c>
      <c r="AB127">
        <v>2.474400028586388E-2</v>
      </c>
      <c r="AC127">
        <v>1.9440000178292389E-3</v>
      </c>
      <c r="AD127">
        <v>5.9581998735666282E-2</v>
      </c>
      <c r="AE127">
        <v>1.083999988622963E-3</v>
      </c>
      <c r="AF127">
        <f>0.16*X127 + 0.28*Y127 + 0.28*Z127 + 0.28*AA127</f>
        <v>0.10296118462031081</v>
      </c>
      <c r="AG127">
        <f t="shared" si="3"/>
        <v>2.1489839693531396E-2</v>
      </c>
      <c r="AH127">
        <f>IF(T127="IT_Admin", 0.25, IF(AND(T127="HR", AA127&gt;0.6), 0.25, IF(AND(T127="General", Z127&gt;0.7), 0.2, 0.1)))</f>
        <v>0.25</v>
      </c>
      <c r="AI127">
        <f>IF(V127&gt;0.7, 0.1,
 IF(F127&gt;0.5, 0.08,
 IF(E127&gt;0.5, 0.05,
 0)))</f>
        <v>0</v>
      </c>
      <c r="AJ127">
        <f t="shared" si="4"/>
        <v>4.5931243171565217E-2</v>
      </c>
      <c r="AK127">
        <f t="shared" si="5"/>
        <v>5.7414053964456521E-2</v>
      </c>
      <c r="AL127" t="str">
        <f>IF(MAX(X127, Y127, Z127, AA127)&gt;0.9,
 "Critical",
 IF(AK127&lt;=0.2,"Very Low",
 IF(AK127&lt;=0.4,"Low",
 IF(AK127&lt;=0.6,"Medium",
 IF(AK127&lt;=0.8,"High","Critical")))))</f>
        <v>Very Low</v>
      </c>
      <c r="AM127" t="str">
        <f>IF(MAX(X127:AA127)&gt;0.9,"CRITICAL ALERT",
 IF(AK127&gt;0.8,"CRITICAL ALERT",
 IF(AK127&gt;0.6,"ALERT",
 IF(AK127&gt;=0.4,"REVIEW","NO ACTION"))))</f>
        <v>NO ACTION</v>
      </c>
      <c r="AN127" t="str">
        <f>IF(AM127="NO ACTION","",
 IF(_xlfn.TEXTJOIN(", ", TRUE,
  IF(X127&gt;0.7,"Login anomaly",""),
  IF(Y127&gt;0.7,"File anomaly",""),
  IF(Z127&gt;0.7,"Network anomaly",""),
  IF(AA127&gt;0.7,"USB anomaly","")
 )="",
 "General anomaly detected",
 _xlfn.TEXTJOIN(", ", TRUE,
  IF(X127&gt;0.7,"Login anomaly",""),
  IF(Y127&gt;0.7,"File anomaly",""),
  IF(Z127&gt;0.7,"Network anomaly",""),
  IF(AA127&gt;0.7,"USB anomaly","")
 )))</f>
        <v/>
      </c>
    </row>
    <row r="128" spans="1:40" x14ac:dyDescent="0.3">
      <c r="A128" t="s">
        <v>151</v>
      </c>
      <c r="B128">
        <v>0.12892249527410199</v>
      </c>
      <c r="C128">
        <v>9.2650689580582701E-2</v>
      </c>
      <c r="D128">
        <v>7.5132489407342906E-2</v>
      </c>
      <c r="E128">
        <v>0</v>
      </c>
      <c r="F128">
        <v>0.49855072463768102</v>
      </c>
      <c r="G128">
        <v>0.99367511517353801</v>
      </c>
      <c r="H128">
        <v>6</v>
      </c>
      <c r="I128">
        <v>7</v>
      </c>
      <c r="J128">
        <v>0.55794093793235</v>
      </c>
      <c r="K128">
        <v>1.7944535073409401E-2</v>
      </c>
      <c r="L128">
        <v>8.2117738273245807E-3</v>
      </c>
      <c r="M128">
        <v>7.5036075036075001E-3</v>
      </c>
      <c r="N128">
        <v>8.1237774571107802E-3</v>
      </c>
      <c r="O128">
        <v>1248</v>
      </c>
      <c r="P128">
        <v>0.42154180695847299</v>
      </c>
      <c r="Q128">
        <v>0.42161366106805898</v>
      </c>
      <c r="R128">
        <v>0</v>
      </c>
      <c r="S128">
        <v>0</v>
      </c>
      <c r="T128" t="s">
        <v>24</v>
      </c>
      <c r="U128">
        <v>1.3836477987421301E-2</v>
      </c>
      <c r="V128">
        <v>0</v>
      </c>
      <c r="W128">
        <v>0</v>
      </c>
      <c r="X128">
        <v>0.22196003667727501</v>
      </c>
      <c r="Y128">
        <v>0.118131207737265</v>
      </c>
      <c r="Z128">
        <v>0.25617459515792801</v>
      </c>
      <c r="AA128">
        <v>0</v>
      </c>
      <c r="AB128">
        <v>4.5396998524665833E-2</v>
      </c>
      <c r="AC128">
        <v>2.103999955579638E-3</v>
      </c>
      <c r="AD128">
        <v>6.3105002045631409E-2</v>
      </c>
      <c r="AE128">
        <v>8.0300000263378024E-4</v>
      </c>
      <c r="AF128">
        <f>0.16*X128 + 0.28*Y128 + 0.28*Z128 + 0.28*AA128</f>
        <v>0.14031923067901805</v>
      </c>
      <c r="AG128">
        <f t="shared" si="3"/>
        <v>2.5746880325023088E-2</v>
      </c>
      <c r="AH128">
        <f>IF(T128="IT_Admin", 0.25, IF(AND(T128="HR", AA128&gt;0.6), 0.25, IF(AND(T128="General", Z128&gt;0.7), 0.2, 0.1)))</f>
        <v>0.25</v>
      </c>
      <c r="AI128">
        <f>IF(V128&gt;0.7, 0.1,
 IF(F128&gt;0.5, 0.08,
 IF(E128&gt;0.5, 0.05,
 0)))</f>
        <v>0</v>
      </c>
      <c r="AJ128">
        <f t="shared" si="4"/>
        <v>6.0118585431221574E-2</v>
      </c>
      <c r="AK128">
        <f t="shared" si="5"/>
        <v>7.5148231789026965E-2</v>
      </c>
      <c r="AL128" t="str">
        <f>IF(MAX(X128, Y128, Z128, AA128)&gt;0.9,
 "Critical",
 IF(AK128&lt;=0.2,"Very Low",
 IF(AK128&lt;=0.4,"Low",
 IF(AK128&lt;=0.6,"Medium",
 IF(AK128&lt;=0.8,"High","Critical")))))</f>
        <v>Very Low</v>
      </c>
      <c r="AM128" t="str">
        <f>IF(MAX(X128:AA128)&gt;0.9,"CRITICAL ALERT",
 IF(AK128&gt;0.8,"CRITICAL ALERT",
 IF(AK128&gt;0.6,"ALERT",
 IF(AK128&gt;=0.4,"REVIEW","NO ACTION"))))</f>
        <v>NO ACTION</v>
      </c>
      <c r="AN128" t="str">
        <f>IF(AM128="NO ACTION","",
 IF(_xlfn.TEXTJOIN(", ", TRUE,
  IF(X128&gt;0.7,"Login anomaly",""),
  IF(Y128&gt;0.7,"File anomaly",""),
  IF(Z128&gt;0.7,"Network anomaly",""),
  IF(AA128&gt;0.7,"USB anomaly","")
 )="",
 "General anomaly detected",
 _xlfn.TEXTJOIN(", ", TRUE,
  IF(X128&gt;0.7,"Login anomaly",""),
  IF(Y128&gt;0.7,"File anomaly",""),
  IF(Z128&gt;0.7,"Network anomaly",""),
  IF(AA128&gt;0.7,"USB anomaly","")
 )))</f>
        <v/>
      </c>
    </row>
    <row r="129" spans="1:40" x14ac:dyDescent="0.3">
      <c r="A129" t="s">
        <v>152</v>
      </c>
      <c r="B129">
        <v>4.0075614366729601E-2</v>
      </c>
      <c r="C129">
        <v>9.5742291676414099E-2</v>
      </c>
      <c r="D129">
        <v>0.53224081093370201</v>
      </c>
      <c r="E129">
        <v>0</v>
      </c>
      <c r="F129">
        <v>1</v>
      </c>
      <c r="G129">
        <v>0.84390414087052101</v>
      </c>
      <c r="H129">
        <v>2</v>
      </c>
      <c r="I129">
        <v>23</v>
      </c>
      <c r="J129">
        <v>8.9165593244597094E-2</v>
      </c>
      <c r="K129">
        <v>3.2626427406199001E-3</v>
      </c>
      <c r="L129">
        <v>9.3216021907148103E-3</v>
      </c>
      <c r="M129">
        <v>5.7720057720057698E-4</v>
      </c>
      <c r="N129">
        <v>3.9014939762004801E-3</v>
      </c>
      <c r="O129">
        <v>265</v>
      </c>
      <c r="P129">
        <v>6.7234848484848495E-2</v>
      </c>
      <c r="Q129">
        <v>6.73936673796416E-2</v>
      </c>
      <c r="R129">
        <v>0</v>
      </c>
      <c r="S129">
        <v>0</v>
      </c>
      <c r="T129" t="s">
        <v>49</v>
      </c>
      <c r="U129">
        <v>2.26415094339622E-2</v>
      </c>
      <c r="V129">
        <v>0</v>
      </c>
      <c r="W129">
        <v>0</v>
      </c>
      <c r="X129">
        <v>0.55967224328011</v>
      </c>
      <c r="Y129">
        <v>2.3664367937136901E-2</v>
      </c>
      <c r="Z129">
        <v>4.19015066813892E-2</v>
      </c>
      <c r="AA129">
        <v>0</v>
      </c>
      <c r="AB129">
        <v>0.29166999459266663</v>
      </c>
      <c r="AC129">
        <v>6.6800002241507173E-4</v>
      </c>
      <c r="AD129">
        <v>5.0789997912943363E-3</v>
      </c>
      <c r="AE129">
        <v>4.7749998047947884E-3</v>
      </c>
      <c r="AF129">
        <f>0.16*X129 + 0.28*Y129 + 0.28*Z129 + 0.28*AA129</f>
        <v>0.1079060038180049</v>
      </c>
      <c r="AG129">
        <f t="shared" si="3"/>
        <v>4.9613359028007835E-2</v>
      </c>
      <c r="AH129">
        <f>IF(T129="IT_Admin", 0.25, IF(AND(T129="HR", AA129&gt;0.6), 0.25, IF(AND(T129="General", Z129&gt;0.7), 0.2, 0.1)))</f>
        <v>0.1</v>
      </c>
      <c r="AI129">
        <f>IF(V129&gt;0.7, 0.1,
 IF(F129&gt;0.5, 0.08,
 IF(E129&gt;0.5, 0.05,
 0)))</f>
        <v>0.08</v>
      </c>
      <c r="AJ129">
        <f t="shared" si="4"/>
        <v>6.7101152465006947E-2</v>
      </c>
      <c r="AK129">
        <f t="shared" si="5"/>
        <v>7.9179359908708211E-2</v>
      </c>
      <c r="AL129" t="str">
        <f>IF(MAX(X129, Y129, Z129, AA129)&gt;0.9,
 "Critical",
 IF(AK129&lt;=0.2,"Very Low",
 IF(AK129&lt;=0.4,"Low",
 IF(AK129&lt;=0.6,"Medium",
 IF(AK129&lt;=0.8,"High","Critical")))))</f>
        <v>Very Low</v>
      </c>
      <c r="AM129" t="str">
        <f>IF(MAX(X129:AA129)&gt;0.9,"CRITICAL ALERT",
 IF(AK129&gt;0.8,"CRITICAL ALERT",
 IF(AK129&gt;0.6,"ALERT",
 IF(AK129&gt;=0.4,"REVIEW","NO ACTION"))))</f>
        <v>NO ACTION</v>
      </c>
      <c r="AN129" t="str">
        <f>IF(AM129="NO ACTION","",
 IF(_xlfn.TEXTJOIN(", ", TRUE,
  IF(X129&gt;0.7,"Login anomaly",""),
  IF(Y129&gt;0.7,"File anomaly",""),
  IF(Z129&gt;0.7,"Network anomaly",""),
  IF(AA129&gt;0.7,"USB anomaly","")
 )="",
 "General anomaly detected",
 _xlfn.TEXTJOIN(", ", TRUE,
  IF(X129&gt;0.7,"Login anomaly",""),
  IF(Y129&gt;0.7,"File anomaly",""),
  IF(Z129&gt;0.7,"Network anomaly",""),
  IF(AA129&gt;0.7,"USB anomaly","")
 )))</f>
        <v/>
      </c>
    </row>
    <row r="130" spans="1:40" x14ac:dyDescent="0.3">
      <c r="A130" t="s">
        <v>153</v>
      </c>
      <c r="B130">
        <v>0.12892249527410199</v>
      </c>
      <c r="C130">
        <v>0.18476582604220201</v>
      </c>
      <c r="D130">
        <v>0</v>
      </c>
      <c r="E130">
        <v>0</v>
      </c>
      <c r="F130">
        <v>0</v>
      </c>
      <c r="G130">
        <v>0.99367484754655</v>
      </c>
      <c r="H130">
        <v>7</v>
      </c>
      <c r="I130">
        <v>7</v>
      </c>
      <c r="J130">
        <v>0.48447116072706398</v>
      </c>
      <c r="K130">
        <v>1.8760195758564399E-2</v>
      </c>
      <c r="L130">
        <v>9.8863114572881397E-3</v>
      </c>
      <c r="M130">
        <v>1.47186147186147E-2</v>
      </c>
      <c r="N130">
        <v>1.8350461874083901E-2</v>
      </c>
      <c r="O130">
        <v>1121</v>
      </c>
      <c r="P130">
        <v>0.371387485970819</v>
      </c>
      <c r="Q130">
        <v>0.37147165047862801</v>
      </c>
      <c r="R130">
        <v>0</v>
      </c>
      <c r="S130">
        <v>0</v>
      </c>
      <c r="T130" t="s">
        <v>24</v>
      </c>
      <c r="U130">
        <v>7.5108853410740199E-3</v>
      </c>
      <c r="V130">
        <v>0</v>
      </c>
      <c r="W130">
        <v>0</v>
      </c>
      <c r="X130">
        <v>0</v>
      </c>
      <c r="Y130">
        <v>0.107342526436282</v>
      </c>
      <c r="Z130">
        <v>0.23017267633212499</v>
      </c>
      <c r="AA130">
        <v>0</v>
      </c>
      <c r="AB130">
        <v>3.6635000258684158E-2</v>
      </c>
      <c r="AC130">
        <v>1.7140000127255921E-3</v>
      </c>
      <c r="AD130">
        <v>4.3048001825809479E-2</v>
      </c>
      <c r="AE130">
        <v>1.198000041767955E-3</v>
      </c>
      <c r="AF130">
        <f>0.16*X130 + 0.28*Y130 + 0.28*Z130 + 0.28*AA130</f>
        <v>9.4504256775153964E-2</v>
      </c>
      <c r="AG130">
        <f t="shared" si="3"/>
        <v>1.8730400567874311E-2</v>
      </c>
      <c r="AH130">
        <f>IF(T130="IT_Admin", 0.25, IF(AND(T130="HR", AA130&gt;0.6), 0.25, IF(AND(T130="General", Z130&gt;0.7), 0.2, 0.1)))</f>
        <v>0.25</v>
      </c>
      <c r="AI130">
        <f>IF(V130&gt;0.7, 0.1,
 IF(F130&gt;0.5, 0.08,
 IF(E130&gt;0.5, 0.05,
 0)))</f>
        <v>0</v>
      </c>
      <c r="AJ130">
        <f t="shared" si="4"/>
        <v>4.1462557430058208E-2</v>
      </c>
      <c r="AK130">
        <f t="shared" si="5"/>
        <v>5.1828196787572764E-2</v>
      </c>
      <c r="AL130" t="str">
        <f>IF(MAX(X130, Y130, Z130, AA130)&gt;0.9,
 "Critical",
 IF(AK130&lt;=0.2,"Very Low",
 IF(AK130&lt;=0.4,"Low",
 IF(AK130&lt;=0.6,"Medium",
 IF(AK130&lt;=0.8,"High","Critical")))))</f>
        <v>Very Low</v>
      </c>
      <c r="AM130" t="str">
        <f>IF(MAX(X130:AA130)&gt;0.9,"CRITICAL ALERT",
 IF(AK130&gt;0.8,"CRITICAL ALERT",
 IF(AK130&gt;0.6,"ALERT",
 IF(AK130&gt;=0.4,"REVIEW","NO ACTION"))))</f>
        <v>NO ACTION</v>
      </c>
      <c r="AN130" t="str">
        <f>IF(AM130="NO ACTION","",
 IF(_xlfn.TEXTJOIN(", ", TRUE,
  IF(X130&gt;0.7,"Login anomaly",""),
  IF(Y130&gt;0.7,"File anomaly",""),
  IF(Z130&gt;0.7,"Network anomaly",""),
  IF(AA130&gt;0.7,"USB anomaly","")
 )="",
 "General anomaly detected",
 _xlfn.TEXTJOIN(", ", TRUE,
  IF(X130&gt;0.7,"Login anomaly",""),
  IF(Y130&gt;0.7,"File anomaly",""),
  IF(Z130&gt;0.7,"Network anomaly",""),
  IF(AA130&gt;0.7,"USB anomaly","")
 )))</f>
        <v/>
      </c>
    </row>
    <row r="131" spans="1:40" x14ac:dyDescent="0.3">
      <c r="A131" t="s">
        <v>154</v>
      </c>
      <c r="B131">
        <v>0.23742911153119001</v>
      </c>
      <c r="C131">
        <v>0.77034486016013304</v>
      </c>
      <c r="D131">
        <v>0.36524612517072003</v>
      </c>
      <c r="E131">
        <v>0</v>
      </c>
      <c r="F131">
        <v>0</v>
      </c>
      <c r="G131">
        <v>0.47445203818235798</v>
      </c>
      <c r="H131">
        <v>8</v>
      </c>
      <c r="I131">
        <v>14</v>
      </c>
      <c r="J131">
        <v>0.43452125375697698</v>
      </c>
      <c r="K131">
        <v>1.6313213703099499E-2</v>
      </c>
      <c r="L131">
        <v>9.5844850792272396E-3</v>
      </c>
      <c r="M131">
        <v>1.0678210678210599E-2</v>
      </c>
      <c r="N131">
        <v>1.4842630819806199E-2</v>
      </c>
      <c r="O131">
        <v>1049</v>
      </c>
      <c r="P131">
        <v>0.33164983164983097</v>
      </c>
      <c r="Q131">
        <v>0.33174374978084697</v>
      </c>
      <c r="R131">
        <v>0.87315634218288996</v>
      </c>
      <c r="S131">
        <v>1</v>
      </c>
      <c r="T131" t="s">
        <v>24</v>
      </c>
      <c r="U131">
        <v>8.9374379344587807E-3</v>
      </c>
      <c r="V131">
        <v>0</v>
      </c>
      <c r="W131">
        <v>0</v>
      </c>
      <c r="X131">
        <v>0.109573837551216</v>
      </c>
      <c r="Y131">
        <v>9.6149282536950903E-2</v>
      </c>
      <c r="Z131">
        <v>0.20492695131782099</v>
      </c>
      <c r="AA131">
        <v>0.87315634218288996</v>
      </c>
      <c r="AB131">
        <v>3.766699880361557E-2</v>
      </c>
      <c r="AC131">
        <v>1.226000022143126E-3</v>
      </c>
      <c r="AD131">
        <v>3.1137999147176739E-2</v>
      </c>
      <c r="AE131">
        <v>0.77052402496337891</v>
      </c>
      <c r="AF131">
        <f>0.16*X131 + 0.28*Y131 + 0.28*Z131 + 0.28*AA131</f>
        <v>0.34631693529873991</v>
      </c>
      <c r="AG131">
        <f t="shared" ref="AG131:AG194" si="6">0.16*AB131 + 0.28*AC131 + 0.28*AD131 + 0.28*AE131</f>
        <v>0.23083536656573417</v>
      </c>
      <c r="AH131">
        <f>IF(T131="IT_Admin", 0.25, IF(AND(T131="HR", AA131&gt;0.6), 0.25, IF(AND(T131="General", Z131&gt;0.7), 0.2, 0.1)))</f>
        <v>0.25</v>
      </c>
      <c r="AI131">
        <f>IF(V131&gt;0.7, 0.1,
 IF(F131&gt;0.5, 0.08,
 IF(E131&gt;0.5, 0.05,
 0)))</f>
        <v>0</v>
      </c>
      <c r="AJ131">
        <f t="shared" ref="AJ131:AJ194" si="7">0.3*AF131+0.7*AG131</f>
        <v>0.26547983718563589</v>
      </c>
      <c r="AK131">
        <f t="shared" ref="AK131:AK194" si="8">MIN(1,AJ131*(1+AH131+AI131))</f>
        <v>0.33184979648204488</v>
      </c>
      <c r="AL131" t="str">
        <f>IF(MAX(X131, Y131, Z131, AA131)&gt;0.9,
 "Critical",
 IF(AK131&lt;=0.2,"Very Low",
 IF(AK131&lt;=0.4,"Low",
 IF(AK131&lt;=0.6,"Medium",
 IF(AK131&lt;=0.8,"High","Critical")))))</f>
        <v>Low</v>
      </c>
      <c r="AM131" t="str">
        <f>IF(MAX(X131:AA131)&gt;0.9,"CRITICAL ALERT",
 IF(AK131&gt;0.8,"CRITICAL ALERT",
 IF(AK131&gt;0.6,"ALERT",
 IF(AK131&gt;=0.4,"REVIEW","NO ACTION"))))</f>
        <v>NO ACTION</v>
      </c>
      <c r="AN131" t="str">
        <f>IF(AM131="NO ACTION","",
 IF(_xlfn.TEXTJOIN(", ", TRUE,
  IF(X131&gt;0.7,"Login anomaly",""),
  IF(Y131&gt;0.7,"File anomaly",""),
  IF(Z131&gt;0.7,"Network anomaly",""),
  IF(AA131&gt;0.7,"USB anomaly","")
 )="",
 "General anomaly detected",
 _xlfn.TEXTJOIN(", ", TRUE,
  IF(X131&gt;0.7,"Login anomaly",""),
  IF(Y131&gt;0.7,"File anomaly",""),
  IF(Z131&gt;0.7,"Network anomaly",""),
  IF(AA131&gt;0.7,"USB anomaly","")
 )))</f>
        <v/>
      </c>
    </row>
    <row r="132" spans="1:40" x14ac:dyDescent="0.3">
      <c r="A132" t="s">
        <v>155</v>
      </c>
      <c r="B132">
        <v>0.12892249527410199</v>
      </c>
      <c r="C132">
        <v>0.26670545324352701</v>
      </c>
      <c r="D132">
        <v>7.4651206918551496E-2</v>
      </c>
      <c r="E132">
        <v>0</v>
      </c>
      <c r="F132">
        <v>0</v>
      </c>
      <c r="G132">
        <v>0.99367439258067003</v>
      </c>
      <c r="H132">
        <v>7</v>
      </c>
      <c r="I132">
        <v>8</v>
      </c>
      <c r="J132">
        <v>0.35890463241257498</v>
      </c>
      <c r="K132">
        <v>2.5285481239804199E-2</v>
      </c>
      <c r="L132">
        <v>1.7983832281727698E-2</v>
      </c>
      <c r="M132">
        <v>3.8383838383838298E-2</v>
      </c>
      <c r="N132">
        <v>6.4586620723708896E-2</v>
      </c>
      <c r="O132">
        <v>972</v>
      </c>
      <c r="P132">
        <v>0.29338524130190702</v>
      </c>
      <c r="Q132">
        <v>0.29348855149198699</v>
      </c>
      <c r="R132">
        <v>0</v>
      </c>
      <c r="S132">
        <v>0</v>
      </c>
      <c r="T132" t="s">
        <v>24</v>
      </c>
      <c r="U132">
        <v>3.9284708532807602E-3</v>
      </c>
      <c r="V132">
        <v>0</v>
      </c>
      <c r="W132">
        <v>0</v>
      </c>
      <c r="X132">
        <v>2.23953620755654E-2</v>
      </c>
      <c r="Y132">
        <v>0.10014882884049101</v>
      </c>
      <c r="Z132">
        <v>0.20186579307062799</v>
      </c>
      <c r="AA132">
        <v>0</v>
      </c>
      <c r="AB132">
        <v>1.909999921917915E-2</v>
      </c>
      <c r="AC132">
        <v>2.6579999830573802E-3</v>
      </c>
      <c r="AD132">
        <v>2.1248999983072281E-2</v>
      </c>
      <c r="AE132">
        <v>1.3899999903514979E-3</v>
      </c>
      <c r="AF132">
        <f>0.16*X132 + 0.28*Y132 + 0.28*Z132 + 0.28*AA132</f>
        <v>8.8147352067203782E-2</v>
      </c>
      <c r="AG132">
        <f t="shared" si="6"/>
        <v>1.0139159862883388E-2</v>
      </c>
      <c r="AH132">
        <f>IF(T132="IT_Admin", 0.25, IF(AND(T132="HR", AA132&gt;0.6), 0.25, IF(AND(T132="General", Z132&gt;0.7), 0.2, 0.1)))</f>
        <v>0.25</v>
      </c>
      <c r="AI132">
        <f>IF(V132&gt;0.7, 0.1,
 IF(F132&gt;0.5, 0.08,
 IF(E132&gt;0.5, 0.05,
 0)))</f>
        <v>0</v>
      </c>
      <c r="AJ132">
        <f t="shared" si="7"/>
        <v>3.3541617524179501E-2</v>
      </c>
      <c r="AK132">
        <f t="shared" si="8"/>
        <v>4.1927021905224376E-2</v>
      </c>
      <c r="AL132" t="str">
        <f>IF(MAX(X132, Y132, Z132, AA132)&gt;0.9,
 "Critical",
 IF(AK132&lt;=0.2,"Very Low",
 IF(AK132&lt;=0.4,"Low",
 IF(AK132&lt;=0.6,"Medium",
 IF(AK132&lt;=0.8,"High","Critical")))))</f>
        <v>Very Low</v>
      </c>
      <c r="AM132" t="str">
        <f>IF(MAX(X132:AA132)&gt;0.9,"CRITICAL ALERT",
 IF(AK132&gt;0.8,"CRITICAL ALERT",
 IF(AK132&gt;0.6,"ALERT",
 IF(AK132&gt;=0.4,"REVIEW","NO ACTION"))))</f>
        <v>NO ACTION</v>
      </c>
      <c r="AN132" t="str">
        <f>IF(AM132="NO ACTION","",
 IF(_xlfn.TEXTJOIN(", ", TRUE,
  IF(X132&gt;0.7,"Login anomaly",""),
  IF(Y132&gt;0.7,"File anomaly",""),
  IF(Z132&gt;0.7,"Network anomaly",""),
  IF(AA132&gt;0.7,"USB anomaly","")
 )="",
 "General anomaly detected",
 _xlfn.TEXTJOIN(", ", TRUE,
  IF(X132&gt;0.7,"Login anomaly",""),
  IF(Y132&gt;0.7,"File anomaly",""),
  IF(Z132&gt;0.7,"Network anomaly",""),
  IF(AA132&gt;0.7,"USB anomaly","")
 )))</f>
        <v/>
      </c>
    </row>
    <row r="133" spans="1:40" x14ac:dyDescent="0.3">
      <c r="A133" t="s">
        <v>156</v>
      </c>
      <c r="B133">
        <v>0.237807183364839</v>
      </c>
      <c r="C133">
        <v>0.66404779501739497</v>
      </c>
      <c r="D133">
        <v>0.36640724339243802</v>
      </c>
      <c r="E133">
        <v>0</v>
      </c>
      <c r="F133">
        <v>0</v>
      </c>
      <c r="G133">
        <v>0.47314891225526101</v>
      </c>
      <c r="H133">
        <v>7</v>
      </c>
      <c r="I133">
        <v>16</v>
      </c>
      <c r="J133">
        <v>0.46033109107389902</v>
      </c>
      <c r="K133">
        <v>1.71288743882544E-2</v>
      </c>
      <c r="L133">
        <v>9.4997496533403402E-3</v>
      </c>
      <c r="M133">
        <v>4.6176046176046098E-3</v>
      </c>
      <c r="N133">
        <v>6.0587526094051797E-3</v>
      </c>
      <c r="O133">
        <v>1095</v>
      </c>
      <c r="P133">
        <v>0.34802890011223298</v>
      </c>
      <c r="Q133">
        <v>0.348118797994319</v>
      </c>
      <c r="R133">
        <v>0</v>
      </c>
      <c r="S133">
        <v>0</v>
      </c>
      <c r="T133" t="s">
        <v>24</v>
      </c>
      <c r="U133">
        <v>2.09766925638179E-2</v>
      </c>
      <c r="V133">
        <v>0</v>
      </c>
      <c r="W133">
        <v>0</v>
      </c>
      <c r="X133">
        <v>0.109922173017731</v>
      </c>
      <c r="Y133">
        <v>9.8633718824271494E-2</v>
      </c>
      <c r="Z133">
        <v>0.211240841111102</v>
      </c>
      <c r="AA133">
        <v>0</v>
      </c>
      <c r="AB133">
        <v>3.0814999714493752E-2</v>
      </c>
      <c r="AC133">
        <v>1.140999956987798E-3</v>
      </c>
      <c r="AD133">
        <v>3.4393999725580222E-2</v>
      </c>
      <c r="AE133">
        <v>6.6559999249875554E-3</v>
      </c>
      <c r="AF133">
        <f>0.16*X133 + 0.28*Y133 + 0.28*Z133 + 0.28*AA133</f>
        <v>0.10435242446474155</v>
      </c>
      <c r="AG133">
        <f t="shared" si="6"/>
        <v>1.6743879844434564E-2</v>
      </c>
      <c r="AH133">
        <f>IF(T133="IT_Admin", 0.25, IF(AND(T133="HR", AA133&gt;0.6), 0.25, IF(AND(T133="General", Z133&gt;0.7), 0.2, 0.1)))</f>
        <v>0.25</v>
      </c>
      <c r="AI133">
        <f>IF(V133&gt;0.7, 0.1,
 IF(F133&gt;0.5, 0.08,
 IF(E133&gt;0.5, 0.05,
 0)))</f>
        <v>0</v>
      </c>
      <c r="AJ133">
        <f t="shared" si="7"/>
        <v>4.3026443230526651E-2</v>
      </c>
      <c r="AK133">
        <f t="shared" si="8"/>
        <v>5.3783054038158314E-2</v>
      </c>
      <c r="AL133" t="str">
        <f>IF(MAX(X133, Y133, Z133, AA133)&gt;0.9,
 "Critical",
 IF(AK133&lt;=0.2,"Very Low",
 IF(AK133&lt;=0.4,"Low",
 IF(AK133&lt;=0.6,"Medium",
 IF(AK133&lt;=0.8,"High","Critical")))))</f>
        <v>Very Low</v>
      </c>
      <c r="AM133" t="str">
        <f>IF(MAX(X133:AA133)&gt;0.9,"CRITICAL ALERT",
 IF(AK133&gt;0.8,"CRITICAL ALERT",
 IF(AK133&gt;0.6,"ALERT",
 IF(AK133&gt;=0.4,"REVIEW","NO ACTION"))))</f>
        <v>NO ACTION</v>
      </c>
      <c r="AN133" t="str">
        <f>IF(AM133="NO ACTION","",
 IF(_xlfn.TEXTJOIN(", ", TRUE,
  IF(X133&gt;0.7,"Login anomaly",""),
  IF(Y133&gt;0.7,"File anomaly",""),
  IF(Z133&gt;0.7,"Network anomaly",""),
  IF(AA133&gt;0.7,"USB anomaly","")
 )="",
 "General anomaly detected",
 _xlfn.TEXTJOIN(", ", TRUE,
  IF(X133&gt;0.7,"Login anomaly",""),
  IF(Y133&gt;0.7,"File anomaly",""),
  IF(Z133&gt;0.7,"Network anomaly",""),
  IF(AA133&gt;0.7,"USB anomaly","")
 )))</f>
        <v/>
      </c>
    </row>
    <row r="134" spans="1:40" x14ac:dyDescent="0.3">
      <c r="A134" t="s">
        <v>157</v>
      </c>
      <c r="B134">
        <v>2.0793950850661599E-2</v>
      </c>
      <c r="C134">
        <v>0.44782225633957501</v>
      </c>
      <c r="D134">
        <v>7.4782285312506205E-2</v>
      </c>
      <c r="E134">
        <v>0</v>
      </c>
      <c r="F134">
        <v>0</v>
      </c>
      <c r="G134">
        <v>0.94841201417588405</v>
      </c>
      <c r="H134">
        <v>8</v>
      </c>
      <c r="I134">
        <v>9</v>
      </c>
      <c r="J134">
        <v>2.4521730833452601E-2</v>
      </c>
      <c r="K134">
        <v>8.1566068515497503E-4</v>
      </c>
      <c r="L134">
        <v>8.4145869486510396E-3</v>
      </c>
      <c r="M134">
        <v>5.7720057720057698E-4</v>
      </c>
      <c r="N134">
        <v>1.4087475359151599E-2</v>
      </c>
      <c r="O134">
        <v>123</v>
      </c>
      <c r="P134">
        <v>1.86588103254769E-2</v>
      </c>
      <c r="Q134">
        <v>1.8829552228339E-2</v>
      </c>
      <c r="R134">
        <v>0</v>
      </c>
      <c r="S134">
        <v>0</v>
      </c>
      <c r="T134" t="s">
        <v>49</v>
      </c>
      <c r="U134">
        <v>5.6603773584905596E-3</v>
      </c>
      <c r="V134">
        <v>0</v>
      </c>
      <c r="W134">
        <v>0</v>
      </c>
      <c r="X134">
        <v>2.2434685593751801E-2</v>
      </c>
      <c r="Y134">
        <v>1.33378822487615E-2</v>
      </c>
      <c r="Z134">
        <v>1.6830276338946799E-2</v>
      </c>
      <c r="AA134">
        <v>0</v>
      </c>
      <c r="AB134">
        <v>3.1860999763011932E-2</v>
      </c>
      <c r="AC134">
        <v>1.154000055976212E-3</v>
      </c>
      <c r="AD134">
        <v>1.3031000271439551E-2</v>
      </c>
      <c r="AE134">
        <v>3.5000001080334191E-3</v>
      </c>
      <c r="AF134">
        <f>0.16*X134 + 0.28*Y134 + 0.28*Z134 + 0.28*AA134</f>
        <v>1.2036634099558612E-2</v>
      </c>
      <c r="AG134">
        <f t="shared" si="6"/>
        <v>1.004956008400768E-2</v>
      </c>
      <c r="AH134">
        <f>IF(T134="IT_Admin", 0.25, IF(AND(T134="HR", AA134&gt;0.6), 0.25, IF(AND(T134="General", Z134&gt;0.7), 0.2, 0.1)))</f>
        <v>0.1</v>
      </c>
      <c r="AI134">
        <f>IF(V134&gt;0.7, 0.1,
 IF(F134&gt;0.5, 0.08,
 IF(E134&gt;0.5, 0.05,
 0)))</f>
        <v>0</v>
      </c>
      <c r="AJ134">
        <f t="shared" si="7"/>
        <v>1.0645682288672959E-2</v>
      </c>
      <c r="AK134">
        <f t="shared" si="8"/>
        <v>1.1710250517540256E-2</v>
      </c>
      <c r="AL134" t="str">
        <f>IF(MAX(X134, Y134, Z134, AA134)&gt;0.9,
 "Critical",
 IF(AK134&lt;=0.2,"Very Low",
 IF(AK134&lt;=0.4,"Low",
 IF(AK134&lt;=0.6,"Medium",
 IF(AK134&lt;=0.8,"High","Critical")))))</f>
        <v>Very Low</v>
      </c>
      <c r="AM134" t="str">
        <f>IF(MAX(X134:AA134)&gt;0.9,"CRITICAL ALERT",
 IF(AK134&gt;0.8,"CRITICAL ALERT",
 IF(AK134&gt;0.6,"ALERT",
 IF(AK134&gt;=0.4,"REVIEW","NO ACTION"))))</f>
        <v>NO ACTION</v>
      </c>
      <c r="AN134" t="str">
        <f>IF(AM134="NO ACTION","",
 IF(_xlfn.TEXTJOIN(", ", TRUE,
  IF(X134&gt;0.7,"Login anomaly",""),
  IF(Y134&gt;0.7,"File anomaly",""),
  IF(Z134&gt;0.7,"Network anomaly",""),
  IF(AA134&gt;0.7,"USB anomaly","")
 )="",
 "General anomaly detected",
 _xlfn.TEXTJOIN(", ", TRUE,
  IF(X134&gt;0.7,"Login anomaly",""),
  IF(Y134&gt;0.7,"File anomaly",""),
  IF(Z134&gt;0.7,"Network anomaly",""),
  IF(AA134&gt;0.7,"USB anomaly","")
 )))</f>
        <v/>
      </c>
    </row>
    <row r="135" spans="1:40" x14ac:dyDescent="0.3">
      <c r="A135" t="s">
        <v>158</v>
      </c>
      <c r="B135">
        <v>5.1795841209829802E-2</v>
      </c>
      <c r="C135">
        <v>0.36953165208440503</v>
      </c>
      <c r="D135">
        <v>0</v>
      </c>
      <c r="E135">
        <v>0</v>
      </c>
      <c r="F135">
        <v>0</v>
      </c>
      <c r="G135">
        <v>0.98206366255567501</v>
      </c>
      <c r="H135">
        <v>8</v>
      </c>
      <c r="I135">
        <v>8</v>
      </c>
      <c r="J135">
        <v>0.109107389914603</v>
      </c>
      <c r="K135">
        <v>1.6313213703099501E-3</v>
      </c>
      <c r="L135">
        <v>3.8107946128707599E-3</v>
      </c>
      <c r="M135">
        <v>1.1544011544011501E-3</v>
      </c>
      <c r="N135">
        <v>6.3799299401393599E-3</v>
      </c>
      <c r="O135">
        <v>348</v>
      </c>
      <c r="P135">
        <v>8.1474466891133496E-2</v>
      </c>
      <c r="Q135">
        <v>8.1629790665871796E-2</v>
      </c>
      <c r="R135">
        <v>0</v>
      </c>
      <c r="S135">
        <v>0</v>
      </c>
      <c r="T135" t="s">
        <v>24</v>
      </c>
      <c r="U135">
        <v>6.7924528301886696E-3</v>
      </c>
      <c r="V135">
        <v>0</v>
      </c>
      <c r="W135">
        <v>0</v>
      </c>
      <c r="X135">
        <v>0</v>
      </c>
      <c r="Y135">
        <v>2.5640854271397801E-2</v>
      </c>
      <c r="Z135">
        <v>5.1436652110735802E-2</v>
      </c>
      <c r="AA135">
        <v>0</v>
      </c>
      <c r="AB135">
        <v>3.6734998226165771E-2</v>
      </c>
      <c r="AC135">
        <v>9.7599998116493225E-4</v>
      </c>
      <c r="AD135">
        <v>3.4580000210553412E-3</v>
      </c>
      <c r="AE135">
        <v>2.5979999918490648E-3</v>
      </c>
      <c r="AF135">
        <f>0.16*X135 + 0.28*Y135 + 0.28*Z135 + 0.28*AA135</f>
        <v>2.158170178699741E-2</v>
      </c>
      <c r="AG135">
        <f t="shared" si="6"/>
        <v>7.8465597145259396E-3</v>
      </c>
      <c r="AH135">
        <f>IF(T135="IT_Admin", 0.25, IF(AND(T135="HR", AA135&gt;0.6), 0.25, IF(AND(T135="General", Z135&gt;0.7), 0.2, 0.1)))</f>
        <v>0.25</v>
      </c>
      <c r="AI135">
        <f>IF(V135&gt;0.7, 0.1,
 IF(F135&gt;0.5, 0.08,
 IF(E135&gt;0.5, 0.05,
 0)))</f>
        <v>0</v>
      </c>
      <c r="AJ135">
        <f t="shared" si="7"/>
        <v>1.1967102336267379E-2</v>
      </c>
      <c r="AK135">
        <f t="shared" si="8"/>
        <v>1.4958877920334224E-2</v>
      </c>
      <c r="AL135" t="str">
        <f>IF(MAX(X135, Y135, Z135, AA135)&gt;0.9,
 "Critical",
 IF(AK135&lt;=0.2,"Very Low",
 IF(AK135&lt;=0.4,"Low",
 IF(AK135&lt;=0.6,"Medium",
 IF(AK135&lt;=0.8,"High","Critical")))))</f>
        <v>Very Low</v>
      </c>
      <c r="AM135" t="str">
        <f>IF(MAX(X135:AA135)&gt;0.9,"CRITICAL ALERT",
 IF(AK135&gt;0.8,"CRITICAL ALERT",
 IF(AK135&gt;0.6,"ALERT",
 IF(AK135&gt;=0.4,"REVIEW","NO ACTION"))))</f>
        <v>NO ACTION</v>
      </c>
      <c r="AN135" t="str">
        <f>IF(AM135="NO ACTION","",
 IF(_xlfn.TEXTJOIN(", ", TRUE,
  IF(X135&gt;0.7,"Login anomaly",""),
  IF(Y135&gt;0.7,"File anomaly",""),
  IF(Z135&gt;0.7,"Network anomaly",""),
  IF(AA135&gt;0.7,"USB anomaly","")
 )="",
 "General anomaly detected",
 _xlfn.TEXTJOIN(", ", TRUE,
  IF(X135&gt;0.7,"Login anomaly",""),
  IF(Y135&gt;0.7,"File anomaly",""),
  IF(Z135&gt;0.7,"Network anomaly",""),
  IF(AA135&gt;0.7,"USB anomaly","")
 )))</f>
        <v/>
      </c>
    </row>
    <row r="136" spans="1:40" x14ac:dyDescent="0.3">
      <c r="A136" t="s">
        <v>159</v>
      </c>
      <c r="B136">
        <v>0.12892249527410199</v>
      </c>
      <c r="C136">
        <v>0.18476582604220201</v>
      </c>
      <c r="D136">
        <v>0</v>
      </c>
      <c r="E136">
        <v>0</v>
      </c>
      <c r="F136">
        <v>0</v>
      </c>
      <c r="G136">
        <v>0.99366930766789197</v>
      </c>
      <c r="H136">
        <v>7</v>
      </c>
      <c r="I136">
        <v>7</v>
      </c>
      <c r="J136">
        <v>0.56118505796479101</v>
      </c>
      <c r="K136">
        <v>2.0391517128874301E-2</v>
      </c>
      <c r="L136">
        <v>9.2776398418377998E-3</v>
      </c>
      <c r="M136">
        <v>7.2150072150072098E-3</v>
      </c>
      <c r="N136">
        <v>7.7661876608171596E-3</v>
      </c>
      <c r="O136">
        <v>1239</v>
      </c>
      <c r="P136">
        <v>0.42483866442199703</v>
      </c>
      <c r="Q136">
        <v>0.424909709316595</v>
      </c>
      <c r="R136">
        <v>0</v>
      </c>
      <c r="S136">
        <v>0</v>
      </c>
      <c r="T136" t="s">
        <v>24</v>
      </c>
      <c r="U136">
        <v>1.63280116110304E-2</v>
      </c>
      <c r="V136">
        <v>0</v>
      </c>
      <c r="W136">
        <v>0</v>
      </c>
      <c r="X136">
        <v>0</v>
      </c>
      <c r="Y136">
        <v>0.119205687812122</v>
      </c>
      <c r="Z136">
        <v>0.25800967371752498</v>
      </c>
      <c r="AA136">
        <v>0</v>
      </c>
      <c r="AB136">
        <v>3.6695998162031167E-2</v>
      </c>
      <c r="AC136">
        <v>2.1110000088810921E-3</v>
      </c>
      <c r="AD136">
        <v>6.461700052022934E-2</v>
      </c>
      <c r="AE136">
        <v>1.0989999864250419E-3</v>
      </c>
      <c r="AF136">
        <f>0.16*X136 + 0.28*Y136 + 0.28*Z136 + 0.28*AA136</f>
        <v>0.10562030122830116</v>
      </c>
      <c r="AG136">
        <f t="shared" si="6"/>
        <v>2.4862919850274917E-2</v>
      </c>
      <c r="AH136">
        <f>IF(T136="IT_Admin", 0.25, IF(AND(T136="HR", AA136&gt;0.6), 0.25, IF(AND(T136="General", Z136&gt;0.7), 0.2, 0.1)))</f>
        <v>0.25</v>
      </c>
      <c r="AI136">
        <f>IF(V136&gt;0.7, 0.1,
 IF(F136&gt;0.5, 0.08,
 IF(E136&gt;0.5, 0.05,
 0)))</f>
        <v>0</v>
      </c>
      <c r="AJ136">
        <f t="shared" si="7"/>
        <v>4.9090134263682784E-2</v>
      </c>
      <c r="AK136">
        <f t="shared" si="8"/>
        <v>6.1362667829603479E-2</v>
      </c>
      <c r="AL136" t="str">
        <f>IF(MAX(X136, Y136, Z136, AA136)&gt;0.9,
 "Critical",
 IF(AK136&lt;=0.2,"Very Low",
 IF(AK136&lt;=0.4,"Low",
 IF(AK136&lt;=0.6,"Medium",
 IF(AK136&lt;=0.8,"High","Critical")))))</f>
        <v>Very Low</v>
      </c>
      <c r="AM136" t="str">
        <f>IF(MAX(X136:AA136)&gt;0.9,"CRITICAL ALERT",
 IF(AK136&gt;0.8,"CRITICAL ALERT",
 IF(AK136&gt;0.6,"ALERT",
 IF(AK136&gt;=0.4,"REVIEW","NO ACTION"))))</f>
        <v>NO ACTION</v>
      </c>
      <c r="AN136" t="str">
        <f>IF(AM136="NO ACTION","",
 IF(_xlfn.TEXTJOIN(", ", TRUE,
  IF(X136&gt;0.7,"Login anomaly",""),
  IF(Y136&gt;0.7,"File anomaly",""),
  IF(Z136&gt;0.7,"Network anomaly",""),
  IF(AA136&gt;0.7,"USB anomaly","")
 )="",
 "General anomaly detected",
 _xlfn.TEXTJOIN(", ", TRUE,
  IF(X136&gt;0.7,"Login anomaly",""),
  IF(Y136&gt;0.7,"File anomaly",""),
  IF(Z136&gt;0.7,"Network anomaly",""),
  IF(AA136&gt;0.7,"USB anomaly","")
 )))</f>
        <v/>
      </c>
    </row>
    <row r="137" spans="1:40" x14ac:dyDescent="0.3">
      <c r="A137" t="s">
        <v>160</v>
      </c>
      <c r="B137">
        <v>0.29754253308128498</v>
      </c>
      <c r="C137">
        <v>0.68066702539441004</v>
      </c>
      <c r="D137">
        <v>0.51683832854010503</v>
      </c>
      <c r="E137">
        <v>0.28796179238657099</v>
      </c>
      <c r="F137">
        <v>5.30973451327433E-2</v>
      </c>
      <c r="G137">
        <v>0.34960075065444002</v>
      </c>
      <c r="H137">
        <v>0</v>
      </c>
      <c r="I137">
        <v>23</v>
      </c>
      <c r="J137">
        <v>0.43752683555173799</v>
      </c>
      <c r="K137">
        <v>1.9575856443719401E-2</v>
      </c>
      <c r="L137">
        <v>1.14224166338706E-2</v>
      </c>
      <c r="M137">
        <v>6.9264069264069203E-3</v>
      </c>
      <c r="N137">
        <v>9.5615514970353605E-3</v>
      </c>
      <c r="O137">
        <v>1057</v>
      </c>
      <c r="P137">
        <v>0.33343855218855201</v>
      </c>
      <c r="Q137">
        <v>0.333532031277394</v>
      </c>
      <c r="R137">
        <v>2.3598820058997001E-2</v>
      </c>
      <c r="S137">
        <v>1</v>
      </c>
      <c r="T137" t="s">
        <v>24</v>
      </c>
      <c r="U137">
        <v>1.6301886792452799E-2</v>
      </c>
      <c r="V137">
        <v>0</v>
      </c>
      <c r="W137">
        <v>1.97922483016808E-2</v>
      </c>
      <c r="X137">
        <v>0.26267897433109999</v>
      </c>
      <c r="Y137">
        <v>9.6085040876393704E-2</v>
      </c>
      <c r="Z137">
        <v>0.203887751911945</v>
      </c>
      <c r="AA137">
        <v>2.3598820058997001E-2</v>
      </c>
      <c r="AB137">
        <v>0.2187400013208389</v>
      </c>
      <c r="AC137">
        <v>1.1050000321120019E-3</v>
      </c>
      <c r="AD137">
        <v>3.1748998910188668E-2</v>
      </c>
      <c r="AE137">
        <v>6.7106001079082489E-2</v>
      </c>
      <c r="AF137">
        <f>0.16*X137 + 0.28*Y137 + 0.28*Z137 + 0.28*AA137</f>
        <v>0.13262868749022999</v>
      </c>
      <c r="AG137">
        <f t="shared" si="6"/>
        <v>6.2987200217321515E-2</v>
      </c>
      <c r="AH137">
        <f>IF(T137="IT_Admin", 0.25, IF(AND(T137="HR", AA137&gt;0.6), 0.25, IF(AND(T137="General", Z137&gt;0.7), 0.2, 0.1)))</f>
        <v>0.25</v>
      </c>
      <c r="AI137">
        <f>IF(V137&gt;0.7, 0.1,
 IF(F137&gt;0.5, 0.08,
 IF(E137&gt;0.5, 0.05,
 0)))</f>
        <v>0</v>
      </c>
      <c r="AJ137">
        <f t="shared" si="7"/>
        <v>8.3879646399194055E-2</v>
      </c>
      <c r="AK137">
        <f t="shared" si="8"/>
        <v>0.10484955799899257</v>
      </c>
      <c r="AL137" t="str">
        <f>IF(MAX(X137, Y137, Z137, AA137)&gt;0.9,
 "Critical",
 IF(AK137&lt;=0.2,"Very Low",
 IF(AK137&lt;=0.4,"Low",
 IF(AK137&lt;=0.6,"Medium",
 IF(AK137&lt;=0.8,"High","Critical")))))</f>
        <v>Very Low</v>
      </c>
      <c r="AM137" t="str">
        <f>IF(MAX(X137:AA137)&gt;0.9,"CRITICAL ALERT",
 IF(AK137&gt;0.8,"CRITICAL ALERT",
 IF(AK137&gt;0.6,"ALERT",
 IF(AK137&gt;=0.4,"REVIEW","NO ACTION"))))</f>
        <v>NO ACTION</v>
      </c>
      <c r="AN137" t="str">
        <f>IF(AM137="NO ACTION","",
 IF(_xlfn.TEXTJOIN(", ", TRUE,
  IF(X137&gt;0.7,"Login anomaly",""),
  IF(Y137&gt;0.7,"File anomaly",""),
  IF(Z137&gt;0.7,"Network anomaly",""),
  IF(AA137&gt;0.7,"USB anomaly","")
 )="",
 "General anomaly detected",
 _xlfn.TEXTJOIN(", ", TRUE,
  IF(X137&gt;0.7,"Login anomaly",""),
  IF(Y137&gt;0.7,"File anomaly",""),
  IF(Z137&gt;0.7,"Network anomaly",""),
  IF(AA137&gt;0.7,"USB anomaly","")
 )))</f>
        <v/>
      </c>
    </row>
    <row r="138" spans="1:40" x14ac:dyDescent="0.3">
      <c r="A138" t="s">
        <v>161</v>
      </c>
      <c r="B138">
        <v>0.22986767485822299</v>
      </c>
      <c r="C138">
        <v>0.47248123816347598</v>
      </c>
      <c r="D138">
        <v>0.36081151212182699</v>
      </c>
      <c r="E138">
        <v>0</v>
      </c>
      <c r="F138">
        <v>0.27124183006535901</v>
      </c>
      <c r="G138">
        <v>0.49479721178863401</v>
      </c>
      <c r="H138">
        <v>6</v>
      </c>
      <c r="I138">
        <v>13</v>
      </c>
      <c r="J138">
        <v>0.460140260483755</v>
      </c>
      <c r="K138">
        <v>1.30505709624796E-2</v>
      </c>
      <c r="L138">
        <v>7.2409046654505899E-3</v>
      </c>
      <c r="M138">
        <v>4.9062049062049001E-3</v>
      </c>
      <c r="N138">
        <v>6.4400930100411901E-3</v>
      </c>
      <c r="O138">
        <v>1075</v>
      </c>
      <c r="P138">
        <v>0.34627525252525199</v>
      </c>
      <c r="Q138">
        <v>0.34636558084084201</v>
      </c>
      <c r="R138">
        <v>0.65929203539823</v>
      </c>
      <c r="S138">
        <v>1</v>
      </c>
      <c r="T138" t="s">
        <v>24</v>
      </c>
      <c r="U138">
        <v>1.5094339622641499E-2</v>
      </c>
      <c r="V138">
        <v>0</v>
      </c>
      <c r="W138">
        <v>6.4093475522509297E-2</v>
      </c>
      <c r="X138">
        <v>0.21674018566269199</v>
      </c>
      <c r="Y138">
        <v>9.7580532332488701E-2</v>
      </c>
      <c r="Z138">
        <v>0.21034118871916799</v>
      </c>
      <c r="AA138">
        <v>0.65929203539823</v>
      </c>
      <c r="AB138">
        <v>2.3559000343084339E-2</v>
      </c>
      <c r="AC138">
        <v>1.200000056996942E-3</v>
      </c>
      <c r="AD138">
        <v>3.5413999110460281E-2</v>
      </c>
      <c r="AE138">
        <v>0.42282500863075262</v>
      </c>
      <c r="AF138">
        <f>0.16*X138 + 0.28*Y138 + 0.28*Z138 + 0.28*AA138</f>
        <v>0.30549828151199898</v>
      </c>
      <c r="AG138">
        <f t="shared" si="6"/>
        <v>0.13241236223839226</v>
      </c>
      <c r="AH138">
        <f>IF(T138="IT_Admin", 0.25, IF(AND(T138="HR", AA138&gt;0.6), 0.25, IF(AND(T138="General", Z138&gt;0.7), 0.2, 0.1)))</f>
        <v>0.25</v>
      </c>
      <c r="AI138">
        <f>IF(V138&gt;0.7, 0.1,
 IF(F138&gt;0.5, 0.08,
 IF(E138&gt;0.5, 0.05,
 0)))</f>
        <v>0</v>
      </c>
      <c r="AJ138">
        <f t="shared" si="7"/>
        <v>0.18433813802047427</v>
      </c>
      <c r="AK138">
        <f t="shared" si="8"/>
        <v>0.23042267252559284</v>
      </c>
      <c r="AL138" t="str">
        <f>IF(MAX(X138, Y138, Z138, AA138)&gt;0.9,
 "Critical",
 IF(AK138&lt;=0.2,"Very Low",
 IF(AK138&lt;=0.4,"Low",
 IF(AK138&lt;=0.6,"Medium",
 IF(AK138&lt;=0.8,"High","Critical")))))</f>
        <v>Low</v>
      </c>
      <c r="AM138" t="str">
        <f>IF(MAX(X138:AA138)&gt;0.9,"CRITICAL ALERT",
 IF(AK138&gt;0.8,"CRITICAL ALERT",
 IF(AK138&gt;0.6,"ALERT",
 IF(AK138&gt;=0.4,"REVIEW","NO ACTION"))))</f>
        <v>NO ACTION</v>
      </c>
      <c r="AN138" t="str">
        <f>IF(AM138="NO ACTION","",
 IF(_xlfn.TEXTJOIN(", ", TRUE,
  IF(X138&gt;0.7,"Login anomaly",""),
  IF(Y138&gt;0.7,"File anomaly",""),
  IF(Z138&gt;0.7,"Network anomaly",""),
  IF(AA138&gt;0.7,"USB anomaly","")
 )="",
 "General anomaly detected",
 _xlfn.TEXTJOIN(", ", TRUE,
  IF(X138&gt;0.7,"Login anomaly",""),
  IF(Y138&gt;0.7,"File anomaly",""),
  IF(Z138&gt;0.7,"Network anomaly",""),
  IF(AA138&gt;0.7,"USB anomaly","")
 )))</f>
        <v/>
      </c>
    </row>
    <row r="139" spans="1:40" x14ac:dyDescent="0.3">
      <c r="A139" t="s">
        <v>162</v>
      </c>
      <c r="B139">
        <v>0.12892249527410199</v>
      </c>
      <c r="C139">
        <v>0.36953165208440503</v>
      </c>
      <c r="D139">
        <v>0</v>
      </c>
      <c r="E139">
        <v>0</v>
      </c>
      <c r="F139">
        <v>0</v>
      </c>
      <c r="G139">
        <v>0.99368236786492103</v>
      </c>
      <c r="H139">
        <v>8</v>
      </c>
      <c r="I139">
        <v>8</v>
      </c>
      <c r="J139">
        <v>0.52320977052621498</v>
      </c>
      <c r="K139">
        <v>2.1207177814029299E-2</v>
      </c>
      <c r="L139">
        <v>1.03487455600708E-2</v>
      </c>
      <c r="M139">
        <v>8.3694083694083703E-3</v>
      </c>
      <c r="N139">
        <v>9.6623492358089494E-3</v>
      </c>
      <c r="O139">
        <v>1211</v>
      </c>
      <c r="P139">
        <v>0.39783249158249101</v>
      </c>
      <c r="Q139">
        <v>0.397910165153055</v>
      </c>
      <c r="R139">
        <v>0</v>
      </c>
      <c r="S139">
        <v>0</v>
      </c>
      <c r="T139" t="s">
        <v>24</v>
      </c>
      <c r="U139">
        <v>1.47169811320754E-2</v>
      </c>
      <c r="V139">
        <v>0</v>
      </c>
      <c r="W139">
        <v>0</v>
      </c>
      <c r="X139">
        <v>0</v>
      </c>
      <c r="Y139">
        <v>0.11271503165602099</v>
      </c>
      <c r="Z139">
        <v>0.24256443464381799</v>
      </c>
      <c r="AA139">
        <v>0</v>
      </c>
      <c r="AB139">
        <v>2.47380007058382E-2</v>
      </c>
      <c r="AC139">
        <v>1.8129999516531829E-3</v>
      </c>
      <c r="AD139">
        <v>5.2880000323057168E-2</v>
      </c>
      <c r="AE139">
        <v>1.102000009268522E-3</v>
      </c>
      <c r="AF139">
        <f>0.16*X139 + 0.28*Y139 + 0.28*Z139 + 0.28*AA139</f>
        <v>9.9478250563954929E-2</v>
      </c>
      <c r="AG139">
        <f t="shared" si="6"/>
        <v>1.9580680192448199E-2</v>
      </c>
      <c r="AH139">
        <f>IF(T139="IT_Admin", 0.25, IF(AND(T139="HR", AA139&gt;0.6), 0.25, IF(AND(T139="General", Z139&gt;0.7), 0.2, 0.1)))</f>
        <v>0.25</v>
      </c>
      <c r="AI139">
        <f>IF(V139&gt;0.7, 0.1,
 IF(F139&gt;0.5, 0.08,
 IF(E139&gt;0.5, 0.05,
 0)))</f>
        <v>0</v>
      </c>
      <c r="AJ139">
        <f t="shared" si="7"/>
        <v>4.3549951303900214E-2</v>
      </c>
      <c r="AK139">
        <f t="shared" si="8"/>
        <v>5.4437439129875267E-2</v>
      </c>
      <c r="AL139" t="str">
        <f>IF(MAX(X139, Y139, Z139, AA139)&gt;0.9,
 "Critical",
 IF(AK139&lt;=0.2,"Very Low",
 IF(AK139&lt;=0.4,"Low",
 IF(AK139&lt;=0.6,"Medium",
 IF(AK139&lt;=0.8,"High","Critical")))))</f>
        <v>Very Low</v>
      </c>
      <c r="AM139" t="str">
        <f>IF(MAX(X139:AA139)&gt;0.9,"CRITICAL ALERT",
 IF(AK139&gt;0.8,"CRITICAL ALERT",
 IF(AK139&gt;0.6,"ALERT",
 IF(AK139&gt;=0.4,"REVIEW","NO ACTION"))))</f>
        <v>NO ACTION</v>
      </c>
      <c r="AN139" t="str">
        <f>IF(AM139="NO ACTION","",
 IF(_xlfn.TEXTJOIN(", ", TRUE,
  IF(X139&gt;0.7,"Login anomaly",""),
  IF(Y139&gt;0.7,"File anomaly",""),
  IF(Z139&gt;0.7,"Network anomaly",""),
  IF(AA139&gt;0.7,"USB anomaly","")
 )="",
 "General anomaly detected",
 _xlfn.TEXTJOIN(", ", TRUE,
  IF(X139&gt;0.7,"Login anomaly",""),
  IF(Y139&gt;0.7,"File anomaly",""),
  IF(Z139&gt;0.7,"Network anomaly",""),
  IF(AA139&gt;0.7,"USB anomaly","")
 )))</f>
        <v/>
      </c>
    </row>
    <row r="140" spans="1:40" x14ac:dyDescent="0.3">
      <c r="A140" t="s">
        <v>163</v>
      </c>
      <c r="B140">
        <v>0.92589792060491505</v>
      </c>
      <c r="C140">
        <v>0.905977723455203</v>
      </c>
      <c r="D140">
        <v>0.98467516146358203</v>
      </c>
      <c r="E140">
        <v>0</v>
      </c>
      <c r="F140">
        <v>0.39869547492865798</v>
      </c>
      <c r="G140">
        <v>1.19442997443242E-2</v>
      </c>
      <c r="H140">
        <v>0</v>
      </c>
      <c r="I140">
        <v>23</v>
      </c>
      <c r="J140">
        <v>0.26368016793091897</v>
      </c>
      <c r="K140">
        <v>6.5252854812398002E-3</v>
      </c>
      <c r="L140">
        <v>6.3155034365146596E-3</v>
      </c>
      <c r="M140">
        <v>2.8860028860028799E-3</v>
      </c>
      <c r="N140">
        <v>6.6082788425521604E-3</v>
      </c>
      <c r="O140">
        <v>739</v>
      </c>
      <c r="P140">
        <v>0.19805695847362501</v>
      </c>
      <c r="Q140">
        <v>0.19818366702899801</v>
      </c>
      <c r="R140">
        <v>0</v>
      </c>
      <c r="S140">
        <v>0</v>
      </c>
      <c r="T140" t="s">
        <v>24</v>
      </c>
      <c r="U140">
        <v>1.2349914236706601E-2</v>
      </c>
      <c r="V140">
        <v>0</v>
      </c>
      <c r="W140">
        <v>0</v>
      </c>
      <c r="X140">
        <v>0.454880738410538</v>
      </c>
      <c r="Y140">
        <v>5.7876268957206801E-2</v>
      </c>
      <c r="Z140">
        <v>0.12147748662119499</v>
      </c>
      <c r="AA140">
        <v>0</v>
      </c>
      <c r="AB140">
        <v>0.92900097370147705</v>
      </c>
      <c r="AC140">
        <v>5.2800000412389636E-4</v>
      </c>
      <c r="AD140">
        <v>2.9839999042451382E-3</v>
      </c>
      <c r="AE140">
        <v>1.890500076115131E-2</v>
      </c>
      <c r="AF140">
        <f>0.16*X140 + 0.28*Y140 + 0.28*Z140 + 0.28*AA140</f>
        <v>0.1229999697076386</v>
      </c>
      <c r="AG140">
        <f t="shared" si="6"/>
        <v>0.15491691597970203</v>
      </c>
      <c r="AH140">
        <f>IF(T140="IT_Admin", 0.25, IF(AND(T140="HR", AA140&gt;0.6), 0.25, IF(AND(T140="General", Z140&gt;0.7), 0.2, 0.1)))</f>
        <v>0.25</v>
      </c>
      <c r="AI140">
        <f>IF(V140&gt;0.7, 0.1,
 IF(F140&gt;0.5, 0.08,
 IF(E140&gt;0.5, 0.05,
 0)))</f>
        <v>0</v>
      </c>
      <c r="AJ140">
        <f t="shared" si="7"/>
        <v>0.14534183209808299</v>
      </c>
      <c r="AK140">
        <f t="shared" si="8"/>
        <v>0.18167729012260375</v>
      </c>
      <c r="AL140" t="str">
        <f>IF(MAX(X140, Y140, Z140, AA140)&gt;0.9,
 "Critical",
 IF(AK140&lt;=0.2,"Very Low",
 IF(AK140&lt;=0.4,"Low",
 IF(AK140&lt;=0.6,"Medium",
 IF(AK140&lt;=0.8,"High","Critical")))))</f>
        <v>Very Low</v>
      </c>
      <c r="AM140" t="str">
        <f>IF(MAX(X140:AA140)&gt;0.9,"CRITICAL ALERT",
 IF(AK140&gt;0.8,"CRITICAL ALERT",
 IF(AK140&gt;0.6,"ALERT",
 IF(AK140&gt;=0.4,"REVIEW","NO ACTION"))))</f>
        <v>NO ACTION</v>
      </c>
      <c r="AN140" t="str">
        <f>IF(AM140="NO ACTION","",
 IF(_xlfn.TEXTJOIN(", ", TRUE,
  IF(X140&gt;0.7,"Login anomaly",""),
  IF(Y140&gt;0.7,"File anomaly",""),
  IF(Z140&gt;0.7,"Network anomaly",""),
  IF(AA140&gt;0.7,"USB anomaly","")
 )="",
 "General anomaly detected",
 _xlfn.TEXTJOIN(", ", TRUE,
  IF(X140&gt;0.7,"Login anomaly",""),
  IF(Y140&gt;0.7,"File anomaly",""),
  IF(Z140&gt;0.7,"Network anomaly",""),
  IF(AA140&gt;0.7,"USB anomaly","")
 )))</f>
        <v/>
      </c>
    </row>
    <row r="141" spans="1:40" x14ac:dyDescent="0.3">
      <c r="A141" t="s">
        <v>164</v>
      </c>
      <c r="B141">
        <v>0.12892249527410199</v>
      </c>
      <c r="C141">
        <v>0.46164678854602498</v>
      </c>
      <c r="D141">
        <v>7.5132489407342906E-2</v>
      </c>
      <c r="E141">
        <v>0</v>
      </c>
      <c r="F141">
        <v>0</v>
      </c>
      <c r="G141">
        <v>0.99365220630333995</v>
      </c>
      <c r="H141">
        <v>8</v>
      </c>
      <c r="I141">
        <v>9</v>
      </c>
      <c r="J141">
        <v>0.45551261867277298</v>
      </c>
      <c r="K141">
        <v>1.1419249592169599E-2</v>
      </c>
      <c r="L141">
        <v>6.4001244393277999E-3</v>
      </c>
      <c r="M141">
        <v>2.0202020202020202E-3</v>
      </c>
      <c r="N141">
        <v>2.6787290892807398E-3</v>
      </c>
      <c r="O141">
        <v>1090</v>
      </c>
      <c r="P141">
        <v>0.34076879910213198</v>
      </c>
      <c r="Q141">
        <v>0.34086047897892602</v>
      </c>
      <c r="R141">
        <v>0</v>
      </c>
      <c r="S141">
        <v>0</v>
      </c>
      <c r="T141" t="s">
        <v>24</v>
      </c>
      <c r="U141">
        <v>2.9716981132075399E-2</v>
      </c>
      <c r="V141">
        <v>0</v>
      </c>
      <c r="W141">
        <v>0</v>
      </c>
      <c r="X141">
        <v>2.2539746822202798E-2</v>
      </c>
      <c r="Y141">
        <v>9.5106204681002698E-2</v>
      </c>
      <c r="Z141">
        <v>0.205532771096991</v>
      </c>
      <c r="AA141">
        <v>0</v>
      </c>
      <c r="AB141">
        <v>1.322999969124794E-2</v>
      </c>
      <c r="AC141">
        <v>1.0890000266954301E-3</v>
      </c>
      <c r="AD141">
        <v>3.1192999333143231E-2</v>
      </c>
      <c r="AE141">
        <v>1.3920000055804851E-3</v>
      </c>
      <c r="AF141">
        <f>0.16*X141 + 0.28*Y141 + 0.28*Z141 + 0.28*AA141</f>
        <v>8.7785272709390696E-2</v>
      </c>
      <c r="AG141">
        <f t="shared" si="6"/>
        <v>1.1545519772917031E-2</v>
      </c>
      <c r="AH141">
        <f>IF(T141="IT_Admin", 0.25, IF(AND(T141="HR", AA141&gt;0.6), 0.25, IF(AND(T141="General", Z141&gt;0.7), 0.2, 0.1)))</f>
        <v>0.25</v>
      </c>
      <c r="AI141">
        <f>IF(V141&gt;0.7, 0.1,
 IF(F141&gt;0.5, 0.08,
 IF(E141&gt;0.5, 0.05,
 0)))</f>
        <v>0</v>
      </c>
      <c r="AJ141">
        <f t="shared" si="7"/>
        <v>3.4417445653859131E-2</v>
      </c>
      <c r="AK141">
        <f t="shared" si="8"/>
        <v>4.3021807067323913E-2</v>
      </c>
      <c r="AL141" t="str">
        <f>IF(MAX(X141, Y141, Z141, AA141)&gt;0.9,
 "Critical",
 IF(AK141&lt;=0.2,"Very Low",
 IF(AK141&lt;=0.4,"Low",
 IF(AK141&lt;=0.6,"Medium",
 IF(AK141&lt;=0.8,"High","Critical")))))</f>
        <v>Very Low</v>
      </c>
      <c r="AM141" t="str">
        <f>IF(MAX(X141:AA141)&gt;0.9,"CRITICAL ALERT",
 IF(AK141&gt;0.8,"CRITICAL ALERT",
 IF(AK141&gt;0.6,"ALERT",
 IF(AK141&gt;=0.4,"REVIEW","NO ACTION"))))</f>
        <v>NO ACTION</v>
      </c>
      <c r="AN141" t="str">
        <f>IF(AM141="NO ACTION","",
 IF(_xlfn.TEXTJOIN(", ", TRUE,
  IF(X141&gt;0.7,"Login anomaly",""),
  IF(Y141&gt;0.7,"File anomaly",""),
  IF(Z141&gt;0.7,"Network anomaly",""),
  IF(AA141&gt;0.7,"USB anomaly","")
 )="",
 "General anomaly detected",
 _xlfn.TEXTJOIN(", ", TRUE,
  IF(X141&gt;0.7,"Login anomaly",""),
  IF(Y141&gt;0.7,"File anomaly",""),
  IF(Z141&gt;0.7,"Network anomaly",""),
  IF(AA141&gt;0.7,"USB anomaly","")
 )))</f>
        <v/>
      </c>
    </row>
    <row r="142" spans="1:40" x14ac:dyDescent="0.3">
      <c r="A142" t="s">
        <v>165</v>
      </c>
      <c r="B142">
        <v>0.26729678638941401</v>
      </c>
      <c r="C142">
        <v>0.65876423209139801</v>
      </c>
      <c r="D142">
        <v>0.40122799479489102</v>
      </c>
      <c r="E142">
        <v>0</v>
      </c>
      <c r="F142">
        <v>0</v>
      </c>
      <c r="G142">
        <v>0.40503639947985898</v>
      </c>
      <c r="H142">
        <v>7</v>
      </c>
      <c r="I142">
        <v>16</v>
      </c>
      <c r="J142">
        <v>0.49053003196412298</v>
      </c>
      <c r="K142">
        <v>1.30505709624796E-2</v>
      </c>
      <c r="L142">
        <v>6.7925274639446098E-3</v>
      </c>
      <c r="M142">
        <v>4.6176046176046098E-3</v>
      </c>
      <c r="N142">
        <v>5.6859334782927602E-3</v>
      </c>
      <c r="O142">
        <v>1058</v>
      </c>
      <c r="P142">
        <v>0.36847643097643001</v>
      </c>
      <c r="Q142">
        <v>0.368561310003857</v>
      </c>
      <c r="R142">
        <v>0</v>
      </c>
      <c r="S142">
        <v>0</v>
      </c>
      <c r="T142" t="s">
        <v>24</v>
      </c>
      <c r="U142">
        <v>1.5982241953385101E-2</v>
      </c>
      <c r="V142">
        <v>0</v>
      </c>
      <c r="W142">
        <v>0</v>
      </c>
      <c r="X142">
        <v>0.120368398438467</v>
      </c>
      <c r="Y142">
        <v>0.10320805016828399</v>
      </c>
      <c r="Z142">
        <v>0.223360231977175</v>
      </c>
      <c r="AA142">
        <v>0</v>
      </c>
      <c r="AB142">
        <v>4.3111998587846763E-2</v>
      </c>
      <c r="AC142">
        <v>1.4009999576956029E-3</v>
      </c>
      <c r="AD142">
        <v>4.1719000786542892E-2</v>
      </c>
      <c r="AE142">
        <v>7.4009997770190239E-3</v>
      </c>
      <c r="AF142">
        <f>0.16*X142 + 0.28*Y142 + 0.28*Z142 + 0.28*AA142</f>
        <v>0.11069806275088326</v>
      </c>
      <c r="AG142">
        <f t="shared" si="6"/>
        <v>2.1043799920007589E-2</v>
      </c>
      <c r="AH142">
        <f>IF(T142="IT_Admin", 0.25, IF(AND(T142="HR", AA142&gt;0.6), 0.25, IF(AND(T142="General", Z142&gt;0.7), 0.2, 0.1)))</f>
        <v>0.25</v>
      </c>
      <c r="AI142">
        <f>IF(V142&gt;0.7, 0.1,
 IF(F142&gt;0.5, 0.08,
 IF(E142&gt;0.5, 0.05,
 0)))</f>
        <v>0</v>
      </c>
      <c r="AJ142">
        <f t="shared" si="7"/>
        <v>4.794007876927029E-2</v>
      </c>
      <c r="AK142">
        <f t="shared" si="8"/>
        <v>5.9925098461587861E-2</v>
      </c>
      <c r="AL142" t="str">
        <f>IF(MAX(X142, Y142, Z142, AA142)&gt;0.9,
 "Critical",
 IF(AK142&lt;=0.2,"Very Low",
 IF(AK142&lt;=0.4,"Low",
 IF(AK142&lt;=0.6,"Medium",
 IF(AK142&lt;=0.8,"High","Critical")))))</f>
        <v>Very Low</v>
      </c>
      <c r="AM142" t="str">
        <f>IF(MAX(X142:AA142)&gt;0.9,"CRITICAL ALERT",
 IF(AK142&gt;0.8,"CRITICAL ALERT",
 IF(AK142&gt;0.6,"ALERT",
 IF(AK142&gt;=0.4,"REVIEW","NO ACTION"))))</f>
        <v>NO ACTION</v>
      </c>
      <c r="AN142" t="str">
        <f>IF(AM142="NO ACTION","",
 IF(_xlfn.TEXTJOIN(", ", TRUE,
  IF(X142&gt;0.7,"Login anomaly",""),
  IF(Y142&gt;0.7,"File anomaly",""),
  IF(Z142&gt;0.7,"Network anomaly",""),
  IF(AA142&gt;0.7,"USB anomaly","")
 )="",
 "General anomaly detected",
 _xlfn.TEXTJOIN(", ", TRUE,
  IF(X142&gt;0.7,"Login anomaly",""),
  IF(Y142&gt;0.7,"File anomaly",""),
  IF(Z142&gt;0.7,"Network anomaly",""),
  IF(AA142&gt;0.7,"USB anomaly","")
 )))</f>
        <v/>
      </c>
    </row>
    <row r="143" spans="1:40" x14ac:dyDescent="0.3">
      <c r="A143" t="s">
        <v>166</v>
      </c>
      <c r="B143">
        <v>0.26691871455576499</v>
      </c>
      <c r="C143">
        <v>0.63210731191057801</v>
      </c>
      <c r="D143">
        <v>0.382406169887064</v>
      </c>
      <c r="E143">
        <v>0</v>
      </c>
      <c r="F143">
        <v>0</v>
      </c>
      <c r="G143">
        <v>0.40583436961291602</v>
      </c>
      <c r="H143">
        <v>7</v>
      </c>
      <c r="I143">
        <v>14</v>
      </c>
      <c r="J143">
        <v>0.36758742426410901</v>
      </c>
      <c r="K143">
        <v>1.2234910277324601E-2</v>
      </c>
      <c r="L143">
        <v>8.4964409072955001E-3</v>
      </c>
      <c r="M143">
        <v>1.7316017316017301E-3</v>
      </c>
      <c r="N143">
        <v>2.8449026114395698E-3</v>
      </c>
      <c r="O143">
        <v>896</v>
      </c>
      <c r="P143">
        <v>0.27633978675645299</v>
      </c>
      <c r="Q143">
        <v>0.27644728076019498</v>
      </c>
      <c r="R143">
        <v>0</v>
      </c>
      <c r="S143">
        <v>0</v>
      </c>
      <c r="T143" t="s">
        <v>24</v>
      </c>
      <c r="U143">
        <v>3.6388140161725001E-2</v>
      </c>
      <c r="V143">
        <v>0</v>
      </c>
      <c r="W143">
        <v>0</v>
      </c>
      <c r="X143">
        <v>0.114721850966119</v>
      </c>
      <c r="Y143">
        <v>7.8619176089901502E-2</v>
      </c>
      <c r="Z143">
        <v>0.16694183309844701</v>
      </c>
      <c r="AA143">
        <v>0</v>
      </c>
      <c r="AB143">
        <v>3.4109000116586692E-2</v>
      </c>
      <c r="AC143">
        <v>5.2699999650940299E-4</v>
      </c>
      <c r="AD143">
        <v>1.4511000365018839E-2</v>
      </c>
      <c r="AE143">
        <v>9.251999668776989E-3</v>
      </c>
      <c r="AF143">
        <f>0.16*X143 + 0.28*Y143 + 0.28*Z143 + 0.28*AA143</f>
        <v>8.7112578727316634E-2</v>
      </c>
      <c r="AG143">
        <f t="shared" si="6"/>
        <v>1.2258640027139337E-2</v>
      </c>
      <c r="AH143">
        <f>IF(T143="IT_Admin", 0.25, IF(AND(T143="HR", AA143&gt;0.6), 0.25, IF(AND(T143="General", Z143&gt;0.7), 0.2, 0.1)))</f>
        <v>0.25</v>
      </c>
      <c r="AI143">
        <f>IF(V143&gt;0.7, 0.1,
 IF(F143&gt;0.5, 0.08,
 IF(E143&gt;0.5, 0.05,
 0)))</f>
        <v>0</v>
      </c>
      <c r="AJ143">
        <f t="shared" si="7"/>
        <v>3.4714821637192528E-2</v>
      </c>
      <c r="AK143">
        <f t="shared" si="8"/>
        <v>4.339352704649066E-2</v>
      </c>
      <c r="AL143" t="str">
        <f>IF(MAX(X143, Y143, Z143, AA143)&gt;0.9,
 "Critical",
 IF(AK143&lt;=0.2,"Very Low",
 IF(AK143&lt;=0.4,"Low",
 IF(AK143&lt;=0.6,"Medium",
 IF(AK143&lt;=0.8,"High","Critical")))))</f>
        <v>Very Low</v>
      </c>
      <c r="AM143" t="str">
        <f>IF(MAX(X143:AA143)&gt;0.9,"CRITICAL ALERT",
 IF(AK143&gt;0.8,"CRITICAL ALERT",
 IF(AK143&gt;0.6,"ALERT",
 IF(AK143&gt;=0.4,"REVIEW","NO ACTION"))))</f>
        <v>NO ACTION</v>
      </c>
      <c r="AN143" t="str">
        <f>IF(AM143="NO ACTION","",
 IF(_xlfn.TEXTJOIN(", ", TRUE,
  IF(X143&gt;0.7,"Login anomaly",""),
  IF(Y143&gt;0.7,"File anomaly",""),
  IF(Z143&gt;0.7,"Network anomaly",""),
  IF(AA143&gt;0.7,"USB anomaly","")
 )="",
 "General anomaly detected",
 _xlfn.TEXTJOIN(", ", TRUE,
  IF(X143&gt;0.7,"Login anomaly",""),
  IF(Y143&gt;0.7,"File anomaly",""),
  IF(Z143&gt;0.7,"Network anomaly",""),
  IF(AA143&gt;0.7,"USB anomaly","")
 )))</f>
        <v/>
      </c>
    </row>
    <row r="144" spans="1:40" x14ac:dyDescent="0.3">
      <c r="A144" t="s">
        <v>167</v>
      </c>
      <c r="B144">
        <v>0.14102079395084999</v>
      </c>
      <c r="C144">
        <v>0.34159623541489398</v>
      </c>
      <c r="D144">
        <v>0.20769056380664799</v>
      </c>
      <c r="E144">
        <v>0</v>
      </c>
      <c r="F144">
        <v>0</v>
      </c>
      <c r="G144">
        <v>0.89647295031705199</v>
      </c>
      <c r="H144">
        <v>7</v>
      </c>
      <c r="I144">
        <v>16</v>
      </c>
      <c r="J144">
        <v>0.47798292066218201</v>
      </c>
      <c r="K144">
        <v>2.36541598694942E-2</v>
      </c>
      <c r="L144">
        <v>1.2634472083414399E-2</v>
      </c>
      <c r="M144">
        <v>2.8860028860028799E-3</v>
      </c>
      <c r="N144">
        <v>3.6469471824619399E-3</v>
      </c>
      <c r="O144">
        <v>1096</v>
      </c>
      <c r="P144">
        <v>0.36296997755331001</v>
      </c>
      <c r="Q144">
        <v>0.36305620814194001</v>
      </c>
      <c r="R144">
        <v>0</v>
      </c>
      <c r="S144">
        <v>0</v>
      </c>
      <c r="T144" t="s">
        <v>24</v>
      </c>
      <c r="U144">
        <v>4.4768439108061699E-2</v>
      </c>
      <c r="V144">
        <v>0</v>
      </c>
      <c r="W144">
        <v>0</v>
      </c>
      <c r="X144">
        <v>6.2307169141994599E-2</v>
      </c>
      <c r="Y144">
        <v>0.103007904328882</v>
      </c>
      <c r="Z144">
        <v>0.21924076540497101</v>
      </c>
      <c r="AA144">
        <v>0</v>
      </c>
      <c r="AB144">
        <v>9.685000404715538E-3</v>
      </c>
      <c r="AC144">
        <v>1.266999985091388E-3</v>
      </c>
      <c r="AD144">
        <v>3.8913998752832413E-2</v>
      </c>
      <c r="AE144">
        <v>2.5500000920146699E-3</v>
      </c>
      <c r="AF144">
        <f>0.16*X144 + 0.28*Y144 + 0.28*Z144 + 0.28*AA144</f>
        <v>0.10019877458819798</v>
      </c>
      <c r="AG144">
        <f t="shared" si="6"/>
        <v>1.3514279737137258E-2</v>
      </c>
      <c r="AH144">
        <f>IF(T144="IT_Admin", 0.25, IF(AND(T144="HR", AA144&gt;0.6), 0.25, IF(AND(T144="General", Z144&gt;0.7), 0.2, 0.1)))</f>
        <v>0.25</v>
      </c>
      <c r="AI144">
        <f>IF(V144&gt;0.7, 0.1,
 IF(F144&gt;0.5, 0.08,
 IF(E144&gt;0.5, 0.05,
 0)))</f>
        <v>0</v>
      </c>
      <c r="AJ144">
        <f t="shared" si="7"/>
        <v>3.9519628192455476E-2</v>
      </c>
      <c r="AK144">
        <f t="shared" si="8"/>
        <v>4.9399535240569344E-2</v>
      </c>
      <c r="AL144" t="str">
        <f>IF(MAX(X144, Y144, Z144, AA144)&gt;0.9,
 "Critical",
 IF(AK144&lt;=0.2,"Very Low",
 IF(AK144&lt;=0.4,"Low",
 IF(AK144&lt;=0.6,"Medium",
 IF(AK144&lt;=0.8,"High","Critical")))))</f>
        <v>Very Low</v>
      </c>
      <c r="AM144" t="str">
        <f>IF(MAX(X144:AA144)&gt;0.9,"CRITICAL ALERT",
 IF(AK144&gt;0.8,"CRITICAL ALERT",
 IF(AK144&gt;0.6,"ALERT",
 IF(AK144&gt;=0.4,"REVIEW","NO ACTION"))))</f>
        <v>NO ACTION</v>
      </c>
      <c r="AN144" t="str">
        <f>IF(AM144="NO ACTION","",
 IF(_xlfn.TEXTJOIN(", ", TRUE,
  IF(X144&gt;0.7,"Login anomaly",""),
  IF(Y144&gt;0.7,"File anomaly",""),
  IF(Z144&gt;0.7,"Network anomaly",""),
  IF(AA144&gt;0.7,"USB anomaly","")
 )="",
 "General anomaly detected",
 _xlfn.TEXTJOIN(", ", TRUE,
  IF(X144&gt;0.7,"Login anomaly",""),
  IF(Y144&gt;0.7,"File anomaly",""),
  IF(Z144&gt;0.7,"Network anomaly",""),
  IF(AA144&gt;0.7,"USB anomaly","")
 )))</f>
        <v/>
      </c>
    </row>
    <row r="145" spans="1:40" x14ac:dyDescent="0.3">
      <c r="A145" t="s">
        <v>168</v>
      </c>
      <c r="B145">
        <v>0.23591682419659701</v>
      </c>
      <c r="C145">
        <v>0.79172744885281399</v>
      </c>
      <c r="D145">
        <v>0.38649251444236299</v>
      </c>
      <c r="E145">
        <v>0</v>
      </c>
      <c r="F145">
        <v>0</v>
      </c>
      <c r="G145">
        <v>0.47838005414305601</v>
      </c>
      <c r="H145">
        <v>8</v>
      </c>
      <c r="I145">
        <v>14</v>
      </c>
      <c r="J145">
        <v>0.364581842469347</v>
      </c>
      <c r="K145">
        <v>9.2985318107667206E-2</v>
      </c>
      <c r="L145">
        <v>6.5104936760021895E-2</v>
      </c>
      <c r="M145">
        <v>3.3766233766233701E-2</v>
      </c>
      <c r="N145">
        <v>5.5932638043269603E-2</v>
      </c>
      <c r="O145">
        <v>1206</v>
      </c>
      <c r="P145">
        <v>0.32442480359147002</v>
      </c>
      <c r="Q145">
        <v>0.32452049510852399</v>
      </c>
      <c r="R145">
        <v>0</v>
      </c>
      <c r="S145">
        <v>0</v>
      </c>
      <c r="T145" t="s">
        <v>24</v>
      </c>
      <c r="U145">
        <v>1.64055004796929E-2</v>
      </c>
      <c r="V145">
        <v>0</v>
      </c>
      <c r="W145">
        <v>0</v>
      </c>
      <c r="X145">
        <v>0.115947754332708</v>
      </c>
      <c r="Y145">
        <v>0.12224862828686101</v>
      </c>
      <c r="Z145">
        <v>0.21702793737219001</v>
      </c>
      <c r="AA145">
        <v>0</v>
      </c>
      <c r="AB145">
        <v>4.2536001652479172E-2</v>
      </c>
      <c r="AC145">
        <v>6.1039999127388E-3</v>
      </c>
      <c r="AD145">
        <v>2.9859000816941261E-2</v>
      </c>
      <c r="AE145">
        <v>3.5719999577850099E-3</v>
      </c>
      <c r="AF145">
        <f>0.16*X145 + 0.28*Y145 + 0.28*Z145 + 0.28*AA145</f>
        <v>0.11354907907776758</v>
      </c>
      <c r="AG145">
        <f t="shared" si="6"/>
        <v>1.7875560456886888E-2</v>
      </c>
      <c r="AH145">
        <f>IF(T145="IT_Admin", 0.25, IF(AND(T145="HR", AA145&gt;0.6), 0.25, IF(AND(T145="General", Z145&gt;0.7), 0.2, 0.1)))</f>
        <v>0.25</v>
      </c>
      <c r="AI145">
        <f>IF(V145&gt;0.7, 0.1,
 IF(F145&gt;0.5, 0.08,
 IF(E145&gt;0.5, 0.05,
 0)))</f>
        <v>0</v>
      </c>
      <c r="AJ145">
        <f t="shared" si="7"/>
        <v>4.6577616043151096E-2</v>
      </c>
      <c r="AK145">
        <f t="shared" si="8"/>
        <v>5.8222020053938867E-2</v>
      </c>
      <c r="AL145" t="str">
        <f>IF(MAX(X145, Y145, Z145, AA145)&gt;0.9,
 "Critical",
 IF(AK145&lt;=0.2,"Very Low",
 IF(AK145&lt;=0.4,"Low",
 IF(AK145&lt;=0.6,"Medium",
 IF(AK145&lt;=0.8,"High","Critical")))))</f>
        <v>Very Low</v>
      </c>
      <c r="AM145" t="str">
        <f>IF(MAX(X145:AA145)&gt;0.9,"CRITICAL ALERT",
 IF(AK145&gt;0.8,"CRITICAL ALERT",
 IF(AK145&gt;0.6,"ALERT",
 IF(AK145&gt;=0.4,"REVIEW","NO ACTION"))))</f>
        <v>NO ACTION</v>
      </c>
      <c r="AN145" t="str">
        <f>IF(AM145="NO ACTION","",
 IF(_xlfn.TEXTJOIN(", ", TRUE,
  IF(X145&gt;0.7,"Login anomaly",""),
  IF(Y145&gt;0.7,"File anomaly",""),
  IF(Z145&gt;0.7,"Network anomaly",""),
  IF(AA145&gt;0.7,"USB anomaly","")
 )="",
 "General anomaly detected",
 _xlfn.TEXTJOIN(", ", TRUE,
  IF(X145&gt;0.7,"Login anomaly",""),
  IF(Y145&gt;0.7,"File anomaly",""),
  IF(Z145&gt;0.7,"Network anomaly",""),
  IF(AA145&gt;0.7,"USB anomaly","")
 )))</f>
        <v/>
      </c>
    </row>
    <row r="146" spans="1:40" x14ac:dyDescent="0.3">
      <c r="A146" t="s">
        <v>169</v>
      </c>
      <c r="B146">
        <v>0.12892249527410199</v>
      </c>
      <c r="C146">
        <v>0.18476582604220201</v>
      </c>
      <c r="D146">
        <v>0</v>
      </c>
      <c r="E146">
        <v>0</v>
      </c>
      <c r="F146">
        <v>0</v>
      </c>
      <c r="G146">
        <v>0.99367179659888305</v>
      </c>
      <c r="H146">
        <v>7</v>
      </c>
      <c r="I146">
        <v>7</v>
      </c>
      <c r="J146">
        <v>0.424788893659653</v>
      </c>
      <c r="K146">
        <v>2.2022838499184301E-2</v>
      </c>
      <c r="L146">
        <v>1.3235335830221901E-2</v>
      </c>
      <c r="M146">
        <v>1.44300144300144E-3</v>
      </c>
      <c r="N146">
        <v>2.0516892219664602E-3</v>
      </c>
      <c r="O146">
        <v>953</v>
      </c>
      <c r="P146">
        <v>0.32246071829405099</v>
      </c>
      <c r="Q146">
        <v>0.32255689189663</v>
      </c>
      <c r="R146">
        <v>0</v>
      </c>
      <c r="S146">
        <v>0</v>
      </c>
      <c r="T146" t="s">
        <v>24</v>
      </c>
      <c r="U146">
        <v>7.6415094339622597E-2</v>
      </c>
      <c r="V146">
        <v>0</v>
      </c>
      <c r="W146">
        <v>0</v>
      </c>
      <c r="X146">
        <v>0</v>
      </c>
      <c r="Y146">
        <v>9.2190953413631593E-2</v>
      </c>
      <c r="Z146">
        <v>0.19429710666521699</v>
      </c>
      <c r="AA146">
        <v>0</v>
      </c>
      <c r="AB146">
        <v>3.6603998392820358E-2</v>
      </c>
      <c r="AC146">
        <v>1.41200004145503E-3</v>
      </c>
      <c r="AD146">
        <v>2.5557000190019611E-2</v>
      </c>
      <c r="AE146">
        <v>1.4619999565184121E-3</v>
      </c>
      <c r="AF146">
        <f>0.16*X146 + 0.28*Y146 + 0.28*Z146 + 0.28*AA146</f>
        <v>8.0216656822077612E-2</v>
      </c>
      <c r="AG146">
        <f t="shared" si="6"/>
        <v>1.3817319795489313E-2</v>
      </c>
      <c r="AH146">
        <f>IF(T146="IT_Admin", 0.25, IF(AND(T146="HR", AA146&gt;0.6), 0.25, IF(AND(T146="General", Z146&gt;0.7), 0.2, 0.1)))</f>
        <v>0.25</v>
      </c>
      <c r="AI146">
        <f>IF(V146&gt;0.7, 0.1,
 IF(F146&gt;0.5, 0.08,
 IF(E146&gt;0.5, 0.05,
 0)))</f>
        <v>0</v>
      </c>
      <c r="AJ146">
        <f t="shared" si="7"/>
        <v>3.3737120903465798E-2</v>
      </c>
      <c r="AK146">
        <f t="shared" si="8"/>
        <v>4.217140112933225E-2</v>
      </c>
      <c r="AL146" t="str">
        <f>IF(MAX(X146, Y146, Z146, AA146)&gt;0.9,
 "Critical",
 IF(AK146&lt;=0.2,"Very Low",
 IF(AK146&lt;=0.4,"Low",
 IF(AK146&lt;=0.6,"Medium",
 IF(AK146&lt;=0.8,"High","Critical")))))</f>
        <v>Very Low</v>
      </c>
      <c r="AM146" t="str">
        <f>IF(MAX(X146:AA146)&gt;0.9,"CRITICAL ALERT",
 IF(AK146&gt;0.8,"CRITICAL ALERT",
 IF(AK146&gt;0.6,"ALERT",
 IF(AK146&gt;=0.4,"REVIEW","NO ACTION"))))</f>
        <v>NO ACTION</v>
      </c>
      <c r="AN146" t="str">
        <f>IF(AM146="NO ACTION","",
 IF(_xlfn.TEXTJOIN(", ", TRUE,
  IF(X146&gt;0.7,"Login anomaly",""),
  IF(Y146&gt;0.7,"File anomaly",""),
  IF(Z146&gt;0.7,"Network anomaly",""),
  IF(AA146&gt;0.7,"USB anomaly","")
 )="",
 "General anomaly detected",
 _xlfn.TEXTJOIN(", ", TRUE,
  IF(X146&gt;0.7,"Login anomaly",""),
  IF(Y146&gt;0.7,"File anomaly",""),
  IF(Z146&gt;0.7,"Network anomaly",""),
  IF(AA146&gt;0.7,"USB anomaly","")
 )))</f>
        <v/>
      </c>
    </row>
    <row r="147" spans="1:40" x14ac:dyDescent="0.3">
      <c r="A147" t="s">
        <v>170</v>
      </c>
      <c r="B147">
        <v>9.64083175803402E-2</v>
      </c>
      <c r="C147">
        <v>0.42374865123192401</v>
      </c>
      <c r="D147">
        <v>0.19985238080798301</v>
      </c>
      <c r="E147">
        <v>0</v>
      </c>
      <c r="F147">
        <v>0</v>
      </c>
      <c r="G147">
        <v>0.918112115896763</v>
      </c>
      <c r="H147">
        <v>8</v>
      </c>
      <c r="I147">
        <v>17</v>
      </c>
      <c r="J147">
        <v>0.12909689423214499</v>
      </c>
      <c r="K147">
        <v>1.1419249592169599E-2</v>
      </c>
      <c r="L147">
        <v>2.2552707033898299E-2</v>
      </c>
      <c r="M147">
        <v>2.8860028860028799E-3</v>
      </c>
      <c r="N147">
        <v>1.34846914632971E-2</v>
      </c>
      <c r="O147">
        <v>494</v>
      </c>
      <c r="P147">
        <v>0.101220538720538</v>
      </c>
      <c r="Q147">
        <v>0.101371015814018</v>
      </c>
      <c r="R147">
        <v>0</v>
      </c>
      <c r="S147">
        <v>0</v>
      </c>
      <c r="T147" t="s">
        <v>24</v>
      </c>
      <c r="U147">
        <v>2.16123499142367E-2</v>
      </c>
      <c r="V147">
        <v>0</v>
      </c>
      <c r="W147">
        <v>0</v>
      </c>
      <c r="X147">
        <v>5.9955714242394903E-2</v>
      </c>
      <c r="Y147">
        <v>4.1141139802367402E-2</v>
      </c>
      <c r="Z147">
        <v>6.6126199817642103E-2</v>
      </c>
      <c r="AA147">
        <v>0</v>
      </c>
      <c r="AB147">
        <v>1.9068000838160511E-2</v>
      </c>
      <c r="AC147">
        <v>1.8200000340584671E-4</v>
      </c>
      <c r="AD147">
        <v>1.471000025048852E-3</v>
      </c>
      <c r="AE147">
        <v>5.5220001377165318E-3</v>
      </c>
      <c r="AF147">
        <f>0.16*X147 + 0.28*Y147 + 0.28*Z147 + 0.28*AA147</f>
        <v>3.9627769372385852E-2</v>
      </c>
      <c r="AG147">
        <f t="shared" si="6"/>
        <v>5.0598801806336271E-3</v>
      </c>
      <c r="AH147">
        <f>IF(T147="IT_Admin", 0.25, IF(AND(T147="HR", AA147&gt;0.6), 0.25, IF(AND(T147="General", Z147&gt;0.7), 0.2, 0.1)))</f>
        <v>0.25</v>
      </c>
      <c r="AI147">
        <f>IF(V147&gt;0.7, 0.1,
 IF(F147&gt;0.5, 0.08,
 IF(E147&gt;0.5, 0.05,
 0)))</f>
        <v>0</v>
      </c>
      <c r="AJ147">
        <f t="shared" si="7"/>
        <v>1.5430246938159293E-2</v>
      </c>
      <c r="AK147">
        <f t="shared" si="8"/>
        <v>1.9287808672699115E-2</v>
      </c>
      <c r="AL147" t="str">
        <f>IF(MAX(X147, Y147, Z147, AA147)&gt;0.9,
 "Critical",
 IF(AK147&lt;=0.2,"Very Low",
 IF(AK147&lt;=0.4,"Low",
 IF(AK147&lt;=0.6,"Medium",
 IF(AK147&lt;=0.8,"High","Critical")))))</f>
        <v>Very Low</v>
      </c>
      <c r="AM147" t="str">
        <f>IF(MAX(X147:AA147)&gt;0.9,"CRITICAL ALERT",
 IF(AK147&gt;0.8,"CRITICAL ALERT",
 IF(AK147&gt;0.6,"ALERT",
 IF(AK147&gt;=0.4,"REVIEW","NO ACTION"))))</f>
        <v>NO ACTION</v>
      </c>
      <c r="AN147" t="str">
        <f>IF(AM147="NO ACTION","",
 IF(_xlfn.TEXTJOIN(", ", TRUE,
  IF(X147&gt;0.7,"Login anomaly",""),
  IF(Y147&gt;0.7,"File anomaly",""),
  IF(Z147&gt;0.7,"Network anomaly",""),
  IF(AA147&gt;0.7,"USB anomaly","")
 )="",
 "General anomaly detected",
 _xlfn.TEXTJOIN(", ", TRUE,
  IF(X147&gt;0.7,"Login anomaly",""),
  IF(Y147&gt;0.7,"File anomaly",""),
  IF(Z147&gt;0.7,"Network anomaly",""),
  IF(AA147&gt;0.7,"USB anomaly","")
 )))</f>
        <v/>
      </c>
    </row>
    <row r="148" spans="1:40" x14ac:dyDescent="0.3">
      <c r="A148" t="s">
        <v>171</v>
      </c>
      <c r="B148">
        <v>0.27637051039697502</v>
      </c>
      <c r="C148">
        <v>0.90472409241617302</v>
      </c>
      <c r="D148">
        <v>0.36679428605821901</v>
      </c>
      <c r="E148">
        <v>0</v>
      </c>
      <c r="F148">
        <v>0</v>
      </c>
      <c r="G148">
        <v>0.386914869052702</v>
      </c>
      <c r="H148">
        <v>8</v>
      </c>
      <c r="I148">
        <v>16</v>
      </c>
      <c r="J148">
        <v>0.25036973426840298</v>
      </c>
      <c r="K148">
        <v>1.7944535073409401E-2</v>
      </c>
      <c r="L148">
        <v>1.8290073059146698E-2</v>
      </c>
      <c r="M148">
        <v>3.4632034632034602E-3</v>
      </c>
      <c r="N148">
        <v>8.35111331970269E-3</v>
      </c>
      <c r="O148">
        <v>822</v>
      </c>
      <c r="P148">
        <v>0.19346240179573501</v>
      </c>
      <c r="Q148">
        <v>0.19359023808688899</v>
      </c>
      <c r="R148">
        <v>0</v>
      </c>
      <c r="S148">
        <v>0</v>
      </c>
      <c r="T148" t="s">
        <v>24</v>
      </c>
      <c r="U148">
        <v>2.8737300435413601E-2</v>
      </c>
      <c r="V148">
        <v>0</v>
      </c>
      <c r="W148">
        <v>0</v>
      </c>
      <c r="X148">
        <v>0.110038285817465</v>
      </c>
      <c r="Y148">
        <v>6.1724317379164798E-2</v>
      </c>
      <c r="Z148">
        <v>0.119417886405322</v>
      </c>
      <c r="AA148">
        <v>0</v>
      </c>
      <c r="AB148">
        <v>7.4502997100353241E-2</v>
      </c>
      <c r="AC148">
        <v>1.8800000543706119E-4</v>
      </c>
      <c r="AD148">
        <v>2.125999890267849E-3</v>
      </c>
      <c r="AE148">
        <v>9.5769995823502541E-3</v>
      </c>
      <c r="AF148">
        <f>0.16*X148 + 0.28*Y148 + 0.28*Z148 + 0.28*AA148</f>
        <v>6.8325942790450706E-2</v>
      </c>
      <c r="AG148">
        <f t="shared" si="6"/>
        <v>1.5249959389911964E-2</v>
      </c>
      <c r="AH148">
        <f>IF(T148="IT_Admin", 0.25, IF(AND(T148="HR", AA148&gt;0.6), 0.25, IF(AND(T148="General", Z148&gt;0.7), 0.2, 0.1)))</f>
        <v>0.25</v>
      </c>
      <c r="AI148">
        <f>IF(V148&gt;0.7, 0.1,
 IF(F148&gt;0.5, 0.08,
 IF(E148&gt;0.5, 0.05,
 0)))</f>
        <v>0</v>
      </c>
      <c r="AJ148">
        <f t="shared" si="7"/>
        <v>3.1172754410073583E-2</v>
      </c>
      <c r="AK148">
        <f t="shared" si="8"/>
        <v>3.8965943012591979E-2</v>
      </c>
      <c r="AL148" t="str">
        <f>IF(MAX(X148, Y148, Z148, AA148)&gt;0.9,
 "Critical",
 IF(AK148&lt;=0.2,"Very Low",
 IF(AK148&lt;=0.4,"Low",
 IF(AK148&lt;=0.6,"Medium",
 IF(AK148&lt;=0.8,"High","Critical")))))</f>
        <v>Very Low</v>
      </c>
      <c r="AM148" t="str">
        <f>IF(MAX(X148:AA148)&gt;0.9,"CRITICAL ALERT",
 IF(AK148&gt;0.8,"CRITICAL ALERT",
 IF(AK148&gt;0.6,"ALERT",
 IF(AK148&gt;=0.4,"REVIEW","NO ACTION"))))</f>
        <v>NO ACTION</v>
      </c>
      <c r="AN148" t="str">
        <f>IF(AM148="NO ACTION","",
 IF(_xlfn.TEXTJOIN(", ", TRUE,
  IF(X148&gt;0.7,"Login anomaly",""),
  IF(Y148&gt;0.7,"File anomaly",""),
  IF(Z148&gt;0.7,"Network anomaly",""),
  IF(AA148&gt;0.7,"USB anomaly","")
 )="",
 "General anomaly detected",
 _xlfn.TEXTJOIN(", ", TRUE,
  IF(X148&gt;0.7,"Login anomaly",""),
  IF(Y148&gt;0.7,"File anomaly",""),
  IF(Z148&gt;0.7,"Network anomaly",""),
  IF(AA148&gt;0.7,"USB anomaly","")
 )))</f>
        <v/>
      </c>
    </row>
    <row r="149" spans="1:40" x14ac:dyDescent="0.3">
      <c r="A149" t="s">
        <v>172</v>
      </c>
      <c r="B149">
        <v>0.12892249527410199</v>
      </c>
      <c r="C149">
        <v>0.36953165208440503</v>
      </c>
      <c r="D149">
        <v>0</v>
      </c>
      <c r="E149">
        <v>0</v>
      </c>
      <c r="F149">
        <v>0</v>
      </c>
      <c r="G149">
        <v>0.99368980789519601</v>
      </c>
      <c r="H149">
        <v>8</v>
      </c>
      <c r="I149">
        <v>8</v>
      </c>
      <c r="J149">
        <v>0.348933734077572</v>
      </c>
      <c r="K149">
        <v>3.0995106035889002E-2</v>
      </c>
      <c r="L149">
        <v>2.2674201913006599E-2</v>
      </c>
      <c r="M149">
        <v>1.7316017316017301E-3</v>
      </c>
      <c r="N149">
        <v>2.9968847020356701E-3</v>
      </c>
      <c r="O149">
        <v>992</v>
      </c>
      <c r="P149">
        <v>0.27069304152637402</v>
      </c>
      <c r="Q149">
        <v>0.27080192152600002</v>
      </c>
      <c r="R149">
        <v>0</v>
      </c>
      <c r="S149">
        <v>0</v>
      </c>
      <c r="T149" t="s">
        <v>24</v>
      </c>
      <c r="U149">
        <v>9.2183288409703495E-2</v>
      </c>
      <c r="V149">
        <v>0</v>
      </c>
      <c r="W149">
        <v>0</v>
      </c>
      <c r="X149">
        <v>0</v>
      </c>
      <c r="Y149">
        <v>8.2022913182628499E-2</v>
      </c>
      <c r="Z149">
        <v>0.16361457879663899</v>
      </c>
      <c r="AA149">
        <v>0</v>
      </c>
      <c r="AB149">
        <v>2.466399967670441E-2</v>
      </c>
      <c r="AC149">
        <v>1.6439999453723431E-3</v>
      </c>
      <c r="AD149">
        <v>1.276199985295534E-2</v>
      </c>
      <c r="AE149">
        <v>1.5050000511109829E-3</v>
      </c>
      <c r="AF149">
        <f>0.16*X149 + 0.28*Y149 + 0.28*Z149 + 0.28*AA149</f>
        <v>6.8778497754194909E-2</v>
      </c>
      <c r="AG149">
        <f t="shared" si="6"/>
        <v>8.4013199061155341E-3</v>
      </c>
      <c r="AH149">
        <f>IF(T149="IT_Admin", 0.25, IF(AND(T149="HR", AA149&gt;0.6), 0.25, IF(AND(T149="General", Z149&gt;0.7), 0.2, 0.1)))</f>
        <v>0.25</v>
      </c>
      <c r="AI149">
        <f>IF(V149&gt;0.7, 0.1,
 IF(F149&gt;0.5, 0.08,
 IF(E149&gt;0.5, 0.05,
 0)))</f>
        <v>0</v>
      </c>
      <c r="AJ149">
        <f t="shared" si="7"/>
        <v>2.6514473260539347E-2</v>
      </c>
      <c r="AK149">
        <f t="shared" si="8"/>
        <v>3.3143091575674181E-2</v>
      </c>
      <c r="AL149" t="str">
        <f>IF(MAX(X149, Y149, Z149, AA149)&gt;0.9,
 "Critical",
 IF(AK149&lt;=0.2,"Very Low",
 IF(AK149&lt;=0.4,"Low",
 IF(AK149&lt;=0.6,"Medium",
 IF(AK149&lt;=0.8,"High","Critical")))))</f>
        <v>Very Low</v>
      </c>
      <c r="AM149" t="str">
        <f>IF(MAX(X149:AA149)&gt;0.9,"CRITICAL ALERT",
 IF(AK149&gt;0.8,"CRITICAL ALERT",
 IF(AK149&gt;0.6,"ALERT",
 IF(AK149&gt;=0.4,"REVIEW","NO ACTION"))))</f>
        <v>NO ACTION</v>
      </c>
      <c r="AN149" t="str">
        <f>IF(AM149="NO ACTION","",
 IF(_xlfn.TEXTJOIN(", ", TRUE,
  IF(X149&gt;0.7,"Login anomaly",""),
  IF(Y149&gt;0.7,"File anomaly",""),
  IF(Z149&gt;0.7,"Network anomaly",""),
  IF(AA149&gt;0.7,"USB anomaly","")
 )="",
 "General anomaly detected",
 _xlfn.TEXTJOIN(", ", TRUE,
  IF(X149&gt;0.7,"Login anomaly",""),
  IF(Y149&gt;0.7,"File anomaly",""),
  IF(Z149&gt;0.7,"Network anomaly",""),
  IF(AA149&gt;0.7,"USB anomaly","")
 )))</f>
        <v/>
      </c>
    </row>
    <row r="150" spans="1:40" x14ac:dyDescent="0.3">
      <c r="A150" t="s">
        <v>173</v>
      </c>
      <c r="B150">
        <v>0.12892249527410199</v>
      </c>
      <c r="C150">
        <v>0.36953165208440503</v>
      </c>
      <c r="D150">
        <v>0</v>
      </c>
      <c r="E150">
        <v>0</v>
      </c>
      <c r="F150">
        <v>0</v>
      </c>
      <c r="G150">
        <v>0.993677871731517</v>
      </c>
      <c r="H150">
        <v>8</v>
      </c>
      <c r="I150">
        <v>8</v>
      </c>
      <c r="J150">
        <v>0.31305758313057502</v>
      </c>
      <c r="K150">
        <v>1.71288743882544E-2</v>
      </c>
      <c r="L150">
        <v>1.39653697507762E-2</v>
      </c>
      <c r="M150">
        <v>1.7316017316017301E-3</v>
      </c>
      <c r="N150">
        <v>3.3400638243031998E-3</v>
      </c>
      <c r="O150">
        <v>815</v>
      </c>
      <c r="P150">
        <v>0.23835578002244601</v>
      </c>
      <c r="Q150">
        <v>0.23847259721589101</v>
      </c>
      <c r="R150">
        <v>0</v>
      </c>
      <c r="S150">
        <v>0</v>
      </c>
      <c r="T150" t="s">
        <v>24</v>
      </c>
      <c r="U150">
        <v>5.0943396226415097E-2</v>
      </c>
      <c r="V150">
        <v>0</v>
      </c>
      <c r="W150">
        <v>0</v>
      </c>
      <c r="X150">
        <v>0</v>
      </c>
      <c r="Y150">
        <v>7.05962206487942E-2</v>
      </c>
      <c r="Z150">
        <v>0.14434949354318899</v>
      </c>
      <c r="AA150">
        <v>0</v>
      </c>
      <c r="AB150">
        <v>2.4631999433040619E-2</v>
      </c>
      <c r="AC150">
        <v>4.3899999582208688E-4</v>
      </c>
      <c r="AD150">
        <v>6.963999941945076E-3</v>
      </c>
      <c r="AE150">
        <v>1.6509999986737971E-3</v>
      </c>
      <c r="AF150">
        <f>0.16*X150 + 0.28*Y150 + 0.28*Z150 + 0.28*AA150</f>
        <v>6.0184799973755296E-2</v>
      </c>
      <c r="AG150">
        <f t="shared" si="6"/>
        <v>6.4762398914899677E-3</v>
      </c>
      <c r="AH150">
        <f>IF(T150="IT_Admin", 0.25, IF(AND(T150="HR", AA150&gt;0.6), 0.25, IF(AND(T150="General", Z150&gt;0.7), 0.2, 0.1)))</f>
        <v>0.25</v>
      </c>
      <c r="AI150">
        <f>IF(V150&gt;0.7, 0.1,
 IF(F150&gt;0.5, 0.08,
 IF(E150&gt;0.5, 0.05,
 0)))</f>
        <v>0</v>
      </c>
      <c r="AJ150">
        <f t="shared" si="7"/>
        <v>2.2588807916169566E-2</v>
      </c>
      <c r="AK150">
        <f t="shared" si="8"/>
        <v>2.823600989521196E-2</v>
      </c>
      <c r="AL150" t="str">
        <f>IF(MAX(X150, Y150, Z150, AA150)&gt;0.9,
 "Critical",
 IF(AK150&lt;=0.2,"Very Low",
 IF(AK150&lt;=0.4,"Low",
 IF(AK150&lt;=0.6,"Medium",
 IF(AK150&lt;=0.8,"High","Critical")))))</f>
        <v>Very Low</v>
      </c>
      <c r="AM150" t="str">
        <f>IF(MAX(X150:AA150)&gt;0.9,"CRITICAL ALERT",
 IF(AK150&gt;0.8,"CRITICAL ALERT",
 IF(AK150&gt;0.6,"ALERT",
 IF(AK150&gt;=0.4,"REVIEW","NO ACTION"))))</f>
        <v>NO ACTION</v>
      </c>
      <c r="AN150" t="str">
        <f>IF(AM150="NO ACTION","",
 IF(_xlfn.TEXTJOIN(", ", TRUE,
  IF(X150&gt;0.7,"Login anomaly",""),
  IF(Y150&gt;0.7,"File anomaly",""),
  IF(Z150&gt;0.7,"Network anomaly",""),
  IF(AA150&gt;0.7,"USB anomaly","")
 )="",
 "General anomaly detected",
 _xlfn.TEXTJOIN(", ", TRUE,
  IF(X150&gt;0.7,"Login anomaly",""),
  IF(Y150&gt;0.7,"File anomaly",""),
  IF(Z150&gt;0.7,"Network anomaly",""),
  IF(AA150&gt;0.7,"USB anomaly","")
 )))</f>
        <v/>
      </c>
    </row>
    <row r="151" spans="1:40" x14ac:dyDescent="0.3">
      <c r="A151" t="s">
        <v>174</v>
      </c>
      <c r="B151">
        <v>0.12892249527410199</v>
      </c>
      <c r="C151">
        <v>0.456826810475359</v>
      </c>
      <c r="D151">
        <v>7.5018780494472401E-2</v>
      </c>
      <c r="E151">
        <v>0</v>
      </c>
      <c r="F151">
        <v>0</v>
      </c>
      <c r="G151">
        <v>0.99365325004859395</v>
      </c>
      <c r="H151">
        <v>8</v>
      </c>
      <c r="I151">
        <v>9</v>
      </c>
      <c r="J151">
        <v>0.38299699441820501</v>
      </c>
      <c r="K151">
        <v>0.104404567699836</v>
      </c>
      <c r="L151">
        <v>6.9587680838140903E-2</v>
      </c>
      <c r="M151">
        <v>7.2150072150072098E-3</v>
      </c>
      <c r="N151">
        <v>1.13771313821108E-2</v>
      </c>
      <c r="O151">
        <v>1111</v>
      </c>
      <c r="P151">
        <v>0.32996632996632902</v>
      </c>
      <c r="Q151">
        <v>0.33006066131350997</v>
      </c>
      <c r="R151">
        <v>0</v>
      </c>
      <c r="S151">
        <v>0</v>
      </c>
      <c r="T151" t="s">
        <v>24</v>
      </c>
      <c r="U151">
        <v>8.3599419448476001E-2</v>
      </c>
      <c r="V151">
        <v>0</v>
      </c>
      <c r="W151">
        <v>0</v>
      </c>
      <c r="X151">
        <v>2.25056341483417E-2</v>
      </c>
      <c r="Y151">
        <v>0.114806378717344</v>
      </c>
      <c r="Z151">
        <v>0.20253065053264199</v>
      </c>
      <c r="AA151">
        <v>0</v>
      </c>
      <c r="AB151">
        <v>1.344900019466877E-2</v>
      </c>
      <c r="AC151">
        <v>6.4349998719990253E-3</v>
      </c>
      <c r="AD151">
        <v>2.8401000425219539E-2</v>
      </c>
      <c r="AE151">
        <v>1.2829999905079601E-3</v>
      </c>
      <c r="AF151">
        <f>0.16*X151 + 0.28*Y151 + 0.28*Z151 + 0.28*AA151</f>
        <v>9.2455269653730757E-2</v>
      </c>
      <c r="AG151">
        <f t="shared" si="6"/>
        <v>1.2265160111710431E-2</v>
      </c>
      <c r="AH151">
        <f>IF(T151="IT_Admin", 0.25, IF(AND(T151="HR", AA151&gt;0.6), 0.25, IF(AND(T151="General", Z151&gt;0.7), 0.2, 0.1)))</f>
        <v>0.25</v>
      </c>
      <c r="AI151">
        <f>IF(V151&gt;0.7, 0.1,
 IF(F151&gt;0.5, 0.08,
 IF(E151&gt;0.5, 0.05,
 0)))</f>
        <v>0</v>
      </c>
      <c r="AJ151">
        <f t="shared" si="7"/>
        <v>3.6322192974316533E-2</v>
      </c>
      <c r="AK151">
        <f t="shared" si="8"/>
        <v>4.540274121789567E-2</v>
      </c>
      <c r="AL151" t="str">
        <f>IF(MAX(X151, Y151, Z151, AA151)&gt;0.9,
 "Critical",
 IF(AK151&lt;=0.2,"Very Low",
 IF(AK151&lt;=0.4,"Low",
 IF(AK151&lt;=0.6,"Medium",
 IF(AK151&lt;=0.8,"High","Critical")))))</f>
        <v>Very Low</v>
      </c>
      <c r="AM151" t="str">
        <f>IF(MAX(X151:AA151)&gt;0.9,"CRITICAL ALERT",
 IF(AK151&gt;0.8,"CRITICAL ALERT",
 IF(AK151&gt;0.6,"ALERT",
 IF(AK151&gt;=0.4,"REVIEW","NO ACTION"))))</f>
        <v>NO ACTION</v>
      </c>
      <c r="AN151" t="str">
        <f>IF(AM151="NO ACTION","",
 IF(_xlfn.TEXTJOIN(", ", TRUE,
  IF(X151&gt;0.7,"Login anomaly",""),
  IF(Y151&gt;0.7,"File anomaly",""),
  IF(Z151&gt;0.7,"Network anomaly",""),
  IF(AA151&gt;0.7,"USB anomaly","")
 )="",
 "General anomaly detected",
 _xlfn.TEXTJOIN(", ", TRUE,
  IF(X151&gt;0.7,"Login anomaly",""),
  IF(Y151&gt;0.7,"File anomaly",""),
  IF(Z151&gt;0.7,"Network anomaly",""),
  IF(AA151&gt;0.7,"USB anomaly","")
 )))</f>
        <v/>
      </c>
    </row>
    <row r="152" spans="1:40" x14ac:dyDescent="0.3">
      <c r="A152" t="s">
        <v>175</v>
      </c>
      <c r="B152">
        <v>0.12892249527410199</v>
      </c>
      <c r="C152">
        <v>0.18476582604220201</v>
      </c>
      <c r="D152">
        <v>0</v>
      </c>
      <c r="E152">
        <v>0</v>
      </c>
      <c r="F152">
        <v>0</v>
      </c>
      <c r="G152">
        <v>0.99364701433976699</v>
      </c>
      <c r="H152">
        <v>7</v>
      </c>
      <c r="I152">
        <v>7</v>
      </c>
      <c r="J152">
        <v>0.35003100997089798</v>
      </c>
      <c r="K152">
        <v>9.7879282218597003E-3</v>
      </c>
      <c r="L152">
        <v>7.1378435734403001E-3</v>
      </c>
      <c r="M152">
        <v>1.1544011544011501E-3</v>
      </c>
      <c r="N152">
        <v>1.99166431800591E-3</v>
      </c>
      <c r="O152">
        <v>860</v>
      </c>
      <c r="P152">
        <v>0.26210016835016797</v>
      </c>
      <c r="Q152">
        <v>0.26221115747396401</v>
      </c>
      <c r="R152">
        <v>0</v>
      </c>
      <c r="S152">
        <v>0</v>
      </c>
      <c r="T152" t="s">
        <v>24</v>
      </c>
      <c r="U152">
        <v>4.0754716981131998E-2</v>
      </c>
      <c r="V152">
        <v>0</v>
      </c>
      <c r="W152">
        <v>0</v>
      </c>
      <c r="X152">
        <v>0</v>
      </c>
      <c r="Y152">
        <v>7.41726230763015E-2</v>
      </c>
      <c r="Z152">
        <v>0.15805676673730301</v>
      </c>
      <c r="AA152">
        <v>0</v>
      </c>
      <c r="AB152">
        <v>3.6637000739574432E-2</v>
      </c>
      <c r="AC152">
        <v>5.6199997197836637E-4</v>
      </c>
      <c r="AD152">
        <v>1.09850000590086E-2</v>
      </c>
      <c r="AE152">
        <v>1.603999990038574E-3</v>
      </c>
      <c r="AF152">
        <f>0.16*X152 + 0.28*Y152 + 0.28*Z152 + 0.28*AA152</f>
        <v>6.5024229147809268E-2</v>
      </c>
      <c r="AG152">
        <f t="shared" si="6"/>
        <v>9.5442001242190613E-3</v>
      </c>
      <c r="AH152">
        <f>IF(T152="IT_Admin", 0.25, IF(AND(T152="HR", AA152&gt;0.6), 0.25, IF(AND(T152="General", Z152&gt;0.7), 0.2, 0.1)))</f>
        <v>0.25</v>
      </c>
      <c r="AI152">
        <f>IF(V152&gt;0.7, 0.1,
 IF(F152&gt;0.5, 0.08,
 IF(E152&gt;0.5, 0.05,
 0)))</f>
        <v>0</v>
      </c>
      <c r="AJ152">
        <f t="shared" si="7"/>
        <v>2.6188208831296123E-2</v>
      </c>
      <c r="AK152">
        <f t="shared" si="8"/>
        <v>3.2735261039120153E-2</v>
      </c>
      <c r="AL152" t="str">
        <f>IF(MAX(X152, Y152, Z152, AA152)&gt;0.9,
 "Critical",
 IF(AK152&lt;=0.2,"Very Low",
 IF(AK152&lt;=0.4,"Low",
 IF(AK152&lt;=0.6,"Medium",
 IF(AK152&lt;=0.8,"High","Critical")))))</f>
        <v>Very Low</v>
      </c>
      <c r="AM152" t="str">
        <f>IF(MAX(X152:AA152)&gt;0.9,"CRITICAL ALERT",
 IF(AK152&gt;0.8,"CRITICAL ALERT",
 IF(AK152&gt;0.6,"ALERT",
 IF(AK152&gt;=0.4,"REVIEW","NO ACTION"))))</f>
        <v>NO ACTION</v>
      </c>
      <c r="AN152" t="str">
        <f>IF(AM152="NO ACTION","",
 IF(_xlfn.TEXTJOIN(", ", TRUE,
  IF(X152&gt;0.7,"Login anomaly",""),
  IF(Y152&gt;0.7,"File anomaly",""),
  IF(Z152&gt;0.7,"Network anomaly",""),
  IF(AA152&gt;0.7,"USB anomaly","")
 )="",
 "General anomaly detected",
 _xlfn.TEXTJOIN(", ", TRUE,
  IF(X152&gt;0.7,"Login anomaly",""),
  IF(Y152&gt;0.7,"File anomaly",""),
  IF(Z152&gt;0.7,"Network anomaly",""),
  IF(AA152&gt;0.7,"USB anomaly","")
 )))</f>
        <v/>
      </c>
    </row>
    <row r="153" spans="1:40" x14ac:dyDescent="0.3">
      <c r="A153" t="s">
        <v>176</v>
      </c>
      <c r="B153">
        <v>0.23742911153119001</v>
      </c>
      <c r="C153">
        <v>0.66860671544069195</v>
      </c>
      <c r="D153">
        <v>0.36270791480389503</v>
      </c>
      <c r="E153">
        <v>0</v>
      </c>
      <c r="F153">
        <v>0</v>
      </c>
      <c r="G153">
        <v>0.474423645800581</v>
      </c>
      <c r="H153">
        <v>7</v>
      </c>
      <c r="I153">
        <v>14</v>
      </c>
      <c r="J153">
        <v>0.38595486856543099</v>
      </c>
      <c r="K153">
        <v>1.5497553017944501E-2</v>
      </c>
      <c r="L153">
        <v>1.02503078320751E-2</v>
      </c>
      <c r="M153">
        <v>1.1544011544011501E-3</v>
      </c>
      <c r="N153">
        <v>1.8063989404322901E-3</v>
      </c>
      <c r="O153">
        <v>915</v>
      </c>
      <c r="P153">
        <v>0.290965207631874</v>
      </c>
      <c r="Q153">
        <v>0.29106911182019002</v>
      </c>
      <c r="R153">
        <v>0</v>
      </c>
      <c r="S153">
        <v>0</v>
      </c>
      <c r="T153" t="s">
        <v>24</v>
      </c>
      <c r="U153">
        <v>6.45283018867924E-2</v>
      </c>
      <c r="V153">
        <v>0</v>
      </c>
      <c r="W153">
        <v>0</v>
      </c>
      <c r="X153">
        <v>0.10881237444116799</v>
      </c>
      <c r="Y153">
        <v>8.2858047311253402E-2</v>
      </c>
      <c r="Z153">
        <v>0.17530168415529701</v>
      </c>
      <c r="AA153">
        <v>0</v>
      </c>
      <c r="AB153">
        <v>2.5129999965429309E-2</v>
      </c>
      <c r="AC153">
        <v>8.2199997268617153E-4</v>
      </c>
      <c r="AD153">
        <v>1.775800064206123E-2</v>
      </c>
      <c r="AE153">
        <v>8.4170000627636909E-3</v>
      </c>
      <c r="AF153">
        <f>0.16*X153 + 0.28*Y153 + 0.28*Z153 + 0.28*AA153</f>
        <v>8.9694704721221E-2</v>
      </c>
      <c r="AG153">
        <f t="shared" si="6"/>
        <v>1.1579960184171796E-2</v>
      </c>
      <c r="AH153">
        <f>IF(T153="IT_Admin", 0.25, IF(AND(T153="HR", AA153&gt;0.6), 0.25, IF(AND(T153="General", Z153&gt;0.7), 0.2, 0.1)))</f>
        <v>0.25</v>
      </c>
      <c r="AI153">
        <f>IF(V153&gt;0.7, 0.1,
 IF(F153&gt;0.5, 0.08,
 IF(E153&gt;0.5, 0.05,
 0)))</f>
        <v>0</v>
      </c>
      <c r="AJ153">
        <f t="shared" si="7"/>
        <v>3.5014383545286555E-2</v>
      </c>
      <c r="AK153">
        <f t="shared" si="8"/>
        <v>4.3767979431608192E-2</v>
      </c>
      <c r="AL153" t="str">
        <f>IF(MAX(X153, Y153, Z153, AA153)&gt;0.9,
 "Critical",
 IF(AK153&lt;=0.2,"Very Low",
 IF(AK153&lt;=0.4,"Low",
 IF(AK153&lt;=0.6,"Medium",
 IF(AK153&lt;=0.8,"High","Critical")))))</f>
        <v>Very Low</v>
      </c>
      <c r="AM153" t="str">
        <f>IF(MAX(X153:AA153)&gt;0.9,"CRITICAL ALERT",
 IF(AK153&gt;0.8,"CRITICAL ALERT",
 IF(AK153&gt;0.6,"ALERT",
 IF(AK153&gt;=0.4,"REVIEW","NO ACTION"))))</f>
        <v>NO ACTION</v>
      </c>
      <c r="AN153" t="str">
        <f>IF(AM153="NO ACTION","",
 IF(_xlfn.TEXTJOIN(", ", TRUE,
  IF(X153&gt;0.7,"Login anomaly",""),
  IF(Y153&gt;0.7,"File anomaly",""),
  IF(Z153&gt;0.7,"Network anomaly",""),
  IF(AA153&gt;0.7,"USB anomaly","")
 )="",
 "General anomaly detected",
 _xlfn.TEXTJOIN(", ", TRUE,
  IF(X153&gt;0.7,"Login anomaly",""),
  IF(Y153&gt;0.7,"File anomaly",""),
  IF(Z153&gt;0.7,"Network anomaly",""),
  IF(AA153&gt;0.7,"USB anomaly","")
 )))</f>
        <v/>
      </c>
    </row>
    <row r="154" spans="1:40" x14ac:dyDescent="0.3">
      <c r="A154" t="s">
        <v>177</v>
      </c>
      <c r="B154">
        <v>0.12892249527410199</v>
      </c>
      <c r="C154">
        <v>0.36953165208440503</v>
      </c>
      <c r="D154">
        <v>0</v>
      </c>
      <c r="E154">
        <v>0</v>
      </c>
      <c r="F154">
        <v>0</v>
      </c>
      <c r="G154">
        <v>0.99368528499909403</v>
      </c>
      <c r="H154">
        <v>8</v>
      </c>
      <c r="I154">
        <v>8</v>
      </c>
      <c r="J154">
        <v>0.38714755975382797</v>
      </c>
      <c r="K154">
        <v>5.7096247960848204E-3</v>
      </c>
      <c r="L154">
        <v>3.7648022640947298E-3</v>
      </c>
      <c r="M154">
        <v>2.59740259740259E-3</v>
      </c>
      <c r="N154">
        <v>4.0518840765146101E-3</v>
      </c>
      <c r="O154">
        <v>1015</v>
      </c>
      <c r="P154">
        <v>0.28833473625140199</v>
      </c>
      <c r="Q154">
        <v>0.28843928608997499</v>
      </c>
      <c r="R154">
        <v>0</v>
      </c>
      <c r="S154">
        <v>0</v>
      </c>
      <c r="T154" t="s">
        <v>24</v>
      </c>
      <c r="U154">
        <v>1.18867924528301E-2</v>
      </c>
      <c r="V154">
        <v>0</v>
      </c>
      <c r="W154">
        <v>0</v>
      </c>
      <c r="X154">
        <v>0</v>
      </c>
      <c r="Y154">
        <v>8.0527478305767397E-2</v>
      </c>
      <c r="Z154">
        <v>0.174621595381447</v>
      </c>
      <c r="AA154">
        <v>0</v>
      </c>
      <c r="AB154">
        <v>2.459800057113171E-2</v>
      </c>
      <c r="AC154">
        <v>9.7300001652911305E-4</v>
      </c>
      <c r="AD154">
        <v>1.6673000529408451E-2</v>
      </c>
      <c r="AE154">
        <v>1.395000028423965E-3</v>
      </c>
      <c r="AF154">
        <f>0.16*X154 + 0.28*Y154 + 0.28*Z154 + 0.28*AA154</f>
        <v>7.1441740632420037E-2</v>
      </c>
      <c r="AG154">
        <f t="shared" si="6"/>
        <v>9.2671602522023024E-3</v>
      </c>
      <c r="AH154">
        <f>IF(T154="IT_Admin", 0.25, IF(AND(T154="HR", AA154&gt;0.6), 0.25, IF(AND(T154="General", Z154&gt;0.7), 0.2, 0.1)))</f>
        <v>0.25</v>
      </c>
      <c r="AI154">
        <f>IF(V154&gt;0.7, 0.1,
 IF(F154&gt;0.5, 0.08,
 IF(E154&gt;0.5, 0.05,
 0)))</f>
        <v>0</v>
      </c>
      <c r="AJ154">
        <f t="shared" si="7"/>
        <v>2.7919534366267623E-2</v>
      </c>
      <c r="AK154">
        <f t="shared" si="8"/>
        <v>3.4899417957834529E-2</v>
      </c>
      <c r="AL154" t="str">
        <f>IF(MAX(X154, Y154, Z154, AA154)&gt;0.9,
 "Critical",
 IF(AK154&lt;=0.2,"Very Low",
 IF(AK154&lt;=0.4,"Low",
 IF(AK154&lt;=0.6,"Medium",
 IF(AK154&lt;=0.8,"High","Critical")))))</f>
        <v>Very Low</v>
      </c>
      <c r="AM154" t="str">
        <f>IF(MAX(X154:AA154)&gt;0.9,"CRITICAL ALERT",
 IF(AK154&gt;0.8,"CRITICAL ALERT",
 IF(AK154&gt;0.6,"ALERT",
 IF(AK154&gt;=0.4,"REVIEW","NO ACTION"))))</f>
        <v>NO ACTION</v>
      </c>
      <c r="AN154" t="str">
        <f>IF(AM154="NO ACTION","",
 IF(_xlfn.TEXTJOIN(", ", TRUE,
  IF(X154&gt;0.7,"Login anomaly",""),
  IF(Y154&gt;0.7,"File anomaly",""),
  IF(Z154&gt;0.7,"Network anomaly",""),
  IF(AA154&gt;0.7,"USB anomaly","")
 )="",
 "General anomaly detected",
 _xlfn.TEXTJOIN(", ", TRUE,
  IF(X154&gt;0.7,"Login anomaly",""),
  IF(Y154&gt;0.7,"File anomaly",""),
  IF(Z154&gt;0.7,"Network anomaly",""),
  IF(AA154&gt;0.7,"USB anomaly","")
 )))</f>
        <v/>
      </c>
    </row>
    <row r="155" spans="1:40" x14ac:dyDescent="0.3">
      <c r="A155" t="s">
        <v>178</v>
      </c>
      <c r="B155">
        <v>4.9905482041587901E-2</v>
      </c>
      <c r="C155">
        <v>0.27307302231237202</v>
      </c>
      <c r="D155">
        <v>7.5227873718231295E-2</v>
      </c>
      <c r="E155">
        <v>0</v>
      </c>
      <c r="F155">
        <v>0</v>
      </c>
      <c r="G155">
        <v>0.98266308968914395</v>
      </c>
      <c r="H155">
        <v>7</v>
      </c>
      <c r="I155">
        <v>8</v>
      </c>
      <c r="J155">
        <v>7.5330375459186097E-2</v>
      </c>
      <c r="K155">
        <v>3.2626427406199001E-3</v>
      </c>
      <c r="L155">
        <v>1.10282086523987E-2</v>
      </c>
      <c r="M155">
        <v>2.3088023088023001E-3</v>
      </c>
      <c r="N155">
        <v>1.84631305843427E-2</v>
      </c>
      <c r="O155">
        <v>309</v>
      </c>
      <c r="P155">
        <v>5.7905443322109902E-2</v>
      </c>
      <c r="Q155">
        <v>5.8066552123145897E-2</v>
      </c>
      <c r="R155">
        <v>0.12241887905604699</v>
      </c>
      <c r="S155">
        <v>1</v>
      </c>
      <c r="T155" t="s">
        <v>49</v>
      </c>
      <c r="U155">
        <v>7.5471698113207496E-3</v>
      </c>
      <c r="V155">
        <v>0</v>
      </c>
      <c r="W155">
        <v>0</v>
      </c>
      <c r="X155">
        <v>2.2568362115469299E-2</v>
      </c>
      <c r="Y155">
        <v>2.6119118593339301E-2</v>
      </c>
      <c r="Z155">
        <v>4.2128518227003003E-2</v>
      </c>
      <c r="AA155">
        <v>0.12241887905604699</v>
      </c>
      <c r="AB155">
        <v>3.1998001039028168E-2</v>
      </c>
      <c r="AC155">
        <v>7.4200000381097198E-4</v>
      </c>
      <c r="AD155">
        <v>5.8650001883506766E-3</v>
      </c>
      <c r="AE155">
        <v>6.65460005402565E-2</v>
      </c>
      <c r="AF155">
        <f>0.16*X155 + 0.28*Y155 + 0.28*Z155 + 0.28*AA155</f>
        <v>5.6997562383864095E-2</v>
      </c>
      <c r="AG155">
        <f t="shared" si="6"/>
        <v>2.5602520371321592E-2</v>
      </c>
      <c r="AH155">
        <f>IF(T155="IT_Admin", 0.25, IF(AND(T155="HR", AA155&gt;0.6), 0.25, IF(AND(T155="General", Z155&gt;0.7), 0.2, 0.1)))</f>
        <v>0.1</v>
      </c>
      <c r="AI155">
        <f>IF(V155&gt;0.7, 0.1,
 IF(F155&gt;0.5, 0.08,
 IF(E155&gt;0.5, 0.05,
 0)))</f>
        <v>0</v>
      </c>
      <c r="AJ155">
        <f t="shared" si="7"/>
        <v>3.502103297508434E-2</v>
      </c>
      <c r="AK155">
        <f t="shared" si="8"/>
        <v>3.8523136272592774E-2</v>
      </c>
      <c r="AL155" t="str">
        <f>IF(MAX(X155, Y155, Z155, AA155)&gt;0.9,
 "Critical",
 IF(AK155&lt;=0.2,"Very Low",
 IF(AK155&lt;=0.4,"Low",
 IF(AK155&lt;=0.6,"Medium",
 IF(AK155&lt;=0.8,"High","Critical")))))</f>
        <v>Very Low</v>
      </c>
      <c r="AM155" t="str">
        <f>IF(MAX(X155:AA155)&gt;0.9,"CRITICAL ALERT",
 IF(AK155&gt;0.8,"CRITICAL ALERT",
 IF(AK155&gt;0.6,"ALERT",
 IF(AK155&gt;=0.4,"REVIEW","NO ACTION"))))</f>
        <v>NO ACTION</v>
      </c>
      <c r="AN155" t="str">
        <f>IF(AM155="NO ACTION","",
 IF(_xlfn.TEXTJOIN(", ", TRUE,
  IF(X155&gt;0.7,"Login anomaly",""),
  IF(Y155&gt;0.7,"File anomaly",""),
  IF(Z155&gt;0.7,"Network anomaly",""),
  IF(AA155&gt;0.7,"USB anomaly","")
 )="",
 "General anomaly detected",
 _xlfn.TEXTJOIN(", ", TRUE,
  IF(X155&gt;0.7,"Login anomaly",""),
  IF(Y155&gt;0.7,"File anomaly",""),
  IF(Z155&gt;0.7,"Network anomaly",""),
  IF(AA155&gt;0.7,"USB anomaly","")
 )))</f>
        <v/>
      </c>
    </row>
    <row r="156" spans="1:40" x14ac:dyDescent="0.3">
      <c r="A156" t="s">
        <v>179</v>
      </c>
      <c r="B156">
        <v>0.25444234404536797</v>
      </c>
      <c r="C156">
        <v>0.609699934089041</v>
      </c>
      <c r="D156">
        <v>0.37799943448498502</v>
      </c>
      <c r="E156">
        <v>0</v>
      </c>
      <c r="F156">
        <v>0</v>
      </c>
      <c r="G156">
        <v>0.43294065553317601</v>
      </c>
      <c r="H156">
        <v>7</v>
      </c>
      <c r="I156">
        <v>14</v>
      </c>
      <c r="J156">
        <v>0.225180096369448</v>
      </c>
      <c r="K156">
        <v>4.8939641109298502E-3</v>
      </c>
      <c r="L156">
        <v>5.5456134937776399E-3</v>
      </c>
      <c r="M156">
        <v>1.0389610389610299E-2</v>
      </c>
      <c r="N156">
        <v>2.7852951281522698E-2</v>
      </c>
      <c r="O156">
        <v>705</v>
      </c>
      <c r="P156">
        <v>0.17269921436588101</v>
      </c>
      <c r="Q156">
        <v>0.17283214698972599</v>
      </c>
      <c r="R156">
        <v>0</v>
      </c>
      <c r="S156">
        <v>0</v>
      </c>
      <c r="T156" t="s">
        <v>24</v>
      </c>
      <c r="U156">
        <v>2.7536970933197298E-3</v>
      </c>
      <c r="V156">
        <v>0</v>
      </c>
      <c r="W156">
        <v>0</v>
      </c>
      <c r="X156">
        <v>0.113399830345495</v>
      </c>
      <c r="Y156">
        <v>5.6164711405235199E-2</v>
      </c>
      <c r="Z156">
        <v>0.114760709132137</v>
      </c>
      <c r="AA156">
        <v>0</v>
      </c>
      <c r="AB156">
        <v>2.8025999665260311E-2</v>
      </c>
      <c r="AC156">
        <v>7.2499999077990651E-4</v>
      </c>
      <c r="AD156">
        <v>9.5499999588355422E-4</v>
      </c>
      <c r="AE156">
        <v>9.9719995632767677E-3</v>
      </c>
      <c r="AF156">
        <f>0.16*X156 + 0.28*Y156 + 0.28*Z156 + 0.28*AA156</f>
        <v>6.6003090605743414E-2</v>
      </c>
      <c r="AG156">
        <f t="shared" si="6"/>
        <v>7.7467198204249146E-3</v>
      </c>
      <c r="AH156">
        <f>IF(T156="IT_Admin", 0.25, IF(AND(T156="HR", AA156&gt;0.6), 0.25, IF(AND(T156="General", Z156&gt;0.7), 0.2, 0.1)))</f>
        <v>0.25</v>
      </c>
      <c r="AI156">
        <f>IF(V156&gt;0.7, 0.1,
 IF(F156&gt;0.5, 0.08,
 IF(E156&gt;0.5, 0.05,
 0)))</f>
        <v>0</v>
      </c>
      <c r="AJ156">
        <f t="shared" si="7"/>
        <v>2.5223631056020466E-2</v>
      </c>
      <c r="AK156">
        <f t="shared" si="8"/>
        <v>3.1529538820025585E-2</v>
      </c>
      <c r="AL156" t="str">
        <f>IF(MAX(X156, Y156, Z156, AA156)&gt;0.9,
 "Critical",
 IF(AK156&lt;=0.2,"Very Low",
 IF(AK156&lt;=0.4,"Low",
 IF(AK156&lt;=0.6,"Medium",
 IF(AK156&lt;=0.8,"High","Critical")))))</f>
        <v>Very Low</v>
      </c>
      <c r="AM156" t="str">
        <f>IF(MAX(X156:AA156)&gt;0.9,"CRITICAL ALERT",
 IF(AK156&gt;0.8,"CRITICAL ALERT",
 IF(AK156&gt;0.6,"ALERT",
 IF(AK156&gt;=0.4,"REVIEW","NO ACTION"))))</f>
        <v>NO ACTION</v>
      </c>
      <c r="AN156" t="str">
        <f>IF(AM156="NO ACTION","",
 IF(_xlfn.TEXTJOIN(", ", TRUE,
  IF(X156&gt;0.7,"Login anomaly",""),
  IF(Y156&gt;0.7,"File anomaly",""),
  IF(Z156&gt;0.7,"Network anomaly",""),
  IF(AA156&gt;0.7,"USB anomaly","")
 )="",
 "General anomaly detected",
 _xlfn.TEXTJOIN(", ", TRUE,
  IF(X156&gt;0.7,"Login anomaly",""),
  IF(Y156&gt;0.7,"File anomaly",""),
  IF(Z156&gt;0.7,"Network anomaly",""),
  IF(AA156&gt;0.7,"USB anomaly","")
 )))</f>
        <v/>
      </c>
    </row>
    <row r="157" spans="1:40" x14ac:dyDescent="0.3">
      <c r="A157" t="s">
        <v>180</v>
      </c>
      <c r="B157">
        <v>0.25784499054820398</v>
      </c>
      <c r="C157">
        <v>0.83467827245595605</v>
      </c>
      <c r="D157">
        <v>0.40923092388451099</v>
      </c>
      <c r="E157">
        <v>0</v>
      </c>
      <c r="F157">
        <v>0</v>
      </c>
      <c r="G157">
        <v>0.42502807644128399</v>
      </c>
      <c r="H157">
        <v>8</v>
      </c>
      <c r="I157">
        <v>18</v>
      </c>
      <c r="J157">
        <v>0.35413386765898502</v>
      </c>
      <c r="K157">
        <v>0.114192495921696</v>
      </c>
      <c r="L157">
        <v>8.23107010889855E-2</v>
      </c>
      <c r="M157">
        <v>4.3578643578643501E-2</v>
      </c>
      <c r="N157">
        <v>7.4314846285767094E-2</v>
      </c>
      <c r="O157">
        <v>896</v>
      </c>
      <c r="P157">
        <v>0.33063271604938199</v>
      </c>
      <c r="Q157">
        <v>0.33072688383183102</v>
      </c>
      <c r="R157">
        <v>0.48967551622418798</v>
      </c>
      <c r="S157">
        <v>1</v>
      </c>
      <c r="T157" t="s">
        <v>24</v>
      </c>
      <c r="U157">
        <v>1.56405163853028E-2</v>
      </c>
      <c r="V157">
        <v>0</v>
      </c>
      <c r="W157">
        <v>0</v>
      </c>
      <c r="X157">
        <v>0.12276927716535301</v>
      </c>
      <c r="Y157">
        <v>0.13427657796202</v>
      </c>
      <c r="Z157">
        <v>0.22810556814393601</v>
      </c>
      <c r="AA157">
        <v>0.48967551622418798</v>
      </c>
      <c r="AB157">
        <v>6.8149998784065247E-2</v>
      </c>
      <c r="AC157">
        <v>1.0184000246226789E-2</v>
      </c>
      <c r="AD157">
        <v>3.4637000411748893E-2</v>
      </c>
      <c r="AE157">
        <v>0.23502400517463681</v>
      </c>
      <c r="AF157">
        <f>0.16*X157 + 0.28*Y157 + 0.28*Z157 + 0.28*AA157</f>
        <v>0.25821922979889683</v>
      </c>
      <c r="AG157">
        <f t="shared" si="6"/>
        <v>8.9260601438581944E-2</v>
      </c>
      <c r="AH157">
        <f>IF(T157="IT_Admin", 0.25, IF(AND(T157="HR", AA157&gt;0.6), 0.25, IF(AND(T157="General", Z157&gt;0.7), 0.2, 0.1)))</f>
        <v>0.25</v>
      </c>
      <c r="AI157">
        <f>IF(V157&gt;0.7, 0.1,
 IF(F157&gt;0.5, 0.08,
 IF(E157&gt;0.5, 0.05,
 0)))</f>
        <v>0</v>
      </c>
      <c r="AJ157">
        <f t="shared" si="7"/>
        <v>0.1399481899466764</v>
      </c>
      <c r="AK157">
        <f t="shared" si="8"/>
        <v>0.17493523743334549</v>
      </c>
      <c r="AL157" t="str">
        <f>IF(MAX(X157, Y157, Z157, AA157)&gt;0.9,
 "Critical",
 IF(AK157&lt;=0.2,"Very Low",
 IF(AK157&lt;=0.4,"Low",
 IF(AK157&lt;=0.6,"Medium",
 IF(AK157&lt;=0.8,"High","Critical")))))</f>
        <v>Very Low</v>
      </c>
      <c r="AM157" t="str">
        <f>IF(MAX(X157:AA157)&gt;0.9,"CRITICAL ALERT",
 IF(AK157&gt;0.8,"CRITICAL ALERT",
 IF(AK157&gt;0.6,"ALERT",
 IF(AK157&gt;=0.4,"REVIEW","NO ACTION"))))</f>
        <v>NO ACTION</v>
      </c>
      <c r="AN157" t="str">
        <f>IF(AM157="NO ACTION","",
 IF(_xlfn.TEXTJOIN(", ", TRUE,
  IF(X157&gt;0.7,"Login anomaly",""),
  IF(Y157&gt;0.7,"File anomaly",""),
  IF(Z157&gt;0.7,"Network anomaly",""),
  IF(AA157&gt;0.7,"USB anomaly","")
 )="",
 "General anomaly detected",
 _xlfn.TEXTJOIN(", ", TRUE,
  IF(X157&gt;0.7,"Login anomaly",""),
  IF(Y157&gt;0.7,"File anomaly",""),
  IF(Z157&gt;0.7,"Network anomaly",""),
  IF(AA157&gt;0.7,"USB anomaly","")
 )))</f>
        <v/>
      </c>
    </row>
    <row r="158" spans="1:40" x14ac:dyDescent="0.3">
      <c r="A158" t="s">
        <v>181</v>
      </c>
      <c r="B158">
        <v>0.12892249527410199</v>
      </c>
      <c r="C158">
        <v>0.36953165208440503</v>
      </c>
      <c r="D158">
        <v>0</v>
      </c>
      <c r="E158">
        <v>0</v>
      </c>
      <c r="F158">
        <v>0</v>
      </c>
      <c r="G158">
        <v>0.99368528499909403</v>
      </c>
      <c r="H158">
        <v>8</v>
      </c>
      <c r="I158">
        <v>8</v>
      </c>
      <c r="J158">
        <v>0.34511712227469998</v>
      </c>
      <c r="K158">
        <v>1.30505709624796E-2</v>
      </c>
      <c r="L158">
        <v>9.6525390277107694E-3</v>
      </c>
      <c r="M158">
        <v>9.8124098124098107E-3</v>
      </c>
      <c r="N158">
        <v>1.7170022806160298E-2</v>
      </c>
      <c r="O158">
        <v>872</v>
      </c>
      <c r="P158">
        <v>0.264099326599326</v>
      </c>
      <c r="Q158">
        <v>0.26420982502892798</v>
      </c>
      <c r="R158">
        <v>0</v>
      </c>
      <c r="S158">
        <v>0</v>
      </c>
      <c r="T158" t="s">
        <v>24</v>
      </c>
      <c r="U158">
        <v>7.7628032345013398E-3</v>
      </c>
      <c r="V158">
        <v>0</v>
      </c>
      <c r="W158">
        <v>0</v>
      </c>
      <c r="X158">
        <v>0</v>
      </c>
      <c r="Y158">
        <v>7.9000700810643601E-2</v>
      </c>
      <c r="Z158">
        <v>0.16532760508205999</v>
      </c>
      <c r="AA158">
        <v>0</v>
      </c>
      <c r="AB158">
        <v>2.4601999670267109E-2</v>
      </c>
      <c r="AC158">
        <v>8.0799998249858618E-4</v>
      </c>
      <c r="AD158">
        <v>1.197899971157312E-2</v>
      </c>
      <c r="AE158">
        <v>1.4909999445080759E-3</v>
      </c>
      <c r="AF158">
        <f>0.16*X158 + 0.28*Y158 + 0.28*Z158 + 0.28*AA158</f>
        <v>6.8411925649957017E-2</v>
      </c>
      <c r="AG158">
        <f t="shared" si="6"/>
        <v>7.9341598460450774E-3</v>
      </c>
      <c r="AH158">
        <f>IF(T158="IT_Admin", 0.25, IF(AND(T158="HR", AA158&gt;0.6), 0.25, IF(AND(T158="General", Z158&gt;0.7), 0.2, 0.1)))</f>
        <v>0.25</v>
      </c>
      <c r="AI158">
        <f>IF(V158&gt;0.7, 0.1,
 IF(F158&gt;0.5, 0.08,
 IF(E158&gt;0.5, 0.05,
 0)))</f>
        <v>0</v>
      </c>
      <c r="AJ158">
        <f t="shared" si="7"/>
        <v>2.6077489587218658E-2</v>
      </c>
      <c r="AK158">
        <f t="shared" si="8"/>
        <v>3.2596861984023326E-2</v>
      </c>
      <c r="AL158" t="str">
        <f>IF(MAX(X158, Y158, Z158, AA158)&gt;0.9,
 "Critical",
 IF(AK158&lt;=0.2,"Very Low",
 IF(AK158&lt;=0.4,"Low",
 IF(AK158&lt;=0.6,"Medium",
 IF(AK158&lt;=0.8,"High","Critical")))))</f>
        <v>Very Low</v>
      </c>
      <c r="AM158" t="str">
        <f>IF(MAX(X158:AA158)&gt;0.9,"CRITICAL ALERT",
 IF(AK158&gt;0.8,"CRITICAL ALERT",
 IF(AK158&gt;0.6,"ALERT",
 IF(AK158&gt;=0.4,"REVIEW","NO ACTION"))))</f>
        <v>NO ACTION</v>
      </c>
      <c r="AN158" t="str">
        <f>IF(AM158="NO ACTION","",
 IF(_xlfn.TEXTJOIN(", ", TRUE,
  IF(X158&gt;0.7,"Login anomaly",""),
  IF(Y158&gt;0.7,"File anomaly",""),
  IF(Z158&gt;0.7,"Network anomaly",""),
  IF(AA158&gt;0.7,"USB anomaly","")
 )="",
 "General anomaly detected",
 _xlfn.TEXTJOIN(", ", TRUE,
  IF(X158&gt;0.7,"Login anomaly",""),
  IF(Y158&gt;0.7,"File anomaly",""),
  IF(Z158&gt;0.7,"Network anomaly",""),
  IF(AA158&gt;0.7,"USB anomaly","")
 )))</f>
        <v/>
      </c>
    </row>
    <row r="159" spans="1:40" x14ac:dyDescent="0.3">
      <c r="A159" t="s">
        <v>182</v>
      </c>
      <c r="B159">
        <v>0.12892249527410199</v>
      </c>
      <c r="C159">
        <v>0.36953165208440503</v>
      </c>
      <c r="D159">
        <v>0</v>
      </c>
      <c r="E159">
        <v>0</v>
      </c>
      <c r="F159">
        <v>0</v>
      </c>
      <c r="G159">
        <v>0.99367214451396801</v>
      </c>
      <c r="H159">
        <v>8</v>
      </c>
      <c r="I159">
        <v>8</v>
      </c>
      <c r="J159">
        <v>0.30943180191784703</v>
      </c>
      <c r="K159">
        <v>1.2234910277324601E-2</v>
      </c>
      <c r="L159">
        <v>1.0092059681905401E-2</v>
      </c>
      <c r="M159">
        <v>2.1067821067820999E-2</v>
      </c>
      <c r="N159">
        <v>4.1113247491309401E-2</v>
      </c>
      <c r="O159">
        <v>827</v>
      </c>
      <c r="P159">
        <v>0.24298540965207599</v>
      </c>
      <c r="Q159">
        <v>0.24310109050106901</v>
      </c>
      <c r="R159">
        <v>0</v>
      </c>
      <c r="S159">
        <v>0</v>
      </c>
      <c r="T159" t="s">
        <v>24</v>
      </c>
      <c r="U159">
        <v>3.4421213666496601E-3</v>
      </c>
      <c r="V159">
        <v>0</v>
      </c>
      <c r="W159">
        <v>0</v>
      </c>
      <c r="X159">
        <v>0</v>
      </c>
      <c r="Y159">
        <v>7.9266364471914999E-2</v>
      </c>
      <c r="Z159">
        <v>0.162236544787769</v>
      </c>
      <c r="AA159">
        <v>0</v>
      </c>
      <c r="AB159">
        <v>2.459800057113171E-2</v>
      </c>
      <c r="AC159">
        <v>1.1530000483617191E-3</v>
      </c>
      <c r="AD159">
        <v>9.0309996157884598E-3</v>
      </c>
      <c r="AE159">
        <v>1.4740000478923321E-3</v>
      </c>
      <c r="AF159">
        <f>0.16*X159 + 0.28*Y159 + 0.28*Z159 + 0.28*AA159</f>
        <v>6.762081459271152E-2</v>
      </c>
      <c r="AG159">
        <f t="shared" si="6"/>
        <v>7.1999200107529769E-3</v>
      </c>
      <c r="AH159">
        <f>IF(T159="IT_Admin", 0.25, IF(AND(T159="HR", AA159&gt;0.6), 0.25, IF(AND(T159="General", Z159&gt;0.7), 0.2, 0.1)))</f>
        <v>0.25</v>
      </c>
      <c r="AI159">
        <f>IF(V159&gt;0.7, 0.1,
 IF(F159&gt;0.5, 0.08,
 IF(E159&gt;0.5, 0.05,
 0)))</f>
        <v>0</v>
      </c>
      <c r="AJ159">
        <f t="shared" si="7"/>
        <v>2.532618838534054E-2</v>
      </c>
      <c r="AK159">
        <f t="shared" si="8"/>
        <v>3.1657735481675678E-2</v>
      </c>
      <c r="AL159" t="str">
        <f>IF(MAX(X159, Y159, Z159, AA159)&gt;0.9,
 "Critical",
 IF(AK159&lt;=0.2,"Very Low",
 IF(AK159&lt;=0.4,"Low",
 IF(AK159&lt;=0.6,"Medium",
 IF(AK159&lt;=0.8,"High","Critical")))))</f>
        <v>Very Low</v>
      </c>
      <c r="AM159" t="str">
        <f>IF(MAX(X159:AA159)&gt;0.9,"CRITICAL ALERT",
 IF(AK159&gt;0.8,"CRITICAL ALERT",
 IF(AK159&gt;0.6,"ALERT",
 IF(AK159&gt;=0.4,"REVIEW","NO ACTION"))))</f>
        <v>NO ACTION</v>
      </c>
      <c r="AN159" t="str">
        <f>IF(AM159="NO ACTION","",
 IF(_xlfn.TEXTJOIN(", ", TRUE,
  IF(X159&gt;0.7,"Login anomaly",""),
  IF(Y159&gt;0.7,"File anomaly",""),
  IF(Z159&gt;0.7,"Network anomaly",""),
  IF(AA159&gt;0.7,"USB anomaly","")
 )="",
 "General anomaly detected",
 _xlfn.TEXTJOIN(", ", TRUE,
  IF(X159&gt;0.7,"Login anomaly",""),
  IF(Y159&gt;0.7,"File anomaly",""),
  IF(Z159&gt;0.7,"Network anomaly",""),
  IF(AA159&gt;0.7,"USB anomaly","")
 )))</f>
        <v/>
      </c>
    </row>
    <row r="160" spans="1:40" x14ac:dyDescent="0.3">
      <c r="A160" t="s">
        <v>183</v>
      </c>
      <c r="B160">
        <v>0.12892249527410199</v>
      </c>
      <c r="C160">
        <v>0.294018662310635</v>
      </c>
      <c r="D160">
        <v>7.3869497346761001E-2</v>
      </c>
      <c r="E160">
        <v>0</v>
      </c>
      <c r="F160">
        <v>0</v>
      </c>
      <c r="G160">
        <v>0.99368994170868996</v>
      </c>
      <c r="H160">
        <v>7</v>
      </c>
      <c r="I160">
        <v>8</v>
      </c>
      <c r="J160">
        <v>0.30800057249176999</v>
      </c>
      <c r="K160">
        <v>1.0603588907014599E-2</v>
      </c>
      <c r="L160">
        <v>8.7870636345068198E-3</v>
      </c>
      <c r="M160">
        <v>3.7518037518037501E-3</v>
      </c>
      <c r="N160">
        <v>7.35553290885282E-3</v>
      </c>
      <c r="O160">
        <v>757</v>
      </c>
      <c r="P160">
        <v>0.23281425364758701</v>
      </c>
      <c r="Q160">
        <v>0.23293243101090499</v>
      </c>
      <c r="R160">
        <v>0</v>
      </c>
      <c r="S160">
        <v>0</v>
      </c>
      <c r="T160" t="s">
        <v>24</v>
      </c>
      <c r="U160">
        <v>1.5768194070080802E-2</v>
      </c>
      <c r="V160">
        <v>0</v>
      </c>
      <c r="W160">
        <v>0</v>
      </c>
      <c r="X160">
        <v>2.2160849204028301E-2</v>
      </c>
      <c r="Y160">
        <v>6.8200306188263296E-2</v>
      </c>
      <c r="Z160">
        <v>0.14263076535209299</v>
      </c>
      <c r="AA160">
        <v>0</v>
      </c>
      <c r="AB160">
        <v>1.754599995911121E-2</v>
      </c>
      <c r="AC160">
        <v>5.4500001715496182E-4</v>
      </c>
      <c r="AD160">
        <v>6.3029997982084751E-3</v>
      </c>
      <c r="AE160">
        <v>2.2929999977350231E-3</v>
      </c>
      <c r="AF160">
        <f>0.16*X160 + 0.28*Y160 + 0.28*Z160 + 0.28*AA160</f>
        <v>6.2578435903944296E-2</v>
      </c>
      <c r="AG160">
        <f t="shared" si="6"/>
        <v>5.3668399411253625E-3</v>
      </c>
      <c r="AH160">
        <f>IF(T160="IT_Admin", 0.25, IF(AND(T160="HR", AA160&gt;0.6), 0.25, IF(AND(T160="General", Z160&gt;0.7), 0.2, 0.1)))</f>
        <v>0.25</v>
      </c>
      <c r="AI160">
        <f>IF(V160&gt;0.7, 0.1,
 IF(F160&gt;0.5, 0.08,
 IF(E160&gt;0.5, 0.05,
 0)))</f>
        <v>0</v>
      </c>
      <c r="AJ160">
        <f t="shared" si="7"/>
        <v>2.2530318729971043E-2</v>
      </c>
      <c r="AK160">
        <f t="shared" si="8"/>
        <v>2.8162898412463805E-2</v>
      </c>
      <c r="AL160" t="str">
        <f>IF(MAX(X160, Y160, Z160, AA160)&gt;0.9,
 "Critical",
 IF(AK160&lt;=0.2,"Very Low",
 IF(AK160&lt;=0.4,"Low",
 IF(AK160&lt;=0.6,"Medium",
 IF(AK160&lt;=0.8,"High","Critical")))))</f>
        <v>Very Low</v>
      </c>
      <c r="AM160" t="str">
        <f>IF(MAX(X160:AA160)&gt;0.9,"CRITICAL ALERT",
 IF(AK160&gt;0.8,"CRITICAL ALERT",
 IF(AK160&gt;0.6,"ALERT",
 IF(AK160&gt;=0.4,"REVIEW","NO ACTION"))))</f>
        <v>NO ACTION</v>
      </c>
      <c r="AN160" t="str">
        <f>IF(AM160="NO ACTION","",
 IF(_xlfn.TEXTJOIN(", ", TRUE,
  IF(X160&gt;0.7,"Login anomaly",""),
  IF(Y160&gt;0.7,"File anomaly",""),
  IF(Z160&gt;0.7,"Network anomaly",""),
  IF(AA160&gt;0.7,"USB anomaly","")
 )="",
 "General anomaly detected",
 _xlfn.TEXTJOIN(", ", TRUE,
  IF(X160&gt;0.7,"Login anomaly",""),
  IF(Y160&gt;0.7,"File anomaly",""),
  IF(Z160&gt;0.7,"Network anomaly",""),
  IF(AA160&gt;0.7,"USB anomaly","")
 )))</f>
        <v/>
      </c>
    </row>
    <row r="161" spans="1:40" x14ac:dyDescent="0.3">
      <c r="A161" t="s">
        <v>184</v>
      </c>
      <c r="B161">
        <v>0.12892249527410199</v>
      </c>
      <c r="C161">
        <v>0.36953165208440503</v>
      </c>
      <c r="D161">
        <v>0</v>
      </c>
      <c r="E161">
        <v>0</v>
      </c>
      <c r="F161">
        <v>0</v>
      </c>
      <c r="G161">
        <v>0.99367468697035699</v>
      </c>
      <c r="H161">
        <v>8</v>
      </c>
      <c r="I161">
        <v>8</v>
      </c>
      <c r="J161">
        <v>0.33862888220981802</v>
      </c>
      <c r="K161">
        <v>8.9722675367047301E-3</v>
      </c>
      <c r="L161">
        <v>6.7631813163239202E-3</v>
      </c>
      <c r="M161">
        <v>1.1544011544011501E-3</v>
      </c>
      <c r="N161">
        <v>2.0586793499647199E-3</v>
      </c>
      <c r="O161">
        <v>784</v>
      </c>
      <c r="P161">
        <v>0.25336700336700302</v>
      </c>
      <c r="Q161">
        <v>0.25348013604965097</v>
      </c>
      <c r="R161">
        <v>0</v>
      </c>
      <c r="S161">
        <v>0</v>
      </c>
      <c r="T161" t="s">
        <v>24</v>
      </c>
      <c r="U161">
        <v>3.7358490566037697E-2</v>
      </c>
      <c r="V161">
        <v>0</v>
      </c>
      <c r="W161">
        <v>0</v>
      </c>
      <c r="X161">
        <v>0</v>
      </c>
      <c r="Y161">
        <v>7.1724970905114996E-2</v>
      </c>
      <c r="Z161">
        <v>0.15284367376018701</v>
      </c>
      <c r="AA161">
        <v>0</v>
      </c>
      <c r="AB161">
        <v>2.4638999253511429E-2</v>
      </c>
      <c r="AC161">
        <v>5.2800000412389636E-4</v>
      </c>
      <c r="AD161">
        <v>9.3839997425675392E-3</v>
      </c>
      <c r="AE161">
        <v>1.686000032350421E-3</v>
      </c>
      <c r="AF161">
        <f>0.16*X161 + 0.28*Y161 + 0.28*Z161 + 0.28*AA161</f>
        <v>6.2879220506284569E-2</v>
      </c>
      <c r="AG161">
        <f t="shared" si="6"/>
        <v>7.1896798186935479E-3</v>
      </c>
      <c r="AH161">
        <f>IF(T161="IT_Admin", 0.25, IF(AND(T161="HR", AA161&gt;0.6), 0.25, IF(AND(T161="General", Z161&gt;0.7), 0.2, 0.1)))</f>
        <v>0.25</v>
      </c>
      <c r="AI161">
        <f>IF(V161&gt;0.7, 0.1,
 IF(F161&gt;0.5, 0.08,
 IF(E161&gt;0.5, 0.05,
 0)))</f>
        <v>0</v>
      </c>
      <c r="AJ161">
        <f t="shared" si="7"/>
        <v>2.3896542024970852E-2</v>
      </c>
      <c r="AK161">
        <f t="shared" si="8"/>
        <v>2.9870677531213564E-2</v>
      </c>
      <c r="AL161" t="str">
        <f>IF(MAX(X161, Y161, Z161, AA161)&gt;0.9,
 "Critical",
 IF(AK161&lt;=0.2,"Very Low",
 IF(AK161&lt;=0.4,"Low",
 IF(AK161&lt;=0.6,"Medium",
 IF(AK161&lt;=0.8,"High","Critical")))))</f>
        <v>Very Low</v>
      </c>
      <c r="AM161" t="str">
        <f>IF(MAX(X161:AA161)&gt;0.9,"CRITICAL ALERT",
 IF(AK161&gt;0.8,"CRITICAL ALERT",
 IF(AK161&gt;0.6,"ALERT",
 IF(AK161&gt;=0.4,"REVIEW","NO ACTION"))))</f>
        <v>NO ACTION</v>
      </c>
      <c r="AN161" t="str">
        <f>IF(AM161="NO ACTION","",
 IF(_xlfn.TEXTJOIN(", ", TRUE,
  IF(X161&gt;0.7,"Login anomaly",""),
  IF(Y161&gt;0.7,"File anomaly",""),
  IF(Z161&gt;0.7,"Network anomaly",""),
  IF(AA161&gt;0.7,"USB anomaly","")
 )="",
 "General anomaly detected",
 _xlfn.TEXTJOIN(", ", TRUE,
  IF(X161&gt;0.7,"Login anomaly",""),
  IF(Y161&gt;0.7,"File anomaly",""),
  IF(Z161&gt;0.7,"Network anomaly",""),
  IF(AA161&gt;0.7,"USB anomaly","")
 )))</f>
        <v/>
      </c>
    </row>
    <row r="162" spans="1:40" x14ac:dyDescent="0.3">
      <c r="A162" t="s">
        <v>185</v>
      </c>
      <c r="B162">
        <v>7.9395085066162496E-2</v>
      </c>
      <c r="C162">
        <v>0.68466962640872298</v>
      </c>
      <c r="D162">
        <v>0.35946416692762001</v>
      </c>
      <c r="E162">
        <v>0</v>
      </c>
      <c r="F162">
        <v>0</v>
      </c>
      <c r="G162">
        <v>0.46458949209870898</v>
      </c>
      <c r="H162">
        <v>7</v>
      </c>
      <c r="I162">
        <v>14</v>
      </c>
      <c r="J162">
        <v>5.3194027002528503E-2</v>
      </c>
      <c r="K162">
        <v>1.6313213703099501E-3</v>
      </c>
      <c r="L162">
        <v>7.7985189756247996E-3</v>
      </c>
      <c r="M162">
        <v>4.0404040404040404E-3</v>
      </c>
      <c r="N162">
        <v>4.5696248196248103E-2</v>
      </c>
      <c r="O162">
        <v>170</v>
      </c>
      <c r="P162">
        <v>4.1771885521885502E-2</v>
      </c>
      <c r="Q162">
        <v>4.1936954311160901E-2</v>
      </c>
      <c r="R162">
        <v>0</v>
      </c>
      <c r="S162">
        <v>0</v>
      </c>
      <c r="T162" t="s">
        <v>49</v>
      </c>
      <c r="U162">
        <v>2.26415094339622E-3</v>
      </c>
      <c r="V162">
        <v>0</v>
      </c>
      <c r="W162">
        <v>0</v>
      </c>
      <c r="X162">
        <v>0.107839250078286</v>
      </c>
      <c r="Y162">
        <v>2.8246939347192499E-2</v>
      </c>
      <c r="Z162">
        <v>4.3341630591630501E-2</v>
      </c>
      <c r="AA162">
        <v>0</v>
      </c>
      <c r="AB162">
        <v>3.2853998243808753E-2</v>
      </c>
      <c r="AC162">
        <v>1.047000056132674E-3</v>
      </c>
      <c r="AD162">
        <v>7.3879999108612537E-3</v>
      </c>
      <c r="AE162">
        <v>7.5530000030994424E-3</v>
      </c>
      <c r="AF162">
        <f>0.16*X162 + 0.28*Y162 + 0.28*Z162 + 0.28*AA162</f>
        <v>3.7299079595396203E-2</v>
      </c>
      <c r="AG162">
        <f t="shared" si="6"/>
        <v>9.7332797106355444E-3</v>
      </c>
      <c r="AH162">
        <f>IF(T162="IT_Admin", 0.25, IF(AND(T162="HR", AA162&gt;0.6), 0.25, IF(AND(T162="General", Z162&gt;0.7), 0.2, 0.1)))</f>
        <v>0.1</v>
      </c>
      <c r="AI162">
        <f>IF(V162&gt;0.7, 0.1,
 IF(F162&gt;0.5, 0.08,
 IF(E162&gt;0.5, 0.05,
 0)))</f>
        <v>0</v>
      </c>
      <c r="AJ162">
        <f t="shared" si="7"/>
        <v>1.8003019676063742E-2</v>
      </c>
      <c r="AK162">
        <f t="shared" si="8"/>
        <v>1.9803321643670116E-2</v>
      </c>
      <c r="AL162" t="str">
        <f>IF(MAX(X162, Y162, Z162, AA162)&gt;0.9,
 "Critical",
 IF(AK162&lt;=0.2,"Very Low",
 IF(AK162&lt;=0.4,"Low",
 IF(AK162&lt;=0.6,"Medium",
 IF(AK162&lt;=0.8,"High","Critical")))))</f>
        <v>Very Low</v>
      </c>
      <c r="AM162" t="str">
        <f>IF(MAX(X162:AA162)&gt;0.9,"CRITICAL ALERT",
 IF(AK162&gt;0.8,"CRITICAL ALERT",
 IF(AK162&gt;0.6,"ALERT",
 IF(AK162&gt;=0.4,"REVIEW","NO ACTION"))))</f>
        <v>NO ACTION</v>
      </c>
      <c r="AN162" t="str">
        <f>IF(AM162="NO ACTION","",
 IF(_xlfn.TEXTJOIN(", ", TRUE,
  IF(X162&gt;0.7,"Login anomaly",""),
  IF(Y162&gt;0.7,"File anomaly",""),
  IF(Z162&gt;0.7,"Network anomaly",""),
  IF(AA162&gt;0.7,"USB anomaly","")
 )="",
 "General anomaly detected",
 _xlfn.TEXTJOIN(", ", TRUE,
  IF(X162&gt;0.7,"Login anomaly",""),
  IF(Y162&gt;0.7,"File anomaly",""),
  IF(Z162&gt;0.7,"Network anomaly",""),
  IF(AA162&gt;0.7,"USB anomaly","")
 )))</f>
        <v/>
      </c>
    </row>
    <row r="163" spans="1:40" x14ac:dyDescent="0.3">
      <c r="A163" t="s">
        <v>186</v>
      </c>
      <c r="B163">
        <v>0.12892249527410199</v>
      </c>
      <c r="C163">
        <v>0.36953165208440503</v>
      </c>
      <c r="D163">
        <v>0</v>
      </c>
      <c r="E163">
        <v>0</v>
      </c>
      <c r="F163">
        <v>0</v>
      </c>
      <c r="G163">
        <v>0.99367246566635403</v>
      </c>
      <c r="H163">
        <v>8</v>
      </c>
      <c r="I163">
        <v>8</v>
      </c>
      <c r="J163">
        <v>0.27617957158532502</v>
      </c>
      <c r="K163">
        <v>1</v>
      </c>
      <c r="L163">
        <v>0.92408546563772298</v>
      </c>
      <c r="M163">
        <v>5.65656565656565E-2</v>
      </c>
      <c r="N163">
        <v>0.123665373095818</v>
      </c>
      <c r="O163">
        <v>908</v>
      </c>
      <c r="P163">
        <v>0.66052890011223298</v>
      </c>
      <c r="Q163">
        <v>0.66054209474385495</v>
      </c>
      <c r="R163">
        <v>0</v>
      </c>
      <c r="S163">
        <v>0</v>
      </c>
      <c r="T163" t="s">
        <v>24</v>
      </c>
      <c r="U163">
        <v>0.10567953261181801</v>
      </c>
      <c r="V163">
        <v>0</v>
      </c>
      <c r="W163">
        <v>0</v>
      </c>
      <c r="X163">
        <v>0</v>
      </c>
      <c r="Y163">
        <v>0.55437825906467197</v>
      </c>
      <c r="Z163">
        <v>0.44578348930566702</v>
      </c>
      <c r="AA163">
        <v>0</v>
      </c>
      <c r="AB163">
        <v>3.1897999346256263E-2</v>
      </c>
      <c r="AC163">
        <v>0.75119698047637939</v>
      </c>
      <c r="AD163">
        <v>0.23927600681781769</v>
      </c>
      <c r="AE163">
        <v>7.3480000719428062E-3</v>
      </c>
      <c r="AF163">
        <f>0.16*X163 + 0.28*Y163 + 0.28*Z163 + 0.28*AA163</f>
        <v>0.28004528954369495</v>
      </c>
      <c r="AG163">
        <f t="shared" si="6"/>
        <v>0.28449355635792017</v>
      </c>
      <c r="AH163">
        <f>IF(T163="IT_Admin", 0.25, IF(AND(T163="HR", AA163&gt;0.6), 0.25, IF(AND(T163="General", Z163&gt;0.7), 0.2, 0.1)))</f>
        <v>0.25</v>
      </c>
      <c r="AI163">
        <f>IF(V163&gt;0.7, 0.1,
 IF(F163&gt;0.5, 0.08,
 IF(E163&gt;0.5, 0.05,
 0)))</f>
        <v>0</v>
      </c>
      <c r="AJ163">
        <f t="shared" si="7"/>
        <v>0.28315907631365261</v>
      </c>
      <c r="AK163">
        <f t="shared" si="8"/>
        <v>0.35394884539206578</v>
      </c>
      <c r="AL163" t="str">
        <f>IF(MAX(X163, Y163, Z163, AA163)&gt;0.9,
 "Critical",
 IF(AK163&lt;=0.2,"Very Low",
 IF(AK163&lt;=0.4,"Low",
 IF(AK163&lt;=0.6,"Medium",
 IF(AK163&lt;=0.8,"High","Critical")))))</f>
        <v>Low</v>
      </c>
      <c r="AM163" t="str">
        <f>IF(MAX(X163:AA163)&gt;0.9,"CRITICAL ALERT",
 IF(AK163&gt;0.8,"CRITICAL ALERT",
 IF(AK163&gt;0.6,"ALERT",
 IF(AK163&gt;=0.4,"REVIEW","NO ACTION"))))</f>
        <v>NO ACTION</v>
      </c>
      <c r="AN163" t="str">
        <f>IF(AM163="NO ACTION","",
 IF(_xlfn.TEXTJOIN(", ", TRUE,
  IF(X163&gt;0.7,"Login anomaly",""),
  IF(Y163&gt;0.7,"File anomaly",""),
  IF(Z163&gt;0.7,"Network anomaly",""),
  IF(AA163&gt;0.7,"USB anomaly","")
 )="",
 "General anomaly detected",
 _xlfn.TEXTJOIN(", ", TRUE,
  IF(X163&gt;0.7,"Login anomaly",""),
  IF(Y163&gt;0.7,"File anomaly",""),
  IF(Z163&gt;0.7,"Network anomaly",""),
  IF(AA163&gt;0.7,"USB anomaly","")
 )))</f>
        <v/>
      </c>
    </row>
    <row r="164" spans="1:40" x14ac:dyDescent="0.3">
      <c r="A164" t="s">
        <v>187</v>
      </c>
      <c r="B164">
        <v>0.25671077504725898</v>
      </c>
      <c r="C164">
        <v>0.58432530637065505</v>
      </c>
      <c r="D164">
        <v>0.56110233564965395</v>
      </c>
      <c r="E164">
        <v>0.66699202863185303</v>
      </c>
      <c r="F164">
        <v>9.22401171303074E-2</v>
      </c>
      <c r="G164">
        <v>0.42779799358641302</v>
      </c>
      <c r="H164">
        <v>0</v>
      </c>
      <c r="I164">
        <v>23</v>
      </c>
      <c r="J164">
        <v>0.34306569343065602</v>
      </c>
      <c r="K164">
        <v>7.5040783034257694E-2</v>
      </c>
      <c r="L164">
        <v>5.5833754533656202E-2</v>
      </c>
      <c r="M164">
        <v>4.6176046176046098E-3</v>
      </c>
      <c r="N164">
        <v>8.1282931755416402E-3</v>
      </c>
      <c r="O164">
        <v>979</v>
      </c>
      <c r="P164">
        <v>0.28672138047138002</v>
      </c>
      <c r="Q164">
        <v>0.28682632630877603</v>
      </c>
      <c r="R164">
        <v>4.71976401179941E-2</v>
      </c>
      <c r="S164">
        <v>1</v>
      </c>
      <c r="T164" t="s">
        <v>24</v>
      </c>
      <c r="U164">
        <v>9.1897891231964401E-2</v>
      </c>
      <c r="V164">
        <v>0</v>
      </c>
      <c r="W164">
        <v>0.16806644175806701</v>
      </c>
      <c r="X164">
        <v>0.40532435613657503</v>
      </c>
      <c r="Y164">
        <v>9.8968503905621896E-2</v>
      </c>
      <c r="Z164">
        <v>0.175284145553044</v>
      </c>
      <c r="AA164">
        <v>4.71976401179941E-2</v>
      </c>
      <c r="AB164">
        <v>0.45720499753952032</v>
      </c>
      <c r="AC164">
        <v>3.9499998092651367E-3</v>
      </c>
      <c r="AD164">
        <v>1.9030999392271038E-2</v>
      </c>
      <c r="AE164">
        <v>6.1064999550580978E-2</v>
      </c>
      <c r="AF164">
        <f>0.16*X164 + 0.28*Y164 + 0.28*Z164 + 0.28*AA164</f>
        <v>0.15485797806331683</v>
      </c>
      <c r="AG164">
        <f t="shared" si="6"/>
        <v>9.6685679256916068E-2</v>
      </c>
      <c r="AH164">
        <f>IF(T164="IT_Admin", 0.25, IF(AND(T164="HR", AA164&gt;0.6), 0.25, IF(AND(T164="General", Z164&gt;0.7), 0.2, 0.1)))</f>
        <v>0.25</v>
      </c>
      <c r="AI164">
        <f>IF(V164&gt;0.7, 0.1,
 IF(F164&gt;0.5, 0.08,
 IF(E164&gt;0.5, 0.05,
 0)))</f>
        <v>0.05</v>
      </c>
      <c r="AJ164">
        <f t="shared" si="7"/>
        <v>0.11413736889883629</v>
      </c>
      <c r="AK164">
        <f t="shared" si="8"/>
        <v>0.14837857956848718</v>
      </c>
      <c r="AL164" t="str">
        <f>IF(MAX(X164, Y164, Z164, AA164)&gt;0.9,
 "Critical",
 IF(AK164&lt;=0.2,"Very Low",
 IF(AK164&lt;=0.4,"Low",
 IF(AK164&lt;=0.6,"Medium",
 IF(AK164&lt;=0.8,"High","Critical")))))</f>
        <v>Very Low</v>
      </c>
      <c r="AM164" t="str">
        <f>IF(MAX(X164:AA164)&gt;0.9,"CRITICAL ALERT",
 IF(AK164&gt;0.8,"CRITICAL ALERT",
 IF(AK164&gt;0.6,"ALERT",
 IF(AK164&gt;=0.4,"REVIEW","NO ACTION"))))</f>
        <v>NO ACTION</v>
      </c>
      <c r="AN164" t="str">
        <f>IF(AM164="NO ACTION","",
 IF(_xlfn.TEXTJOIN(", ", TRUE,
  IF(X164&gt;0.7,"Login anomaly",""),
  IF(Y164&gt;0.7,"File anomaly",""),
  IF(Z164&gt;0.7,"Network anomaly",""),
  IF(AA164&gt;0.7,"USB anomaly","")
 )="",
 "General anomaly detected",
 _xlfn.TEXTJOIN(", ", TRUE,
  IF(X164&gt;0.7,"Login anomaly",""),
  IF(Y164&gt;0.7,"File anomaly",""),
  IF(Z164&gt;0.7,"Network anomaly",""),
  IF(AA164&gt;0.7,"USB anomaly","")
 )))</f>
        <v/>
      </c>
    </row>
    <row r="165" spans="1:40" x14ac:dyDescent="0.3">
      <c r="A165" t="s">
        <v>188</v>
      </c>
      <c r="B165">
        <v>0.12892249527410199</v>
      </c>
      <c r="C165">
        <v>0.36953165208440503</v>
      </c>
      <c r="D165">
        <v>0</v>
      </c>
      <c r="E165">
        <v>0</v>
      </c>
      <c r="F165">
        <v>0</v>
      </c>
      <c r="G165">
        <v>0.99367495459734501</v>
      </c>
      <c r="H165">
        <v>8</v>
      </c>
      <c r="I165">
        <v>8</v>
      </c>
      <c r="J165">
        <v>0.30117837889413601</v>
      </c>
      <c r="K165">
        <v>3.3442088091353898E-2</v>
      </c>
      <c r="L165">
        <v>2.83402968788137E-2</v>
      </c>
      <c r="M165">
        <v>2.59740259740259E-3</v>
      </c>
      <c r="N165">
        <v>5.2075496519940903E-3</v>
      </c>
      <c r="O165">
        <v>896</v>
      </c>
      <c r="P165">
        <v>0.23705808080808</v>
      </c>
      <c r="Q165">
        <v>0.23717521652231799</v>
      </c>
      <c r="R165">
        <v>0</v>
      </c>
      <c r="S165">
        <v>0</v>
      </c>
      <c r="T165" t="s">
        <v>24</v>
      </c>
      <c r="U165">
        <v>6.9622641509433897E-2</v>
      </c>
      <c r="V165">
        <v>0</v>
      </c>
      <c r="W165">
        <v>0</v>
      </c>
      <c r="X165">
        <v>0</v>
      </c>
      <c r="Y165">
        <v>7.5968089113832404E-2</v>
      </c>
      <c r="Z165">
        <v>0.144317868345646</v>
      </c>
      <c r="AA165">
        <v>0</v>
      </c>
      <c r="AB165">
        <v>2.4623999372124668E-2</v>
      </c>
      <c r="AC165">
        <v>8.4100000094622374E-4</v>
      </c>
      <c r="AD165">
        <v>6.8430001847445956E-3</v>
      </c>
      <c r="AE165">
        <v>1.449999981559813E-3</v>
      </c>
      <c r="AF165">
        <f>0.16*X165 + 0.28*Y165 + 0.28*Z165 + 0.28*AA165</f>
        <v>6.1680068088653964E-2</v>
      </c>
      <c r="AG165">
        <f t="shared" si="6"/>
        <v>6.4973599463701241E-3</v>
      </c>
      <c r="AH165">
        <f>IF(T165="IT_Admin", 0.25, IF(AND(T165="HR", AA165&gt;0.6), 0.25, IF(AND(T165="General", Z165&gt;0.7), 0.2, 0.1)))</f>
        <v>0.25</v>
      </c>
      <c r="AI165">
        <f>IF(V165&gt;0.7, 0.1,
 IF(F165&gt;0.5, 0.08,
 IF(E165&gt;0.5, 0.05,
 0)))</f>
        <v>0</v>
      </c>
      <c r="AJ165">
        <f t="shared" si="7"/>
        <v>2.3052172389055277E-2</v>
      </c>
      <c r="AK165">
        <f t="shared" si="8"/>
        <v>2.8815215486319094E-2</v>
      </c>
      <c r="AL165" t="str">
        <f>IF(MAX(X165, Y165, Z165, AA165)&gt;0.9,
 "Critical",
 IF(AK165&lt;=0.2,"Very Low",
 IF(AK165&lt;=0.4,"Low",
 IF(AK165&lt;=0.6,"Medium",
 IF(AK165&lt;=0.8,"High","Critical")))))</f>
        <v>Very Low</v>
      </c>
      <c r="AM165" t="str">
        <f>IF(MAX(X165:AA165)&gt;0.9,"CRITICAL ALERT",
 IF(AK165&gt;0.8,"CRITICAL ALERT",
 IF(AK165&gt;0.6,"ALERT",
 IF(AK165&gt;=0.4,"REVIEW","NO ACTION"))))</f>
        <v>NO ACTION</v>
      </c>
      <c r="AN165" t="str">
        <f>IF(AM165="NO ACTION","",
 IF(_xlfn.TEXTJOIN(", ", TRUE,
  IF(X165&gt;0.7,"Login anomaly",""),
  IF(Y165&gt;0.7,"File anomaly",""),
  IF(Z165&gt;0.7,"Network anomaly",""),
  IF(AA165&gt;0.7,"USB anomaly","")
 )="",
 "General anomaly detected",
 _xlfn.TEXTJOIN(", ", TRUE,
  IF(X165&gt;0.7,"Login anomaly",""),
  IF(Y165&gt;0.7,"File anomaly",""),
  IF(Z165&gt;0.7,"Network anomaly",""),
  IF(AA165&gt;0.7,"USB anomaly","")
 )))</f>
        <v/>
      </c>
    </row>
    <row r="166" spans="1:40" x14ac:dyDescent="0.3">
      <c r="A166" t="s">
        <v>189</v>
      </c>
      <c r="B166">
        <v>0.25293005671077501</v>
      </c>
      <c r="C166">
        <v>0.88868793298456195</v>
      </c>
      <c r="D166">
        <v>0.388787765979975</v>
      </c>
      <c r="E166">
        <v>0</v>
      </c>
      <c r="F166">
        <v>0</v>
      </c>
      <c r="G166">
        <v>0.43638697054982101</v>
      </c>
      <c r="H166">
        <v>8</v>
      </c>
      <c r="I166">
        <v>18</v>
      </c>
      <c r="J166">
        <v>0.28562568579743303</v>
      </c>
      <c r="K166">
        <v>1.8760195758564399E-2</v>
      </c>
      <c r="L166">
        <v>1.6763171629847699E-2</v>
      </c>
      <c r="M166">
        <v>4.3290043290043203E-3</v>
      </c>
      <c r="N166">
        <v>9.1514515746825408E-3</v>
      </c>
      <c r="O166">
        <v>901</v>
      </c>
      <c r="P166">
        <v>0.22015291806958401</v>
      </c>
      <c r="Q166">
        <v>0.220274203162803</v>
      </c>
      <c r="R166">
        <v>0</v>
      </c>
      <c r="S166">
        <v>0</v>
      </c>
      <c r="T166" t="s">
        <v>24</v>
      </c>
      <c r="U166">
        <v>2.4410377358490502E-2</v>
      </c>
      <c r="V166">
        <v>0</v>
      </c>
      <c r="W166">
        <v>0</v>
      </c>
      <c r="X166">
        <v>0.11663632979399199</v>
      </c>
      <c r="Y166">
        <v>6.8252158446815203E-2</v>
      </c>
      <c r="Z166">
        <v>0.13575233147162299</v>
      </c>
      <c r="AA166">
        <v>0</v>
      </c>
      <c r="AB166">
        <v>7.3198996484279633E-2</v>
      </c>
      <c r="AC166">
        <v>3.0200000037439167E-4</v>
      </c>
      <c r="AD166">
        <v>4.9540000036358833E-3</v>
      </c>
      <c r="AE166">
        <v>9.2089995741844177E-3</v>
      </c>
      <c r="AF166">
        <f>0.16*X166 + 0.28*Y166 + 0.28*Z166 + 0.28*AA166</f>
        <v>7.578306994420142E-2</v>
      </c>
      <c r="AG166">
        <f t="shared" si="6"/>
        <v>1.5762039319379254E-2</v>
      </c>
      <c r="AH166">
        <f>IF(T166="IT_Admin", 0.25, IF(AND(T166="HR", AA166&gt;0.6), 0.25, IF(AND(T166="General", Z166&gt;0.7), 0.2, 0.1)))</f>
        <v>0.25</v>
      </c>
      <c r="AI166">
        <f>IF(V166&gt;0.7, 0.1,
 IF(F166&gt;0.5, 0.08,
 IF(E166&gt;0.5, 0.05,
 0)))</f>
        <v>0</v>
      </c>
      <c r="AJ166">
        <f t="shared" si="7"/>
        <v>3.3768348506825904E-2</v>
      </c>
      <c r="AK166">
        <f t="shared" si="8"/>
        <v>4.2210435633532384E-2</v>
      </c>
      <c r="AL166" t="str">
        <f>IF(MAX(X166, Y166, Z166, AA166)&gt;0.9,
 "Critical",
 IF(AK166&lt;=0.2,"Very Low",
 IF(AK166&lt;=0.4,"Low",
 IF(AK166&lt;=0.6,"Medium",
 IF(AK166&lt;=0.8,"High","Critical")))))</f>
        <v>Very Low</v>
      </c>
      <c r="AM166" t="str">
        <f>IF(MAX(X166:AA166)&gt;0.9,"CRITICAL ALERT",
 IF(AK166&gt;0.8,"CRITICAL ALERT",
 IF(AK166&gt;0.6,"ALERT",
 IF(AK166&gt;=0.4,"REVIEW","NO ACTION"))))</f>
        <v>NO ACTION</v>
      </c>
      <c r="AN166" t="str">
        <f>IF(AM166="NO ACTION","",
 IF(_xlfn.TEXTJOIN(", ", TRUE,
  IF(X166&gt;0.7,"Login anomaly",""),
  IF(Y166&gt;0.7,"File anomaly",""),
  IF(Z166&gt;0.7,"Network anomaly",""),
  IF(AA166&gt;0.7,"USB anomaly","")
 )="",
 "General anomaly detected",
 _xlfn.TEXTJOIN(", ", TRUE,
  IF(X166&gt;0.7,"Login anomaly",""),
  IF(Y166&gt;0.7,"File anomaly",""),
  IF(Z166&gt;0.7,"Network anomaly",""),
  IF(AA166&gt;0.7,"USB anomaly","")
 )))</f>
        <v/>
      </c>
    </row>
    <row r="167" spans="1:40" x14ac:dyDescent="0.3">
      <c r="A167" t="s">
        <v>190</v>
      </c>
      <c r="B167">
        <v>0.12892249527410199</v>
      </c>
      <c r="C167">
        <v>0.36953165208440503</v>
      </c>
      <c r="D167">
        <v>0</v>
      </c>
      <c r="E167">
        <v>0</v>
      </c>
      <c r="F167">
        <v>0</v>
      </c>
      <c r="G167">
        <v>0.99368290311889795</v>
      </c>
      <c r="H167">
        <v>8</v>
      </c>
      <c r="I167">
        <v>8</v>
      </c>
      <c r="J167">
        <v>0.241400696531654</v>
      </c>
      <c r="K167">
        <v>6.0358890701468097E-2</v>
      </c>
      <c r="L167">
        <v>6.3804664629791105E-2</v>
      </c>
      <c r="M167">
        <v>6.9264069264069203E-3</v>
      </c>
      <c r="N167">
        <v>1.7322171083276699E-2</v>
      </c>
      <c r="O167">
        <v>788</v>
      </c>
      <c r="P167">
        <v>0.20679012345678999</v>
      </c>
      <c r="Q167">
        <v>0.20691468845331101</v>
      </c>
      <c r="R167">
        <v>0</v>
      </c>
      <c r="S167">
        <v>0</v>
      </c>
      <c r="T167" t="s">
        <v>24</v>
      </c>
      <c r="U167">
        <v>5.0264150943396202E-2</v>
      </c>
      <c r="V167">
        <v>0</v>
      </c>
      <c r="W167">
        <v>0</v>
      </c>
      <c r="X167">
        <v>0</v>
      </c>
      <c r="Y167">
        <v>8.5379122946209293E-2</v>
      </c>
      <c r="Z167">
        <v>0.13100294250738401</v>
      </c>
      <c r="AA167">
        <v>0</v>
      </c>
      <c r="AB167">
        <v>2.4660000577569011E-2</v>
      </c>
      <c r="AC167">
        <v>1.6489999834448099E-3</v>
      </c>
      <c r="AD167">
        <v>3.3019999973475929E-3</v>
      </c>
      <c r="AE167">
        <v>1.4110000338405371E-3</v>
      </c>
      <c r="AF167">
        <f>0.16*X167 + 0.28*Y167 + 0.28*Z167 + 0.28*AA167</f>
        <v>6.058697832700613E-2</v>
      </c>
      <c r="AG167">
        <f t="shared" si="6"/>
        <v>5.7269600965082655E-3</v>
      </c>
      <c r="AH167">
        <f>IF(T167="IT_Admin", 0.25, IF(AND(T167="HR", AA167&gt;0.6), 0.25, IF(AND(T167="General", Z167&gt;0.7), 0.2, 0.1)))</f>
        <v>0.25</v>
      </c>
      <c r="AI167">
        <f>IF(V167&gt;0.7, 0.1,
 IF(F167&gt;0.5, 0.08,
 IF(E167&gt;0.5, 0.05,
 0)))</f>
        <v>0</v>
      </c>
      <c r="AJ167">
        <f t="shared" si="7"/>
        <v>2.2184965565657626E-2</v>
      </c>
      <c r="AK167">
        <f t="shared" si="8"/>
        <v>2.7731206957072034E-2</v>
      </c>
      <c r="AL167" t="str">
        <f>IF(MAX(X167, Y167, Z167, AA167)&gt;0.9,
 "Critical",
 IF(AK167&lt;=0.2,"Very Low",
 IF(AK167&lt;=0.4,"Low",
 IF(AK167&lt;=0.6,"Medium",
 IF(AK167&lt;=0.8,"High","Critical")))))</f>
        <v>Very Low</v>
      </c>
      <c r="AM167" t="str">
        <f>IF(MAX(X167:AA167)&gt;0.9,"CRITICAL ALERT",
 IF(AK167&gt;0.8,"CRITICAL ALERT",
 IF(AK167&gt;0.6,"ALERT",
 IF(AK167&gt;=0.4,"REVIEW","NO ACTION"))))</f>
        <v>NO ACTION</v>
      </c>
      <c r="AN167" t="str">
        <f>IF(AM167="NO ACTION","",
 IF(_xlfn.TEXTJOIN(", ", TRUE,
  IF(X167&gt;0.7,"Login anomaly",""),
  IF(Y167&gt;0.7,"File anomaly",""),
  IF(Z167&gt;0.7,"Network anomaly",""),
  IF(AA167&gt;0.7,"USB anomaly","")
 )="",
 "General anomaly detected",
 _xlfn.TEXTJOIN(", ", TRUE,
  IF(X167&gt;0.7,"Login anomaly",""),
  IF(Y167&gt;0.7,"File anomaly",""),
  IF(Z167&gt;0.7,"Network anomaly",""),
  IF(AA167&gt;0.7,"USB anomaly","")
 )))</f>
        <v/>
      </c>
    </row>
    <row r="168" spans="1:40" x14ac:dyDescent="0.3">
      <c r="A168" t="s">
        <v>191</v>
      </c>
      <c r="B168">
        <v>0.23364839319470701</v>
      </c>
      <c r="C168">
        <v>0.66420641001666403</v>
      </c>
      <c r="D168">
        <v>0.36545810449475202</v>
      </c>
      <c r="E168">
        <v>0</v>
      </c>
      <c r="F168">
        <v>0</v>
      </c>
      <c r="G168">
        <v>0.48439464351468597</v>
      </c>
      <c r="H168">
        <v>7</v>
      </c>
      <c r="I168">
        <v>14</v>
      </c>
      <c r="J168">
        <v>0.268641763274652</v>
      </c>
      <c r="K168">
        <v>3.3442088091353898E-2</v>
      </c>
      <c r="L168">
        <v>3.1769694052580802E-2</v>
      </c>
      <c r="M168">
        <v>3.7518037518037501E-3</v>
      </c>
      <c r="N168">
        <v>8.4322388438783005E-3</v>
      </c>
      <c r="O168">
        <v>836</v>
      </c>
      <c r="P168">
        <v>0.213699494949494</v>
      </c>
      <c r="Q168">
        <v>0.213822364038009</v>
      </c>
      <c r="R168">
        <v>0.19321533923303799</v>
      </c>
      <c r="S168">
        <v>1</v>
      </c>
      <c r="T168" t="s">
        <v>24</v>
      </c>
      <c r="U168">
        <v>4.9730458221024197E-2</v>
      </c>
      <c r="V168">
        <v>0</v>
      </c>
      <c r="W168">
        <v>0</v>
      </c>
      <c r="X168">
        <v>0.109637431348425</v>
      </c>
      <c r="Y168">
        <v>7.2142871334384406E-2</v>
      </c>
      <c r="Z168">
        <v>0.131592592507248</v>
      </c>
      <c r="AA168">
        <v>0.19321533923303799</v>
      </c>
      <c r="AB168">
        <v>2.3158000782132149E-2</v>
      </c>
      <c r="AC168">
        <v>4.3300000834278762E-4</v>
      </c>
      <c r="AD168">
        <v>4.3839998543262482E-3</v>
      </c>
      <c r="AE168">
        <v>6.6333003342151642E-2</v>
      </c>
      <c r="AF168">
        <f>0.16*X168 + 0.28*Y168 + 0.28*Z168 + 0.28*AA168</f>
        <v>0.12868821387665574</v>
      </c>
      <c r="AG168">
        <f t="shared" si="6"/>
        <v>2.3627281022490936E-2</v>
      </c>
      <c r="AH168">
        <f>IF(T168="IT_Admin", 0.25, IF(AND(T168="HR", AA168&gt;0.6), 0.25, IF(AND(T168="General", Z168&gt;0.7), 0.2, 0.1)))</f>
        <v>0.25</v>
      </c>
      <c r="AI168">
        <f>IF(V168&gt;0.7, 0.1,
 IF(F168&gt;0.5, 0.08,
 IF(E168&gt;0.5, 0.05,
 0)))</f>
        <v>0</v>
      </c>
      <c r="AJ168">
        <f t="shared" si="7"/>
        <v>5.5145560878740375E-2</v>
      </c>
      <c r="AK168">
        <f t="shared" si="8"/>
        <v>6.8931951098425467E-2</v>
      </c>
      <c r="AL168" t="str">
        <f>IF(MAX(X168, Y168, Z168, AA168)&gt;0.9,
 "Critical",
 IF(AK168&lt;=0.2,"Very Low",
 IF(AK168&lt;=0.4,"Low",
 IF(AK168&lt;=0.6,"Medium",
 IF(AK168&lt;=0.8,"High","Critical")))))</f>
        <v>Very Low</v>
      </c>
      <c r="AM168" t="str">
        <f>IF(MAX(X168:AA168)&gt;0.9,"CRITICAL ALERT",
 IF(AK168&gt;0.8,"CRITICAL ALERT",
 IF(AK168&gt;0.6,"ALERT",
 IF(AK168&gt;=0.4,"REVIEW","NO ACTION"))))</f>
        <v>NO ACTION</v>
      </c>
      <c r="AN168" t="str">
        <f>IF(AM168="NO ACTION","",
 IF(_xlfn.TEXTJOIN(", ", TRUE,
  IF(X168&gt;0.7,"Login anomaly",""),
  IF(Y168&gt;0.7,"File anomaly",""),
  IF(Z168&gt;0.7,"Network anomaly",""),
  IF(AA168&gt;0.7,"USB anomaly","")
 )="",
 "General anomaly detected",
 _xlfn.TEXTJOIN(", ", TRUE,
  IF(X168&gt;0.7,"Login anomaly",""),
  IF(Y168&gt;0.7,"File anomaly",""),
  IF(Z168&gt;0.7,"Network anomaly",""),
  IF(AA168&gt;0.7,"USB anomaly","")
 )))</f>
        <v/>
      </c>
    </row>
    <row r="169" spans="1:40" x14ac:dyDescent="0.3">
      <c r="A169" t="s">
        <v>192</v>
      </c>
      <c r="B169">
        <v>0.12892249527410199</v>
      </c>
      <c r="C169">
        <v>0.36953165208440503</v>
      </c>
      <c r="D169">
        <v>0</v>
      </c>
      <c r="E169">
        <v>0</v>
      </c>
      <c r="F169">
        <v>0</v>
      </c>
      <c r="G169">
        <v>0.99364661289928502</v>
      </c>
      <c r="H169">
        <v>8</v>
      </c>
      <c r="I169">
        <v>8</v>
      </c>
      <c r="J169">
        <v>0.29764801297648003</v>
      </c>
      <c r="K169">
        <v>2.5285481239804199E-2</v>
      </c>
      <c r="L169">
        <v>2.16819810084635E-2</v>
      </c>
      <c r="M169">
        <v>6.0606060606060597E-3</v>
      </c>
      <c r="N169">
        <v>1.22949546716362E-2</v>
      </c>
      <c r="O169">
        <v>881</v>
      </c>
      <c r="P169">
        <v>0.23263888888888801</v>
      </c>
      <c r="Q169">
        <v>0.23275710929555701</v>
      </c>
      <c r="R169">
        <v>0</v>
      </c>
      <c r="S169">
        <v>0</v>
      </c>
      <c r="T169" t="s">
        <v>24</v>
      </c>
      <c r="U169">
        <v>2.3927958833619201E-2</v>
      </c>
      <c r="V169">
        <v>0</v>
      </c>
      <c r="W169">
        <v>0</v>
      </c>
      <c r="X169">
        <v>0</v>
      </c>
      <c r="Y169">
        <v>7.4059079501018699E-2</v>
      </c>
      <c r="Z169">
        <v>0.144501315201987</v>
      </c>
      <c r="AA169">
        <v>0</v>
      </c>
      <c r="AB169">
        <v>2.460500039160252E-2</v>
      </c>
      <c r="AC169">
        <v>4.0099999750964338E-4</v>
      </c>
      <c r="AD169">
        <v>6.3849999569356441E-3</v>
      </c>
      <c r="AE169">
        <v>1.495999982580543E-3</v>
      </c>
      <c r="AF169">
        <f>0.16*X169 + 0.28*Y169 + 0.28*Z169 + 0.28*AA169</f>
        <v>6.1196910516841604E-2</v>
      </c>
      <c r="AG169">
        <f t="shared" si="6"/>
        <v>6.2557600450236358E-3</v>
      </c>
      <c r="AH169">
        <f>IF(T169="IT_Admin", 0.25, IF(AND(T169="HR", AA169&gt;0.6), 0.25, IF(AND(T169="General", Z169&gt;0.7), 0.2, 0.1)))</f>
        <v>0.25</v>
      </c>
      <c r="AI169">
        <f>IF(V169&gt;0.7, 0.1,
 IF(F169&gt;0.5, 0.08,
 IF(E169&gt;0.5, 0.05,
 0)))</f>
        <v>0</v>
      </c>
      <c r="AJ169">
        <f t="shared" si="7"/>
        <v>2.2738105186569026E-2</v>
      </c>
      <c r="AK169">
        <f t="shared" si="8"/>
        <v>2.842263148321128E-2</v>
      </c>
      <c r="AL169" t="str">
        <f>IF(MAX(X169, Y169, Z169, AA169)&gt;0.9,
 "Critical",
 IF(AK169&lt;=0.2,"Very Low",
 IF(AK169&lt;=0.4,"Low",
 IF(AK169&lt;=0.6,"Medium",
 IF(AK169&lt;=0.8,"High","Critical")))))</f>
        <v>Very Low</v>
      </c>
      <c r="AM169" t="str">
        <f>IF(MAX(X169:AA169)&gt;0.9,"CRITICAL ALERT",
 IF(AK169&gt;0.8,"CRITICAL ALERT",
 IF(AK169&gt;0.6,"ALERT",
 IF(AK169&gt;=0.4,"REVIEW","NO ACTION"))))</f>
        <v>NO ACTION</v>
      </c>
      <c r="AN169" t="str">
        <f>IF(AM169="NO ACTION","",
 IF(_xlfn.TEXTJOIN(", ", TRUE,
  IF(X169&gt;0.7,"Login anomaly",""),
  IF(Y169&gt;0.7,"File anomaly",""),
  IF(Z169&gt;0.7,"Network anomaly",""),
  IF(AA169&gt;0.7,"USB anomaly","")
 )="",
 "General anomaly detected",
 _xlfn.TEXTJOIN(", ", TRUE,
  IF(X169&gt;0.7,"Login anomaly",""),
  IF(Y169&gt;0.7,"File anomaly",""),
  IF(Z169&gt;0.7,"Network anomaly",""),
  IF(AA169&gt;0.7,"USB anomaly","")
 )))</f>
        <v/>
      </c>
    </row>
    <row r="170" spans="1:40" x14ac:dyDescent="0.3">
      <c r="A170" t="s">
        <v>193</v>
      </c>
      <c r="B170">
        <v>0.12892249527410199</v>
      </c>
      <c r="C170">
        <v>0.27741651562278502</v>
      </c>
      <c r="D170">
        <v>7.5132489407342906E-2</v>
      </c>
      <c r="E170">
        <v>0</v>
      </c>
      <c r="F170">
        <v>0</v>
      </c>
      <c r="G170">
        <v>0.99368822889596498</v>
      </c>
      <c r="H170">
        <v>7</v>
      </c>
      <c r="I170">
        <v>8</v>
      </c>
      <c r="J170">
        <v>0.26950050093029898</v>
      </c>
      <c r="K170">
        <v>1.6313213703099499E-2</v>
      </c>
      <c r="L170">
        <v>1.54480743769009E-2</v>
      </c>
      <c r="M170">
        <v>5.4834054834054799E-3</v>
      </c>
      <c r="N170">
        <v>1.22848067312163E-2</v>
      </c>
      <c r="O170">
        <v>870</v>
      </c>
      <c r="P170">
        <v>0.207807239057239</v>
      </c>
      <c r="Q170">
        <v>0.20793155440232799</v>
      </c>
      <c r="R170">
        <v>0</v>
      </c>
      <c r="S170">
        <v>0</v>
      </c>
      <c r="T170" t="s">
        <v>24</v>
      </c>
      <c r="U170">
        <v>1.6981132075471601E-2</v>
      </c>
      <c r="V170">
        <v>0</v>
      </c>
      <c r="W170">
        <v>0</v>
      </c>
      <c r="X170">
        <v>2.2539746822202798E-2</v>
      </c>
      <c r="Y170">
        <v>6.5309579393875203E-2</v>
      </c>
      <c r="Z170">
        <v>0.12959826612682901</v>
      </c>
      <c r="AA170">
        <v>0</v>
      </c>
      <c r="AB170">
        <v>1.840700022876263E-2</v>
      </c>
      <c r="AC170">
        <v>3.6899998667649919E-4</v>
      </c>
      <c r="AD170">
        <v>3.2889998983591791E-3</v>
      </c>
      <c r="AE170">
        <v>1.9620000384747982E-3</v>
      </c>
      <c r="AF170">
        <f>0.16*X170 + 0.28*Y170 + 0.28*Z170 + 0.28*AA170</f>
        <v>5.8180556237349634E-2</v>
      </c>
      <c r="AG170">
        <f t="shared" si="6"/>
        <v>4.5187200151849544E-3</v>
      </c>
      <c r="AH170">
        <f>IF(T170="IT_Admin", 0.25, IF(AND(T170="HR", AA170&gt;0.6), 0.25, IF(AND(T170="General", Z170&gt;0.7), 0.2, 0.1)))</f>
        <v>0.25</v>
      </c>
      <c r="AI170">
        <f>IF(V170&gt;0.7, 0.1,
 IF(F170&gt;0.5, 0.08,
 IF(E170&gt;0.5, 0.05,
 0)))</f>
        <v>0</v>
      </c>
      <c r="AJ170">
        <f t="shared" si="7"/>
        <v>2.0617270881834356E-2</v>
      </c>
      <c r="AK170">
        <f t="shared" si="8"/>
        <v>2.5771588602292943E-2</v>
      </c>
      <c r="AL170" t="str">
        <f>IF(MAX(X170, Y170, Z170, AA170)&gt;0.9,
 "Critical",
 IF(AK170&lt;=0.2,"Very Low",
 IF(AK170&lt;=0.4,"Low",
 IF(AK170&lt;=0.6,"Medium",
 IF(AK170&lt;=0.8,"High","Critical")))))</f>
        <v>Very Low</v>
      </c>
      <c r="AM170" t="str">
        <f>IF(MAX(X170:AA170)&gt;0.9,"CRITICAL ALERT",
 IF(AK170&gt;0.8,"CRITICAL ALERT",
 IF(AK170&gt;0.6,"ALERT",
 IF(AK170&gt;=0.4,"REVIEW","NO ACTION"))))</f>
        <v>NO ACTION</v>
      </c>
      <c r="AN170" t="str">
        <f>IF(AM170="NO ACTION","",
 IF(_xlfn.TEXTJOIN(", ", TRUE,
  IF(X170&gt;0.7,"Login anomaly",""),
  IF(Y170&gt;0.7,"File anomaly",""),
  IF(Z170&gt;0.7,"Network anomaly",""),
  IF(AA170&gt;0.7,"USB anomaly","")
 )="",
 "General anomaly detected",
 _xlfn.TEXTJOIN(", ", TRUE,
  IF(X170&gt;0.7,"Login anomaly",""),
  IF(Y170&gt;0.7,"File anomaly",""),
  IF(Z170&gt;0.7,"Network anomaly",""),
  IF(AA170&gt;0.7,"USB anomaly","")
 )))</f>
        <v/>
      </c>
    </row>
    <row r="171" spans="1:40" x14ac:dyDescent="0.3">
      <c r="A171" t="s">
        <v>194</v>
      </c>
      <c r="B171">
        <v>0.23969754253308101</v>
      </c>
      <c r="C171">
        <v>0.675061348752938</v>
      </c>
      <c r="D171">
        <v>0.36505303197949601</v>
      </c>
      <c r="E171">
        <v>0</v>
      </c>
      <c r="F171">
        <v>0</v>
      </c>
      <c r="G171">
        <v>0.46825933227952499</v>
      </c>
      <c r="H171">
        <v>7</v>
      </c>
      <c r="I171">
        <v>17</v>
      </c>
      <c r="J171">
        <v>0.352320977052621</v>
      </c>
      <c r="K171">
        <v>2.8548123980424101E-2</v>
      </c>
      <c r="L171">
        <v>2.06834874049047E-2</v>
      </c>
      <c r="M171">
        <v>0.12698412698412601</v>
      </c>
      <c r="N171">
        <v>0.21766007259917899</v>
      </c>
      <c r="O171">
        <v>905</v>
      </c>
      <c r="P171">
        <v>0.33301767676767602</v>
      </c>
      <c r="Q171">
        <v>0.333111259160559</v>
      </c>
      <c r="R171">
        <v>0.76548672566371601</v>
      </c>
      <c r="S171">
        <v>1</v>
      </c>
      <c r="T171" t="s">
        <v>24</v>
      </c>
      <c r="U171">
        <v>1.3477088948787E-3</v>
      </c>
      <c r="V171">
        <v>0</v>
      </c>
      <c r="W171">
        <v>0</v>
      </c>
      <c r="X171">
        <v>0.10951590959384901</v>
      </c>
      <c r="Y171">
        <v>0.14610396089273001</v>
      </c>
      <c r="Z171">
        <v>0.286874635100277</v>
      </c>
      <c r="AA171">
        <v>0.76548672566371601</v>
      </c>
      <c r="AB171">
        <v>3.4012001007795327E-2</v>
      </c>
      <c r="AC171">
        <v>2.5236999616026878E-2</v>
      </c>
      <c r="AD171">
        <v>4.9244001507759087E-2</v>
      </c>
      <c r="AE171">
        <v>0.58992397785186768</v>
      </c>
      <c r="AF171">
        <f>0.16*X171 + 0.28*Y171 + 0.28*Z171 + 0.28*AA171</f>
        <v>0.35309283559889831</v>
      </c>
      <c r="AG171">
        <f t="shared" si="6"/>
        <v>0.19147531427443029</v>
      </c>
      <c r="AH171">
        <f>IF(T171="IT_Admin", 0.25, IF(AND(T171="HR", AA171&gt;0.6), 0.25, IF(AND(T171="General", Z171&gt;0.7), 0.2, 0.1)))</f>
        <v>0.25</v>
      </c>
      <c r="AI171">
        <f>IF(V171&gt;0.7, 0.1,
 IF(F171&gt;0.5, 0.08,
 IF(E171&gt;0.5, 0.05,
 0)))</f>
        <v>0</v>
      </c>
      <c r="AJ171">
        <f t="shared" si="7"/>
        <v>0.23996057067177068</v>
      </c>
      <c r="AK171">
        <f t="shared" si="8"/>
        <v>0.29995071333971335</v>
      </c>
      <c r="AL171" t="str">
        <f>IF(MAX(X171, Y171, Z171, AA171)&gt;0.9,
 "Critical",
 IF(AK171&lt;=0.2,"Very Low",
 IF(AK171&lt;=0.4,"Low",
 IF(AK171&lt;=0.6,"Medium",
 IF(AK171&lt;=0.8,"High","Critical")))))</f>
        <v>Low</v>
      </c>
      <c r="AM171" t="str">
        <f>IF(MAX(X171:AA171)&gt;0.9,"CRITICAL ALERT",
 IF(AK171&gt;0.8,"CRITICAL ALERT",
 IF(AK171&gt;0.6,"ALERT",
 IF(AK171&gt;=0.4,"REVIEW","NO ACTION"))))</f>
        <v>NO ACTION</v>
      </c>
      <c r="AN171" t="str">
        <f>IF(AM171="NO ACTION","",
 IF(_xlfn.TEXTJOIN(", ", TRUE,
  IF(X171&gt;0.7,"Login anomaly",""),
  IF(Y171&gt;0.7,"File anomaly",""),
  IF(Z171&gt;0.7,"Network anomaly",""),
  IF(AA171&gt;0.7,"USB anomaly","")
 )="",
 "General anomaly detected",
 _xlfn.TEXTJOIN(", ", TRUE,
  IF(X171&gt;0.7,"Login anomaly",""),
  IF(Y171&gt;0.7,"File anomaly",""),
  IF(Z171&gt;0.7,"Network anomaly",""),
  IF(AA171&gt;0.7,"USB anomaly","")
 )))</f>
        <v/>
      </c>
    </row>
    <row r="172" spans="1:40" x14ac:dyDescent="0.3">
      <c r="A172" t="s">
        <v>195</v>
      </c>
      <c r="B172">
        <v>0.12892249527410199</v>
      </c>
      <c r="C172">
        <v>0.46700231973565398</v>
      </c>
      <c r="D172">
        <v>7.5018780494472401E-2</v>
      </c>
      <c r="E172">
        <v>0</v>
      </c>
      <c r="F172">
        <v>0</v>
      </c>
      <c r="G172">
        <v>0.99365667567404403</v>
      </c>
      <c r="H172">
        <v>8</v>
      </c>
      <c r="I172">
        <v>9</v>
      </c>
      <c r="J172">
        <v>0.28786794523162001</v>
      </c>
      <c r="K172">
        <v>1.38662316476345E-2</v>
      </c>
      <c r="L172">
        <v>1.22937407928379E-2</v>
      </c>
      <c r="M172">
        <v>1.7316017316017301E-3</v>
      </c>
      <c r="N172">
        <v>3.6320912624936402E-3</v>
      </c>
      <c r="O172">
        <v>781</v>
      </c>
      <c r="P172">
        <v>0.21843434343434301</v>
      </c>
      <c r="Q172">
        <v>0.218556050352396</v>
      </c>
      <c r="R172">
        <v>0</v>
      </c>
      <c r="S172">
        <v>0</v>
      </c>
      <c r="T172" t="s">
        <v>24</v>
      </c>
      <c r="U172">
        <v>4.1239892183288399E-2</v>
      </c>
      <c r="V172">
        <v>0</v>
      </c>
      <c r="W172">
        <v>0</v>
      </c>
      <c r="X172">
        <v>2.25056341483417E-2</v>
      </c>
      <c r="Y172">
        <v>6.48100868214911E-2</v>
      </c>
      <c r="Z172">
        <v>0.13251344256560299</v>
      </c>
      <c r="AA172">
        <v>0</v>
      </c>
      <c r="AB172">
        <v>1.3286000117659571E-2</v>
      </c>
      <c r="AC172">
        <v>3.2399999327026308E-4</v>
      </c>
      <c r="AD172">
        <v>4.2840000241994858E-3</v>
      </c>
      <c r="AE172">
        <v>2.1009999327361579E-3</v>
      </c>
      <c r="AF172">
        <f>0.16*X172 + 0.28*Y172 + 0.28*Z172 + 0.28*AA172</f>
        <v>5.8851489692121027E-2</v>
      </c>
      <c r="AG172">
        <f t="shared" si="6"/>
        <v>4.0042800048831857E-3</v>
      </c>
      <c r="AH172">
        <f>IF(T172="IT_Admin", 0.25, IF(AND(T172="HR", AA172&gt;0.6), 0.25, IF(AND(T172="General", Z172&gt;0.7), 0.2, 0.1)))</f>
        <v>0.25</v>
      </c>
      <c r="AI172">
        <f>IF(V172&gt;0.7, 0.1,
 IF(F172&gt;0.5, 0.08,
 IF(E172&gt;0.5, 0.05,
 0)))</f>
        <v>0</v>
      </c>
      <c r="AJ172">
        <f t="shared" si="7"/>
        <v>2.0458442911054538E-2</v>
      </c>
      <c r="AK172">
        <f t="shared" si="8"/>
        <v>2.557305363881817E-2</v>
      </c>
      <c r="AL172" t="str">
        <f>IF(MAX(X172, Y172, Z172, AA172)&gt;0.9,
 "Critical",
 IF(AK172&lt;=0.2,"Very Low",
 IF(AK172&lt;=0.4,"Low",
 IF(AK172&lt;=0.6,"Medium",
 IF(AK172&lt;=0.8,"High","Critical")))))</f>
        <v>Very Low</v>
      </c>
      <c r="AM172" t="str">
        <f>IF(MAX(X172:AA172)&gt;0.9,"CRITICAL ALERT",
 IF(AK172&gt;0.8,"CRITICAL ALERT",
 IF(AK172&gt;0.6,"ALERT",
 IF(AK172&gt;=0.4,"REVIEW","NO ACTION"))))</f>
        <v>NO ACTION</v>
      </c>
      <c r="AN172" t="str">
        <f>IF(AM172="NO ACTION","",
 IF(_xlfn.TEXTJOIN(", ", TRUE,
  IF(X172&gt;0.7,"Login anomaly",""),
  IF(Y172&gt;0.7,"File anomaly",""),
  IF(Z172&gt;0.7,"Network anomaly",""),
  IF(AA172&gt;0.7,"USB anomaly","")
 )="",
 "General anomaly detected",
 _xlfn.TEXTJOIN(", ", TRUE,
  IF(X172&gt;0.7,"Login anomaly",""),
  IF(Y172&gt;0.7,"File anomaly",""),
  IF(Z172&gt;0.7,"Network anomaly",""),
  IF(AA172&gt;0.7,"USB anomaly","")
 )))</f>
        <v/>
      </c>
    </row>
    <row r="173" spans="1:40" x14ac:dyDescent="0.3">
      <c r="A173" t="s">
        <v>196</v>
      </c>
      <c r="B173">
        <v>0.12892249527410199</v>
      </c>
      <c r="C173">
        <v>0.18476582604220201</v>
      </c>
      <c r="D173">
        <v>0</v>
      </c>
      <c r="E173">
        <v>0</v>
      </c>
      <c r="F173">
        <v>0</v>
      </c>
      <c r="G173">
        <v>0.99367005702345901</v>
      </c>
      <c r="H173">
        <v>7</v>
      </c>
      <c r="I173">
        <v>7</v>
      </c>
      <c r="J173">
        <v>0.25747817375125198</v>
      </c>
      <c r="K173">
        <v>1.0603588907014599E-2</v>
      </c>
      <c r="L173">
        <v>1.05096664462326E-2</v>
      </c>
      <c r="M173">
        <v>2.0202020202020202E-3</v>
      </c>
      <c r="N173">
        <v>4.7371156960198E-3</v>
      </c>
      <c r="O173">
        <v>746</v>
      </c>
      <c r="P173">
        <v>0.19483024691358</v>
      </c>
      <c r="Q173">
        <v>0.19495774746660099</v>
      </c>
      <c r="R173">
        <v>0</v>
      </c>
      <c r="S173">
        <v>0</v>
      </c>
      <c r="T173" t="s">
        <v>24</v>
      </c>
      <c r="U173">
        <v>2.75943396226415E-2</v>
      </c>
      <c r="V173">
        <v>0</v>
      </c>
      <c r="W173">
        <v>0</v>
      </c>
      <c r="X173">
        <v>0</v>
      </c>
      <c r="Y173">
        <v>5.8171602682172703E-2</v>
      </c>
      <c r="Z173">
        <v>0.118792994426556</v>
      </c>
      <c r="AA173">
        <v>0</v>
      </c>
      <c r="AB173">
        <v>3.6692000925540917E-2</v>
      </c>
      <c r="AC173">
        <v>3.2900000223889952E-4</v>
      </c>
      <c r="AD173">
        <v>1.949000055901706E-3</v>
      </c>
      <c r="AE173">
        <v>1.779000042006373E-3</v>
      </c>
      <c r="AF173">
        <f>0.16*X173 + 0.28*Y173 + 0.28*Z173 + 0.28*AA173</f>
        <v>4.9550087190444042E-2</v>
      </c>
      <c r="AG173">
        <f t="shared" si="6"/>
        <v>7.0066801761277013E-3</v>
      </c>
      <c r="AH173">
        <f>IF(T173="IT_Admin", 0.25, IF(AND(T173="HR", AA173&gt;0.6), 0.25, IF(AND(T173="General", Z173&gt;0.7), 0.2, 0.1)))</f>
        <v>0.25</v>
      </c>
      <c r="AI173">
        <f>IF(V173&gt;0.7, 0.1,
 IF(F173&gt;0.5, 0.08,
 IF(E173&gt;0.5, 0.05,
 0)))</f>
        <v>0</v>
      </c>
      <c r="AJ173">
        <f t="shared" si="7"/>
        <v>1.9769702280422602E-2</v>
      </c>
      <c r="AK173">
        <f t="shared" si="8"/>
        <v>2.4712127850528252E-2</v>
      </c>
      <c r="AL173" t="str">
        <f>IF(MAX(X173, Y173, Z173, AA173)&gt;0.9,
 "Critical",
 IF(AK173&lt;=0.2,"Very Low",
 IF(AK173&lt;=0.4,"Low",
 IF(AK173&lt;=0.6,"Medium",
 IF(AK173&lt;=0.8,"High","Critical")))))</f>
        <v>Very Low</v>
      </c>
      <c r="AM173" t="str">
        <f>IF(MAX(X173:AA173)&gt;0.9,"CRITICAL ALERT",
 IF(AK173&gt;0.8,"CRITICAL ALERT",
 IF(AK173&gt;0.6,"ALERT",
 IF(AK173&gt;=0.4,"REVIEW","NO ACTION"))))</f>
        <v>NO ACTION</v>
      </c>
      <c r="AN173" t="str">
        <f>IF(AM173="NO ACTION","",
 IF(_xlfn.TEXTJOIN(", ", TRUE,
  IF(X173&gt;0.7,"Login anomaly",""),
  IF(Y173&gt;0.7,"File anomaly",""),
  IF(Z173&gt;0.7,"Network anomaly",""),
  IF(AA173&gt;0.7,"USB anomaly","")
 )="",
 "General anomaly detected",
 _xlfn.TEXTJOIN(", ", TRUE,
  IF(X173&gt;0.7,"Login anomaly",""),
  IF(Y173&gt;0.7,"File anomaly",""),
  IF(Z173&gt;0.7,"Network anomaly",""),
  IF(AA173&gt;0.7,"USB anomaly","")
 )))</f>
        <v/>
      </c>
    </row>
    <row r="174" spans="1:40" x14ac:dyDescent="0.3">
      <c r="A174" t="s">
        <v>197</v>
      </c>
      <c r="B174">
        <v>0.12892249527410199</v>
      </c>
      <c r="C174">
        <v>0.36953165208440503</v>
      </c>
      <c r="D174">
        <v>0</v>
      </c>
      <c r="E174">
        <v>0</v>
      </c>
      <c r="F174">
        <v>0</v>
      </c>
      <c r="G174">
        <v>0.99367813935850602</v>
      </c>
      <c r="H174">
        <v>8</v>
      </c>
      <c r="I174">
        <v>8</v>
      </c>
      <c r="J174">
        <v>0.224941558131768</v>
      </c>
      <c r="K174">
        <v>1.8760195758564399E-2</v>
      </c>
      <c r="L174">
        <v>2.1280704323315101E-2</v>
      </c>
      <c r="M174">
        <v>8.3694083694083696E-2</v>
      </c>
      <c r="N174">
        <v>0.22460867757477901</v>
      </c>
      <c r="O174">
        <v>678</v>
      </c>
      <c r="P174">
        <v>0.21412037037036999</v>
      </c>
      <c r="Q174">
        <v>0.214243136154844</v>
      </c>
      <c r="R174">
        <v>0</v>
      </c>
      <c r="S174">
        <v>0</v>
      </c>
      <c r="T174" t="s">
        <v>24</v>
      </c>
      <c r="U174">
        <v>1.3421513324255901E-3</v>
      </c>
      <c r="V174">
        <v>0</v>
      </c>
      <c r="W174">
        <v>0</v>
      </c>
      <c r="X174">
        <v>0</v>
      </c>
      <c r="Y174">
        <v>0.123011267060445</v>
      </c>
      <c r="Z174">
        <v>0.21831569325213299</v>
      </c>
      <c r="AA174">
        <v>0</v>
      </c>
      <c r="AB174">
        <v>2.4645000696182251E-2</v>
      </c>
      <c r="AC174">
        <v>1.8604999408125881E-2</v>
      </c>
      <c r="AD174">
        <v>1.408100035041571E-2</v>
      </c>
      <c r="AE174">
        <v>1.1010000016540289E-3</v>
      </c>
      <c r="AF174">
        <f>0.16*X174 + 0.28*Y174 + 0.28*Z174 + 0.28*AA174</f>
        <v>9.557154888752184E-2</v>
      </c>
      <c r="AG174">
        <f t="shared" si="6"/>
        <v>1.3403560044243935E-2</v>
      </c>
      <c r="AH174">
        <f>IF(T174="IT_Admin", 0.25, IF(AND(T174="HR", AA174&gt;0.6), 0.25, IF(AND(T174="General", Z174&gt;0.7), 0.2, 0.1)))</f>
        <v>0.25</v>
      </c>
      <c r="AI174">
        <f>IF(V174&gt;0.7, 0.1,
 IF(F174&gt;0.5, 0.08,
 IF(E174&gt;0.5, 0.05,
 0)))</f>
        <v>0</v>
      </c>
      <c r="AJ174">
        <f t="shared" si="7"/>
        <v>3.8053956697227304E-2</v>
      </c>
      <c r="AK174">
        <f t="shared" si="8"/>
        <v>4.7567445871534129E-2</v>
      </c>
      <c r="AL174" t="str">
        <f>IF(MAX(X174, Y174, Z174, AA174)&gt;0.9,
 "Critical",
 IF(AK174&lt;=0.2,"Very Low",
 IF(AK174&lt;=0.4,"Low",
 IF(AK174&lt;=0.6,"Medium",
 IF(AK174&lt;=0.8,"High","Critical")))))</f>
        <v>Very Low</v>
      </c>
      <c r="AM174" t="str">
        <f>IF(MAX(X174:AA174)&gt;0.9,"CRITICAL ALERT",
 IF(AK174&gt;0.8,"CRITICAL ALERT",
 IF(AK174&gt;0.6,"ALERT",
 IF(AK174&gt;=0.4,"REVIEW","NO ACTION"))))</f>
        <v>NO ACTION</v>
      </c>
      <c r="AN174" t="str">
        <f>IF(AM174="NO ACTION","",
 IF(_xlfn.TEXTJOIN(", ", TRUE,
  IF(X174&gt;0.7,"Login anomaly",""),
  IF(Y174&gt;0.7,"File anomaly",""),
  IF(Z174&gt;0.7,"Network anomaly",""),
  IF(AA174&gt;0.7,"USB anomaly","")
 )="",
 "General anomaly detected",
 _xlfn.TEXTJOIN(", ", TRUE,
  IF(X174&gt;0.7,"Login anomaly",""),
  IF(Y174&gt;0.7,"File anomaly",""),
  IF(Z174&gt;0.7,"Network anomaly",""),
  IF(AA174&gt;0.7,"USB anomaly","")
 )))</f>
        <v/>
      </c>
    </row>
    <row r="175" spans="1:40" x14ac:dyDescent="0.3">
      <c r="A175" t="s">
        <v>198</v>
      </c>
      <c r="B175">
        <v>0.12892249527410199</v>
      </c>
      <c r="C175">
        <v>0.27580985626589599</v>
      </c>
      <c r="D175">
        <v>7.5124914167671697E-2</v>
      </c>
      <c r="E175">
        <v>0</v>
      </c>
      <c r="F175">
        <v>0</v>
      </c>
      <c r="G175">
        <v>0.99364527476434295</v>
      </c>
      <c r="H175">
        <v>7</v>
      </c>
      <c r="I175">
        <v>8</v>
      </c>
      <c r="J175">
        <v>0.21673584275559299</v>
      </c>
      <c r="K175">
        <v>1.30505709624796E-2</v>
      </c>
      <c r="L175">
        <v>1.53638368561121E-2</v>
      </c>
      <c r="M175">
        <v>3.1746031746031698E-3</v>
      </c>
      <c r="N175">
        <v>8.8418422191509204E-3</v>
      </c>
      <c r="O175">
        <v>630</v>
      </c>
      <c r="P175">
        <v>0.16649130190796799</v>
      </c>
      <c r="Q175">
        <v>0.16662575826641801</v>
      </c>
      <c r="R175">
        <v>0</v>
      </c>
      <c r="S175">
        <v>0</v>
      </c>
      <c r="T175" t="s">
        <v>24</v>
      </c>
      <c r="U175">
        <v>2.26415094339622E-2</v>
      </c>
      <c r="V175">
        <v>0</v>
      </c>
      <c r="W175">
        <v>0</v>
      </c>
      <c r="X175">
        <v>2.25374742503015E-2</v>
      </c>
      <c r="Y175">
        <v>5.36816396449201E-2</v>
      </c>
      <c r="Z175">
        <v>0.10343151803244099</v>
      </c>
      <c r="AA175">
        <v>0</v>
      </c>
      <c r="AB175">
        <v>1.8826000392436981E-2</v>
      </c>
      <c r="AC175">
        <v>2.4100000155158341E-4</v>
      </c>
      <c r="AD175">
        <v>3.8499999209307129E-4</v>
      </c>
      <c r="AE175">
        <v>2.9470000881701708E-3</v>
      </c>
      <c r="AF175">
        <f>0.16*X175 + 0.28*Y175 + 0.28*Z175 + 0.28*AA175</f>
        <v>4.7597680029709349E-2</v>
      </c>
      <c r="AG175">
        <f t="shared" si="6"/>
        <v>4.0126000856980683E-3</v>
      </c>
      <c r="AH175">
        <f>IF(T175="IT_Admin", 0.25, IF(AND(T175="HR", AA175&gt;0.6), 0.25, IF(AND(T175="General", Z175&gt;0.7), 0.2, 0.1)))</f>
        <v>0.25</v>
      </c>
      <c r="AI175">
        <f>IF(V175&gt;0.7, 0.1,
 IF(F175&gt;0.5, 0.08,
 IF(E175&gt;0.5, 0.05,
 0)))</f>
        <v>0</v>
      </c>
      <c r="AJ175">
        <f t="shared" si="7"/>
        <v>1.708812406890145E-2</v>
      </c>
      <c r="AK175">
        <f t="shared" si="8"/>
        <v>2.1360155086126813E-2</v>
      </c>
      <c r="AL175" t="str">
        <f>IF(MAX(X175, Y175, Z175, AA175)&gt;0.9,
 "Critical",
 IF(AK175&lt;=0.2,"Very Low",
 IF(AK175&lt;=0.4,"Low",
 IF(AK175&lt;=0.6,"Medium",
 IF(AK175&lt;=0.8,"High","Critical")))))</f>
        <v>Very Low</v>
      </c>
      <c r="AM175" t="str">
        <f>IF(MAX(X175:AA175)&gt;0.9,"CRITICAL ALERT",
 IF(AK175&gt;0.8,"CRITICAL ALERT",
 IF(AK175&gt;0.6,"ALERT",
 IF(AK175&gt;=0.4,"REVIEW","NO ACTION"))))</f>
        <v>NO ACTION</v>
      </c>
      <c r="AN175" t="str">
        <f>IF(AM175="NO ACTION","",
 IF(_xlfn.TEXTJOIN(", ", TRUE,
  IF(X175&gt;0.7,"Login anomaly",""),
  IF(Y175&gt;0.7,"File anomaly",""),
  IF(Z175&gt;0.7,"Network anomaly",""),
  IF(AA175&gt;0.7,"USB anomaly","")
 )="",
 "General anomaly detected",
 _xlfn.TEXTJOIN(", ", TRUE,
  IF(X175&gt;0.7,"Login anomaly",""),
  IF(Y175&gt;0.7,"File anomaly",""),
  IF(Z175&gt;0.7,"Network anomaly",""),
  IF(AA175&gt;0.7,"USB anomaly","")
 )))</f>
        <v/>
      </c>
    </row>
    <row r="176" spans="1:40" x14ac:dyDescent="0.3">
      <c r="A176" t="s">
        <v>199</v>
      </c>
      <c r="B176">
        <v>0.23478260869565201</v>
      </c>
      <c r="C176">
        <v>0.473000514668038</v>
      </c>
      <c r="D176">
        <v>0.36080308494752</v>
      </c>
      <c r="E176">
        <v>0</v>
      </c>
      <c r="F176">
        <v>0.29120000000000001</v>
      </c>
      <c r="G176">
        <v>0.48141140546451799</v>
      </c>
      <c r="H176">
        <v>6</v>
      </c>
      <c r="I176">
        <v>13</v>
      </c>
      <c r="J176">
        <v>0.249033920137398</v>
      </c>
      <c r="K176">
        <v>4.3230016313213701E-2</v>
      </c>
      <c r="L176">
        <v>4.42985728605826E-2</v>
      </c>
      <c r="M176">
        <v>6.9264069264069203E-3</v>
      </c>
      <c r="N176">
        <v>1.6791731394602199E-2</v>
      </c>
      <c r="O176">
        <v>716</v>
      </c>
      <c r="P176">
        <v>0.205036475869809</v>
      </c>
      <c r="Q176">
        <v>0.205161471299835</v>
      </c>
      <c r="R176">
        <v>0</v>
      </c>
      <c r="S176">
        <v>0</v>
      </c>
      <c r="T176" t="s">
        <v>24</v>
      </c>
      <c r="U176">
        <v>3.5999999999999997E-2</v>
      </c>
      <c r="V176">
        <v>0</v>
      </c>
      <c r="W176">
        <v>0</v>
      </c>
      <c r="X176">
        <v>0.22472092548425601</v>
      </c>
      <c r="Y176">
        <v>7.69935898761515E-2</v>
      </c>
      <c r="Z176">
        <v>0.129738578079726</v>
      </c>
      <c r="AA176">
        <v>0</v>
      </c>
      <c r="AB176">
        <v>2.6739999651908871E-2</v>
      </c>
      <c r="AC176">
        <v>6.8800000008195639E-4</v>
      </c>
      <c r="AD176">
        <v>3.3470001071691509E-3</v>
      </c>
      <c r="AE176">
        <v>8.7360003963112831E-3</v>
      </c>
      <c r="AF176">
        <f>0.16*X176 + 0.28*Y176 + 0.28*Z176 + 0.28*AA176</f>
        <v>9.3840355105126672E-2</v>
      </c>
      <c r="AG176">
        <f t="shared" si="6"/>
        <v>7.8542800853028897E-3</v>
      </c>
      <c r="AH176">
        <f>IF(T176="IT_Admin", 0.25, IF(AND(T176="HR", AA176&gt;0.6), 0.25, IF(AND(T176="General", Z176&gt;0.7), 0.2, 0.1)))</f>
        <v>0.25</v>
      </c>
      <c r="AI176">
        <f>IF(V176&gt;0.7, 0.1,
 IF(F176&gt;0.5, 0.08,
 IF(E176&gt;0.5, 0.05,
 0)))</f>
        <v>0</v>
      </c>
      <c r="AJ176">
        <f t="shared" si="7"/>
        <v>3.3650102591250022E-2</v>
      </c>
      <c r="AK176">
        <f t="shared" si="8"/>
        <v>4.2062628239062524E-2</v>
      </c>
      <c r="AL176" t="str">
        <f>IF(MAX(X176, Y176, Z176, AA176)&gt;0.9,
 "Critical",
 IF(AK176&lt;=0.2,"Very Low",
 IF(AK176&lt;=0.4,"Low",
 IF(AK176&lt;=0.6,"Medium",
 IF(AK176&lt;=0.8,"High","Critical")))))</f>
        <v>Very Low</v>
      </c>
      <c r="AM176" t="str">
        <f>IF(MAX(X176:AA176)&gt;0.9,"CRITICAL ALERT",
 IF(AK176&gt;0.8,"CRITICAL ALERT",
 IF(AK176&gt;0.6,"ALERT",
 IF(AK176&gt;=0.4,"REVIEW","NO ACTION"))))</f>
        <v>NO ACTION</v>
      </c>
      <c r="AN176" t="str">
        <f>IF(AM176="NO ACTION","",
 IF(_xlfn.TEXTJOIN(", ", TRUE,
  IF(X176&gt;0.7,"Login anomaly",""),
  IF(Y176&gt;0.7,"File anomaly",""),
  IF(Z176&gt;0.7,"Network anomaly",""),
  IF(AA176&gt;0.7,"USB anomaly","")
 )="",
 "General anomaly detected",
 _xlfn.TEXTJOIN(", ", TRUE,
  IF(X176&gt;0.7,"Login anomaly",""),
  IF(Y176&gt;0.7,"File anomaly",""),
  IF(Z176&gt;0.7,"Network anomaly",""),
  IF(AA176&gt;0.7,"USB anomaly","")
 )))</f>
        <v/>
      </c>
    </row>
    <row r="177" spans="1:40" x14ac:dyDescent="0.3">
      <c r="A177" t="s">
        <v>200</v>
      </c>
      <c r="B177">
        <v>0.12892249527410199</v>
      </c>
      <c r="C177">
        <v>0.18476582604220201</v>
      </c>
      <c r="D177">
        <v>0</v>
      </c>
      <c r="E177">
        <v>0</v>
      </c>
      <c r="F177">
        <v>0</v>
      </c>
      <c r="G177">
        <v>0.99364385634130503</v>
      </c>
      <c r="H177">
        <v>7</v>
      </c>
      <c r="I177">
        <v>7</v>
      </c>
      <c r="J177">
        <v>0.27274462096273999</v>
      </c>
      <c r="K177">
        <v>9.7879282218597003E-3</v>
      </c>
      <c r="L177">
        <v>9.1586940783290292E-3</v>
      </c>
      <c r="M177">
        <v>4.6176046176046098E-3</v>
      </c>
      <c r="N177">
        <v>1.0222159680391E-2</v>
      </c>
      <c r="O177">
        <v>733</v>
      </c>
      <c r="P177">
        <v>0.20696548821548799</v>
      </c>
      <c r="Q177">
        <v>0.20709001016865899</v>
      </c>
      <c r="R177">
        <v>0</v>
      </c>
      <c r="S177">
        <v>0</v>
      </c>
      <c r="T177" t="s">
        <v>24</v>
      </c>
      <c r="U177">
        <v>1.19866814650388E-2</v>
      </c>
      <c r="V177">
        <v>0</v>
      </c>
      <c r="W177">
        <v>0</v>
      </c>
      <c r="X177">
        <v>0</v>
      </c>
      <c r="Y177">
        <v>6.2194919135829897E-2</v>
      </c>
      <c r="Z177">
        <v>0.12826815680144901</v>
      </c>
      <c r="AA177">
        <v>0</v>
      </c>
      <c r="AB177">
        <v>3.6674000322818763E-2</v>
      </c>
      <c r="AC177">
        <v>5.2399997366592288E-4</v>
      </c>
      <c r="AD177">
        <v>3.1510000117123131E-3</v>
      </c>
      <c r="AE177">
        <v>1.7249999800696969E-3</v>
      </c>
      <c r="AF177">
        <f>0.16*X177 + 0.28*Y177 + 0.28*Z177 + 0.28*AA177</f>
        <v>5.3329661262438099E-2</v>
      </c>
      <c r="AG177">
        <f t="shared" si="6"/>
        <v>7.3798400419764236E-3</v>
      </c>
      <c r="AH177">
        <f>IF(T177="IT_Admin", 0.25, IF(AND(T177="HR", AA177&gt;0.6), 0.25, IF(AND(T177="General", Z177&gt;0.7), 0.2, 0.1)))</f>
        <v>0.25</v>
      </c>
      <c r="AI177">
        <f>IF(V177&gt;0.7, 0.1,
 IF(F177&gt;0.5, 0.08,
 IF(E177&gt;0.5, 0.05,
 0)))</f>
        <v>0</v>
      </c>
      <c r="AJ177">
        <f t="shared" si="7"/>
        <v>2.1164786408114925E-2</v>
      </c>
      <c r="AK177">
        <f t="shared" si="8"/>
        <v>2.6455983010143656E-2</v>
      </c>
      <c r="AL177" t="str">
        <f>IF(MAX(X177, Y177, Z177, AA177)&gt;0.9,
 "Critical",
 IF(AK177&lt;=0.2,"Very Low",
 IF(AK177&lt;=0.4,"Low",
 IF(AK177&lt;=0.6,"Medium",
 IF(AK177&lt;=0.8,"High","Critical")))))</f>
        <v>Very Low</v>
      </c>
      <c r="AM177" t="str">
        <f>IF(MAX(X177:AA177)&gt;0.9,"CRITICAL ALERT",
 IF(AK177&gt;0.8,"CRITICAL ALERT",
 IF(AK177&gt;0.6,"ALERT",
 IF(AK177&gt;=0.4,"REVIEW","NO ACTION"))))</f>
        <v>NO ACTION</v>
      </c>
      <c r="AN177" t="str">
        <f>IF(AM177="NO ACTION","",
 IF(_xlfn.TEXTJOIN(", ", TRUE,
  IF(X177&gt;0.7,"Login anomaly",""),
  IF(Y177&gt;0.7,"File anomaly",""),
  IF(Z177&gt;0.7,"Network anomaly",""),
  IF(AA177&gt;0.7,"USB anomaly","")
 )="",
 "General anomaly detected",
 _xlfn.TEXTJOIN(", ", TRUE,
  IF(X177&gt;0.7,"Login anomaly",""),
  IF(Y177&gt;0.7,"File anomaly",""),
  IF(Z177&gt;0.7,"Network anomaly",""),
  IF(AA177&gt;0.7,"USB anomaly","")
 )))</f>
        <v/>
      </c>
    </row>
    <row r="178" spans="1:40" x14ac:dyDescent="0.3">
      <c r="A178" t="s">
        <v>201</v>
      </c>
      <c r="B178">
        <v>0.229111531190926</v>
      </c>
      <c r="C178">
        <v>0.66394539456476698</v>
      </c>
      <c r="D178">
        <v>0.362739811006621</v>
      </c>
      <c r="E178">
        <v>0</v>
      </c>
      <c r="F178">
        <v>0</v>
      </c>
      <c r="G178">
        <v>0.496823960195797</v>
      </c>
      <c r="H178">
        <v>7</v>
      </c>
      <c r="I178">
        <v>14</v>
      </c>
      <c r="J178">
        <v>0.247173321883497</v>
      </c>
      <c r="K178">
        <v>1.38662316476345E-2</v>
      </c>
      <c r="L178">
        <v>1.43158312086286E-2</v>
      </c>
      <c r="M178">
        <v>4.3290043290043203E-3</v>
      </c>
      <c r="N178">
        <v>1.05737558494982E-2</v>
      </c>
      <c r="O178">
        <v>717</v>
      </c>
      <c r="P178">
        <v>0.189779741863075</v>
      </c>
      <c r="Q178">
        <v>0.18990848206458799</v>
      </c>
      <c r="R178">
        <v>0.30825958702064898</v>
      </c>
      <c r="S178">
        <v>1</v>
      </c>
      <c r="T178" t="s">
        <v>24</v>
      </c>
      <c r="U178">
        <v>1.8042452830188599E-2</v>
      </c>
      <c r="V178">
        <v>0</v>
      </c>
      <c r="W178">
        <v>0</v>
      </c>
      <c r="X178">
        <v>0.108821943301986</v>
      </c>
      <c r="Y178">
        <v>5.9764706735863302E-2</v>
      </c>
      <c r="Z178">
        <v>0.118097347457644</v>
      </c>
      <c r="AA178">
        <v>0.30825958702064898</v>
      </c>
      <c r="AB178">
        <v>2.154700085520744E-2</v>
      </c>
      <c r="AC178">
        <v>2.9799999902024871E-4</v>
      </c>
      <c r="AD178">
        <v>2.0459999796003099E-3</v>
      </c>
      <c r="AE178">
        <v>0.1048649996519089</v>
      </c>
      <c r="AF178">
        <f>0.16*X178 + 0.28*Y178 + 0.28*Z178 + 0.28*AA178</f>
        <v>0.15352557046828152</v>
      </c>
      <c r="AG178">
        <f t="shared" si="6"/>
        <v>3.3466040033381446E-2</v>
      </c>
      <c r="AH178">
        <f>IF(T178="IT_Admin", 0.25, IF(AND(T178="HR", AA178&gt;0.6), 0.25, IF(AND(T178="General", Z178&gt;0.7), 0.2, 0.1)))</f>
        <v>0.25</v>
      </c>
      <c r="AI178">
        <f>IF(V178&gt;0.7, 0.1,
 IF(F178&gt;0.5, 0.08,
 IF(E178&gt;0.5, 0.05,
 0)))</f>
        <v>0</v>
      </c>
      <c r="AJ178">
        <f t="shared" si="7"/>
        <v>6.9483899163851476E-2</v>
      </c>
      <c r="AK178">
        <f t="shared" si="8"/>
        <v>8.6854873954814338E-2</v>
      </c>
      <c r="AL178" t="str">
        <f>IF(MAX(X178, Y178, Z178, AA178)&gt;0.9,
 "Critical",
 IF(AK178&lt;=0.2,"Very Low",
 IF(AK178&lt;=0.4,"Low",
 IF(AK178&lt;=0.6,"Medium",
 IF(AK178&lt;=0.8,"High","Critical")))))</f>
        <v>Very Low</v>
      </c>
      <c r="AM178" t="str">
        <f>IF(MAX(X178:AA178)&gt;0.9,"CRITICAL ALERT",
 IF(AK178&gt;0.8,"CRITICAL ALERT",
 IF(AK178&gt;0.6,"ALERT",
 IF(AK178&gt;=0.4,"REVIEW","NO ACTION"))))</f>
        <v>NO ACTION</v>
      </c>
      <c r="AN178" t="str">
        <f>IF(AM178="NO ACTION","",
 IF(_xlfn.TEXTJOIN(", ", TRUE,
  IF(X178&gt;0.7,"Login anomaly",""),
  IF(Y178&gt;0.7,"File anomaly",""),
  IF(Z178&gt;0.7,"Network anomaly",""),
  IF(AA178&gt;0.7,"USB anomaly","")
 )="",
 "General anomaly detected",
 _xlfn.TEXTJOIN(", ", TRUE,
  IF(X178&gt;0.7,"Login anomaly",""),
  IF(Y178&gt;0.7,"File anomaly",""),
  IF(Z178&gt;0.7,"Network anomaly",""),
  IF(AA178&gt;0.7,"USB anomaly","")
 )))</f>
        <v/>
      </c>
    </row>
    <row r="179" spans="1:40" x14ac:dyDescent="0.3">
      <c r="A179" t="s">
        <v>202</v>
      </c>
      <c r="B179">
        <v>0.235538752362948</v>
      </c>
      <c r="C179">
        <v>0.58406039428332601</v>
      </c>
      <c r="D179">
        <v>0.36698844291411198</v>
      </c>
      <c r="E179">
        <v>0</v>
      </c>
      <c r="F179">
        <v>0</v>
      </c>
      <c r="G179">
        <v>0.47932913108077102</v>
      </c>
      <c r="H179">
        <v>7</v>
      </c>
      <c r="I179">
        <v>13</v>
      </c>
      <c r="J179">
        <v>0.33319021039072499</v>
      </c>
      <c r="K179">
        <v>1.6313213703099499E-2</v>
      </c>
      <c r="L179">
        <v>1.24972689264555E-2</v>
      </c>
      <c r="M179">
        <v>1.8470418470418401E-2</v>
      </c>
      <c r="N179">
        <v>3.3476146911545303E-2</v>
      </c>
      <c r="O179">
        <v>885</v>
      </c>
      <c r="P179">
        <v>0.26094276094275998</v>
      </c>
      <c r="Q179">
        <v>0.26105403415266998</v>
      </c>
      <c r="R179">
        <v>0</v>
      </c>
      <c r="S179">
        <v>0</v>
      </c>
      <c r="T179" t="s">
        <v>24</v>
      </c>
      <c r="U179">
        <v>5.22496371552975E-3</v>
      </c>
      <c r="V179">
        <v>0</v>
      </c>
      <c r="W179">
        <v>0</v>
      </c>
      <c r="X179">
        <v>0.110096532874233</v>
      </c>
      <c r="Y179">
        <v>8.2929520614836494E-2</v>
      </c>
      <c r="Z179">
        <v>0.16995611533027399</v>
      </c>
      <c r="AA179">
        <v>0</v>
      </c>
      <c r="AB179">
        <v>1.8488999456167221E-2</v>
      </c>
      <c r="AC179">
        <v>1.034999964758754E-3</v>
      </c>
      <c r="AD179">
        <v>1.247499976307154E-2</v>
      </c>
      <c r="AE179">
        <v>7.7430000528693199E-3</v>
      </c>
      <c r="AF179">
        <f>0.16*X179 + 0.28*Y179 + 0.28*Z179 + 0.28*AA179</f>
        <v>8.8423423324508227E-2</v>
      </c>
      <c r="AG179">
        <f t="shared" si="6"/>
        <v>8.9090798515826485E-3</v>
      </c>
      <c r="AH179">
        <f>IF(T179="IT_Admin", 0.25, IF(AND(T179="HR", AA179&gt;0.6), 0.25, IF(AND(T179="General", Z179&gt;0.7), 0.2, 0.1)))</f>
        <v>0.25</v>
      </c>
      <c r="AI179">
        <f>IF(V179&gt;0.7, 0.1,
 IF(F179&gt;0.5, 0.08,
 IF(E179&gt;0.5, 0.05,
 0)))</f>
        <v>0</v>
      </c>
      <c r="AJ179">
        <f t="shared" si="7"/>
        <v>3.276338289346032E-2</v>
      </c>
      <c r="AK179">
        <f t="shared" si="8"/>
        <v>4.0954228616825399E-2</v>
      </c>
      <c r="AL179" t="str">
        <f>IF(MAX(X179, Y179, Z179, AA179)&gt;0.9,
 "Critical",
 IF(AK179&lt;=0.2,"Very Low",
 IF(AK179&lt;=0.4,"Low",
 IF(AK179&lt;=0.6,"Medium",
 IF(AK179&lt;=0.8,"High","Critical")))))</f>
        <v>Very Low</v>
      </c>
      <c r="AM179" t="str">
        <f>IF(MAX(X179:AA179)&gt;0.9,"CRITICAL ALERT",
 IF(AK179&gt;0.8,"CRITICAL ALERT",
 IF(AK179&gt;0.6,"ALERT",
 IF(AK179&gt;=0.4,"REVIEW","NO ACTION"))))</f>
        <v>NO ACTION</v>
      </c>
      <c r="AN179" t="str">
        <f>IF(AM179="NO ACTION","",
 IF(_xlfn.TEXTJOIN(", ", TRUE,
  IF(X179&gt;0.7,"Login anomaly",""),
  IF(Y179&gt;0.7,"File anomaly",""),
  IF(Z179&gt;0.7,"Network anomaly",""),
  IF(AA179&gt;0.7,"USB anomaly","")
 )="",
 "General anomaly detected",
 _xlfn.TEXTJOIN(", ", TRUE,
  IF(X179&gt;0.7,"Login anomaly",""),
  IF(Y179&gt;0.7,"File anomaly",""),
  IF(Z179&gt;0.7,"Network anomaly",""),
  IF(AA179&gt;0.7,"USB anomaly","")
 )))</f>
        <v/>
      </c>
    </row>
    <row r="180" spans="1:40" x14ac:dyDescent="0.3">
      <c r="A180" t="s">
        <v>203</v>
      </c>
      <c r="B180">
        <v>0.12892249527410199</v>
      </c>
      <c r="C180">
        <v>0.46486010725980198</v>
      </c>
      <c r="D180">
        <v>7.50946055673926E-2</v>
      </c>
      <c r="E180">
        <v>0</v>
      </c>
      <c r="F180">
        <v>0</v>
      </c>
      <c r="G180">
        <v>0.99369082487775096</v>
      </c>
      <c r="H180">
        <v>8</v>
      </c>
      <c r="I180">
        <v>9</v>
      </c>
      <c r="J180">
        <v>0.27393731215113698</v>
      </c>
      <c r="K180">
        <v>6.5252854812398002E-3</v>
      </c>
      <c r="L180">
        <v>6.0792352550546602E-3</v>
      </c>
      <c r="M180">
        <v>1.1544011544011501E-3</v>
      </c>
      <c r="N180">
        <v>2.54442307687479E-3</v>
      </c>
      <c r="O180">
        <v>789</v>
      </c>
      <c r="P180">
        <v>0.204755892255892</v>
      </c>
      <c r="Q180">
        <v>0.20488095655527799</v>
      </c>
      <c r="R180">
        <v>0</v>
      </c>
      <c r="S180">
        <v>0</v>
      </c>
      <c r="T180" t="s">
        <v>24</v>
      </c>
      <c r="U180">
        <v>2.7169811320754699E-2</v>
      </c>
      <c r="V180">
        <v>0</v>
      </c>
      <c r="W180">
        <v>0</v>
      </c>
      <c r="X180">
        <v>2.2528381670217701E-2</v>
      </c>
      <c r="Y180">
        <v>5.85904069808173E-2</v>
      </c>
      <c r="Z180">
        <v>0.123871304584285</v>
      </c>
      <c r="AA180">
        <v>0</v>
      </c>
      <c r="AB180">
        <v>1.339900027960539E-2</v>
      </c>
      <c r="AC180">
        <v>4.4400000479072332E-4</v>
      </c>
      <c r="AD180">
        <v>2.8109999839216471E-3</v>
      </c>
      <c r="AE180">
        <v>2.3809999693185091E-3</v>
      </c>
      <c r="AF180">
        <f>0.16*X180 + 0.28*Y180 + 0.28*Z180 + 0.28*AA180</f>
        <v>5.4693820305463478E-2</v>
      </c>
      <c r="AG180">
        <f t="shared" si="6"/>
        <v>3.7219200329855085E-3</v>
      </c>
      <c r="AH180">
        <f>IF(T180="IT_Admin", 0.25, IF(AND(T180="HR", AA180&gt;0.6), 0.25, IF(AND(T180="General", Z180&gt;0.7), 0.2, 0.1)))</f>
        <v>0.25</v>
      </c>
      <c r="AI180">
        <f>IF(V180&gt;0.7, 0.1,
 IF(F180&gt;0.5, 0.08,
 IF(E180&gt;0.5, 0.05,
 0)))</f>
        <v>0</v>
      </c>
      <c r="AJ180">
        <f t="shared" si="7"/>
        <v>1.9013490114728897E-2</v>
      </c>
      <c r="AK180">
        <f t="shared" si="8"/>
        <v>2.3766862643411123E-2</v>
      </c>
      <c r="AL180" t="str">
        <f>IF(MAX(X180, Y180, Z180, AA180)&gt;0.9,
 "Critical",
 IF(AK180&lt;=0.2,"Very Low",
 IF(AK180&lt;=0.4,"Low",
 IF(AK180&lt;=0.6,"Medium",
 IF(AK180&lt;=0.8,"High","Critical")))))</f>
        <v>Very Low</v>
      </c>
      <c r="AM180" t="str">
        <f>IF(MAX(X180:AA180)&gt;0.9,"CRITICAL ALERT",
 IF(AK180&gt;0.8,"CRITICAL ALERT",
 IF(AK180&gt;0.6,"ALERT",
 IF(AK180&gt;=0.4,"REVIEW","NO ACTION"))))</f>
        <v>NO ACTION</v>
      </c>
      <c r="AN180" t="str">
        <f>IF(AM180="NO ACTION","",
 IF(_xlfn.TEXTJOIN(", ", TRUE,
  IF(X180&gt;0.7,"Login anomaly",""),
  IF(Y180&gt;0.7,"File anomaly",""),
  IF(Z180&gt;0.7,"Network anomaly",""),
  IF(AA180&gt;0.7,"USB anomaly","")
 )="",
 "General anomaly detected",
 _xlfn.TEXTJOIN(", ", TRUE,
  IF(X180&gt;0.7,"Login anomaly",""),
  IF(Y180&gt;0.7,"File anomaly",""),
  IF(Z180&gt;0.7,"Network anomaly",""),
  IF(AA180&gt;0.7,"USB anomaly","")
 )))</f>
        <v/>
      </c>
    </row>
    <row r="181" spans="1:40" x14ac:dyDescent="0.3">
      <c r="A181" t="s">
        <v>204</v>
      </c>
      <c r="B181">
        <v>0.12892249527410199</v>
      </c>
      <c r="C181">
        <v>0.27741651562278502</v>
      </c>
      <c r="D181">
        <v>7.5132489407342906E-2</v>
      </c>
      <c r="E181">
        <v>0</v>
      </c>
      <c r="F181">
        <v>0</v>
      </c>
      <c r="G181">
        <v>0.99368638226974604</v>
      </c>
      <c r="H181">
        <v>7</v>
      </c>
      <c r="I181">
        <v>8</v>
      </c>
      <c r="J181">
        <v>0.21144029387910801</v>
      </c>
      <c r="K181">
        <v>6.5252854812398002E-3</v>
      </c>
      <c r="L181">
        <v>7.8740962386295004E-3</v>
      </c>
      <c r="M181">
        <v>2.88600288600288E-4</v>
      </c>
      <c r="N181">
        <v>8.2391252100515102E-4</v>
      </c>
      <c r="O181">
        <v>652</v>
      </c>
      <c r="P181">
        <v>0.15838945005611599</v>
      </c>
      <c r="Q181">
        <v>0.15852589501735601</v>
      </c>
      <c r="R181">
        <v>0</v>
      </c>
      <c r="S181">
        <v>0</v>
      </c>
      <c r="T181" t="s">
        <v>24</v>
      </c>
      <c r="U181">
        <v>6.7924528301886694E-2</v>
      </c>
      <c r="V181">
        <v>0</v>
      </c>
      <c r="W181">
        <v>0</v>
      </c>
      <c r="X181">
        <v>2.2539746822202798E-2</v>
      </c>
      <c r="Y181">
        <v>4.6472280651437999E-2</v>
      </c>
      <c r="Z181">
        <v>9.53632350420721E-2</v>
      </c>
      <c r="AA181">
        <v>0</v>
      </c>
      <c r="AB181">
        <v>1.8526000902056691E-2</v>
      </c>
      <c r="AC181">
        <v>6.750000175088644E-4</v>
      </c>
      <c r="AD181">
        <v>1.3000000035390261E-4</v>
      </c>
      <c r="AE181">
        <v>2.4019998963922258E-3</v>
      </c>
      <c r="AF181">
        <f>0.16*X181 + 0.28*Y181 + 0.28*Z181 + 0.28*AA181</f>
        <v>4.3320303885735281E-2</v>
      </c>
      <c r="AG181">
        <f t="shared" si="6"/>
        <v>3.8621201203204686E-3</v>
      </c>
      <c r="AH181">
        <f>IF(T181="IT_Admin", 0.25, IF(AND(T181="HR", AA181&gt;0.6), 0.25, IF(AND(T181="General", Z181&gt;0.7), 0.2, 0.1)))</f>
        <v>0.25</v>
      </c>
      <c r="AI181">
        <f>IF(V181&gt;0.7, 0.1,
 IF(F181&gt;0.5, 0.08,
 IF(E181&gt;0.5, 0.05,
 0)))</f>
        <v>0</v>
      </c>
      <c r="AJ181">
        <f t="shared" si="7"/>
        <v>1.5699575249944912E-2</v>
      </c>
      <c r="AK181">
        <f t="shared" si="8"/>
        <v>1.9624469062431142E-2</v>
      </c>
      <c r="AL181" t="str">
        <f>IF(MAX(X181, Y181, Z181, AA181)&gt;0.9,
 "Critical",
 IF(AK181&lt;=0.2,"Very Low",
 IF(AK181&lt;=0.4,"Low",
 IF(AK181&lt;=0.6,"Medium",
 IF(AK181&lt;=0.8,"High","Critical")))))</f>
        <v>Very Low</v>
      </c>
      <c r="AM181" t="str">
        <f>IF(MAX(X181:AA181)&gt;0.9,"CRITICAL ALERT",
 IF(AK181&gt;0.8,"CRITICAL ALERT",
 IF(AK181&gt;0.6,"ALERT",
 IF(AK181&gt;=0.4,"REVIEW","NO ACTION"))))</f>
        <v>NO ACTION</v>
      </c>
      <c r="AN181" t="str">
        <f>IF(AM181="NO ACTION","",
 IF(_xlfn.TEXTJOIN(", ", TRUE,
  IF(X181&gt;0.7,"Login anomaly",""),
  IF(Y181&gt;0.7,"File anomaly",""),
  IF(Z181&gt;0.7,"Network anomaly",""),
  IF(AA181&gt;0.7,"USB anomaly","")
 )="",
 "General anomaly detected",
 _xlfn.TEXTJOIN(", ", TRUE,
  IF(X181&gt;0.7,"Login anomaly",""),
  IF(Y181&gt;0.7,"File anomaly",""),
  IF(Z181&gt;0.7,"Network anomaly",""),
  IF(AA181&gt;0.7,"USB anomaly","")
 )))</f>
        <v/>
      </c>
    </row>
    <row r="182" spans="1:40" x14ac:dyDescent="0.3">
      <c r="A182" t="s">
        <v>205</v>
      </c>
      <c r="B182">
        <v>0.12892249527410199</v>
      </c>
      <c r="C182">
        <v>0</v>
      </c>
      <c r="D182">
        <v>0</v>
      </c>
      <c r="E182">
        <v>0</v>
      </c>
      <c r="F182">
        <v>1</v>
      </c>
      <c r="G182">
        <v>0.99368418772844203</v>
      </c>
      <c r="H182">
        <v>6</v>
      </c>
      <c r="I182">
        <v>6</v>
      </c>
      <c r="J182">
        <v>0.32574781737512498</v>
      </c>
      <c r="K182">
        <v>1.6313213703099499E-2</v>
      </c>
      <c r="L182">
        <v>1.2782586349626399E-2</v>
      </c>
      <c r="M182">
        <v>5.1948051948051896E-3</v>
      </c>
      <c r="N182">
        <v>9.6301181622416698E-3</v>
      </c>
      <c r="O182">
        <v>891</v>
      </c>
      <c r="P182">
        <v>0.24901795735129001</v>
      </c>
      <c r="Q182">
        <v>0.24913215750902901</v>
      </c>
      <c r="R182">
        <v>0</v>
      </c>
      <c r="S182">
        <v>0</v>
      </c>
      <c r="T182" t="s">
        <v>24</v>
      </c>
      <c r="U182">
        <v>1.7874875868917499E-2</v>
      </c>
      <c r="V182">
        <v>0</v>
      </c>
      <c r="W182">
        <v>0</v>
      </c>
      <c r="X182">
        <v>0.4</v>
      </c>
      <c r="Y182">
        <v>7.4429892098510794E-2</v>
      </c>
      <c r="Z182">
        <v>0.15326282167567101</v>
      </c>
      <c r="AA182">
        <v>0</v>
      </c>
      <c r="AB182">
        <v>0.1191219985485077</v>
      </c>
      <c r="AC182">
        <v>5.4300000192597508E-4</v>
      </c>
      <c r="AD182">
        <v>8.8710002601146698E-3</v>
      </c>
      <c r="AE182">
        <v>1.120000015362166E-4</v>
      </c>
      <c r="AF182">
        <f>0.16*X182 + 0.28*Y182 + 0.28*Z182 + 0.28*AA182</f>
        <v>0.1277539598567709</v>
      </c>
      <c r="AG182">
        <f t="shared" si="6"/>
        <v>2.1726799841562755E-2</v>
      </c>
      <c r="AH182">
        <f>IF(T182="IT_Admin", 0.25, IF(AND(T182="HR", AA182&gt;0.6), 0.25, IF(AND(T182="General", Z182&gt;0.7), 0.2, 0.1)))</f>
        <v>0.25</v>
      </c>
      <c r="AI182">
        <f>IF(V182&gt;0.7, 0.1,
 IF(F182&gt;0.5, 0.08,
 IF(E182&gt;0.5, 0.05,
 0)))</f>
        <v>0.08</v>
      </c>
      <c r="AJ182">
        <f t="shared" si="7"/>
        <v>5.3534947846125197E-2</v>
      </c>
      <c r="AK182">
        <f t="shared" si="8"/>
        <v>7.1201480635346509E-2</v>
      </c>
      <c r="AL182" t="str">
        <f>IF(MAX(X182, Y182, Z182, AA182)&gt;0.9,
 "Critical",
 IF(AK182&lt;=0.2,"Very Low",
 IF(AK182&lt;=0.4,"Low",
 IF(AK182&lt;=0.6,"Medium",
 IF(AK182&lt;=0.8,"High","Critical")))))</f>
        <v>Very Low</v>
      </c>
      <c r="AM182" t="str">
        <f>IF(MAX(X182:AA182)&gt;0.9,"CRITICAL ALERT",
 IF(AK182&gt;0.8,"CRITICAL ALERT",
 IF(AK182&gt;0.6,"ALERT",
 IF(AK182&gt;=0.4,"REVIEW","NO ACTION"))))</f>
        <v>NO ACTION</v>
      </c>
      <c r="AN182" t="str">
        <f>IF(AM182="NO ACTION","",
 IF(_xlfn.TEXTJOIN(", ", TRUE,
  IF(X182&gt;0.7,"Login anomaly",""),
  IF(Y182&gt;0.7,"File anomaly",""),
  IF(Z182&gt;0.7,"Network anomaly",""),
  IF(AA182&gt;0.7,"USB anomaly","")
 )="",
 "General anomaly detected",
 _xlfn.TEXTJOIN(", ", TRUE,
  IF(X182&gt;0.7,"Login anomaly",""),
  IF(Y182&gt;0.7,"File anomaly",""),
  IF(Z182&gt;0.7,"Network anomaly",""),
  IF(AA182&gt;0.7,"USB anomaly","")
 )))</f>
        <v/>
      </c>
    </row>
    <row r="183" spans="1:40" x14ac:dyDescent="0.3">
      <c r="A183" t="s">
        <v>206</v>
      </c>
      <c r="B183">
        <v>0.241209829867674</v>
      </c>
      <c r="C183">
        <v>0.756618935615188</v>
      </c>
      <c r="D183">
        <v>0.36104195698918901</v>
      </c>
      <c r="E183">
        <v>0</v>
      </c>
      <c r="F183">
        <v>0</v>
      </c>
      <c r="G183">
        <v>0.464731497463795</v>
      </c>
      <c r="H183">
        <v>8</v>
      </c>
      <c r="I183">
        <v>18</v>
      </c>
      <c r="J183">
        <v>0.26706741090596797</v>
      </c>
      <c r="K183">
        <v>1.0603588907014599E-2</v>
      </c>
      <c r="L183">
        <v>1.0132646464848899E-2</v>
      </c>
      <c r="M183">
        <v>2.88600288600288E-4</v>
      </c>
      <c r="N183">
        <v>6.5245401672315803E-4</v>
      </c>
      <c r="O183">
        <v>675</v>
      </c>
      <c r="P183">
        <v>0.201038159371492</v>
      </c>
      <c r="Q183">
        <v>0.201164136189908</v>
      </c>
      <c r="R183">
        <v>0</v>
      </c>
      <c r="S183">
        <v>0</v>
      </c>
      <c r="T183" t="s">
        <v>24</v>
      </c>
      <c r="U183">
        <v>0.110377358490566</v>
      </c>
      <c r="V183">
        <v>0</v>
      </c>
      <c r="W183">
        <v>0</v>
      </c>
      <c r="X183">
        <v>0.10831258709675599</v>
      </c>
      <c r="Y183">
        <v>5.8675541618635002E-2</v>
      </c>
      <c r="Z183">
        <v>0.12088387722958401</v>
      </c>
      <c r="AA183">
        <v>0</v>
      </c>
      <c r="AB183">
        <v>4.993399977684021E-2</v>
      </c>
      <c r="AC183">
        <v>1.9819999579340219E-3</v>
      </c>
      <c r="AD183">
        <v>2.6869999710470438E-3</v>
      </c>
      <c r="AE183">
        <v>1.0239000432193279E-2</v>
      </c>
      <c r="AF183">
        <f>0.16*X183 + 0.28*Y183 + 0.28*Z183 + 0.28*AA183</f>
        <v>6.7606651212982288E-2</v>
      </c>
      <c r="AG183">
        <f t="shared" si="6"/>
        <v>1.2163680065423252E-2</v>
      </c>
      <c r="AH183">
        <f>IF(T183="IT_Admin", 0.25, IF(AND(T183="HR", AA183&gt;0.6), 0.25, IF(AND(T183="General", Z183&gt;0.7), 0.2, 0.1)))</f>
        <v>0.25</v>
      </c>
      <c r="AI183">
        <f>IF(V183&gt;0.7, 0.1,
 IF(F183&gt;0.5, 0.08,
 IF(E183&gt;0.5, 0.05,
 0)))</f>
        <v>0</v>
      </c>
      <c r="AJ183">
        <f t="shared" si="7"/>
        <v>2.8796571409690962E-2</v>
      </c>
      <c r="AK183">
        <f t="shared" si="8"/>
        <v>3.5995714262113704E-2</v>
      </c>
      <c r="AL183" t="str">
        <f>IF(MAX(X183, Y183, Z183, AA183)&gt;0.9,
 "Critical",
 IF(AK183&lt;=0.2,"Very Low",
 IF(AK183&lt;=0.4,"Low",
 IF(AK183&lt;=0.6,"Medium",
 IF(AK183&lt;=0.8,"High","Critical")))))</f>
        <v>Very Low</v>
      </c>
      <c r="AM183" t="str">
        <f>IF(MAX(X183:AA183)&gt;0.9,"CRITICAL ALERT",
 IF(AK183&gt;0.8,"CRITICAL ALERT",
 IF(AK183&gt;0.6,"ALERT",
 IF(AK183&gt;=0.4,"REVIEW","NO ACTION"))))</f>
        <v>NO ACTION</v>
      </c>
      <c r="AN183" t="str">
        <f>IF(AM183="NO ACTION","",
 IF(_xlfn.TEXTJOIN(", ", TRUE,
  IF(X183&gt;0.7,"Login anomaly",""),
  IF(Y183&gt;0.7,"File anomaly",""),
  IF(Z183&gt;0.7,"Network anomaly",""),
  IF(AA183&gt;0.7,"USB anomaly","")
 )="",
 "General anomaly detected",
 _xlfn.TEXTJOIN(", ", TRUE,
  IF(X183&gt;0.7,"Login anomaly",""),
  IF(Y183&gt;0.7,"File anomaly",""),
  IF(Z183&gt;0.7,"Network anomaly",""),
  IF(AA183&gt;0.7,"USB anomaly","")
 )))</f>
        <v/>
      </c>
    </row>
    <row r="184" spans="1:40" x14ac:dyDescent="0.3">
      <c r="A184" t="s">
        <v>207</v>
      </c>
      <c r="B184">
        <v>0.12892249527410199</v>
      </c>
      <c r="C184">
        <v>0.36953165208440503</v>
      </c>
      <c r="D184">
        <v>0</v>
      </c>
      <c r="E184">
        <v>0</v>
      </c>
      <c r="F184">
        <v>0</v>
      </c>
      <c r="G184">
        <v>0.99368598082926296</v>
      </c>
      <c r="H184">
        <v>8</v>
      </c>
      <c r="I184">
        <v>8</v>
      </c>
      <c r="J184">
        <v>0.207957635608988</v>
      </c>
      <c r="K184">
        <v>8.9722675367047301E-3</v>
      </c>
      <c r="L184">
        <v>1.10079919545941E-2</v>
      </c>
      <c r="M184">
        <v>5.7720057720057698E-4</v>
      </c>
      <c r="N184">
        <v>1.6753894847386999E-3</v>
      </c>
      <c r="O184">
        <v>543</v>
      </c>
      <c r="P184">
        <v>0.157021604938271</v>
      </c>
      <c r="Q184">
        <v>0.157158385637645</v>
      </c>
      <c r="R184">
        <v>0</v>
      </c>
      <c r="S184">
        <v>0</v>
      </c>
      <c r="T184" t="s">
        <v>24</v>
      </c>
      <c r="U184">
        <v>6.2264150943396199E-2</v>
      </c>
      <c r="V184">
        <v>0</v>
      </c>
      <c r="W184">
        <v>0</v>
      </c>
      <c r="X184">
        <v>0</v>
      </c>
      <c r="Y184">
        <v>4.7598139944516303E-2</v>
      </c>
      <c r="Z184">
        <v>9.4883118756858398E-2</v>
      </c>
      <c r="AA184">
        <v>0</v>
      </c>
      <c r="AB184">
        <v>2.4697000160813332E-2</v>
      </c>
      <c r="AC184">
        <v>5.0299998838454485E-4</v>
      </c>
      <c r="AD184">
        <v>1.049999991664663E-4</v>
      </c>
      <c r="AE184">
        <v>1.977999927476048E-3</v>
      </c>
      <c r="AF184">
        <f>0.16*X184 + 0.28*Y184 + 0.28*Z184 + 0.28*AA184</f>
        <v>3.989475243638492E-2</v>
      </c>
      <c r="AG184">
        <f t="shared" si="6"/>
        <v>4.6756000019377107E-3</v>
      </c>
      <c r="AH184">
        <f>IF(T184="IT_Admin", 0.25, IF(AND(T184="HR", AA184&gt;0.6), 0.25, IF(AND(T184="General", Z184&gt;0.7), 0.2, 0.1)))</f>
        <v>0.25</v>
      </c>
      <c r="AI184">
        <f>IF(V184&gt;0.7, 0.1,
 IF(F184&gt;0.5, 0.08,
 IF(E184&gt;0.5, 0.05,
 0)))</f>
        <v>0</v>
      </c>
      <c r="AJ184">
        <f t="shared" si="7"/>
        <v>1.5241345732271872E-2</v>
      </c>
      <c r="AK184">
        <f t="shared" si="8"/>
        <v>1.9051682165339839E-2</v>
      </c>
      <c r="AL184" t="str">
        <f>IF(MAX(X184, Y184, Z184, AA184)&gt;0.9,
 "Critical",
 IF(AK184&lt;=0.2,"Very Low",
 IF(AK184&lt;=0.4,"Low",
 IF(AK184&lt;=0.6,"Medium",
 IF(AK184&lt;=0.8,"High","Critical")))))</f>
        <v>Very Low</v>
      </c>
      <c r="AM184" t="str">
        <f>IF(MAX(X184:AA184)&gt;0.9,"CRITICAL ALERT",
 IF(AK184&gt;0.8,"CRITICAL ALERT",
 IF(AK184&gt;0.6,"ALERT",
 IF(AK184&gt;=0.4,"REVIEW","NO ACTION"))))</f>
        <v>NO ACTION</v>
      </c>
      <c r="AN184" t="str">
        <f>IF(AM184="NO ACTION","",
 IF(_xlfn.TEXTJOIN(", ", TRUE,
  IF(X184&gt;0.7,"Login anomaly",""),
  IF(Y184&gt;0.7,"File anomaly",""),
  IF(Z184&gt;0.7,"Network anomaly",""),
  IF(AA184&gt;0.7,"USB anomaly","")
 )="",
 "General anomaly detected",
 _xlfn.TEXTJOIN(", ", TRUE,
  IF(X184&gt;0.7,"Login anomaly",""),
  IF(Y184&gt;0.7,"File anomaly",""),
  IF(Z184&gt;0.7,"Network anomaly",""),
  IF(AA184&gt;0.7,"USB anomaly","")
 )))</f>
        <v/>
      </c>
    </row>
    <row r="185" spans="1:40" x14ac:dyDescent="0.3">
      <c r="A185" t="s">
        <v>208</v>
      </c>
      <c r="B185">
        <v>0.235538752362948</v>
      </c>
      <c r="C185">
        <v>0.60144665223626104</v>
      </c>
      <c r="D185">
        <v>0.382085679804894</v>
      </c>
      <c r="E185">
        <v>0</v>
      </c>
      <c r="F185">
        <v>0</v>
      </c>
      <c r="G185">
        <v>0.47939013430139898</v>
      </c>
      <c r="H185">
        <v>7</v>
      </c>
      <c r="I185">
        <v>13</v>
      </c>
      <c r="J185">
        <v>0.28424216401889202</v>
      </c>
      <c r="K185">
        <v>8.1566068515497494E-3</v>
      </c>
      <c r="L185">
        <v>7.3237810269158E-3</v>
      </c>
      <c r="M185">
        <v>3.1746031746031698E-3</v>
      </c>
      <c r="N185">
        <v>6.7437025679521001E-3</v>
      </c>
      <c r="O185">
        <v>695</v>
      </c>
      <c r="P185">
        <v>0.21401515151515099</v>
      </c>
      <c r="Q185">
        <v>0.214137943125635</v>
      </c>
      <c r="R185">
        <v>0</v>
      </c>
      <c r="S185">
        <v>0</v>
      </c>
      <c r="T185" t="s">
        <v>24</v>
      </c>
      <c r="U185">
        <v>1.41509433962264E-2</v>
      </c>
      <c r="V185">
        <v>0</v>
      </c>
      <c r="W185">
        <v>0</v>
      </c>
      <c r="X185">
        <v>0.114625703941468</v>
      </c>
      <c r="Y185">
        <v>6.2533434087621895E-2</v>
      </c>
      <c r="Z185">
        <v>0.13110657193627101</v>
      </c>
      <c r="AA185">
        <v>0</v>
      </c>
      <c r="AB185">
        <v>2.0256999880075451E-2</v>
      </c>
      <c r="AC185">
        <v>5.0899997586384416E-4</v>
      </c>
      <c r="AD185">
        <v>4.1689998470246792E-3</v>
      </c>
      <c r="AE185">
        <v>9.6129998564720154E-3</v>
      </c>
      <c r="AF185">
        <f>0.16*X185 + 0.28*Y185 + 0.28*Z185 + 0.28*AA185</f>
        <v>7.2559314317324902E-2</v>
      </c>
      <c r="AG185">
        <f t="shared" si="6"/>
        <v>7.242599891033024E-3</v>
      </c>
      <c r="AH185">
        <f>IF(T185="IT_Admin", 0.25, IF(AND(T185="HR", AA185&gt;0.6), 0.25, IF(AND(T185="General", Z185&gt;0.7), 0.2, 0.1)))</f>
        <v>0.25</v>
      </c>
      <c r="AI185">
        <f>IF(V185&gt;0.7, 0.1,
 IF(F185&gt;0.5, 0.08,
 IF(E185&gt;0.5, 0.05,
 0)))</f>
        <v>0</v>
      </c>
      <c r="AJ185">
        <f t="shared" si="7"/>
        <v>2.6837614218920586E-2</v>
      </c>
      <c r="AK185">
        <f t="shared" si="8"/>
        <v>3.3547017773650732E-2</v>
      </c>
      <c r="AL185" t="str">
        <f>IF(MAX(X185, Y185, Z185, AA185)&gt;0.9,
 "Critical",
 IF(AK185&lt;=0.2,"Very Low",
 IF(AK185&lt;=0.4,"Low",
 IF(AK185&lt;=0.6,"Medium",
 IF(AK185&lt;=0.8,"High","Critical")))))</f>
        <v>Very Low</v>
      </c>
      <c r="AM185" t="str">
        <f>IF(MAX(X185:AA185)&gt;0.9,"CRITICAL ALERT",
 IF(AK185&gt;0.8,"CRITICAL ALERT",
 IF(AK185&gt;0.6,"ALERT",
 IF(AK185&gt;=0.4,"REVIEW","NO ACTION"))))</f>
        <v>NO ACTION</v>
      </c>
      <c r="AN185" t="str">
        <f>IF(AM185="NO ACTION","",
 IF(_xlfn.TEXTJOIN(", ", TRUE,
  IF(X185&gt;0.7,"Login anomaly",""),
  IF(Y185&gt;0.7,"File anomaly",""),
  IF(Z185&gt;0.7,"Network anomaly",""),
  IF(AA185&gt;0.7,"USB anomaly","")
 )="",
 "General anomaly detected",
 _xlfn.TEXTJOIN(", ", TRUE,
  IF(X185&gt;0.7,"Login anomaly",""),
  IF(Y185&gt;0.7,"File anomaly",""),
  IF(Z185&gt;0.7,"Network anomaly",""),
  IF(AA185&gt;0.7,"USB anomaly","")
 )))</f>
        <v/>
      </c>
    </row>
    <row r="186" spans="1:40" x14ac:dyDescent="0.3">
      <c r="A186" t="s">
        <v>209</v>
      </c>
      <c r="B186">
        <v>0.12892249527410199</v>
      </c>
      <c r="C186">
        <v>0.55429747812660801</v>
      </c>
      <c r="D186">
        <v>0</v>
      </c>
      <c r="E186">
        <v>0</v>
      </c>
      <c r="F186">
        <v>0</v>
      </c>
      <c r="G186">
        <v>0.99369475899448001</v>
      </c>
      <c r="H186">
        <v>9</v>
      </c>
      <c r="I186">
        <v>9</v>
      </c>
      <c r="J186">
        <v>0.195171986069366</v>
      </c>
      <c r="K186">
        <v>2.4469820554649199E-3</v>
      </c>
      <c r="L186">
        <v>3.1986112985961102E-3</v>
      </c>
      <c r="M186">
        <v>8.6580086580086504E-4</v>
      </c>
      <c r="N186">
        <v>2.6775145427489098E-3</v>
      </c>
      <c r="O186">
        <v>538</v>
      </c>
      <c r="P186">
        <v>0.14495650953984199</v>
      </c>
      <c r="Q186">
        <v>0.14509625162172499</v>
      </c>
      <c r="R186">
        <v>0</v>
      </c>
      <c r="S186">
        <v>0</v>
      </c>
      <c r="T186" t="s">
        <v>24</v>
      </c>
      <c r="U186">
        <v>1.27358490566037E-2</v>
      </c>
      <c r="V186">
        <v>0</v>
      </c>
      <c r="W186">
        <v>0</v>
      </c>
      <c r="X186">
        <v>0</v>
      </c>
      <c r="Y186">
        <v>4.14369572259961E-2</v>
      </c>
      <c r="Z186">
        <v>8.8044911541005202E-2</v>
      </c>
      <c r="AA186">
        <v>0</v>
      </c>
      <c r="AB186">
        <v>2.9258999973535541E-2</v>
      </c>
      <c r="AC186">
        <v>7.1400002343580127E-4</v>
      </c>
      <c r="AD186">
        <v>2.2000000171829018E-5</v>
      </c>
      <c r="AE186">
        <v>2.604000037536025E-3</v>
      </c>
      <c r="AF186">
        <f>0.16*X186 + 0.28*Y186 + 0.28*Z186 + 0.28*AA186</f>
        <v>3.6254923254760367E-2</v>
      </c>
      <c r="AG186">
        <f t="shared" si="6"/>
        <v>5.6166400128859111E-3</v>
      </c>
      <c r="AH186">
        <f>IF(T186="IT_Admin", 0.25, IF(AND(T186="HR", AA186&gt;0.6), 0.25, IF(AND(T186="General", Z186&gt;0.7), 0.2, 0.1)))</f>
        <v>0.25</v>
      </c>
      <c r="AI186">
        <f>IF(V186&gt;0.7, 0.1,
 IF(F186&gt;0.5, 0.08,
 IF(E186&gt;0.5, 0.05,
 0)))</f>
        <v>0</v>
      </c>
      <c r="AJ186">
        <f t="shared" si="7"/>
        <v>1.4808124985448246E-2</v>
      </c>
      <c r="AK186">
        <f t="shared" si="8"/>
        <v>1.8510156231810307E-2</v>
      </c>
      <c r="AL186" t="str">
        <f>IF(MAX(X186, Y186, Z186, AA186)&gt;0.9,
 "Critical",
 IF(AK186&lt;=0.2,"Very Low",
 IF(AK186&lt;=0.4,"Low",
 IF(AK186&lt;=0.6,"Medium",
 IF(AK186&lt;=0.8,"High","Critical")))))</f>
        <v>Very Low</v>
      </c>
      <c r="AM186" t="str">
        <f>IF(MAX(X186:AA186)&gt;0.9,"CRITICAL ALERT",
 IF(AK186&gt;0.8,"CRITICAL ALERT",
 IF(AK186&gt;0.6,"ALERT",
 IF(AK186&gt;=0.4,"REVIEW","NO ACTION"))))</f>
        <v>NO ACTION</v>
      </c>
      <c r="AN186" t="str">
        <f>IF(AM186="NO ACTION","",
 IF(_xlfn.TEXTJOIN(", ", TRUE,
  IF(X186&gt;0.7,"Login anomaly",""),
  IF(Y186&gt;0.7,"File anomaly",""),
  IF(Z186&gt;0.7,"Network anomaly",""),
  IF(AA186&gt;0.7,"USB anomaly","")
 )="",
 "General anomaly detected",
 _xlfn.TEXTJOIN(", ", TRUE,
  IF(X186&gt;0.7,"Login anomaly",""),
  IF(Y186&gt;0.7,"File anomaly",""),
  IF(Z186&gt;0.7,"Network anomaly",""),
  IF(AA186&gt;0.7,"USB anomaly","")
 )))</f>
        <v/>
      </c>
    </row>
    <row r="187" spans="1:40" x14ac:dyDescent="0.3">
      <c r="A187" t="s">
        <v>210</v>
      </c>
      <c r="B187">
        <v>0.12892249527410199</v>
      </c>
      <c r="C187">
        <v>0.18476582604220201</v>
      </c>
      <c r="D187">
        <v>0</v>
      </c>
      <c r="E187">
        <v>0</v>
      </c>
      <c r="F187">
        <v>0</v>
      </c>
      <c r="G187">
        <v>0.99366387484003005</v>
      </c>
      <c r="H187">
        <v>7</v>
      </c>
      <c r="I187">
        <v>7</v>
      </c>
      <c r="J187">
        <v>0.22351032870569101</v>
      </c>
      <c r="K187">
        <v>6.2805872756933098E-2</v>
      </c>
      <c r="L187">
        <v>7.1699816253505605E-2</v>
      </c>
      <c r="M187">
        <v>0.192784992784992</v>
      </c>
      <c r="N187">
        <v>0.520683902688167</v>
      </c>
      <c r="O187">
        <v>980</v>
      </c>
      <c r="P187">
        <v>0.28503787878787801</v>
      </c>
      <c r="Q187">
        <v>0.28514323784143902</v>
      </c>
      <c r="R187">
        <v>0</v>
      </c>
      <c r="S187">
        <v>0</v>
      </c>
      <c r="T187" t="s">
        <v>24</v>
      </c>
      <c r="U187">
        <v>1.9544800744563801E-3</v>
      </c>
      <c r="V187">
        <v>0</v>
      </c>
      <c r="W187">
        <v>0</v>
      </c>
      <c r="X187">
        <v>0</v>
      </c>
      <c r="Y187">
        <v>0.236757144674341</v>
      </c>
      <c r="Z187">
        <v>0.379296288347994</v>
      </c>
      <c r="AA187">
        <v>0</v>
      </c>
      <c r="AB187">
        <v>3.695400059223175E-2</v>
      </c>
      <c r="AC187">
        <v>0.1108769997954369</v>
      </c>
      <c r="AD187">
        <v>6.9611996412277222E-2</v>
      </c>
      <c r="AE187">
        <v>8.229999803006649E-4</v>
      </c>
      <c r="AF187">
        <f>0.16*X187 + 0.28*Y187 + 0.28*Z187 + 0.28*AA187</f>
        <v>0.17249496124625383</v>
      </c>
      <c r="AG187">
        <f t="shared" si="6"/>
        <v>5.6679999027401229E-2</v>
      </c>
      <c r="AH187">
        <f>IF(T187="IT_Admin", 0.25, IF(AND(T187="HR", AA187&gt;0.6), 0.25, IF(AND(T187="General", Z187&gt;0.7), 0.2, 0.1)))</f>
        <v>0.25</v>
      </c>
      <c r="AI187">
        <f>IF(V187&gt;0.7, 0.1,
 IF(F187&gt;0.5, 0.08,
 IF(E187&gt;0.5, 0.05,
 0)))</f>
        <v>0</v>
      </c>
      <c r="AJ187">
        <f t="shared" si="7"/>
        <v>9.1424487693056999E-2</v>
      </c>
      <c r="AK187">
        <f t="shared" si="8"/>
        <v>0.11428060961632125</v>
      </c>
      <c r="AL187" t="str">
        <f>IF(MAX(X187, Y187, Z187, AA187)&gt;0.9,
 "Critical",
 IF(AK187&lt;=0.2,"Very Low",
 IF(AK187&lt;=0.4,"Low",
 IF(AK187&lt;=0.6,"Medium",
 IF(AK187&lt;=0.8,"High","Critical")))))</f>
        <v>Very Low</v>
      </c>
      <c r="AM187" t="str">
        <f>IF(MAX(X187:AA187)&gt;0.9,"CRITICAL ALERT",
 IF(AK187&gt;0.8,"CRITICAL ALERT",
 IF(AK187&gt;0.6,"ALERT",
 IF(AK187&gt;=0.4,"REVIEW","NO ACTION"))))</f>
        <v>NO ACTION</v>
      </c>
      <c r="AN187" t="str">
        <f>IF(AM187="NO ACTION","",
 IF(_xlfn.TEXTJOIN(", ", TRUE,
  IF(X187&gt;0.7,"Login anomaly",""),
  IF(Y187&gt;0.7,"File anomaly",""),
  IF(Z187&gt;0.7,"Network anomaly",""),
  IF(AA187&gt;0.7,"USB anomaly","")
 )="",
 "General anomaly detected",
 _xlfn.TEXTJOIN(", ", TRUE,
  IF(X187&gt;0.7,"Login anomaly",""),
  IF(Y187&gt;0.7,"File anomaly",""),
  IF(Z187&gt;0.7,"Network anomaly",""),
  IF(AA187&gt;0.7,"USB anomaly","")
 )))</f>
        <v/>
      </c>
    </row>
    <row r="188" spans="1:40" x14ac:dyDescent="0.3">
      <c r="A188" t="s">
        <v>211</v>
      </c>
      <c r="B188">
        <v>0.236672967863894</v>
      </c>
      <c r="C188">
        <v>0.55840338537198997</v>
      </c>
      <c r="D188">
        <v>0.34387731035698599</v>
      </c>
      <c r="E188">
        <v>0</v>
      </c>
      <c r="F188">
        <v>0</v>
      </c>
      <c r="G188">
        <v>0.47630294742113899</v>
      </c>
      <c r="H188">
        <v>7</v>
      </c>
      <c r="I188">
        <v>13</v>
      </c>
      <c r="J188">
        <v>0.16406659987596001</v>
      </c>
      <c r="K188">
        <v>1.30505709624796E-2</v>
      </c>
      <c r="L188">
        <v>2.0288829855284001E-2</v>
      </c>
      <c r="M188">
        <v>1.7316017316017301E-3</v>
      </c>
      <c r="N188">
        <v>6.3688150796164704E-3</v>
      </c>
      <c r="O188">
        <v>500</v>
      </c>
      <c r="P188">
        <v>0.12706930415263701</v>
      </c>
      <c r="Q188">
        <v>0.127213436656264</v>
      </c>
      <c r="R188">
        <v>0.58702064896755102</v>
      </c>
      <c r="S188">
        <v>1</v>
      </c>
      <c r="T188" t="s">
        <v>24</v>
      </c>
      <c r="U188">
        <v>3.8814016172506703E-2</v>
      </c>
      <c r="V188">
        <v>0</v>
      </c>
      <c r="W188">
        <v>0</v>
      </c>
      <c r="X188">
        <v>0.103163193107096</v>
      </c>
      <c r="Y188">
        <v>4.4868379426718903E-2</v>
      </c>
      <c r="Z188">
        <v>7.8789108523429005E-2</v>
      </c>
      <c r="AA188">
        <v>0.58702064896755102</v>
      </c>
      <c r="AB188">
        <v>1.5788000077009201E-2</v>
      </c>
      <c r="AC188">
        <v>1.0900000052060931E-4</v>
      </c>
      <c r="AD188">
        <v>1.7299999308306721E-4</v>
      </c>
      <c r="AE188">
        <v>0.33341500163078308</v>
      </c>
      <c r="AF188">
        <f>0.16*X188 + 0.28*Y188 + 0.28*Z188 + 0.28*AA188</f>
        <v>0.21549598923409108</v>
      </c>
      <c r="AG188">
        <f t="shared" si="6"/>
        <v>9.5961240467149767E-2</v>
      </c>
      <c r="AH188">
        <f>IF(T188="IT_Admin", 0.25, IF(AND(T188="HR", AA188&gt;0.6), 0.25, IF(AND(T188="General", Z188&gt;0.7), 0.2, 0.1)))</f>
        <v>0.25</v>
      </c>
      <c r="AI188">
        <f>IF(V188&gt;0.7, 0.1,
 IF(F188&gt;0.5, 0.08,
 IF(E188&gt;0.5, 0.05,
 0)))</f>
        <v>0</v>
      </c>
      <c r="AJ188">
        <f t="shared" si="7"/>
        <v>0.13182166509723214</v>
      </c>
      <c r="AK188">
        <f t="shared" si="8"/>
        <v>0.16477708137154018</v>
      </c>
      <c r="AL188" t="str">
        <f>IF(MAX(X188, Y188, Z188, AA188)&gt;0.9,
 "Critical",
 IF(AK188&lt;=0.2,"Very Low",
 IF(AK188&lt;=0.4,"Low",
 IF(AK188&lt;=0.6,"Medium",
 IF(AK188&lt;=0.8,"High","Critical")))))</f>
        <v>Very Low</v>
      </c>
      <c r="AM188" t="str">
        <f>IF(MAX(X188:AA188)&gt;0.9,"CRITICAL ALERT",
 IF(AK188&gt;0.8,"CRITICAL ALERT",
 IF(AK188&gt;0.6,"ALERT",
 IF(AK188&gt;=0.4,"REVIEW","NO ACTION"))))</f>
        <v>NO ACTION</v>
      </c>
      <c r="AN188" t="str">
        <f>IF(AM188="NO ACTION","",
 IF(_xlfn.TEXTJOIN(", ", TRUE,
  IF(X188&gt;0.7,"Login anomaly",""),
  IF(Y188&gt;0.7,"File anomaly",""),
  IF(Z188&gt;0.7,"Network anomaly",""),
  IF(AA188&gt;0.7,"USB anomaly","")
 )="",
 "General anomaly detected",
 _xlfn.TEXTJOIN(", ", TRUE,
  IF(X188&gt;0.7,"Login anomaly",""),
  IF(Y188&gt;0.7,"File anomaly",""),
  IF(Z188&gt;0.7,"Network anomaly",""),
  IF(AA188&gt;0.7,"USB anomaly","")
 )))</f>
        <v/>
      </c>
    </row>
    <row r="189" spans="1:40" x14ac:dyDescent="0.3">
      <c r="A189" t="s">
        <v>212</v>
      </c>
      <c r="B189">
        <v>0.2351606805293</v>
      </c>
      <c r="C189">
        <v>0.65760105498726396</v>
      </c>
      <c r="D189">
        <v>0.36182655201313202</v>
      </c>
      <c r="E189">
        <v>0</v>
      </c>
      <c r="F189">
        <v>0</v>
      </c>
      <c r="G189">
        <v>0.48010146310262197</v>
      </c>
      <c r="H189">
        <v>7</v>
      </c>
      <c r="I189">
        <v>14</v>
      </c>
      <c r="J189">
        <v>0.18801583893898099</v>
      </c>
      <c r="K189">
        <v>2.2838499184339299E-2</v>
      </c>
      <c r="L189">
        <v>3.0988539669994101E-2</v>
      </c>
      <c r="M189">
        <v>6.14718614718614E-2</v>
      </c>
      <c r="N189">
        <v>0.197329971937169</v>
      </c>
      <c r="O189">
        <v>545</v>
      </c>
      <c r="P189">
        <v>0.17792508417508399</v>
      </c>
      <c r="Q189">
        <v>0.178056734107086</v>
      </c>
      <c r="R189">
        <v>0.48082595870206402</v>
      </c>
      <c r="S189">
        <v>1</v>
      </c>
      <c r="T189" t="s">
        <v>24</v>
      </c>
      <c r="U189">
        <v>2.2218303650149802E-3</v>
      </c>
      <c r="V189">
        <v>0</v>
      </c>
      <c r="W189">
        <v>0</v>
      </c>
      <c r="X189">
        <v>0.10854796560393901</v>
      </c>
      <c r="Y189">
        <v>0.112296429203944</v>
      </c>
      <c r="Z189">
        <v>0.185687039279918</v>
      </c>
      <c r="AA189">
        <v>0.48082595870206402</v>
      </c>
      <c r="AB189">
        <v>2.2907000035047531E-2</v>
      </c>
      <c r="AC189">
        <v>1.3175999745726591E-2</v>
      </c>
      <c r="AD189">
        <v>7.2360001504421234E-3</v>
      </c>
      <c r="AE189">
        <v>0.226843997836113</v>
      </c>
      <c r="AF189">
        <f>0.16*X189 + 0.28*Y189 + 0.28*Z189 + 0.28*AA189</f>
        <v>0.23543431410868954</v>
      </c>
      <c r="AG189">
        <f t="shared" si="6"/>
        <v>7.2896799370646498E-2</v>
      </c>
      <c r="AH189">
        <f>IF(T189="IT_Admin", 0.25, IF(AND(T189="HR", AA189&gt;0.6), 0.25, IF(AND(T189="General", Z189&gt;0.7), 0.2, 0.1)))</f>
        <v>0.25</v>
      </c>
      <c r="AI189">
        <f>IF(V189&gt;0.7, 0.1,
 IF(F189&gt;0.5, 0.08,
 IF(E189&gt;0.5, 0.05,
 0)))</f>
        <v>0</v>
      </c>
      <c r="AJ189">
        <f t="shared" si="7"/>
        <v>0.12165805379205941</v>
      </c>
      <c r="AK189">
        <f t="shared" si="8"/>
        <v>0.15207256724007426</v>
      </c>
      <c r="AL189" t="str">
        <f>IF(MAX(X189, Y189, Z189, AA189)&gt;0.9,
 "Critical",
 IF(AK189&lt;=0.2,"Very Low",
 IF(AK189&lt;=0.4,"Low",
 IF(AK189&lt;=0.6,"Medium",
 IF(AK189&lt;=0.8,"High","Critical")))))</f>
        <v>Very Low</v>
      </c>
      <c r="AM189" t="str">
        <f>IF(MAX(X189:AA189)&gt;0.9,"CRITICAL ALERT",
 IF(AK189&gt;0.8,"CRITICAL ALERT",
 IF(AK189&gt;0.6,"ALERT",
 IF(AK189&gt;=0.4,"REVIEW","NO ACTION"))))</f>
        <v>NO ACTION</v>
      </c>
      <c r="AN189" t="str">
        <f>IF(AM189="NO ACTION","",
 IF(_xlfn.TEXTJOIN(", ", TRUE,
  IF(X189&gt;0.7,"Login anomaly",""),
  IF(Y189&gt;0.7,"File anomaly",""),
  IF(Z189&gt;0.7,"Network anomaly",""),
  IF(AA189&gt;0.7,"USB anomaly","")
 )="",
 "General anomaly detected",
 _xlfn.TEXTJOIN(", ", TRUE,
  IF(X189&gt;0.7,"Login anomaly",""),
  IF(Y189&gt;0.7,"File anomaly",""),
  IF(Z189&gt;0.7,"Network anomaly",""),
  IF(AA189&gt;0.7,"USB anomaly","")
 )))</f>
        <v/>
      </c>
    </row>
    <row r="190" spans="1:40" x14ac:dyDescent="0.3">
      <c r="A190" t="s">
        <v>213</v>
      </c>
      <c r="B190">
        <v>0.12892249527410199</v>
      </c>
      <c r="C190">
        <v>0.290805343596858</v>
      </c>
      <c r="D190">
        <v>7.4307348771143894E-2</v>
      </c>
      <c r="E190">
        <v>0</v>
      </c>
      <c r="F190">
        <v>0</v>
      </c>
      <c r="G190">
        <v>0.99367466020765804</v>
      </c>
      <c r="H190">
        <v>7</v>
      </c>
      <c r="I190">
        <v>8</v>
      </c>
      <c r="J190">
        <v>0.192500357807356</v>
      </c>
      <c r="K190">
        <v>4.5676998368678598E-2</v>
      </c>
      <c r="L190">
        <v>6.0535038385048E-2</v>
      </c>
      <c r="M190">
        <v>6.8398268398268403E-2</v>
      </c>
      <c r="N190">
        <v>0.21445565985169901</v>
      </c>
      <c r="O190">
        <v>612</v>
      </c>
      <c r="P190">
        <v>0.19440937149270399</v>
      </c>
      <c r="Q190">
        <v>0.19453697534976599</v>
      </c>
      <c r="R190">
        <v>0</v>
      </c>
      <c r="S190">
        <v>0</v>
      </c>
      <c r="T190" t="s">
        <v>24</v>
      </c>
      <c r="U190">
        <v>3.9955604883462796E-3</v>
      </c>
      <c r="V190">
        <v>0</v>
      </c>
      <c r="W190">
        <v>0</v>
      </c>
      <c r="X190">
        <v>2.2292204631343099E-2</v>
      </c>
      <c r="Y190">
        <v>0.133104288709505</v>
      </c>
      <c r="Z190">
        <v>0.202427886836302</v>
      </c>
      <c r="AA190">
        <v>0</v>
      </c>
      <c r="AB190">
        <v>1.753799989819527E-2</v>
      </c>
      <c r="AC190">
        <v>1.7009999603033069E-2</v>
      </c>
      <c r="AD190">
        <v>1.006899960339069E-2</v>
      </c>
      <c r="AE190">
        <v>1.236999989487231E-3</v>
      </c>
      <c r="AF190">
        <f>0.16*X190 + 0.28*Y190 + 0.28*Z190 + 0.28*AA190</f>
        <v>9.7515761893840869E-2</v>
      </c>
      <c r="AG190">
        <f t="shared" si="6"/>
        <v>1.0734559758566322E-2</v>
      </c>
      <c r="AH190">
        <f>IF(T190="IT_Admin", 0.25, IF(AND(T190="HR", AA190&gt;0.6), 0.25, IF(AND(T190="General", Z190&gt;0.7), 0.2, 0.1)))</f>
        <v>0.25</v>
      </c>
      <c r="AI190">
        <f>IF(V190&gt;0.7, 0.1,
 IF(F190&gt;0.5, 0.08,
 IF(E190&gt;0.5, 0.05,
 0)))</f>
        <v>0</v>
      </c>
      <c r="AJ190">
        <f t="shared" si="7"/>
        <v>3.6768920399148683E-2</v>
      </c>
      <c r="AK190">
        <f t="shared" si="8"/>
        <v>4.5961150498935857E-2</v>
      </c>
      <c r="AL190" t="str">
        <f>IF(MAX(X190, Y190, Z190, AA190)&gt;0.9,
 "Critical",
 IF(AK190&lt;=0.2,"Very Low",
 IF(AK190&lt;=0.4,"Low",
 IF(AK190&lt;=0.6,"Medium",
 IF(AK190&lt;=0.8,"High","Critical")))))</f>
        <v>Very Low</v>
      </c>
      <c r="AM190" t="str">
        <f>IF(MAX(X190:AA190)&gt;0.9,"CRITICAL ALERT",
 IF(AK190&gt;0.8,"CRITICAL ALERT",
 IF(AK190&gt;0.6,"ALERT",
 IF(AK190&gt;=0.4,"REVIEW","NO ACTION"))))</f>
        <v>NO ACTION</v>
      </c>
      <c r="AN190" t="str">
        <f>IF(AM190="NO ACTION","",
 IF(_xlfn.TEXTJOIN(", ", TRUE,
  IF(X190&gt;0.7,"Login anomaly",""),
  IF(Y190&gt;0.7,"File anomaly",""),
  IF(Z190&gt;0.7,"Network anomaly",""),
  IF(AA190&gt;0.7,"USB anomaly","")
 )="",
 "General anomaly detected",
 _xlfn.TEXTJOIN(", ", TRUE,
  IF(X190&gt;0.7,"Login anomaly",""),
  IF(Y190&gt;0.7,"File anomaly",""),
  IF(Z190&gt;0.7,"Network anomaly",""),
  IF(AA190&gt;0.7,"USB anomaly","")
 )))</f>
        <v/>
      </c>
    </row>
    <row r="191" spans="1:40" x14ac:dyDescent="0.3">
      <c r="A191" t="s">
        <v>214</v>
      </c>
      <c r="B191">
        <v>0.20075614366729599</v>
      </c>
      <c r="C191">
        <v>0.68656908817177298</v>
      </c>
      <c r="D191">
        <v>0.385502150606852</v>
      </c>
      <c r="E191">
        <v>0</v>
      </c>
      <c r="F191">
        <v>0</v>
      </c>
      <c r="G191">
        <v>0.47127516319090001</v>
      </c>
      <c r="H191">
        <v>7</v>
      </c>
      <c r="I191">
        <v>18</v>
      </c>
      <c r="J191">
        <v>0.105290778111731</v>
      </c>
      <c r="K191">
        <v>4.8939641109298502E-3</v>
      </c>
      <c r="L191">
        <v>1.1845851608543999E-2</v>
      </c>
      <c r="M191">
        <v>1.7316017316017301E-3</v>
      </c>
      <c r="N191">
        <v>9.9160032252256398E-3</v>
      </c>
      <c r="O191">
        <v>513</v>
      </c>
      <c r="P191">
        <v>8.0352132435465698E-2</v>
      </c>
      <c r="Q191">
        <v>8.05077316876468E-2</v>
      </c>
      <c r="R191">
        <v>0</v>
      </c>
      <c r="S191">
        <v>0</v>
      </c>
      <c r="T191" t="s">
        <v>24</v>
      </c>
      <c r="U191">
        <v>1.4555256064690001E-2</v>
      </c>
      <c r="V191">
        <v>0</v>
      </c>
      <c r="W191">
        <v>0</v>
      </c>
      <c r="X191">
        <v>0.11565064518205501</v>
      </c>
      <c r="Y191">
        <v>2.9955882394185899E-2</v>
      </c>
      <c r="Z191">
        <v>5.21776807513697E-2</v>
      </c>
      <c r="AA191">
        <v>0</v>
      </c>
      <c r="AB191">
        <v>3.8171999156475067E-2</v>
      </c>
      <c r="AC191">
        <v>5.4899998940527439E-4</v>
      </c>
      <c r="AD191">
        <v>3.1510000117123131E-3</v>
      </c>
      <c r="AE191">
        <v>1.104300003498793E-2</v>
      </c>
      <c r="AF191">
        <f>0.16*X191 + 0.28*Y191 + 0.28*Z191 + 0.28*AA191</f>
        <v>4.1501500909884373E-2</v>
      </c>
      <c r="AG191">
        <f t="shared" si="6"/>
        <v>1.0235559875145557E-2</v>
      </c>
      <c r="AH191">
        <f>IF(T191="IT_Admin", 0.25, IF(AND(T191="HR", AA191&gt;0.6), 0.25, IF(AND(T191="General", Z191&gt;0.7), 0.2, 0.1)))</f>
        <v>0.25</v>
      </c>
      <c r="AI191">
        <f>IF(V191&gt;0.7, 0.1,
 IF(F191&gt;0.5, 0.08,
 IF(E191&gt;0.5, 0.05,
 0)))</f>
        <v>0</v>
      </c>
      <c r="AJ191">
        <f t="shared" si="7"/>
        <v>1.9615342185567201E-2</v>
      </c>
      <c r="AK191">
        <f t="shared" si="8"/>
        <v>2.4519177731959003E-2</v>
      </c>
      <c r="AL191" t="str">
        <f>IF(MAX(X191, Y191, Z191, AA191)&gt;0.9,
 "Critical",
 IF(AK191&lt;=0.2,"Very Low",
 IF(AK191&lt;=0.4,"Low",
 IF(AK191&lt;=0.6,"Medium",
 IF(AK191&lt;=0.8,"High","Critical")))))</f>
        <v>Very Low</v>
      </c>
      <c r="AM191" t="str">
        <f>IF(MAX(X191:AA191)&gt;0.9,"CRITICAL ALERT",
 IF(AK191&gt;0.8,"CRITICAL ALERT",
 IF(AK191&gt;0.6,"ALERT",
 IF(AK191&gt;=0.4,"REVIEW","NO ACTION"))))</f>
        <v>NO ACTION</v>
      </c>
      <c r="AN191" t="str">
        <f>IF(AM191="NO ACTION","",
 IF(_xlfn.TEXTJOIN(", ", TRUE,
  IF(X191&gt;0.7,"Login anomaly",""),
  IF(Y191&gt;0.7,"File anomaly",""),
  IF(Z191&gt;0.7,"Network anomaly",""),
  IF(AA191&gt;0.7,"USB anomaly","")
 )="",
 "General anomaly detected",
 _xlfn.TEXTJOIN(", ", TRUE,
  IF(X191&gt;0.7,"Login anomaly",""),
  IF(Y191&gt;0.7,"File anomaly",""),
  IF(Z191&gt;0.7,"Network anomaly",""),
  IF(AA191&gt;0.7,"USB anomaly","")
 )))</f>
        <v/>
      </c>
    </row>
    <row r="192" spans="1:40" x14ac:dyDescent="0.3">
      <c r="A192" t="s">
        <v>215</v>
      </c>
      <c r="B192">
        <v>0.24423440453686199</v>
      </c>
      <c r="C192">
        <v>0.80188368502315899</v>
      </c>
      <c r="D192">
        <v>0.39157159562556199</v>
      </c>
      <c r="E192">
        <v>0</v>
      </c>
      <c r="F192">
        <v>0</v>
      </c>
      <c r="G192">
        <v>0.45709802084906898</v>
      </c>
      <c r="H192">
        <v>8</v>
      </c>
      <c r="I192">
        <v>17</v>
      </c>
      <c r="J192">
        <v>0.18291112065264001</v>
      </c>
      <c r="K192">
        <v>1.38662316476345E-2</v>
      </c>
      <c r="L192">
        <v>1.9338864456355302E-2</v>
      </c>
      <c r="M192">
        <v>6.63780663780663E-3</v>
      </c>
      <c r="N192">
        <v>2.19018225269853E-2</v>
      </c>
      <c r="O192">
        <v>769</v>
      </c>
      <c r="P192">
        <v>0.143658810325477</v>
      </c>
      <c r="Q192">
        <v>0.14379887092815299</v>
      </c>
      <c r="R192">
        <v>0</v>
      </c>
      <c r="S192">
        <v>0</v>
      </c>
      <c r="T192" t="s">
        <v>24</v>
      </c>
      <c r="U192">
        <v>1.20283018867924E-2</v>
      </c>
      <c r="V192">
        <v>0</v>
      </c>
      <c r="W192">
        <v>0</v>
      </c>
      <c r="X192">
        <v>0.117471478687668</v>
      </c>
      <c r="Y192">
        <v>5.28222031168014E-2</v>
      </c>
      <c r="Z192">
        <v>9.4956015206080296E-2</v>
      </c>
      <c r="AA192">
        <v>0</v>
      </c>
      <c r="AB192">
        <v>5.4349001497030258E-2</v>
      </c>
      <c r="AC192">
        <v>2.9799999902024871E-4</v>
      </c>
      <c r="AD192">
        <v>0</v>
      </c>
      <c r="AE192">
        <v>9.9090002477169037E-3</v>
      </c>
      <c r="AF192">
        <f>0.16*X192 + 0.28*Y192 + 0.28*Z192 + 0.28*AA192</f>
        <v>6.0173337720433762E-2</v>
      </c>
      <c r="AG192">
        <f t="shared" si="6"/>
        <v>1.1553800308611244E-2</v>
      </c>
      <c r="AH192">
        <f>IF(T192="IT_Admin", 0.25, IF(AND(T192="HR", AA192&gt;0.6), 0.25, IF(AND(T192="General", Z192&gt;0.7), 0.2, 0.1)))</f>
        <v>0.25</v>
      </c>
      <c r="AI192">
        <f>IF(V192&gt;0.7, 0.1,
 IF(F192&gt;0.5, 0.08,
 IF(E192&gt;0.5, 0.05,
 0)))</f>
        <v>0</v>
      </c>
      <c r="AJ192">
        <f t="shared" si="7"/>
        <v>2.6139661532158E-2</v>
      </c>
      <c r="AK192">
        <f t="shared" si="8"/>
        <v>3.2674576915197498E-2</v>
      </c>
      <c r="AL192" t="str">
        <f>IF(MAX(X192, Y192, Z192, AA192)&gt;0.9,
 "Critical",
 IF(AK192&lt;=0.2,"Very Low",
 IF(AK192&lt;=0.4,"Low",
 IF(AK192&lt;=0.6,"Medium",
 IF(AK192&lt;=0.8,"High","Critical")))))</f>
        <v>Very Low</v>
      </c>
      <c r="AM192" t="str">
        <f>IF(MAX(X192:AA192)&gt;0.9,"CRITICAL ALERT",
 IF(AK192&gt;0.8,"CRITICAL ALERT",
 IF(AK192&gt;0.6,"ALERT",
 IF(AK192&gt;=0.4,"REVIEW","NO ACTION"))))</f>
        <v>NO ACTION</v>
      </c>
      <c r="AN192" t="str">
        <f>IF(AM192="NO ACTION","",
 IF(_xlfn.TEXTJOIN(", ", TRUE,
  IF(X192&gt;0.7,"Login anomaly",""),
  IF(Y192&gt;0.7,"File anomaly",""),
  IF(Z192&gt;0.7,"Network anomaly",""),
  IF(AA192&gt;0.7,"USB anomaly","")
 )="",
 "General anomaly detected",
 _xlfn.TEXTJOIN(", ", TRUE,
  IF(X192&gt;0.7,"Login anomaly",""),
  IF(Y192&gt;0.7,"File anomaly",""),
  IF(Z192&gt;0.7,"Network anomaly",""),
  IF(AA192&gt;0.7,"USB anomaly","")
 )))</f>
        <v/>
      </c>
    </row>
    <row r="193" spans="1:40" x14ac:dyDescent="0.3">
      <c r="A193" t="s">
        <v>216</v>
      </c>
      <c r="B193">
        <v>0.23629489603024501</v>
      </c>
      <c r="C193">
        <v>0.78253761617873996</v>
      </c>
      <c r="D193">
        <v>0.37769918758938598</v>
      </c>
      <c r="E193">
        <v>0</v>
      </c>
      <c r="F193">
        <v>0</v>
      </c>
      <c r="G193">
        <v>0.47732712963887097</v>
      </c>
      <c r="H193">
        <v>8</v>
      </c>
      <c r="I193">
        <v>14</v>
      </c>
      <c r="J193">
        <v>0.210533848575926</v>
      </c>
      <c r="K193">
        <v>6.5252854812398002E-3</v>
      </c>
      <c r="L193">
        <v>7.9079594863737199E-3</v>
      </c>
      <c r="M193">
        <v>5.7720057720057703E-3</v>
      </c>
      <c r="N193">
        <v>1.6549116594385901E-2</v>
      </c>
      <c r="O193">
        <v>609</v>
      </c>
      <c r="P193">
        <v>0.16038860830527499</v>
      </c>
      <c r="Q193">
        <v>0.16052456257232001</v>
      </c>
      <c r="R193">
        <v>0</v>
      </c>
      <c r="S193">
        <v>0</v>
      </c>
      <c r="T193" t="s">
        <v>24</v>
      </c>
      <c r="U193">
        <v>6.4690026954177804E-3</v>
      </c>
      <c r="V193">
        <v>0</v>
      </c>
      <c r="W193">
        <v>0</v>
      </c>
      <c r="X193">
        <v>0.113309756276816</v>
      </c>
      <c r="Y193">
        <v>5.1025484436687897E-2</v>
      </c>
      <c r="Z193">
        <v>0.102852811620919</v>
      </c>
      <c r="AA193">
        <v>0</v>
      </c>
      <c r="AB193">
        <v>3.9834998548030853E-2</v>
      </c>
      <c r="AC193">
        <v>5.5799999972805381E-4</v>
      </c>
      <c r="AD193">
        <v>2.95000005280599E-4</v>
      </c>
      <c r="AE193">
        <v>9.2860003933310509E-3</v>
      </c>
      <c r="AF193">
        <f>0.16*X193 + 0.28*Y193 + 0.28*Z193 + 0.28*AA193</f>
        <v>6.1215483900420496E-2</v>
      </c>
      <c r="AG193">
        <f t="shared" si="6"/>
        <v>9.212519879220055E-3</v>
      </c>
      <c r="AH193">
        <f>IF(T193="IT_Admin", 0.25, IF(AND(T193="HR", AA193&gt;0.6), 0.25, IF(AND(T193="General", Z193&gt;0.7), 0.2, 0.1)))</f>
        <v>0.25</v>
      </c>
      <c r="AI193">
        <f>IF(V193&gt;0.7, 0.1,
 IF(F193&gt;0.5, 0.08,
 IF(E193&gt;0.5, 0.05,
 0)))</f>
        <v>0</v>
      </c>
      <c r="AJ193">
        <f t="shared" si="7"/>
        <v>2.4813409085580187E-2</v>
      </c>
      <c r="AK193">
        <f t="shared" si="8"/>
        <v>3.1016761356975234E-2</v>
      </c>
      <c r="AL193" t="str">
        <f>IF(MAX(X193, Y193, Z193, AA193)&gt;0.9,
 "Critical",
 IF(AK193&lt;=0.2,"Very Low",
 IF(AK193&lt;=0.4,"Low",
 IF(AK193&lt;=0.6,"Medium",
 IF(AK193&lt;=0.8,"High","Critical")))))</f>
        <v>Very Low</v>
      </c>
      <c r="AM193" t="str">
        <f>IF(MAX(X193:AA193)&gt;0.9,"CRITICAL ALERT",
 IF(AK193&gt;0.8,"CRITICAL ALERT",
 IF(AK193&gt;0.6,"ALERT",
 IF(AK193&gt;=0.4,"REVIEW","NO ACTION"))))</f>
        <v>NO ACTION</v>
      </c>
      <c r="AN193" t="str">
        <f>IF(AM193="NO ACTION","",
 IF(_xlfn.TEXTJOIN(", ", TRUE,
  IF(X193&gt;0.7,"Login anomaly",""),
  IF(Y193&gt;0.7,"File anomaly",""),
  IF(Z193&gt;0.7,"Network anomaly",""),
  IF(AA193&gt;0.7,"USB anomaly","")
 )="",
 "General anomaly detected",
 _xlfn.TEXTJOIN(", ", TRUE,
  IF(X193&gt;0.7,"Login anomaly",""),
  IF(Y193&gt;0.7,"File anomaly",""),
  IF(Z193&gt;0.7,"Network anomaly",""),
  IF(AA193&gt;0.7,"USB anomaly","")
 )))</f>
        <v/>
      </c>
    </row>
    <row r="194" spans="1:40" x14ac:dyDescent="0.3">
      <c r="A194" t="s">
        <v>217</v>
      </c>
      <c r="B194">
        <v>0.12892249527410199</v>
      </c>
      <c r="C194">
        <v>0.18476582604220201</v>
      </c>
      <c r="D194">
        <v>0</v>
      </c>
      <c r="E194">
        <v>0</v>
      </c>
      <c r="F194">
        <v>0</v>
      </c>
      <c r="G194">
        <v>0.99368445535543004</v>
      </c>
      <c r="H194">
        <v>7</v>
      </c>
      <c r="I194">
        <v>7</v>
      </c>
      <c r="J194">
        <v>0.16621344401507501</v>
      </c>
      <c r="K194">
        <v>2.8548123980424101E-2</v>
      </c>
      <c r="L194">
        <v>4.3809392926983701E-2</v>
      </c>
      <c r="M194">
        <v>2.0202020202020202E-3</v>
      </c>
      <c r="N194">
        <v>7.3344508426193703E-3</v>
      </c>
      <c r="O194">
        <v>704</v>
      </c>
      <c r="P194">
        <v>0.13545173961840601</v>
      </c>
      <c r="Q194">
        <v>0.13559381464988199</v>
      </c>
      <c r="R194">
        <v>0</v>
      </c>
      <c r="S194">
        <v>0</v>
      </c>
      <c r="T194" t="s">
        <v>24</v>
      </c>
      <c r="U194">
        <v>7.4292452830188593E-2</v>
      </c>
      <c r="V194">
        <v>0</v>
      </c>
      <c r="W194">
        <v>0</v>
      </c>
      <c r="X194">
        <v>0</v>
      </c>
      <c r="Y194">
        <v>5.7347720519292697E-2</v>
      </c>
      <c r="Z194">
        <v>8.4204824108091506E-2</v>
      </c>
      <c r="AA194">
        <v>0</v>
      </c>
      <c r="AB194">
        <v>3.661699965596199E-2</v>
      </c>
      <c r="AC194">
        <v>6.0600001597777009E-4</v>
      </c>
      <c r="AD194">
        <v>1.140000022132881E-4</v>
      </c>
      <c r="AE194">
        <v>1.507999957539141E-3</v>
      </c>
      <c r="AF194">
        <f>0.16*X194 + 0.28*Y194 + 0.28*Z194 + 0.28*AA194</f>
        <v>3.9634712495667579E-2</v>
      </c>
      <c r="AG194">
        <f t="shared" si="6"/>
        <v>6.4825599381583754E-3</v>
      </c>
      <c r="AH194">
        <f>IF(T194="IT_Admin", 0.25, IF(AND(T194="HR", AA194&gt;0.6), 0.25, IF(AND(T194="General", Z194&gt;0.7), 0.2, 0.1)))</f>
        <v>0.25</v>
      </c>
      <c r="AI194">
        <f>IF(V194&gt;0.7, 0.1,
 IF(F194&gt;0.5, 0.08,
 IF(E194&gt;0.5, 0.05,
 0)))</f>
        <v>0</v>
      </c>
      <c r="AJ194">
        <f t="shared" si="7"/>
        <v>1.6428205705411134E-2</v>
      </c>
      <c r="AK194">
        <f t="shared" si="8"/>
        <v>2.0535257131763917E-2</v>
      </c>
      <c r="AL194" t="str">
        <f>IF(MAX(X194, Y194, Z194, AA194)&gt;0.9,
 "Critical",
 IF(AK194&lt;=0.2,"Very Low",
 IF(AK194&lt;=0.4,"Low",
 IF(AK194&lt;=0.6,"Medium",
 IF(AK194&lt;=0.8,"High","Critical")))))</f>
        <v>Very Low</v>
      </c>
      <c r="AM194" t="str">
        <f>IF(MAX(X194:AA194)&gt;0.9,"CRITICAL ALERT",
 IF(AK194&gt;0.8,"CRITICAL ALERT",
 IF(AK194&gt;0.6,"ALERT",
 IF(AK194&gt;=0.4,"REVIEW","NO ACTION"))))</f>
        <v>NO ACTION</v>
      </c>
      <c r="AN194" t="str">
        <f>IF(AM194="NO ACTION","",
 IF(_xlfn.TEXTJOIN(", ", TRUE,
  IF(X194&gt;0.7,"Login anomaly",""),
  IF(Y194&gt;0.7,"File anomaly",""),
  IF(Z194&gt;0.7,"Network anomaly",""),
  IF(AA194&gt;0.7,"USB anomaly","")
 )="",
 "General anomaly detected",
 _xlfn.TEXTJOIN(", ", TRUE,
  IF(X194&gt;0.7,"Login anomaly",""),
  IF(Y194&gt;0.7,"File anomaly",""),
  IF(Z194&gt;0.7,"Network anomaly",""),
  IF(AA194&gt;0.7,"USB anomaly","")
 )))</f>
        <v/>
      </c>
    </row>
    <row r="195" spans="1:40" x14ac:dyDescent="0.3">
      <c r="A195" t="s">
        <v>218</v>
      </c>
      <c r="B195">
        <v>0.134593572778827</v>
      </c>
      <c r="C195">
        <v>0.21915279922227901</v>
      </c>
      <c r="D195">
        <v>0.16355247572120299</v>
      </c>
      <c r="E195">
        <v>0</v>
      </c>
      <c r="F195">
        <v>0</v>
      </c>
      <c r="G195">
        <v>0.945945065141646</v>
      </c>
      <c r="H195">
        <v>7</v>
      </c>
      <c r="I195">
        <v>16</v>
      </c>
      <c r="J195">
        <v>0.18109823004627601</v>
      </c>
      <c r="K195">
        <v>2.0391517128874301E-2</v>
      </c>
      <c r="L195">
        <v>2.8723826797881401E-2</v>
      </c>
      <c r="M195">
        <v>6.9264069264069195E-2</v>
      </c>
      <c r="N195">
        <v>0.23082556310654101</v>
      </c>
      <c r="O195">
        <v>551</v>
      </c>
      <c r="P195">
        <v>0.17557519640852901</v>
      </c>
      <c r="Q195">
        <v>0.17570742312142701</v>
      </c>
      <c r="R195">
        <v>0</v>
      </c>
      <c r="S195">
        <v>0</v>
      </c>
      <c r="T195" t="s">
        <v>24</v>
      </c>
      <c r="U195">
        <v>1.76152822359664E-3</v>
      </c>
      <c r="V195">
        <v>0</v>
      </c>
      <c r="W195">
        <v>0</v>
      </c>
      <c r="X195">
        <v>4.9065742716360897E-2</v>
      </c>
      <c r="Y195">
        <v>0.11982922834015799</v>
      </c>
      <c r="Z195">
        <v>0.19767534308773399</v>
      </c>
      <c r="AA195">
        <v>0</v>
      </c>
      <c r="AB195">
        <v>2.1310999989509579E-2</v>
      </c>
      <c r="AC195">
        <v>1.7890999093651772E-2</v>
      </c>
      <c r="AD195">
        <v>8.5060000419616699E-3</v>
      </c>
      <c r="AE195">
        <v>2.403999911621213E-3</v>
      </c>
      <c r="AF195">
        <f>0.16*X195 + 0.28*Y195 + 0.28*Z195 + 0.28*AA195</f>
        <v>9.6751798834427499E-2</v>
      </c>
      <c r="AG195">
        <f t="shared" ref="AG195:AG258" si="9">0.16*AB195 + 0.28*AC195 + 0.28*AD195 + 0.28*AE195</f>
        <v>1.1474039731547238E-2</v>
      </c>
      <c r="AH195">
        <f>IF(T195="IT_Admin", 0.25, IF(AND(T195="HR", AA195&gt;0.6), 0.25, IF(AND(T195="General", Z195&gt;0.7), 0.2, 0.1)))</f>
        <v>0.25</v>
      </c>
      <c r="AI195">
        <f>IF(V195&gt;0.7, 0.1,
 IF(F195&gt;0.5, 0.08,
 IF(E195&gt;0.5, 0.05,
 0)))</f>
        <v>0</v>
      </c>
      <c r="AJ195">
        <f t="shared" ref="AJ195:AJ258" si="10">0.3*AF195+0.7*AG195</f>
        <v>3.7057367462411311E-2</v>
      </c>
      <c r="AK195">
        <f t="shared" ref="AK195:AK258" si="11">MIN(1,AJ195*(1+AH195+AI195))</f>
        <v>4.6321709328014139E-2</v>
      </c>
      <c r="AL195" t="str">
        <f>IF(MAX(X195, Y195, Z195, AA195)&gt;0.9,
 "Critical",
 IF(AK195&lt;=0.2,"Very Low",
 IF(AK195&lt;=0.4,"Low",
 IF(AK195&lt;=0.6,"Medium",
 IF(AK195&lt;=0.8,"High","Critical")))))</f>
        <v>Very Low</v>
      </c>
      <c r="AM195" t="str">
        <f>IF(MAX(X195:AA195)&gt;0.9,"CRITICAL ALERT",
 IF(AK195&gt;0.8,"CRITICAL ALERT",
 IF(AK195&gt;0.6,"ALERT",
 IF(AK195&gt;=0.4,"REVIEW","NO ACTION"))))</f>
        <v>NO ACTION</v>
      </c>
      <c r="AN195" t="str">
        <f>IF(AM195="NO ACTION","",
 IF(_xlfn.TEXTJOIN(", ", TRUE,
  IF(X195&gt;0.7,"Login anomaly",""),
  IF(Y195&gt;0.7,"File anomaly",""),
  IF(Z195&gt;0.7,"Network anomaly",""),
  IF(AA195&gt;0.7,"USB anomaly","")
 )="",
 "General anomaly detected",
 _xlfn.TEXTJOIN(", ", TRUE,
  IF(X195&gt;0.7,"Login anomaly",""),
  IF(Y195&gt;0.7,"File anomaly",""),
  IF(Z195&gt;0.7,"Network anomaly",""),
  IF(AA195&gt;0.7,"USB anomaly","")
 )))</f>
        <v/>
      </c>
    </row>
    <row r="196" spans="1:40" x14ac:dyDescent="0.3">
      <c r="A196" t="s">
        <v>219</v>
      </c>
      <c r="B196">
        <v>0.12892249527410199</v>
      </c>
      <c r="C196">
        <v>0</v>
      </c>
      <c r="D196">
        <v>0</v>
      </c>
      <c r="E196">
        <v>0</v>
      </c>
      <c r="F196">
        <v>1</v>
      </c>
      <c r="G196">
        <v>0.99368472298241795</v>
      </c>
      <c r="H196">
        <v>6</v>
      </c>
      <c r="I196">
        <v>6</v>
      </c>
      <c r="J196">
        <v>0.15633796097514399</v>
      </c>
      <c r="K196">
        <v>1.8760195758564399E-2</v>
      </c>
      <c r="L196">
        <v>3.06047911048286E-2</v>
      </c>
      <c r="M196">
        <v>5.4834054834054799E-3</v>
      </c>
      <c r="N196">
        <v>2.1163405624100299E-2</v>
      </c>
      <c r="O196">
        <v>670</v>
      </c>
      <c r="P196">
        <v>0.125666386083052</v>
      </c>
      <c r="Q196">
        <v>0.12581086293348201</v>
      </c>
      <c r="R196">
        <v>0</v>
      </c>
      <c r="S196">
        <v>0</v>
      </c>
      <c r="T196" t="s">
        <v>24</v>
      </c>
      <c r="U196">
        <v>1.9528301886792401E-2</v>
      </c>
      <c r="V196">
        <v>0</v>
      </c>
      <c r="W196">
        <v>0</v>
      </c>
      <c r="X196">
        <v>0.4</v>
      </c>
      <c r="Y196">
        <v>5.2919009434673203E-2</v>
      </c>
      <c r="Z196">
        <v>8.3865193899471793E-2</v>
      </c>
      <c r="AA196">
        <v>0</v>
      </c>
      <c r="AB196">
        <v>0.1191700026392937</v>
      </c>
      <c r="AC196">
        <v>1.049999991664663E-4</v>
      </c>
      <c r="AD196">
        <v>3.009999927598983E-4</v>
      </c>
      <c r="AE196">
        <v>4.8000001697801047E-5</v>
      </c>
      <c r="AF196">
        <f>0.16*X196 + 0.28*Y196 + 0.28*Z196 + 0.28*AA196</f>
        <v>0.10229957693356061</v>
      </c>
      <c r="AG196">
        <f t="shared" si="9"/>
        <v>1.9194320420501756E-2</v>
      </c>
      <c r="AH196">
        <f>IF(T196="IT_Admin", 0.25, IF(AND(T196="HR", AA196&gt;0.6), 0.25, IF(AND(T196="General", Z196&gt;0.7), 0.2, 0.1)))</f>
        <v>0.25</v>
      </c>
      <c r="AI196">
        <f>IF(V196&gt;0.7, 0.1,
 IF(F196&gt;0.5, 0.08,
 IF(E196&gt;0.5, 0.05,
 0)))</f>
        <v>0.08</v>
      </c>
      <c r="AJ196">
        <f t="shared" si="10"/>
        <v>4.4125897374419409E-2</v>
      </c>
      <c r="AK196">
        <f t="shared" si="11"/>
        <v>5.8687443507977818E-2</v>
      </c>
      <c r="AL196" t="str">
        <f>IF(MAX(X196, Y196, Z196, AA196)&gt;0.9,
 "Critical",
 IF(AK196&lt;=0.2,"Very Low",
 IF(AK196&lt;=0.4,"Low",
 IF(AK196&lt;=0.6,"Medium",
 IF(AK196&lt;=0.8,"High","Critical")))))</f>
        <v>Very Low</v>
      </c>
      <c r="AM196" t="str">
        <f>IF(MAX(X196:AA196)&gt;0.9,"CRITICAL ALERT",
 IF(AK196&gt;0.8,"CRITICAL ALERT",
 IF(AK196&gt;0.6,"ALERT",
 IF(AK196&gt;=0.4,"REVIEW","NO ACTION"))))</f>
        <v>NO ACTION</v>
      </c>
      <c r="AN196" t="str">
        <f>IF(AM196="NO ACTION","",
 IF(_xlfn.TEXTJOIN(", ", TRUE,
  IF(X196&gt;0.7,"Login anomaly",""),
  IF(Y196&gt;0.7,"File anomaly",""),
  IF(Z196&gt;0.7,"Network anomaly",""),
  IF(AA196&gt;0.7,"USB anomaly","")
 )="",
 "General anomaly detected",
 _xlfn.TEXTJOIN(", ", TRUE,
  IF(X196&gt;0.7,"Login anomaly",""),
  IF(Y196&gt;0.7,"File anomaly",""),
  IF(Z196&gt;0.7,"Network anomaly",""),
  IF(AA196&gt;0.7,"USB anomaly","")
 )))</f>
        <v/>
      </c>
    </row>
    <row r="197" spans="1:40" x14ac:dyDescent="0.3">
      <c r="A197" t="s">
        <v>220</v>
      </c>
      <c r="B197">
        <v>0.236672967863894</v>
      </c>
      <c r="C197">
        <v>0.66545025284088499</v>
      </c>
      <c r="D197">
        <v>0.362884777136743</v>
      </c>
      <c r="E197">
        <v>0</v>
      </c>
      <c r="F197">
        <v>0</v>
      </c>
      <c r="G197">
        <v>0.47629807346139902</v>
      </c>
      <c r="H197">
        <v>7</v>
      </c>
      <c r="I197">
        <v>14</v>
      </c>
      <c r="J197">
        <v>0.18210009064453</v>
      </c>
      <c r="K197">
        <v>8.9722675367047301E-3</v>
      </c>
      <c r="L197">
        <v>1.25690415724355E-2</v>
      </c>
      <c r="M197">
        <v>2.88600288600288E-4</v>
      </c>
      <c r="N197">
        <v>9.5648871159075195E-4</v>
      </c>
      <c r="O197">
        <v>547</v>
      </c>
      <c r="P197">
        <v>0.137871773288439</v>
      </c>
      <c r="Q197">
        <v>0.13801325432167999</v>
      </c>
      <c r="R197">
        <v>0</v>
      </c>
      <c r="S197">
        <v>0</v>
      </c>
      <c r="T197" t="s">
        <v>24</v>
      </c>
      <c r="U197">
        <v>9.3396226415094305E-2</v>
      </c>
      <c r="V197">
        <v>0</v>
      </c>
      <c r="W197">
        <v>0</v>
      </c>
      <c r="X197">
        <v>0.108865433141022</v>
      </c>
      <c r="Y197">
        <v>4.2991485528600999E-2</v>
      </c>
      <c r="Z197">
        <v>8.3105659457700196E-2</v>
      </c>
      <c r="AA197">
        <v>0</v>
      </c>
      <c r="AB197">
        <v>2.4485999718308449E-2</v>
      </c>
      <c r="AC197">
        <v>1.245000050403178E-3</v>
      </c>
      <c r="AD197">
        <v>5.4000000091036782E-5</v>
      </c>
      <c r="AE197">
        <v>9.9299997091293335E-3</v>
      </c>
      <c r="AF197">
        <f>0.16*X197 + 0.28*Y197 + 0.28*Z197 + 0.28*AA197</f>
        <v>5.2725669898727859E-2</v>
      </c>
      <c r="AG197">
        <f t="shared" si="9"/>
        <v>7.0618798876239449E-3</v>
      </c>
      <c r="AH197">
        <f>IF(T197="IT_Admin", 0.25, IF(AND(T197="HR", AA197&gt;0.6), 0.25, IF(AND(T197="General", Z197&gt;0.7), 0.2, 0.1)))</f>
        <v>0.25</v>
      </c>
      <c r="AI197">
        <f>IF(V197&gt;0.7, 0.1,
 IF(F197&gt;0.5, 0.08,
 IF(E197&gt;0.5, 0.05,
 0)))</f>
        <v>0</v>
      </c>
      <c r="AJ197">
        <f t="shared" si="10"/>
        <v>2.0761016890955119E-2</v>
      </c>
      <c r="AK197">
        <f t="shared" si="11"/>
        <v>2.5951271113693899E-2</v>
      </c>
      <c r="AL197" t="str">
        <f>IF(MAX(X197, Y197, Z197, AA197)&gt;0.9,
 "Critical",
 IF(AK197&lt;=0.2,"Very Low",
 IF(AK197&lt;=0.4,"Low",
 IF(AK197&lt;=0.6,"Medium",
 IF(AK197&lt;=0.8,"High","Critical")))))</f>
        <v>Very Low</v>
      </c>
      <c r="AM197" t="str">
        <f>IF(MAX(X197:AA197)&gt;0.9,"CRITICAL ALERT",
 IF(AK197&gt;0.8,"CRITICAL ALERT",
 IF(AK197&gt;0.6,"ALERT",
 IF(AK197&gt;=0.4,"REVIEW","NO ACTION"))))</f>
        <v>NO ACTION</v>
      </c>
      <c r="AN197" t="str">
        <f>IF(AM197="NO ACTION","",
 IF(_xlfn.TEXTJOIN(", ", TRUE,
  IF(X197&gt;0.7,"Login anomaly",""),
  IF(Y197&gt;0.7,"File anomaly",""),
  IF(Z197&gt;0.7,"Network anomaly",""),
  IF(AA197&gt;0.7,"USB anomaly","")
 )="",
 "General anomaly detected",
 _xlfn.TEXTJOIN(", ", TRUE,
  IF(X197&gt;0.7,"Login anomaly",""),
  IF(Y197&gt;0.7,"File anomaly",""),
  IF(Z197&gt;0.7,"Network anomaly",""),
  IF(AA197&gt;0.7,"USB anomaly","")
 )))</f>
        <v/>
      </c>
    </row>
    <row r="198" spans="1:40" x14ac:dyDescent="0.3">
      <c r="A198" t="s">
        <v>221</v>
      </c>
      <c r="B198">
        <v>0.12892249527410199</v>
      </c>
      <c r="C198">
        <v>0.28170094057448802</v>
      </c>
      <c r="D198">
        <v>7.5041536061111899E-2</v>
      </c>
      <c r="E198">
        <v>0</v>
      </c>
      <c r="F198">
        <v>0</v>
      </c>
      <c r="G198">
        <v>0.99367254595445098</v>
      </c>
      <c r="H198">
        <v>7</v>
      </c>
      <c r="I198">
        <v>8</v>
      </c>
      <c r="J198">
        <v>0.17217689995706301</v>
      </c>
      <c r="K198">
        <v>2.8548123980424101E-2</v>
      </c>
      <c r="L198">
        <v>4.22941261544676E-2</v>
      </c>
      <c r="M198">
        <v>5.1948051948051896E-3</v>
      </c>
      <c r="N198">
        <v>1.82076915889865E-2</v>
      </c>
      <c r="O198">
        <v>755</v>
      </c>
      <c r="P198">
        <v>0.141379068462401</v>
      </c>
      <c r="Q198">
        <v>0.14151968862863301</v>
      </c>
      <c r="R198">
        <v>0</v>
      </c>
      <c r="S198">
        <v>0</v>
      </c>
      <c r="T198" t="s">
        <v>24</v>
      </c>
      <c r="U198">
        <v>3.1281032770605698E-2</v>
      </c>
      <c r="V198">
        <v>0</v>
      </c>
      <c r="W198">
        <v>0</v>
      </c>
      <c r="X198">
        <v>2.25124608183335E-2</v>
      </c>
      <c r="Y198">
        <v>6.1044750545342398E-2</v>
      </c>
      <c r="Z198">
        <v>9.2110517713035703E-2</v>
      </c>
      <c r="AA198">
        <v>0</v>
      </c>
      <c r="AB198">
        <v>1.8168000504374501E-2</v>
      </c>
      <c r="AC198">
        <v>1.340000017080456E-4</v>
      </c>
      <c r="AD198">
        <v>1.400000019202707E-5</v>
      </c>
      <c r="AE198">
        <v>2.16299993917346E-3</v>
      </c>
      <c r="AF198">
        <f>0.16*X198 + 0.28*Y198 + 0.28*Z198 + 0.28*AA198</f>
        <v>4.6485468843279226E-2</v>
      </c>
      <c r="AG198">
        <f t="shared" si="9"/>
        <v>3.5539600642005092E-3</v>
      </c>
      <c r="AH198">
        <f>IF(T198="IT_Admin", 0.25, IF(AND(T198="HR", AA198&gt;0.6), 0.25, IF(AND(T198="General", Z198&gt;0.7), 0.2, 0.1)))</f>
        <v>0.25</v>
      </c>
      <c r="AI198">
        <f>IF(V198&gt;0.7, 0.1,
 IF(F198&gt;0.5, 0.08,
 IF(E198&gt;0.5, 0.05,
 0)))</f>
        <v>0</v>
      </c>
      <c r="AJ198">
        <f t="shared" si="10"/>
        <v>1.6433412697924123E-2</v>
      </c>
      <c r="AK198">
        <f t="shared" si="11"/>
        <v>2.0541765872405152E-2</v>
      </c>
      <c r="AL198" t="str">
        <f>IF(MAX(X198, Y198, Z198, AA198)&gt;0.9,
 "Critical",
 IF(AK198&lt;=0.2,"Very Low",
 IF(AK198&lt;=0.4,"Low",
 IF(AK198&lt;=0.6,"Medium",
 IF(AK198&lt;=0.8,"High","Critical")))))</f>
        <v>Very Low</v>
      </c>
      <c r="AM198" t="str">
        <f>IF(MAX(X198:AA198)&gt;0.9,"CRITICAL ALERT",
 IF(AK198&gt;0.8,"CRITICAL ALERT",
 IF(AK198&gt;0.6,"ALERT",
 IF(AK198&gt;=0.4,"REVIEW","NO ACTION"))))</f>
        <v>NO ACTION</v>
      </c>
      <c r="AN198" t="str">
        <f>IF(AM198="NO ACTION","",
 IF(_xlfn.TEXTJOIN(", ", TRUE,
  IF(X198&gt;0.7,"Login anomaly",""),
  IF(Y198&gt;0.7,"File anomaly",""),
  IF(Z198&gt;0.7,"Network anomaly",""),
  IF(AA198&gt;0.7,"USB anomaly","")
 )="",
 "General anomaly detected",
 _xlfn.TEXTJOIN(", ", TRUE,
  IF(X198&gt;0.7,"Login anomaly",""),
  IF(Y198&gt;0.7,"File anomaly",""),
  IF(Z198&gt;0.7,"Network anomaly",""),
  IF(AA198&gt;0.7,"USB anomaly","")
 )))</f>
        <v/>
      </c>
    </row>
    <row r="199" spans="1:40" x14ac:dyDescent="0.3">
      <c r="A199" t="s">
        <v>222</v>
      </c>
      <c r="B199">
        <v>0.30586011342155001</v>
      </c>
      <c r="C199">
        <v>0.67702016701072798</v>
      </c>
      <c r="D199">
        <v>0.55744536298853897</v>
      </c>
      <c r="E199">
        <v>0.50430504305043</v>
      </c>
      <c r="F199">
        <v>7.5030750307503002E-2</v>
      </c>
      <c r="G199">
        <v>0.33551469347771201</v>
      </c>
      <c r="H199">
        <v>0</v>
      </c>
      <c r="I199">
        <v>23</v>
      </c>
      <c r="J199">
        <v>0.15872334335193899</v>
      </c>
      <c r="K199">
        <v>4.8939641109298502E-3</v>
      </c>
      <c r="L199">
        <v>7.8640527485292107E-3</v>
      </c>
      <c r="M199">
        <v>1.1544011544011501E-3</v>
      </c>
      <c r="N199">
        <v>4.3885952649458E-3</v>
      </c>
      <c r="O199">
        <v>510</v>
      </c>
      <c r="P199">
        <v>0.11935325476992099</v>
      </c>
      <c r="Q199">
        <v>0.119499281180967</v>
      </c>
      <c r="R199">
        <v>0.234513274336283</v>
      </c>
      <c r="S199">
        <v>1</v>
      </c>
      <c r="T199" t="s">
        <v>24</v>
      </c>
      <c r="U199">
        <v>2.0377358490565999E-2</v>
      </c>
      <c r="V199">
        <v>0</v>
      </c>
      <c r="W199">
        <v>1.92552886803403E-2</v>
      </c>
      <c r="X199">
        <v>0.348537421934692</v>
      </c>
      <c r="Y199">
        <v>3.6993273624136201E-2</v>
      </c>
      <c r="Z199">
        <v>7.3367390967931101E-2</v>
      </c>
      <c r="AA199">
        <v>0.234513274336283</v>
      </c>
      <c r="AB199">
        <v>0.34451401233673101</v>
      </c>
      <c r="AC199">
        <v>4.7699999413453043E-4</v>
      </c>
      <c r="AD199">
        <v>3.9400000241585081E-4</v>
      </c>
      <c r="AE199">
        <v>6.4970999956130981E-2</v>
      </c>
      <c r="AF199">
        <f>0.16*X199 + 0.28*Y199 + 0.28*Z199 + 0.28*AA199</f>
        <v>0.15233069040948882</v>
      </c>
      <c r="AG199">
        <f t="shared" si="9"/>
        <v>7.3558001960627742E-2</v>
      </c>
      <c r="AH199">
        <f>IF(T199="IT_Admin", 0.25, IF(AND(T199="HR", AA199&gt;0.6), 0.25, IF(AND(T199="General", Z199&gt;0.7), 0.2, 0.1)))</f>
        <v>0.25</v>
      </c>
      <c r="AI199">
        <f>IF(V199&gt;0.7, 0.1,
 IF(F199&gt;0.5, 0.08,
 IF(E199&gt;0.5, 0.05,
 0)))</f>
        <v>0.05</v>
      </c>
      <c r="AJ199">
        <f t="shared" si="10"/>
        <v>9.7189808495286065E-2</v>
      </c>
      <c r="AK199">
        <f t="shared" si="11"/>
        <v>0.12634675104387189</v>
      </c>
      <c r="AL199" t="str">
        <f>IF(MAX(X199, Y199, Z199, AA199)&gt;0.9,
 "Critical",
 IF(AK199&lt;=0.2,"Very Low",
 IF(AK199&lt;=0.4,"Low",
 IF(AK199&lt;=0.6,"Medium",
 IF(AK199&lt;=0.8,"High","Critical")))))</f>
        <v>Very Low</v>
      </c>
      <c r="AM199" t="str">
        <f>IF(MAX(X199:AA199)&gt;0.9,"CRITICAL ALERT",
 IF(AK199&gt;0.8,"CRITICAL ALERT",
 IF(AK199&gt;0.6,"ALERT",
 IF(AK199&gt;=0.4,"REVIEW","NO ACTION"))))</f>
        <v>NO ACTION</v>
      </c>
      <c r="AN199" t="str">
        <f>IF(AM199="NO ACTION","",
 IF(_xlfn.TEXTJOIN(", ", TRUE,
  IF(X199&gt;0.7,"Login anomaly",""),
  IF(Y199&gt;0.7,"File anomaly",""),
  IF(Z199&gt;0.7,"Network anomaly",""),
  IF(AA199&gt;0.7,"USB anomaly","")
 )="",
 "General anomaly detected",
 _xlfn.TEXTJOIN(", ", TRUE,
  IF(X199&gt;0.7,"Login anomaly",""),
  IF(Y199&gt;0.7,"File anomaly",""),
  IF(Z199&gt;0.7,"Network anomaly",""),
  IF(AA199&gt;0.7,"USB anomaly","")
 )))</f>
        <v/>
      </c>
    </row>
    <row r="200" spans="1:40" x14ac:dyDescent="0.3">
      <c r="A200" t="s">
        <v>223</v>
      </c>
      <c r="B200">
        <v>0.12892249527410199</v>
      </c>
      <c r="C200">
        <v>0.18476582604220201</v>
      </c>
      <c r="D200">
        <v>0</v>
      </c>
      <c r="E200">
        <v>0</v>
      </c>
      <c r="F200">
        <v>0</v>
      </c>
      <c r="G200">
        <v>0.99368705133721602</v>
      </c>
      <c r="H200">
        <v>7</v>
      </c>
      <c r="I200">
        <v>7</v>
      </c>
      <c r="J200">
        <v>0.13749344019846299</v>
      </c>
      <c r="K200">
        <v>2.1207177814029299E-2</v>
      </c>
      <c r="L200">
        <v>3.9330251570868398E-2</v>
      </c>
      <c r="M200">
        <v>5.4834054834054799E-3</v>
      </c>
      <c r="N200">
        <v>2.4058987619777299E-2</v>
      </c>
      <c r="O200">
        <v>489</v>
      </c>
      <c r="P200">
        <v>0.112864758698092</v>
      </c>
      <c r="Q200">
        <v>0.113012377713103</v>
      </c>
      <c r="R200">
        <v>0</v>
      </c>
      <c r="S200">
        <v>0</v>
      </c>
      <c r="T200" t="s">
        <v>24</v>
      </c>
      <c r="U200">
        <v>2.2075471698113198E-2</v>
      </c>
      <c r="V200">
        <v>0</v>
      </c>
      <c r="W200">
        <v>0</v>
      </c>
      <c r="X200">
        <v>0</v>
      </c>
      <c r="Y200">
        <v>5.4381510111060197E-2</v>
      </c>
      <c r="Z200">
        <v>7.7342450266766102E-2</v>
      </c>
      <c r="AA200">
        <v>0</v>
      </c>
      <c r="AB200">
        <v>3.6857001483440399E-2</v>
      </c>
      <c r="AC200">
        <v>9.2000002041459084E-5</v>
      </c>
      <c r="AD200">
        <v>7.4099999619647861E-4</v>
      </c>
      <c r="AE200">
        <v>2.1800000686198469E-3</v>
      </c>
      <c r="AF200">
        <f>0.16*X200 + 0.28*Y200 + 0.28*Z200 + 0.28*AA200</f>
        <v>3.6882708905791366E-2</v>
      </c>
      <c r="AG200">
        <f t="shared" si="9"/>
        <v>6.740760256070644E-3</v>
      </c>
      <c r="AH200">
        <f>IF(T200="IT_Admin", 0.25, IF(AND(T200="HR", AA200&gt;0.6), 0.25, IF(AND(T200="General", Z200&gt;0.7), 0.2, 0.1)))</f>
        <v>0.25</v>
      </c>
      <c r="AI200">
        <f>IF(V200&gt;0.7, 0.1,
 IF(F200&gt;0.5, 0.08,
 IF(E200&gt;0.5, 0.05,
 0)))</f>
        <v>0</v>
      </c>
      <c r="AJ200">
        <f t="shared" si="10"/>
        <v>1.5783344850986859E-2</v>
      </c>
      <c r="AK200">
        <f t="shared" si="11"/>
        <v>1.9729181063733572E-2</v>
      </c>
      <c r="AL200" t="str">
        <f>IF(MAX(X200, Y200, Z200, AA200)&gt;0.9,
 "Critical",
 IF(AK200&lt;=0.2,"Very Low",
 IF(AK200&lt;=0.4,"Low",
 IF(AK200&lt;=0.6,"Medium",
 IF(AK200&lt;=0.8,"High","Critical")))))</f>
        <v>Very Low</v>
      </c>
      <c r="AM200" t="str">
        <f>IF(MAX(X200:AA200)&gt;0.9,"CRITICAL ALERT",
 IF(AK200&gt;0.8,"CRITICAL ALERT",
 IF(AK200&gt;0.6,"ALERT",
 IF(AK200&gt;=0.4,"REVIEW","NO ACTION"))))</f>
        <v>NO ACTION</v>
      </c>
      <c r="AN200" t="str">
        <f>IF(AM200="NO ACTION","",
 IF(_xlfn.TEXTJOIN(", ", TRUE,
  IF(X200&gt;0.7,"Login anomaly",""),
  IF(Y200&gt;0.7,"File anomaly",""),
  IF(Z200&gt;0.7,"Network anomaly",""),
  IF(AA200&gt;0.7,"USB anomaly","")
 )="",
 "General anomaly detected",
 _xlfn.TEXTJOIN(", ", TRUE,
  IF(X200&gt;0.7,"Login anomaly",""),
  IF(Y200&gt;0.7,"File anomaly",""),
  IF(Z200&gt;0.7,"Network anomaly",""),
  IF(AA200&gt;0.7,"USB anomaly","")
 )))</f>
        <v/>
      </c>
    </row>
    <row r="201" spans="1:40" x14ac:dyDescent="0.3">
      <c r="A201" t="s">
        <v>224</v>
      </c>
      <c r="B201">
        <v>0.12892249527410199</v>
      </c>
      <c r="C201">
        <v>0.36953165208440503</v>
      </c>
      <c r="D201">
        <v>0</v>
      </c>
      <c r="E201">
        <v>0</v>
      </c>
      <c r="F201">
        <v>0</v>
      </c>
      <c r="G201">
        <v>0.99370252017714</v>
      </c>
      <c r="H201">
        <v>8</v>
      </c>
      <c r="I201">
        <v>8</v>
      </c>
      <c r="J201">
        <v>0.22269929869758101</v>
      </c>
      <c r="K201">
        <v>1.6313213703099499E-2</v>
      </c>
      <c r="L201">
        <v>1.8691079077037799E-2</v>
      </c>
      <c r="M201">
        <v>7.5901875901875901E-2</v>
      </c>
      <c r="N201">
        <v>0.20574557287589501</v>
      </c>
      <c r="O201">
        <v>680</v>
      </c>
      <c r="P201">
        <v>0.20763187429854099</v>
      </c>
      <c r="Q201">
        <v>0.20775623268698001</v>
      </c>
      <c r="R201">
        <v>0</v>
      </c>
      <c r="S201">
        <v>0</v>
      </c>
      <c r="T201" t="s">
        <v>24</v>
      </c>
      <c r="U201">
        <v>1.28644939965694E-3</v>
      </c>
      <c r="V201">
        <v>0</v>
      </c>
      <c r="W201">
        <v>0</v>
      </c>
      <c r="X201">
        <v>0</v>
      </c>
      <c r="Y201">
        <v>0.115609071140803</v>
      </c>
      <c r="Z201">
        <v>0.20687735372948299</v>
      </c>
      <c r="AA201">
        <v>0</v>
      </c>
      <c r="AB201">
        <v>2.4625999853014949E-2</v>
      </c>
      <c r="AC201">
        <v>1.5341999940574169E-2</v>
      </c>
      <c r="AD201">
        <v>1.162699982523918E-2</v>
      </c>
      <c r="AE201">
        <v>1.1399999493733051E-3</v>
      </c>
      <c r="AF201">
        <f>0.16*X201 + 0.28*Y201 + 0.28*Z201 + 0.28*AA201</f>
        <v>9.0296198963680088E-2</v>
      </c>
      <c r="AG201">
        <f t="shared" si="9"/>
        <v>1.1810679896734656E-2</v>
      </c>
      <c r="AH201">
        <f>IF(T201="IT_Admin", 0.25, IF(AND(T201="HR", AA201&gt;0.6), 0.25, IF(AND(T201="General", Z201&gt;0.7), 0.2, 0.1)))</f>
        <v>0.25</v>
      </c>
      <c r="AI201">
        <f>IF(V201&gt;0.7, 0.1,
 IF(F201&gt;0.5, 0.08,
 IF(E201&gt;0.5, 0.05,
 0)))</f>
        <v>0</v>
      </c>
      <c r="AJ201">
        <f t="shared" si="10"/>
        <v>3.5356335616818287E-2</v>
      </c>
      <c r="AK201">
        <f t="shared" si="11"/>
        <v>4.4195419521022856E-2</v>
      </c>
      <c r="AL201" t="str">
        <f>IF(MAX(X201, Y201, Z201, AA201)&gt;0.9,
 "Critical",
 IF(AK201&lt;=0.2,"Very Low",
 IF(AK201&lt;=0.4,"Low",
 IF(AK201&lt;=0.6,"Medium",
 IF(AK201&lt;=0.8,"High","Critical")))))</f>
        <v>Very Low</v>
      </c>
      <c r="AM201" t="str">
        <f>IF(MAX(X201:AA201)&gt;0.9,"CRITICAL ALERT",
 IF(AK201&gt;0.8,"CRITICAL ALERT",
 IF(AK201&gt;0.6,"ALERT",
 IF(AK201&gt;=0.4,"REVIEW","NO ACTION"))))</f>
        <v>NO ACTION</v>
      </c>
      <c r="AN201" t="str">
        <f>IF(AM201="NO ACTION","",
 IF(_xlfn.TEXTJOIN(", ", TRUE,
  IF(X201&gt;0.7,"Login anomaly",""),
  IF(Y201&gt;0.7,"File anomaly",""),
  IF(Z201&gt;0.7,"Network anomaly",""),
  IF(AA201&gt;0.7,"USB anomaly","")
 )="",
 "General anomaly detected",
 _xlfn.TEXTJOIN(", ", TRUE,
  IF(X201&gt;0.7,"Login anomaly",""),
  IF(Y201&gt;0.7,"File anomaly",""),
  IF(Z201&gt;0.7,"Network anomaly",""),
  IF(AA201&gt;0.7,"USB anomaly","")
 )))</f>
        <v/>
      </c>
    </row>
    <row r="202" spans="1:40" x14ac:dyDescent="0.3">
      <c r="A202" t="s">
        <v>225</v>
      </c>
      <c r="B202">
        <v>0.12892249527410199</v>
      </c>
      <c r="C202">
        <v>0.18476582604220201</v>
      </c>
      <c r="D202">
        <v>0</v>
      </c>
      <c r="E202">
        <v>0</v>
      </c>
      <c r="F202">
        <v>0</v>
      </c>
      <c r="G202">
        <v>0.99366071684156798</v>
      </c>
      <c r="H202">
        <v>7</v>
      </c>
      <c r="I202">
        <v>7</v>
      </c>
      <c r="J202">
        <v>0.13329516721530399</v>
      </c>
      <c r="K202">
        <v>4.8939641109298502E-3</v>
      </c>
      <c r="L202">
        <v>9.3615661872452106E-3</v>
      </c>
      <c r="M202">
        <v>2.59740259740259E-3</v>
      </c>
      <c r="N202">
        <v>1.17546619154336E-2</v>
      </c>
      <c r="O202">
        <v>420</v>
      </c>
      <c r="P202">
        <v>0.101360830527497</v>
      </c>
      <c r="Q202">
        <v>0.10151127318629601</v>
      </c>
      <c r="R202">
        <v>0</v>
      </c>
      <c r="S202">
        <v>0</v>
      </c>
      <c r="T202" t="s">
        <v>24</v>
      </c>
      <c r="U202">
        <v>1.0188679245283E-2</v>
      </c>
      <c r="V202">
        <v>0</v>
      </c>
      <c r="W202">
        <v>0</v>
      </c>
      <c r="X202">
        <v>0</v>
      </c>
      <c r="Y202">
        <v>3.4866215111313603E-2</v>
      </c>
      <c r="Z202">
        <v>6.5518363082671699E-2</v>
      </c>
      <c r="AA202">
        <v>0</v>
      </c>
      <c r="AB202">
        <v>3.7014998495578773E-2</v>
      </c>
      <c r="AC202">
        <v>6.1099999584257603E-4</v>
      </c>
      <c r="AD202">
        <v>1.5739999944344161E-3</v>
      </c>
      <c r="AE202">
        <v>2.5009999517351389E-3</v>
      </c>
      <c r="AF202">
        <f>0.16*X202 + 0.28*Y202 + 0.28*Z202 + 0.28*AA202</f>
        <v>2.8107681894315888E-2</v>
      </c>
      <c r="AG202">
        <f t="shared" si="9"/>
        <v>7.2344797430560007E-3</v>
      </c>
      <c r="AH202">
        <f>IF(T202="IT_Admin", 0.25, IF(AND(T202="HR", AA202&gt;0.6), 0.25, IF(AND(T202="General", Z202&gt;0.7), 0.2, 0.1)))</f>
        <v>0.25</v>
      </c>
      <c r="AI202">
        <f>IF(V202&gt;0.7, 0.1,
 IF(F202&gt;0.5, 0.08,
 IF(E202&gt;0.5, 0.05,
 0)))</f>
        <v>0</v>
      </c>
      <c r="AJ202">
        <f t="shared" si="10"/>
        <v>1.3496440388433966E-2</v>
      </c>
      <c r="AK202">
        <f t="shared" si="11"/>
        <v>1.6870550485542458E-2</v>
      </c>
      <c r="AL202" t="str">
        <f>IF(MAX(X202, Y202, Z202, AA202)&gt;0.9,
 "Critical",
 IF(AK202&lt;=0.2,"Very Low",
 IF(AK202&lt;=0.4,"Low",
 IF(AK202&lt;=0.6,"Medium",
 IF(AK202&lt;=0.8,"High","Critical")))))</f>
        <v>Very Low</v>
      </c>
      <c r="AM202" t="str">
        <f>IF(MAX(X202:AA202)&gt;0.9,"CRITICAL ALERT",
 IF(AK202&gt;0.8,"CRITICAL ALERT",
 IF(AK202&gt;0.6,"ALERT",
 IF(AK202&gt;=0.4,"REVIEW","NO ACTION"))))</f>
        <v>NO ACTION</v>
      </c>
      <c r="AN202" t="str">
        <f>IF(AM202="NO ACTION","",
 IF(_xlfn.TEXTJOIN(", ", TRUE,
  IF(X202&gt;0.7,"Login anomaly",""),
  IF(Y202&gt;0.7,"File anomaly",""),
  IF(Z202&gt;0.7,"Network anomaly",""),
  IF(AA202&gt;0.7,"USB anomaly","")
 )="",
 "General anomaly detected",
 _xlfn.TEXTJOIN(", ", TRUE,
  IF(X202&gt;0.7,"Login anomaly",""),
  IF(Y202&gt;0.7,"File anomaly",""),
  IF(Z202&gt;0.7,"Network anomaly",""),
  IF(AA202&gt;0.7,"USB anomaly","")
 )))</f>
        <v/>
      </c>
    </row>
    <row r="203" spans="1:40" x14ac:dyDescent="0.3">
      <c r="A203" t="s">
        <v>226</v>
      </c>
      <c r="B203">
        <v>0.257088846880907</v>
      </c>
      <c r="C203">
        <v>0.58266065317694604</v>
      </c>
      <c r="D203">
        <v>0.35387248726917198</v>
      </c>
      <c r="E203">
        <v>0</v>
      </c>
      <c r="F203">
        <v>0</v>
      </c>
      <c r="G203">
        <v>0.426933584638788</v>
      </c>
      <c r="H203">
        <v>7</v>
      </c>
      <c r="I203">
        <v>16</v>
      </c>
      <c r="J203">
        <v>0.165545536949573</v>
      </c>
      <c r="K203">
        <v>5.7096247960848204E-3</v>
      </c>
      <c r="L203">
        <v>8.7971782401292699E-3</v>
      </c>
      <c r="M203">
        <v>8.6580086580086504E-4</v>
      </c>
      <c r="N203">
        <v>3.1559998754243299E-3</v>
      </c>
      <c r="O203">
        <v>534</v>
      </c>
      <c r="P203">
        <v>0.124579124579124</v>
      </c>
      <c r="Q203">
        <v>0.124723868298327</v>
      </c>
      <c r="R203">
        <v>0</v>
      </c>
      <c r="S203">
        <v>0</v>
      </c>
      <c r="T203" t="s">
        <v>24</v>
      </c>
      <c r="U203">
        <v>2.9716981132075399E-2</v>
      </c>
      <c r="V203">
        <v>0</v>
      </c>
      <c r="W203">
        <v>0</v>
      </c>
      <c r="X203">
        <v>0.106161746180751</v>
      </c>
      <c r="Y203">
        <v>3.84544964726065E-2</v>
      </c>
      <c r="Z203">
        <v>7.6009874697644406E-2</v>
      </c>
      <c r="AA203">
        <v>0</v>
      </c>
      <c r="AB203">
        <v>3.0824000015854839E-2</v>
      </c>
      <c r="AC203">
        <v>3.6000000545755029E-4</v>
      </c>
      <c r="AD203">
        <v>3.0799998785369098E-4</v>
      </c>
      <c r="AE203">
        <v>1.115700043737888E-2</v>
      </c>
      <c r="AF203">
        <f>0.16*X203 + 0.28*Y203 + 0.28*Z203 + 0.28*AA203</f>
        <v>4.9035903316590412E-2</v>
      </c>
      <c r="AG203">
        <f t="shared" si="9"/>
        <v>8.2428401231300092E-3</v>
      </c>
      <c r="AH203">
        <f>IF(T203="IT_Admin", 0.25, IF(AND(T203="HR", AA203&gt;0.6), 0.25, IF(AND(T203="General", Z203&gt;0.7), 0.2, 0.1)))</f>
        <v>0.25</v>
      </c>
      <c r="AI203">
        <f>IF(V203&gt;0.7, 0.1,
 IF(F203&gt;0.5, 0.08,
 IF(E203&gt;0.5, 0.05,
 0)))</f>
        <v>0</v>
      </c>
      <c r="AJ203">
        <f t="shared" si="10"/>
        <v>2.0480759081168129E-2</v>
      </c>
      <c r="AK203">
        <f t="shared" si="11"/>
        <v>2.5600948851460161E-2</v>
      </c>
      <c r="AL203" t="str">
        <f>IF(MAX(X203, Y203, Z203, AA203)&gt;0.9,
 "Critical",
 IF(AK203&lt;=0.2,"Very Low",
 IF(AK203&lt;=0.4,"Low",
 IF(AK203&lt;=0.6,"Medium",
 IF(AK203&lt;=0.8,"High","Critical")))))</f>
        <v>Very Low</v>
      </c>
      <c r="AM203" t="str">
        <f>IF(MAX(X203:AA203)&gt;0.9,"CRITICAL ALERT",
 IF(AK203&gt;0.8,"CRITICAL ALERT",
 IF(AK203&gt;0.6,"ALERT",
 IF(AK203&gt;=0.4,"REVIEW","NO ACTION"))))</f>
        <v>NO ACTION</v>
      </c>
      <c r="AN203" t="str">
        <f>IF(AM203="NO ACTION","",
 IF(_xlfn.TEXTJOIN(", ", TRUE,
  IF(X203&gt;0.7,"Login anomaly",""),
  IF(Y203&gt;0.7,"File anomaly",""),
  IF(Z203&gt;0.7,"Network anomaly",""),
  IF(AA203&gt;0.7,"USB anomaly","")
 )="",
 "General anomaly detected",
 _xlfn.TEXTJOIN(", ", TRUE,
  IF(X203&gt;0.7,"Login anomaly",""),
  IF(Y203&gt;0.7,"File anomaly",""),
  IF(Z203&gt;0.7,"Network anomaly",""),
  IF(AA203&gt;0.7,"USB anomaly","")
 )))</f>
        <v/>
      </c>
    </row>
    <row r="204" spans="1:40" x14ac:dyDescent="0.3">
      <c r="A204" t="s">
        <v>227</v>
      </c>
      <c r="B204">
        <v>0.28733459357277802</v>
      </c>
      <c r="C204">
        <v>0.67594304160727203</v>
      </c>
      <c r="D204">
        <v>0.41914612128686601</v>
      </c>
      <c r="E204">
        <v>0</v>
      </c>
      <c r="F204">
        <v>0</v>
      </c>
      <c r="G204">
        <v>0.36658592646373001</v>
      </c>
      <c r="H204">
        <v>7</v>
      </c>
      <c r="I204">
        <v>17</v>
      </c>
      <c r="J204">
        <v>0.16597490577739599</v>
      </c>
      <c r="K204">
        <v>7.34094616639478E-3</v>
      </c>
      <c r="L204">
        <v>1.12814396203068E-2</v>
      </c>
      <c r="M204">
        <v>3.7518037518037501E-3</v>
      </c>
      <c r="N204">
        <v>1.36406711033576E-2</v>
      </c>
      <c r="O204">
        <v>541</v>
      </c>
      <c r="P204">
        <v>0.126999158249158</v>
      </c>
      <c r="Q204">
        <v>0.12714330797012499</v>
      </c>
      <c r="R204">
        <v>0.37315634218289001</v>
      </c>
      <c r="S204">
        <v>1</v>
      </c>
      <c r="T204" t="s">
        <v>24</v>
      </c>
      <c r="U204">
        <v>1.0916442048517499E-2</v>
      </c>
      <c r="V204">
        <v>0</v>
      </c>
      <c r="W204">
        <v>0</v>
      </c>
      <c r="X204">
        <v>0.12574383638605899</v>
      </c>
      <c r="Y204">
        <v>4.2927902296639897E-2</v>
      </c>
      <c r="Z204">
        <v>8.1655763390837993E-2</v>
      </c>
      <c r="AA204">
        <v>0.37315634218289001</v>
      </c>
      <c r="AB204">
        <v>5.5516999214887619E-2</v>
      </c>
      <c r="AC204">
        <v>4.3499999446794391E-4</v>
      </c>
      <c r="AD204">
        <v>1.2399999832268799E-4</v>
      </c>
      <c r="AE204">
        <v>0.13921800255775449</v>
      </c>
      <c r="AF204">
        <f>0.16*X204 + 0.28*Y204 + 0.28*Z204 + 0.28*AA204</f>
        <v>0.15948621602547247</v>
      </c>
      <c r="AG204">
        <f t="shared" si="9"/>
        <v>4.8020280588534657E-2</v>
      </c>
      <c r="AH204">
        <f>IF(T204="IT_Admin", 0.25, IF(AND(T204="HR", AA204&gt;0.6), 0.25, IF(AND(T204="General", Z204&gt;0.7), 0.2, 0.1)))</f>
        <v>0.25</v>
      </c>
      <c r="AI204">
        <f>IF(V204&gt;0.7, 0.1,
 IF(F204&gt;0.5, 0.08,
 IF(E204&gt;0.5, 0.05,
 0)))</f>
        <v>0</v>
      </c>
      <c r="AJ204">
        <f t="shared" si="10"/>
        <v>8.1460061219615992E-2</v>
      </c>
      <c r="AK204">
        <f t="shared" si="11"/>
        <v>0.10182507652452</v>
      </c>
      <c r="AL204" t="str">
        <f>IF(MAX(X204, Y204, Z204, AA204)&gt;0.9,
 "Critical",
 IF(AK204&lt;=0.2,"Very Low",
 IF(AK204&lt;=0.4,"Low",
 IF(AK204&lt;=0.6,"Medium",
 IF(AK204&lt;=0.8,"High","Critical")))))</f>
        <v>Very Low</v>
      </c>
      <c r="AM204" t="str">
        <f>IF(MAX(X204:AA204)&gt;0.9,"CRITICAL ALERT",
 IF(AK204&gt;0.8,"CRITICAL ALERT",
 IF(AK204&gt;0.6,"ALERT",
 IF(AK204&gt;=0.4,"REVIEW","NO ACTION"))))</f>
        <v>NO ACTION</v>
      </c>
      <c r="AN204" t="str">
        <f>IF(AM204="NO ACTION","",
 IF(_xlfn.TEXTJOIN(", ", TRUE,
  IF(X204&gt;0.7,"Login anomaly",""),
  IF(Y204&gt;0.7,"File anomaly",""),
  IF(Z204&gt;0.7,"Network anomaly",""),
  IF(AA204&gt;0.7,"USB anomaly","")
 )="",
 "General anomaly detected",
 _xlfn.TEXTJOIN(", ", TRUE,
  IF(X204&gt;0.7,"Login anomaly",""),
  IF(Y204&gt;0.7,"File anomaly",""),
  IF(Z204&gt;0.7,"Network anomaly",""),
  IF(AA204&gt;0.7,"USB anomaly","")
 )))</f>
        <v/>
      </c>
    </row>
    <row r="205" spans="1:40" x14ac:dyDescent="0.3">
      <c r="A205" t="s">
        <v>228</v>
      </c>
      <c r="B205">
        <v>0.96446124763705099</v>
      </c>
      <c r="C205">
        <v>0.88767143431234297</v>
      </c>
      <c r="D205">
        <v>0.97686170535566197</v>
      </c>
      <c r="E205">
        <v>0</v>
      </c>
      <c r="F205">
        <v>0.386301369863013</v>
      </c>
      <c r="G205">
        <v>5.3859431604208396E-3</v>
      </c>
      <c r="H205">
        <v>0</v>
      </c>
      <c r="I205">
        <v>23</v>
      </c>
      <c r="J205">
        <v>9.5415295071799994E-2</v>
      </c>
      <c r="K205">
        <v>1.1419249592169599E-2</v>
      </c>
      <c r="L205">
        <v>3.0493959485734901E-2</v>
      </c>
      <c r="M205">
        <v>8.6580086580086504E-4</v>
      </c>
      <c r="N205">
        <v>5.4698750958102503E-3</v>
      </c>
      <c r="O205">
        <v>434</v>
      </c>
      <c r="P205">
        <v>7.54769921436588E-2</v>
      </c>
      <c r="Q205">
        <v>7.5633788000981805E-2</v>
      </c>
      <c r="R205">
        <v>0</v>
      </c>
      <c r="S205">
        <v>0</v>
      </c>
      <c r="T205" t="s">
        <v>24</v>
      </c>
      <c r="U205">
        <v>5.9433962264150902E-2</v>
      </c>
      <c r="V205">
        <v>0</v>
      </c>
      <c r="W205">
        <v>0</v>
      </c>
      <c r="X205">
        <v>0.44757905955190402</v>
      </c>
      <c r="Y205">
        <v>3.59710012859705E-2</v>
      </c>
      <c r="Z205">
        <v>4.74741453245194E-2</v>
      </c>
      <c r="AA205">
        <v>0</v>
      </c>
      <c r="AB205">
        <v>0.97278600931167603</v>
      </c>
      <c r="AC205">
        <v>2.9799999902024871E-4</v>
      </c>
      <c r="AD205">
        <v>3.3410000614821911E-3</v>
      </c>
      <c r="AE205">
        <v>1.967599987983704E-2</v>
      </c>
      <c r="AF205">
        <f>0.16*X205 + 0.28*Y205 + 0.28*Z205 + 0.28*AA205</f>
        <v>9.4977290579241827E-2</v>
      </c>
      <c r="AG205">
        <f t="shared" si="9"/>
        <v>0.16217396147316324</v>
      </c>
      <c r="AH205">
        <f>IF(T205="IT_Admin", 0.25, IF(AND(T205="HR", AA205&gt;0.6), 0.25, IF(AND(T205="General", Z205&gt;0.7), 0.2, 0.1)))</f>
        <v>0.25</v>
      </c>
      <c r="AI205">
        <f>IF(V205&gt;0.7, 0.1,
 IF(F205&gt;0.5, 0.08,
 IF(E205&gt;0.5, 0.05,
 0)))</f>
        <v>0</v>
      </c>
      <c r="AJ205">
        <f t="shared" si="10"/>
        <v>0.1420149602049868</v>
      </c>
      <c r="AK205">
        <f t="shared" si="11"/>
        <v>0.17751870025623351</v>
      </c>
      <c r="AL205" t="str">
        <f>IF(MAX(X205, Y205, Z205, AA205)&gt;0.9,
 "Critical",
 IF(AK205&lt;=0.2,"Very Low",
 IF(AK205&lt;=0.4,"Low",
 IF(AK205&lt;=0.6,"Medium",
 IF(AK205&lt;=0.8,"High","Critical")))))</f>
        <v>Very Low</v>
      </c>
      <c r="AM205" t="str">
        <f>IF(MAX(X205:AA205)&gt;0.9,"CRITICAL ALERT",
 IF(AK205&gt;0.8,"CRITICAL ALERT",
 IF(AK205&gt;0.6,"ALERT",
 IF(AK205&gt;=0.4,"REVIEW","NO ACTION"))))</f>
        <v>NO ACTION</v>
      </c>
      <c r="AN205" t="str">
        <f>IF(AM205="NO ACTION","",
 IF(_xlfn.TEXTJOIN(", ", TRUE,
  IF(X205&gt;0.7,"Login anomaly",""),
  IF(Y205&gt;0.7,"File anomaly",""),
  IF(Z205&gt;0.7,"Network anomaly",""),
  IF(AA205&gt;0.7,"USB anomaly","")
 )="",
 "General anomaly detected",
 _xlfn.TEXTJOIN(", ", TRUE,
  IF(X205&gt;0.7,"Login anomaly",""),
  IF(Y205&gt;0.7,"File anomaly",""),
  IF(Z205&gt;0.7,"Network anomaly",""),
  IF(AA205&gt;0.7,"USB anomaly","")
 )))</f>
        <v/>
      </c>
    </row>
    <row r="206" spans="1:40" x14ac:dyDescent="0.3">
      <c r="A206" t="s">
        <v>229</v>
      </c>
      <c r="B206">
        <v>0.12892249527410199</v>
      </c>
      <c r="C206">
        <v>0.454684597999507</v>
      </c>
      <c r="D206">
        <v>7.4902366299490403E-2</v>
      </c>
      <c r="E206">
        <v>0</v>
      </c>
      <c r="F206">
        <v>0</v>
      </c>
      <c r="G206">
        <v>0.99369154747062005</v>
      </c>
      <c r="H206">
        <v>8</v>
      </c>
      <c r="I206">
        <v>9</v>
      </c>
      <c r="J206">
        <v>0.127904203043747</v>
      </c>
      <c r="K206">
        <v>1.0603588907014599E-2</v>
      </c>
      <c r="L206">
        <v>2.1136715615245098E-2</v>
      </c>
      <c r="M206">
        <v>2.88600288600288E-4</v>
      </c>
      <c r="N206">
        <v>1.3610200505211601E-3</v>
      </c>
      <c r="O206">
        <v>535</v>
      </c>
      <c r="P206">
        <v>9.8730359147025798E-2</v>
      </c>
      <c r="Q206">
        <v>9.8881447456081906E-2</v>
      </c>
      <c r="R206">
        <v>0</v>
      </c>
      <c r="S206">
        <v>0</v>
      </c>
      <c r="T206" t="s">
        <v>24</v>
      </c>
      <c r="U206">
        <v>0.110377358490566</v>
      </c>
      <c r="V206">
        <v>0</v>
      </c>
      <c r="W206">
        <v>0</v>
      </c>
      <c r="X206">
        <v>2.2470709889847101E-2</v>
      </c>
      <c r="Y206">
        <v>3.6557504431528498E-2</v>
      </c>
      <c r="Z206">
        <v>5.97826235084239E-2</v>
      </c>
      <c r="AA206">
        <v>0</v>
      </c>
      <c r="AB206">
        <v>1.325900014489889E-2</v>
      </c>
      <c r="AC206">
        <v>2.019000006839633E-3</v>
      </c>
      <c r="AD206">
        <v>1.989000011235476E-3</v>
      </c>
      <c r="AE206">
        <v>2.2499999031424518E-3</v>
      </c>
      <c r="AF206">
        <f>0.16*X206 + 0.28*Y206 + 0.28*Z206 + 0.28*AA206</f>
        <v>3.0570549405562211E-2</v>
      </c>
      <c r="AG206">
        <f t="shared" si="9"/>
        <v>3.8736800011247396E-3</v>
      </c>
      <c r="AH206">
        <f>IF(T206="IT_Admin", 0.25, IF(AND(T206="HR", AA206&gt;0.6), 0.25, IF(AND(T206="General", Z206&gt;0.7), 0.2, 0.1)))</f>
        <v>0.25</v>
      </c>
      <c r="AI206">
        <f>IF(V206&gt;0.7, 0.1,
 IF(F206&gt;0.5, 0.08,
 IF(E206&gt;0.5, 0.05,
 0)))</f>
        <v>0</v>
      </c>
      <c r="AJ206">
        <f t="shared" si="10"/>
        <v>1.1882740822455981E-2</v>
      </c>
      <c r="AK206">
        <f t="shared" si="11"/>
        <v>1.4853426028069976E-2</v>
      </c>
      <c r="AL206" t="str">
        <f>IF(MAX(X206, Y206, Z206, AA206)&gt;0.9,
 "Critical",
 IF(AK206&lt;=0.2,"Very Low",
 IF(AK206&lt;=0.4,"Low",
 IF(AK206&lt;=0.6,"Medium",
 IF(AK206&lt;=0.8,"High","Critical")))))</f>
        <v>Very Low</v>
      </c>
      <c r="AM206" t="str">
        <f>IF(MAX(X206:AA206)&gt;0.9,"CRITICAL ALERT",
 IF(AK206&gt;0.8,"CRITICAL ALERT",
 IF(AK206&gt;0.6,"ALERT",
 IF(AK206&gt;=0.4,"REVIEW","NO ACTION"))))</f>
        <v>NO ACTION</v>
      </c>
      <c r="AN206" t="str">
        <f>IF(AM206="NO ACTION","",
 IF(_xlfn.TEXTJOIN(", ", TRUE,
  IF(X206&gt;0.7,"Login anomaly",""),
  IF(Y206&gt;0.7,"File anomaly",""),
  IF(Z206&gt;0.7,"Network anomaly",""),
  IF(AA206&gt;0.7,"USB anomaly","")
 )="",
 "General anomaly detected",
 _xlfn.TEXTJOIN(", ", TRUE,
  IF(X206&gt;0.7,"Login anomaly",""),
  IF(Y206&gt;0.7,"File anomaly",""),
  IF(Z206&gt;0.7,"Network anomaly",""),
  IF(AA206&gt;0.7,"USB anomaly","")
 )))</f>
        <v/>
      </c>
    </row>
    <row r="207" spans="1:40" x14ac:dyDescent="0.3">
      <c r="A207" t="s">
        <v>230</v>
      </c>
      <c r="B207">
        <v>0.12892249527410199</v>
      </c>
      <c r="C207">
        <v>0.18476582604220201</v>
      </c>
      <c r="D207">
        <v>0</v>
      </c>
      <c r="E207">
        <v>0</v>
      </c>
      <c r="F207">
        <v>0</v>
      </c>
      <c r="G207">
        <v>0.99365825467327495</v>
      </c>
      <c r="H207">
        <v>7</v>
      </c>
      <c r="I207">
        <v>7</v>
      </c>
      <c r="J207">
        <v>0.18687085539812001</v>
      </c>
      <c r="K207">
        <v>4.0783034257748704E-3</v>
      </c>
      <c r="L207">
        <v>5.5675301202828802E-3</v>
      </c>
      <c r="M207">
        <v>8.6580086580086504E-4</v>
      </c>
      <c r="N207">
        <v>2.7963027963027898E-3</v>
      </c>
      <c r="O207">
        <v>697</v>
      </c>
      <c r="P207">
        <v>0.13955527497194101</v>
      </c>
      <c r="Q207">
        <v>0.13969634278901699</v>
      </c>
      <c r="R207">
        <v>0</v>
      </c>
      <c r="S207">
        <v>0</v>
      </c>
      <c r="T207" t="s">
        <v>24</v>
      </c>
      <c r="U207">
        <v>2.1226415094339601E-2</v>
      </c>
      <c r="V207">
        <v>0</v>
      </c>
      <c r="W207">
        <v>0</v>
      </c>
      <c r="X207">
        <v>0</v>
      </c>
      <c r="Y207">
        <v>4.0996826978656302E-2</v>
      </c>
      <c r="Z207">
        <v>8.48516861016861E-2</v>
      </c>
      <c r="AA207">
        <v>0</v>
      </c>
      <c r="AB207">
        <v>3.6703001707792282E-2</v>
      </c>
      <c r="AC207">
        <v>5.4199999431148171E-4</v>
      </c>
      <c r="AD207">
        <v>7.3000002885237336E-5</v>
      </c>
      <c r="AE207">
        <v>1.816999982111156E-3</v>
      </c>
      <c r="AF207">
        <f>0.16*X207 + 0.28*Y207 + 0.28*Z207 + 0.28*AA207</f>
        <v>3.5237583662495874E-2</v>
      </c>
      <c r="AG207">
        <f t="shared" si="9"/>
        <v>6.5534402674529701E-3</v>
      </c>
      <c r="AH207">
        <f>IF(T207="IT_Admin", 0.25, IF(AND(T207="HR", AA207&gt;0.6), 0.25, IF(AND(T207="General", Z207&gt;0.7), 0.2, 0.1)))</f>
        <v>0.25</v>
      </c>
      <c r="AI207">
        <f>IF(V207&gt;0.7, 0.1,
 IF(F207&gt;0.5, 0.08,
 IF(E207&gt;0.5, 0.05,
 0)))</f>
        <v>0</v>
      </c>
      <c r="AJ207">
        <f t="shared" si="10"/>
        <v>1.515868328596584E-2</v>
      </c>
      <c r="AK207">
        <f t="shared" si="11"/>
        <v>1.8948354107457301E-2</v>
      </c>
      <c r="AL207" t="str">
        <f>IF(MAX(X207, Y207, Z207, AA207)&gt;0.9,
 "Critical",
 IF(AK207&lt;=0.2,"Very Low",
 IF(AK207&lt;=0.4,"Low",
 IF(AK207&lt;=0.6,"Medium",
 IF(AK207&lt;=0.8,"High","Critical")))))</f>
        <v>Very Low</v>
      </c>
      <c r="AM207" t="str">
        <f>IF(MAX(X207:AA207)&gt;0.9,"CRITICAL ALERT",
 IF(AK207&gt;0.8,"CRITICAL ALERT",
 IF(AK207&gt;0.6,"ALERT",
 IF(AK207&gt;=0.4,"REVIEW","NO ACTION"))))</f>
        <v>NO ACTION</v>
      </c>
      <c r="AN207" t="str">
        <f>IF(AM207="NO ACTION","",
 IF(_xlfn.TEXTJOIN(", ", TRUE,
  IF(X207&gt;0.7,"Login anomaly",""),
  IF(Y207&gt;0.7,"File anomaly",""),
  IF(Z207&gt;0.7,"Network anomaly",""),
  IF(AA207&gt;0.7,"USB anomaly","")
 )="",
 "General anomaly detected",
 _xlfn.TEXTJOIN(", ", TRUE,
  IF(X207&gt;0.7,"Login anomaly",""),
  IF(Y207&gt;0.7,"File anomaly",""),
  IF(Z207&gt;0.7,"Network anomaly",""),
  IF(AA207&gt;0.7,"USB anomaly","")
 )))</f>
        <v/>
      </c>
    </row>
    <row r="208" spans="1:40" x14ac:dyDescent="0.3">
      <c r="A208" t="s">
        <v>231</v>
      </c>
      <c r="B208">
        <v>0.29300567107750403</v>
      </c>
      <c r="C208">
        <v>0.81828254152195001</v>
      </c>
      <c r="D208">
        <v>0.491943495557434</v>
      </c>
      <c r="E208">
        <v>0.23391812865497</v>
      </c>
      <c r="F208">
        <v>5.1347881899871599E-2</v>
      </c>
      <c r="G208">
        <v>0.35671325106564</v>
      </c>
      <c r="H208">
        <v>0</v>
      </c>
      <c r="I208">
        <v>23</v>
      </c>
      <c r="J208">
        <v>0.142836696722484</v>
      </c>
      <c r="K208">
        <v>8.9722675367047301E-3</v>
      </c>
      <c r="L208">
        <v>1.6018298396081598E-2</v>
      </c>
      <c r="M208">
        <v>6.9264069264069203E-3</v>
      </c>
      <c r="N208">
        <v>2.9255350629141801E-2</v>
      </c>
      <c r="O208">
        <v>548</v>
      </c>
      <c r="P208">
        <v>0.112233445566778</v>
      </c>
      <c r="Q208">
        <v>0.112381219537851</v>
      </c>
      <c r="R208">
        <v>0.96460176991150404</v>
      </c>
      <c r="S208">
        <v>1</v>
      </c>
      <c r="T208" t="s">
        <v>24</v>
      </c>
      <c r="U208">
        <v>7.4716981132075403E-3</v>
      </c>
      <c r="V208">
        <v>0</v>
      </c>
      <c r="W208">
        <v>2.68412810840153E-2</v>
      </c>
      <c r="X208">
        <v>0.23829764002366999</v>
      </c>
      <c r="Y208">
        <v>4.5353093731280297E-2</v>
      </c>
      <c r="Z208">
        <v>7.9042207591724103E-2</v>
      </c>
      <c r="AA208">
        <v>0.96460176991150404</v>
      </c>
      <c r="AB208">
        <v>0.2037799954414368</v>
      </c>
      <c r="AC208">
        <v>4.1300000157207251E-4</v>
      </c>
      <c r="AD208">
        <v>3.2600000849924982E-4</v>
      </c>
      <c r="AE208">
        <v>0.92170798778533936</v>
      </c>
      <c r="AF208">
        <f>0.16*X208 + 0.28*Y208 + 0.28*Z208 + 0.28*AA208</f>
        <v>0.34304680234944956</v>
      </c>
      <c r="AG208">
        <f t="shared" si="9"/>
        <v>0.29088995585334487</v>
      </c>
      <c r="AH208">
        <f>IF(T208="IT_Admin", 0.25, IF(AND(T208="HR", AA208&gt;0.6), 0.25, IF(AND(T208="General", Z208&gt;0.7), 0.2, 0.1)))</f>
        <v>0.25</v>
      </c>
      <c r="AI208">
        <f>IF(V208&gt;0.7, 0.1,
 IF(F208&gt;0.5, 0.08,
 IF(E208&gt;0.5, 0.05,
 0)))</f>
        <v>0</v>
      </c>
      <c r="AJ208">
        <f t="shared" si="10"/>
        <v>0.30653700980217624</v>
      </c>
      <c r="AK208">
        <f t="shared" si="11"/>
        <v>0.3831712622527203</v>
      </c>
      <c r="AL208" t="str">
        <f>IF(MAX(X208, Y208, Z208, AA208)&gt;0.9,
 "Critical",
 IF(AK208&lt;=0.2,"Very Low",
 IF(AK208&lt;=0.4,"Low",
 IF(AK208&lt;=0.6,"Medium",
 IF(AK208&lt;=0.8,"High","Critical")))))</f>
        <v>Critical</v>
      </c>
      <c r="AM208" t="str">
        <f>IF(MAX(X208:AA208)&gt;0.9,"CRITICAL ALERT",
 IF(AK208&gt;0.8,"CRITICAL ALERT",
 IF(AK208&gt;0.6,"ALERT",
 IF(AK208&gt;=0.4,"REVIEW","NO ACTION"))))</f>
        <v>CRITICAL ALERT</v>
      </c>
      <c r="AN208" t="str">
        <f>IF(AM208="NO ACTION","",
 IF(_xlfn.TEXTJOIN(", ", TRUE,
  IF(X208&gt;0.7,"Login anomaly",""),
  IF(Y208&gt;0.7,"File anomaly",""),
  IF(Z208&gt;0.7,"Network anomaly",""),
  IF(AA208&gt;0.7,"USB anomaly","")
 )="",
 "General anomaly detected",
 _xlfn.TEXTJOIN(", ", TRUE,
  IF(X208&gt;0.7,"Login anomaly",""),
  IF(Y208&gt;0.7,"File anomaly",""),
  IF(Z208&gt;0.7,"Network anomaly",""),
  IF(AA208&gt;0.7,"USB anomaly","")
 )))</f>
        <v>USB anomaly</v>
      </c>
    </row>
    <row r="209" spans="1:40" x14ac:dyDescent="0.3">
      <c r="A209" t="s">
        <v>232</v>
      </c>
      <c r="B209">
        <v>0.15463137996219201</v>
      </c>
      <c r="C209">
        <v>0.39145302127585302</v>
      </c>
      <c r="D209">
        <v>0.267882201557054</v>
      </c>
      <c r="E209">
        <v>0</v>
      </c>
      <c r="F209">
        <v>0</v>
      </c>
      <c r="G209">
        <v>0.80515195055641398</v>
      </c>
      <c r="H209">
        <v>7</v>
      </c>
      <c r="I209">
        <v>15</v>
      </c>
      <c r="J209">
        <v>0.134726396641381</v>
      </c>
      <c r="K209">
        <v>6.5252854812398002E-3</v>
      </c>
      <c r="L209">
        <v>1.2349722520607599E-2</v>
      </c>
      <c r="M209">
        <v>1.1544011544011501E-3</v>
      </c>
      <c r="N209">
        <v>5.1688933979496003E-3</v>
      </c>
      <c r="O209">
        <v>502</v>
      </c>
      <c r="P209">
        <v>0.102413019079685</v>
      </c>
      <c r="Q209">
        <v>0.10256320347838201</v>
      </c>
      <c r="R209">
        <v>0.38348082595870198</v>
      </c>
      <c r="S209">
        <v>1</v>
      </c>
      <c r="T209" t="s">
        <v>24</v>
      </c>
      <c r="U209">
        <v>2.7169811320754699E-2</v>
      </c>
      <c r="V209">
        <v>0</v>
      </c>
      <c r="W209">
        <v>0</v>
      </c>
      <c r="X209">
        <v>8.0364660467116406E-2</v>
      </c>
      <c r="Y209">
        <v>3.4670808607965002E-2</v>
      </c>
      <c r="Z209">
        <v>6.3515368806991296E-2</v>
      </c>
      <c r="AA209">
        <v>0.38348082595870198</v>
      </c>
      <c r="AB209">
        <v>1.6629999736323951E-3</v>
      </c>
      <c r="AC209">
        <v>3.3999999868683522E-4</v>
      </c>
      <c r="AD209">
        <v>1.2839999981224539E-3</v>
      </c>
      <c r="AE209">
        <v>0.1491129994392395</v>
      </c>
      <c r="AF209">
        <f>0.16*X209 + 0.28*Y209 + 0.28*Z209 + 0.28*AA209</f>
        <v>0.14772510661936294</v>
      </c>
      <c r="AG209">
        <f t="shared" si="9"/>
        <v>4.2472439837874847E-2</v>
      </c>
      <c r="AH209">
        <f>IF(T209="IT_Admin", 0.25, IF(AND(T209="HR", AA209&gt;0.6), 0.25, IF(AND(T209="General", Z209&gt;0.7), 0.2, 0.1)))</f>
        <v>0.25</v>
      </c>
      <c r="AI209">
        <f>IF(V209&gt;0.7, 0.1,
 IF(F209&gt;0.5, 0.08,
 IF(E209&gt;0.5, 0.05,
 0)))</f>
        <v>0</v>
      </c>
      <c r="AJ209">
        <f t="shared" si="10"/>
        <v>7.4048239872321273E-2</v>
      </c>
      <c r="AK209">
        <f t="shared" si="11"/>
        <v>9.2560299840401594E-2</v>
      </c>
      <c r="AL209" t="str">
        <f>IF(MAX(X209, Y209, Z209, AA209)&gt;0.9,
 "Critical",
 IF(AK209&lt;=0.2,"Very Low",
 IF(AK209&lt;=0.4,"Low",
 IF(AK209&lt;=0.6,"Medium",
 IF(AK209&lt;=0.8,"High","Critical")))))</f>
        <v>Very Low</v>
      </c>
      <c r="AM209" t="str">
        <f>IF(MAX(X209:AA209)&gt;0.9,"CRITICAL ALERT",
 IF(AK209&gt;0.8,"CRITICAL ALERT",
 IF(AK209&gt;0.6,"ALERT",
 IF(AK209&gt;=0.4,"REVIEW","NO ACTION"))))</f>
        <v>NO ACTION</v>
      </c>
      <c r="AN209" t="str">
        <f>IF(AM209="NO ACTION","",
 IF(_xlfn.TEXTJOIN(", ", TRUE,
  IF(X209&gt;0.7,"Login anomaly",""),
  IF(Y209&gt;0.7,"File anomaly",""),
  IF(Z209&gt;0.7,"Network anomaly",""),
  IF(AA209&gt;0.7,"USB anomaly","")
 )="",
 "General anomaly detected",
 _xlfn.TEXTJOIN(", ", TRUE,
  IF(X209&gt;0.7,"Login anomaly",""),
  IF(Y209&gt;0.7,"File anomaly",""),
  IF(Z209&gt;0.7,"Network anomaly",""),
  IF(AA209&gt;0.7,"USB anomaly","")
 )))</f>
        <v/>
      </c>
    </row>
    <row r="210" spans="1:40" x14ac:dyDescent="0.3">
      <c r="A210" t="s">
        <v>233</v>
      </c>
      <c r="B210">
        <v>0.25784499054820398</v>
      </c>
      <c r="C210">
        <v>0.61866924550865798</v>
      </c>
      <c r="D210">
        <v>0.49668443381003102</v>
      </c>
      <c r="E210">
        <v>0.39844509232264302</v>
      </c>
      <c r="F210">
        <v>5.10204081632653E-2</v>
      </c>
      <c r="G210">
        <v>0.42528605635572098</v>
      </c>
      <c r="H210">
        <v>0</v>
      </c>
      <c r="I210">
        <v>23</v>
      </c>
      <c r="J210">
        <v>0.15190114975430499</v>
      </c>
      <c r="K210">
        <v>8.1566068515497494E-3</v>
      </c>
      <c r="L210">
        <v>1.36944829926305E-2</v>
      </c>
      <c r="M210">
        <v>1.44300144300144E-3</v>
      </c>
      <c r="N210">
        <v>5.7317338596736501E-3</v>
      </c>
      <c r="O210">
        <v>556</v>
      </c>
      <c r="P210">
        <v>0.11588103254769901</v>
      </c>
      <c r="Q210">
        <v>0.116027911217083</v>
      </c>
      <c r="R210">
        <v>6.6371681415929196E-2</v>
      </c>
      <c r="S210">
        <v>1</v>
      </c>
      <c r="T210" t="s">
        <v>24</v>
      </c>
      <c r="U210">
        <v>2.83018867924528E-2</v>
      </c>
      <c r="V210">
        <v>0</v>
      </c>
      <c r="W210">
        <v>2.2801000095185799E-2</v>
      </c>
      <c r="X210">
        <v>0.288947021105108</v>
      </c>
      <c r="Y210">
        <v>3.8946991605078501E-2</v>
      </c>
      <c r="Z210">
        <v>7.1821313072488999E-2</v>
      </c>
      <c r="AA210">
        <v>6.6371681415929196E-2</v>
      </c>
      <c r="AB210">
        <v>0.2444159984588623</v>
      </c>
      <c r="AC210">
        <v>2.680000034160912E-4</v>
      </c>
      <c r="AD210">
        <v>4.6300000394694513E-4</v>
      </c>
      <c r="AE210">
        <v>5.7854000478982932E-2</v>
      </c>
      <c r="AF210">
        <f>0.16*X210 + 0.28*Y210 + 0.28*Z210 + 0.28*AA210</f>
        <v>9.5830719482996374E-2</v>
      </c>
      <c r="AG210">
        <f t="shared" si="9"/>
        <v>5.5510359889594844E-2</v>
      </c>
      <c r="AH210">
        <f>IF(T210="IT_Admin", 0.25, IF(AND(T210="HR", AA210&gt;0.6), 0.25, IF(AND(T210="General", Z210&gt;0.7), 0.2, 0.1)))</f>
        <v>0.25</v>
      </c>
      <c r="AI210">
        <f>IF(V210&gt;0.7, 0.1,
 IF(F210&gt;0.5, 0.08,
 IF(E210&gt;0.5, 0.05,
 0)))</f>
        <v>0</v>
      </c>
      <c r="AJ210">
        <f t="shared" si="10"/>
        <v>6.7606467767615308E-2</v>
      </c>
      <c r="AK210">
        <f t="shared" si="11"/>
        <v>8.4508084709519135E-2</v>
      </c>
      <c r="AL210" t="str">
        <f>IF(MAX(X210, Y210, Z210, AA210)&gt;0.9,
 "Critical",
 IF(AK210&lt;=0.2,"Very Low",
 IF(AK210&lt;=0.4,"Low",
 IF(AK210&lt;=0.6,"Medium",
 IF(AK210&lt;=0.8,"High","Critical")))))</f>
        <v>Very Low</v>
      </c>
      <c r="AM210" t="str">
        <f>IF(MAX(X210:AA210)&gt;0.9,"CRITICAL ALERT",
 IF(AK210&gt;0.8,"CRITICAL ALERT",
 IF(AK210&gt;0.6,"ALERT",
 IF(AK210&gt;=0.4,"REVIEW","NO ACTION"))))</f>
        <v>NO ACTION</v>
      </c>
      <c r="AN210" t="str">
        <f>IF(AM210="NO ACTION","",
 IF(_xlfn.TEXTJOIN(", ", TRUE,
  IF(X210&gt;0.7,"Login anomaly",""),
  IF(Y210&gt;0.7,"File anomaly",""),
  IF(Z210&gt;0.7,"Network anomaly",""),
  IF(AA210&gt;0.7,"USB anomaly","")
 )="",
 "General anomaly detected",
 _xlfn.TEXTJOIN(", ", TRUE,
  IF(X210&gt;0.7,"Login anomaly",""),
  IF(Y210&gt;0.7,"File anomaly",""),
  IF(Z210&gt;0.7,"Network anomaly",""),
  IF(AA210&gt;0.7,"USB anomaly","")
 )))</f>
        <v/>
      </c>
    </row>
    <row r="211" spans="1:40" x14ac:dyDescent="0.3">
      <c r="A211" t="s">
        <v>234</v>
      </c>
      <c r="B211">
        <v>0</v>
      </c>
      <c r="C211">
        <v>0.46191456510550599</v>
      </c>
      <c r="D211">
        <v>8.6630065995389305E-2</v>
      </c>
      <c r="E211">
        <v>0</v>
      </c>
      <c r="F211">
        <v>0</v>
      </c>
      <c r="G211">
        <v>0.64672011544317898</v>
      </c>
      <c r="H211">
        <v>8</v>
      </c>
      <c r="I211">
        <v>9</v>
      </c>
      <c r="J211" s="1">
        <v>4.7707647535899998E-5</v>
      </c>
      <c r="K211">
        <v>0</v>
      </c>
      <c r="L211">
        <v>0</v>
      </c>
      <c r="M211">
        <v>0</v>
      </c>
      <c r="N211">
        <v>0</v>
      </c>
      <c r="O211">
        <v>5</v>
      </c>
      <c r="P211" s="1">
        <v>3.5072951739618402E-5</v>
      </c>
      <c r="Q211">
        <v>2.1038605841719501E-4</v>
      </c>
      <c r="R211">
        <v>0</v>
      </c>
      <c r="S211">
        <v>0</v>
      </c>
      <c r="T211" t="s">
        <v>49</v>
      </c>
      <c r="U211">
        <v>0</v>
      </c>
      <c r="V211">
        <v>0</v>
      </c>
      <c r="W211">
        <v>0</v>
      </c>
      <c r="X211">
        <v>2.59890197986168E-2</v>
      </c>
      <c r="Y211" s="1">
        <v>9.5415295071799992E-6</v>
      </c>
      <c r="Z211" s="1">
        <v>2.1043771043771001E-5</v>
      </c>
      <c r="AA211">
        <v>0</v>
      </c>
      <c r="AB211">
        <v>3.6364000290632248E-2</v>
      </c>
      <c r="AC211">
        <v>1.971000107005239E-3</v>
      </c>
      <c r="AD211">
        <v>1.7870999872684479E-2</v>
      </c>
      <c r="AE211">
        <v>4.0910001844167709E-3</v>
      </c>
      <c r="AF211">
        <f>0.16*X211 + 0.28*Y211 + 0.28*Z211 + 0.28*AA211</f>
        <v>4.1668070519329543E-3</v>
      </c>
      <c r="AG211">
        <f t="shared" si="9"/>
        <v>1.2519480092450977E-2</v>
      </c>
      <c r="AH211">
        <f>IF(T211="IT_Admin", 0.25, IF(AND(T211="HR", AA211&gt;0.6), 0.25, IF(AND(T211="General", Z211&gt;0.7), 0.2, 0.1)))</f>
        <v>0.1</v>
      </c>
      <c r="AI211">
        <f>IF(V211&gt;0.7, 0.1,
 IF(F211&gt;0.5, 0.08,
 IF(E211&gt;0.5, 0.05,
 0)))</f>
        <v>0</v>
      </c>
      <c r="AJ211">
        <f t="shared" si="10"/>
        <v>1.0013678180295568E-2</v>
      </c>
      <c r="AK211">
        <f t="shared" si="11"/>
        <v>1.1015045998325127E-2</v>
      </c>
      <c r="AL211" t="str">
        <f>IF(MAX(X211, Y211, Z211, AA211)&gt;0.9,
 "Critical",
 IF(AK211&lt;=0.2,"Very Low",
 IF(AK211&lt;=0.4,"Low",
 IF(AK211&lt;=0.6,"Medium",
 IF(AK211&lt;=0.8,"High","Critical")))))</f>
        <v>Very Low</v>
      </c>
      <c r="AM211" t="str">
        <f>IF(MAX(X211:AA211)&gt;0.9,"CRITICAL ALERT",
 IF(AK211&gt;0.8,"CRITICAL ALERT",
 IF(AK211&gt;0.6,"ALERT",
 IF(AK211&gt;=0.4,"REVIEW","NO ACTION"))))</f>
        <v>NO ACTION</v>
      </c>
      <c r="AN211" t="str">
        <f>IF(AM211="NO ACTION","",
 IF(_xlfn.TEXTJOIN(", ", TRUE,
  IF(X211&gt;0.7,"Login anomaly",""),
  IF(Y211&gt;0.7,"File anomaly",""),
  IF(Z211&gt;0.7,"Network anomaly",""),
  IF(AA211&gt;0.7,"USB anomaly","")
 )="",
 "General anomaly detected",
 _xlfn.TEXTJOIN(", ", TRUE,
  IF(X211&gt;0.7,"Login anomaly",""),
  IF(Y211&gt;0.7,"File anomaly",""),
  IF(Z211&gt;0.7,"Network anomaly",""),
  IF(AA211&gt;0.7,"USB anomaly","")
 )))</f>
        <v/>
      </c>
    </row>
    <row r="212" spans="1:40" x14ac:dyDescent="0.3">
      <c r="A212" t="s">
        <v>235</v>
      </c>
      <c r="B212">
        <v>0.27826086956521701</v>
      </c>
      <c r="C212">
        <v>0.96277976380909902</v>
      </c>
      <c r="D212">
        <v>0.35122630063293397</v>
      </c>
      <c r="E212">
        <v>0</v>
      </c>
      <c r="F212">
        <v>0</v>
      </c>
      <c r="G212">
        <v>0.38331562538813102</v>
      </c>
      <c r="H212">
        <v>9</v>
      </c>
      <c r="I212">
        <v>16</v>
      </c>
      <c r="J212">
        <v>0.108153236963885</v>
      </c>
      <c r="K212">
        <v>4.0783034257748704E-3</v>
      </c>
      <c r="L212">
        <v>9.6108508502418394E-3</v>
      </c>
      <c r="M212">
        <v>1.7316017316017301E-3</v>
      </c>
      <c r="N212">
        <v>9.6541369428693301E-3</v>
      </c>
      <c r="O212">
        <v>463</v>
      </c>
      <c r="P212">
        <v>8.21057800224467E-2</v>
      </c>
      <c r="Q212">
        <v>8.2260948841123394E-2</v>
      </c>
      <c r="R212">
        <v>0</v>
      </c>
      <c r="S212">
        <v>0</v>
      </c>
      <c r="T212" t="s">
        <v>24</v>
      </c>
      <c r="U212">
        <v>1.21293800539083E-2</v>
      </c>
      <c r="V212">
        <v>0</v>
      </c>
      <c r="W212">
        <v>0</v>
      </c>
      <c r="X212">
        <v>0.10536789018988001</v>
      </c>
      <c r="Y212">
        <v>2.9332313900758699E-2</v>
      </c>
      <c r="Z212">
        <v>5.3125122790615702E-2</v>
      </c>
      <c r="AA212">
        <v>0</v>
      </c>
      <c r="AB212">
        <v>9.0531997382640839E-2</v>
      </c>
      <c r="AC212">
        <v>6.399999838322401E-4</v>
      </c>
      <c r="AD212">
        <v>3.0380000825971361E-3</v>
      </c>
      <c r="AE212">
        <v>9.4529995694756508E-3</v>
      </c>
      <c r="AF212">
        <f>0.16*X212 + 0.28*Y212 + 0.28*Z212 + 0.28*AA212</f>
        <v>3.9946944703965634E-2</v>
      </c>
      <c r="AG212">
        <f t="shared" si="9"/>
        <v>1.8161799479275941E-2</v>
      </c>
      <c r="AH212">
        <f>IF(T212="IT_Admin", 0.25, IF(AND(T212="HR", AA212&gt;0.6), 0.25, IF(AND(T212="General", Z212&gt;0.7), 0.2, 0.1)))</f>
        <v>0.25</v>
      </c>
      <c r="AI212">
        <f>IF(V212&gt;0.7, 0.1,
 IF(F212&gt;0.5, 0.08,
 IF(E212&gt;0.5, 0.05,
 0)))</f>
        <v>0</v>
      </c>
      <c r="AJ212">
        <f t="shared" si="10"/>
        <v>2.4697343046682849E-2</v>
      </c>
      <c r="AK212">
        <f t="shared" si="11"/>
        <v>3.0871678808353561E-2</v>
      </c>
      <c r="AL212" t="str">
        <f>IF(MAX(X212, Y212, Z212, AA212)&gt;0.9,
 "Critical",
 IF(AK212&lt;=0.2,"Very Low",
 IF(AK212&lt;=0.4,"Low",
 IF(AK212&lt;=0.6,"Medium",
 IF(AK212&lt;=0.8,"High","Critical")))))</f>
        <v>Very Low</v>
      </c>
      <c r="AM212" t="str">
        <f>IF(MAX(X212:AA212)&gt;0.9,"CRITICAL ALERT",
 IF(AK212&gt;0.8,"CRITICAL ALERT",
 IF(AK212&gt;0.6,"ALERT",
 IF(AK212&gt;=0.4,"REVIEW","NO ACTION"))))</f>
        <v>NO ACTION</v>
      </c>
      <c r="AN212" t="str">
        <f>IF(AM212="NO ACTION","",
 IF(_xlfn.TEXTJOIN(", ", TRUE,
  IF(X212&gt;0.7,"Login anomaly",""),
  IF(Y212&gt;0.7,"File anomaly",""),
  IF(Z212&gt;0.7,"Network anomaly",""),
  IF(AA212&gt;0.7,"USB anomaly","")
 )="",
 "General anomaly detected",
 _xlfn.TEXTJOIN(", ", TRUE,
  IF(X212&gt;0.7,"Login anomaly",""),
  IF(Y212&gt;0.7,"File anomaly",""),
  IF(Z212&gt;0.7,"Network anomaly",""),
  IF(AA212&gt;0.7,"USB anomaly","")
 )))</f>
        <v/>
      </c>
    </row>
    <row r="213" spans="1:40" x14ac:dyDescent="0.3">
      <c r="A213" t="s">
        <v>236</v>
      </c>
      <c r="B213">
        <v>0.27410207939508502</v>
      </c>
      <c r="C213">
        <v>0.632106954937247</v>
      </c>
      <c r="D213">
        <v>0.39728921583414001</v>
      </c>
      <c r="E213">
        <v>0</v>
      </c>
      <c r="F213">
        <v>0</v>
      </c>
      <c r="G213">
        <v>0.39133535492842603</v>
      </c>
      <c r="H213">
        <v>7</v>
      </c>
      <c r="I213">
        <v>17</v>
      </c>
      <c r="J213">
        <v>0.14641477028767699</v>
      </c>
      <c r="K213">
        <v>8.1566068515497503E-4</v>
      </c>
      <c r="L213">
        <v>1.42068009965839E-3</v>
      </c>
      <c r="M213">
        <v>8.6580086580086504E-4</v>
      </c>
      <c r="N213">
        <v>3.5676966711449399E-3</v>
      </c>
      <c r="O213">
        <v>470</v>
      </c>
      <c r="P213">
        <v>0.10841049382716</v>
      </c>
      <c r="Q213">
        <v>0.108559206143272</v>
      </c>
      <c r="R213">
        <v>0.76106194690265405</v>
      </c>
      <c r="S213">
        <v>1</v>
      </c>
      <c r="T213" t="s">
        <v>24</v>
      </c>
      <c r="U213">
        <v>4.2452830188679201E-3</v>
      </c>
      <c r="V213">
        <v>0</v>
      </c>
      <c r="W213">
        <v>0</v>
      </c>
      <c r="X213">
        <v>0.11918676475024199</v>
      </c>
      <c r="Y213">
        <v>3.10636031087081E-2</v>
      </c>
      <c r="Z213">
        <v>6.6473374964754195E-2</v>
      </c>
      <c r="AA213">
        <v>0.76106194690265405</v>
      </c>
      <c r="AB213">
        <v>4.5400999486446381E-2</v>
      </c>
      <c r="AC213">
        <v>9.590000263415277E-4</v>
      </c>
      <c r="AD213">
        <v>8.6600001668557525E-4</v>
      </c>
      <c r="AE213">
        <v>0.56885802745819092</v>
      </c>
      <c r="AF213">
        <f>0.16*X213 + 0.28*Y213 + 0.28*Z213 + 0.28*AA213</f>
        <v>0.25947758135335131</v>
      </c>
      <c r="AG213">
        <f t="shared" si="9"/>
        <v>0.16705540761817247</v>
      </c>
      <c r="AH213">
        <f>IF(T213="IT_Admin", 0.25, IF(AND(T213="HR", AA213&gt;0.6), 0.25, IF(AND(T213="General", Z213&gt;0.7), 0.2, 0.1)))</f>
        <v>0.25</v>
      </c>
      <c r="AI213">
        <f>IF(V213&gt;0.7, 0.1,
 IF(F213&gt;0.5, 0.08,
 IF(E213&gt;0.5, 0.05,
 0)))</f>
        <v>0</v>
      </c>
      <c r="AJ213">
        <f t="shared" si="10"/>
        <v>0.19478205973872612</v>
      </c>
      <c r="AK213">
        <f t="shared" si="11"/>
        <v>0.24347757467340764</v>
      </c>
      <c r="AL213" t="str">
        <f>IF(MAX(X213, Y213, Z213, AA213)&gt;0.9,
 "Critical",
 IF(AK213&lt;=0.2,"Very Low",
 IF(AK213&lt;=0.4,"Low",
 IF(AK213&lt;=0.6,"Medium",
 IF(AK213&lt;=0.8,"High","Critical")))))</f>
        <v>Low</v>
      </c>
      <c r="AM213" t="str">
        <f>IF(MAX(X213:AA213)&gt;0.9,"CRITICAL ALERT",
 IF(AK213&gt;0.8,"CRITICAL ALERT",
 IF(AK213&gt;0.6,"ALERT",
 IF(AK213&gt;=0.4,"REVIEW","NO ACTION"))))</f>
        <v>NO ACTION</v>
      </c>
      <c r="AN213" t="str">
        <f>IF(AM213="NO ACTION","",
 IF(_xlfn.TEXTJOIN(", ", TRUE,
  IF(X213&gt;0.7,"Login anomaly",""),
  IF(Y213&gt;0.7,"File anomaly",""),
  IF(Z213&gt;0.7,"Network anomaly",""),
  IF(AA213&gt;0.7,"USB anomaly","")
 )="",
 "General anomaly detected",
 _xlfn.TEXTJOIN(", ", TRUE,
  IF(X213&gt;0.7,"Login anomaly",""),
  IF(Y213&gt;0.7,"File anomaly",""),
  IF(Z213&gt;0.7,"Network anomaly",""),
  IF(AA213&gt;0.7,"USB anomaly","")
 )))</f>
        <v/>
      </c>
    </row>
    <row r="214" spans="1:40" x14ac:dyDescent="0.3">
      <c r="A214" t="s">
        <v>237</v>
      </c>
      <c r="B214">
        <v>0.12892249527410199</v>
      </c>
      <c r="C214">
        <v>0.26938321883834099</v>
      </c>
      <c r="D214">
        <v>7.4866899962459793E-2</v>
      </c>
      <c r="E214">
        <v>0</v>
      </c>
      <c r="F214">
        <v>0</v>
      </c>
      <c r="G214">
        <v>0.99364944974535996</v>
      </c>
      <c r="H214">
        <v>7</v>
      </c>
      <c r="I214">
        <v>8</v>
      </c>
      <c r="J214">
        <v>0.11435523114355201</v>
      </c>
      <c r="K214">
        <v>3.0995106035889002E-2</v>
      </c>
      <c r="L214">
        <v>6.9089293839007401E-2</v>
      </c>
      <c r="M214">
        <v>3.4632034632034602E-3</v>
      </c>
      <c r="N214">
        <v>1.8263279878600401E-2</v>
      </c>
      <c r="O214">
        <v>464</v>
      </c>
      <c r="P214">
        <v>9.9081088664422001E-2</v>
      </c>
      <c r="Q214">
        <v>9.9232090886777202E-2</v>
      </c>
      <c r="R214">
        <v>0</v>
      </c>
      <c r="S214">
        <v>0</v>
      </c>
      <c r="T214" t="s">
        <v>24</v>
      </c>
      <c r="U214">
        <v>4.9637155297532598E-2</v>
      </c>
      <c r="V214">
        <v>0</v>
      </c>
      <c r="W214">
        <v>0</v>
      </c>
      <c r="X214">
        <v>2.24600699887379E-2</v>
      </c>
      <c r="Y214">
        <v>6.2894677111794306E-2</v>
      </c>
      <c r="Z214">
        <v>6.6753965150093297E-2</v>
      </c>
      <c r="AA214">
        <v>0</v>
      </c>
      <c r="AB214">
        <v>1.915200054645538E-2</v>
      </c>
      <c r="AC214">
        <v>4.2299999040551478E-4</v>
      </c>
      <c r="AD214">
        <v>1.643000054173172E-3</v>
      </c>
      <c r="AE214">
        <v>2.6090000756084919E-3</v>
      </c>
      <c r="AF214">
        <f>0.16*X214 + 0.28*Y214 + 0.28*Z214 + 0.28*AA214</f>
        <v>3.9895231031526597E-2</v>
      </c>
      <c r="AG214">
        <f t="shared" si="9"/>
        <v>4.3733201210852711E-3</v>
      </c>
      <c r="AH214">
        <f>IF(T214="IT_Admin", 0.25, IF(AND(T214="HR", AA214&gt;0.6), 0.25, IF(AND(T214="General", Z214&gt;0.7), 0.2, 0.1)))</f>
        <v>0.25</v>
      </c>
      <c r="AI214">
        <f>IF(V214&gt;0.7, 0.1,
 IF(F214&gt;0.5, 0.08,
 IF(E214&gt;0.5, 0.05,
 0)))</f>
        <v>0</v>
      </c>
      <c r="AJ214">
        <f t="shared" si="10"/>
        <v>1.5029893394217668E-2</v>
      </c>
      <c r="AK214">
        <f t="shared" si="11"/>
        <v>1.8787366742772087E-2</v>
      </c>
      <c r="AL214" t="str">
        <f>IF(MAX(X214, Y214, Z214, AA214)&gt;0.9,
 "Critical",
 IF(AK214&lt;=0.2,"Very Low",
 IF(AK214&lt;=0.4,"Low",
 IF(AK214&lt;=0.6,"Medium",
 IF(AK214&lt;=0.8,"High","Critical")))))</f>
        <v>Very Low</v>
      </c>
      <c r="AM214" t="str">
        <f>IF(MAX(X214:AA214)&gt;0.9,"CRITICAL ALERT",
 IF(AK214&gt;0.8,"CRITICAL ALERT",
 IF(AK214&gt;0.6,"ALERT",
 IF(AK214&gt;=0.4,"REVIEW","NO ACTION"))))</f>
        <v>NO ACTION</v>
      </c>
      <c r="AN214" t="str">
        <f>IF(AM214="NO ACTION","",
 IF(_xlfn.TEXTJOIN(", ", TRUE,
  IF(X214&gt;0.7,"Login anomaly",""),
  IF(Y214&gt;0.7,"File anomaly",""),
  IF(Z214&gt;0.7,"Network anomaly",""),
  IF(AA214&gt;0.7,"USB anomaly","")
 )="",
 "General anomaly detected",
 _xlfn.TEXTJOIN(", ", TRUE,
  IF(X214&gt;0.7,"Login anomaly",""),
  IF(Y214&gt;0.7,"File anomaly",""),
  IF(Z214&gt;0.7,"Network anomaly",""),
  IF(AA214&gt;0.7,"USB anomaly","")
 )))</f>
        <v/>
      </c>
    </row>
    <row r="215" spans="1:40" x14ac:dyDescent="0.3">
      <c r="A215" t="s">
        <v>238</v>
      </c>
      <c r="B215">
        <v>0.22835538752362899</v>
      </c>
      <c r="C215">
        <v>0.72690765771866594</v>
      </c>
      <c r="D215">
        <v>0.34264709939836102</v>
      </c>
      <c r="E215">
        <v>0</v>
      </c>
      <c r="F215">
        <v>0</v>
      </c>
      <c r="G215">
        <v>0.49875844145981002</v>
      </c>
      <c r="H215">
        <v>8</v>
      </c>
      <c r="I215">
        <v>14</v>
      </c>
      <c r="J215">
        <v>0.170268594055627</v>
      </c>
      <c r="K215">
        <v>1.4681892332789499E-2</v>
      </c>
      <c r="L215">
        <v>2.19947037700889E-2</v>
      </c>
      <c r="M215">
        <v>2.0202020202020202E-3</v>
      </c>
      <c r="N215">
        <v>7.1600165052879E-3</v>
      </c>
      <c r="O215">
        <v>594</v>
      </c>
      <c r="P215">
        <v>0.13247053872053799</v>
      </c>
      <c r="Q215">
        <v>0.132613345488972</v>
      </c>
      <c r="R215">
        <v>0</v>
      </c>
      <c r="S215">
        <v>0</v>
      </c>
      <c r="T215" t="s">
        <v>24</v>
      </c>
      <c r="U215">
        <v>3.8207547169811298E-2</v>
      </c>
      <c r="V215">
        <v>0</v>
      </c>
      <c r="W215">
        <v>0</v>
      </c>
      <c r="X215">
        <v>0.102794129819508</v>
      </c>
      <c r="Y215">
        <v>4.7199075647756203E-2</v>
      </c>
      <c r="Z215">
        <v>8.2346329834438403E-2</v>
      </c>
      <c r="AA215">
        <v>0</v>
      </c>
      <c r="AB215">
        <v>2.916200086474419E-2</v>
      </c>
      <c r="AC215">
        <v>8.800000068731606E-5</v>
      </c>
      <c r="AD215">
        <v>9.9999997473787516E-5</v>
      </c>
      <c r="AE215">
        <v>9.1570001095533371E-3</v>
      </c>
      <c r="AF215">
        <f>0.16*X215 + 0.28*Y215 + 0.28*Z215 + 0.28*AA215</f>
        <v>5.2719774306135773E-2</v>
      </c>
      <c r="AG215">
        <f t="shared" si="9"/>
        <v>7.2825201685191143E-3</v>
      </c>
      <c r="AH215">
        <f>IF(T215="IT_Admin", 0.25, IF(AND(T215="HR", AA215&gt;0.6), 0.25, IF(AND(T215="General", Z215&gt;0.7), 0.2, 0.1)))</f>
        <v>0.25</v>
      </c>
      <c r="AI215">
        <f>IF(V215&gt;0.7, 0.1,
 IF(F215&gt;0.5, 0.08,
 IF(E215&gt;0.5, 0.05,
 0)))</f>
        <v>0</v>
      </c>
      <c r="AJ215">
        <f t="shared" si="10"/>
        <v>2.091369640980411E-2</v>
      </c>
      <c r="AK215">
        <f t="shared" si="11"/>
        <v>2.6142120512255139E-2</v>
      </c>
      <c r="AL215" t="str">
        <f>IF(MAX(X215, Y215, Z215, AA215)&gt;0.9,
 "Critical",
 IF(AK215&lt;=0.2,"Very Low",
 IF(AK215&lt;=0.4,"Low",
 IF(AK215&lt;=0.6,"Medium",
 IF(AK215&lt;=0.8,"High","Critical")))))</f>
        <v>Very Low</v>
      </c>
      <c r="AM215" t="str">
        <f>IF(MAX(X215:AA215)&gt;0.9,"CRITICAL ALERT",
 IF(AK215&gt;0.8,"CRITICAL ALERT",
 IF(AK215&gt;0.6,"ALERT",
 IF(AK215&gt;=0.4,"REVIEW","NO ACTION"))))</f>
        <v>NO ACTION</v>
      </c>
      <c r="AN215" t="str">
        <f>IF(AM215="NO ACTION","",
 IF(_xlfn.TEXTJOIN(", ", TRUE,
  IF(X215&gt;0.7,"Login anomaly",""),
  IF(Y215&gt;0.7,"File anomaly",""),
  IF(Z215&gt;0.7,"Network anomaly",""),
  IF(AA215&gt;0.7,"USB anomaly","")
 )="",
 "General anomaly detected",
 _xlfn.TEXTJOIN(", ", TRUE,
  IF(X215&gt;0.7,"Login anomaly",""),
  IF(Y215&gt;0.7,"File anomaly",""),
  IF(Z215&gt;0.7,"Network anomaly",""),
  IF(AA215&gt;0.7,"USB anomaly","")
 )))</f>
        <v/>
      </c>
    </row>
    <row r="216" spans="1:40" x14ac:dyDescent="0.3">
      <c r="A216" t="s">
        <v>239</v>
      </c>
      <c r="B216">
        <v>0.12892249527410199</v>
      </c>
      <c r="C216">
        <v>0.18476582604220201</v>
      </c>
      <c r="D216">
        <v>0</v>
      </c>
      <c r="E216">
        <v>0</v>
      </c>
      <c r="F216">
        <v>0</v>
      </c>
      <c r="G216">
        <v>0.99366465095829604</v>
      </c>
      <c r="H216">
        <v>7</v>
      </c>
      <c r="I216">
        <v>7</v>
      </c>
      <c r="J216">
        <v>0.12485091360144999</v>
      </c>
      <c r="K216">
        <v>8.1566068515497494E-3</v>
      </c>
      <c r="L216">
        <v>1.6655875767924801E-2</v>
      </c>
      <c r="M216">
        <v>2.8860028860028799E-3</v>
      </c>
      <c r="N216">
        <v>1.39424098234166E-2</v>
      </c>
      <c r="O216">
        <v>413</v>
      </c>
      <c r="P216">
        <v>9.6696127946127905E-2</v>
      </c>
      <c r="Q216">
        <v>9.6847715558048997E-2</v>
      </c>
      <c r="R216">
        <v>0</v>
      </c>
      <c r="S216">
        <v>0</v>
      </c>
      <c r="T216" t="s">
        <v>24</v>
      </c>
      <c r="U216">
        <v>1.54373927958833E-2</v>
      </c>
      <c r="V216">
        <v>0</v>
      </c>
      <c r="W216">
        <v>0</v>
      </c>
      <c r="X216">
        <v>0</v>
      </c>
      <c r="Y216">
        <v>3.7480843551277399E-2</v>
      </c>
      <c r="Z216">
        <v>6.3594640697043403E-2</v>
      </c>
      <c r="AA216">
        <v>0</v>
      </c>
      <c r="AB216">
        <v>3.6972001194953918E-2</v>
      </c>
      <c r="AC216">
        <v>3.6599999293684959E-4</v>
      </c>
      <c r="AD216">
        <v>1.8939999863505359E-3</v>
      </c>
      <c r="AE216">
        <v>2.410999964922667E-3</v>
      </c>
      <c r="AF216">
        <f>0.16*X216 + 0.28*Y216 + 0.28*Z216 + 0.28*AA216</f>
        <v>2.8301135589529826E-2</v>
      </c>
      <c r="AG216">
        <f t="shared" si="9"/>
        <v>7.2234001755714415E-3</v>
      </c>
      <c r="AH216">
        <f>IF(T216="IT_Admin", 0.25, IF(AND(T216="HR", AA216&gt;0.6), 0.25, IF(AND(T216="General", Z216&gt;0.7), 0.2, 0.1)))</f>
        <v>0.25</v>
      </c>
      <c r="AI216">
        <f>IF(V216&gt;0.7, 0.1,
 IF(F216&gt;0.5, 0.08,
 IF(E216&gt;0.5, 0.05,
 0)))</f>
        <v>0</v>
      </c>
      <c r="AJ216">
        <f t="shared" si="10"/>
        <v>1.3546720799758957E-2</v>
      </c>
      <c r="AK216">
        <f t="shared" si="11"/>
        <v>1.6933400999698697E-2</v>
      </c>
      <c r="AL216" t="str">
        <f>IF(MAX(X216, Y216, Z216, AA216)&gt;0.9,
 "Critical",
 IF(AK216&lt;=0.2,"Very Low",
 IF(AK216&lt;=0.4,"Low",
 IF(AK216&lt;=0.6,"Medium",
 IF(AK216&lt;=0.8,"High","Critical")))))</f>
        <v>Very Low</v>
      </c>
      <c r="AM216" t="str">
        <f>IF(MAX(X216:AA216)&gt;0.9,"CRITICAL ALERT",
 IF(AK216&gt;0.8,"CRITICAL ALERT",
 IF(AK216&gt;0.6,"ALERT",
 IF(AK216&gt;=0.4,"REVIEW","NO ACTION"))))</f>
        <v>NO ACTION</v>
      </c>
      <c r="AN216" t="str">
        <f>IF(AM216="NO ACTION","",
 IF(_xlfn.TEXTJOIN(", ", TRUE,
  IF(X216&gt;0.7,"Login anomaly",""),
  IF(Y216&gt;0.7,"File anomaly",""),
  IF(Z216&gt;0.7,"Network anomaly",""),
  IF(AA216&gt;0.7,"USB anomaly","")
 )="",
 "General anomaly detected",
 _xlfn.TEXTJOIN(", ", TRUE,
  IF(X216&gt;0.7,"Login anomaly",""),
  IF(Y216&gt;0.7,"File anomaly",""),
  IF(Z216&gt;0.7,"Network anomaly",""),
  IF(AA216&gt;0.7,"USB anomaly","")
 )))</f>
        <v/>
      </c>
    </row>
    <row r="217" spans="1:40" x14ac:dyDescent="0.3">
      <c r="A217" t="s">
        <v>240</v>
      </c>
      <c r="B217">
        <v>0.91266540642722105</v>
      </c>
      <c r="C217">
        <v>0.90678910572490401</v>
      </c>
      <c r="D217">
        <v>0.98741293084594395</v>
      </c>
      <c r="E217">
        <v>0</v>
      </c>
      <c r="F217">
        <v>0.389578163771712</v>
      </c>
      <c r="G217">
        <v>1.42425417837537E-2</v>
      </c>
      <c r="H217">
        <v>0</v>
      </c>
      <c r="I217">
        <v>23</v>
      </c>
      <c r="J217">
        <v>7.3183531320070605E-2</v>
      </c>
      <c r="K217">
        <v>1.6313213703099501E-3</v>
      </c>
      <c r="L217">
        <v>5.6753354468484602E-3</v>
      </c>
      <c r="M217">
        <v>2.0202020202020202E-3</v>
      </c>
      <c r="N217">
        <v>1.66276146782969E-2</v>
      </c>
      <c r="O217">
        <v>280</v>
      </c>
      <c r="P217">
        <v>5.5485409652076302E-2</v>
      </c>
      <c r="Q217">
        <v>5.56471124513482E-2</v>
      </c>
      <c r="R217">
        <v>0</v>
      </c>
      <c r="S217">
        <v>0</v>
      </c>
      <c r="T217" t="s">
        <v>49</v>
      </c>
      <c r="U217">
        <v>4.2452830188679201E-3</v>
      </c>
      <c r="V217">
        <v>0</v>
      </c>
      <c r="W217">
        <v>0</v>
      </c>
      <c r="X217">
        <v>0.452055144762468</v>
      </c>
      <c r="Y217">
        <v>2.2462658390927401E-2</v>
      </c>
      <c r="Z217">
        <v>3.9942291662564501E-2</v>
      </c>
      <c r="AA217">
        <v>0</v>
      </c>
      <c r="AB217">
        <v>0.91025298833847046</v>
      </c>
      <c r="AC217">
        <v>9.2899997252970934E-4</v>
      </c>
      <c r="AD217">
        <v>5.4689999669790268E-3</v>
      </c>
      <c r="AE217">
        <v>1.8602000549435619E-2</v>
      </c>
      <c r="AF217">
        <f>0.16*X217 + 0.28*Y217 + 0.28*Z217 + 0.28*AA217</f>
        <v>8.9802209176972611E-2</v>
      </c>
      <c r="AG217">
        <f t="shared" si="9"/>
        <v>0.1526404782710597</v>
      </c>
      <c r="AH217">
        <f>IF(T217="IT_Admin", 0.25, IF(AND(T217="HR", AA217&gt;0.6), 0.25, IF(AND(T217="General", Z217&gt;0.7), 0.2, 0.1)))</f>
        <v>0.1</v>
      </c>
      <c r="AI217">
        <f>IF(V217&gt;0.7, 0.1,
 IF(F217&gt;0.5, 0.08,
 IF(E217&gt;0.5, 0.05,
 0)))</f>
        <v>0</v>
      </c>
      <c r="AJ217">
        <f t="shared" si="10"/>
        <v>0.13378899754283358</v>
      </c>
      <c r="AK217">
        <f t="shared" si="11"/>
        <v>0.14716789729711693</v>
      </c>
      <c r="AL217" t="str">
        <f>IF(MAX(X217, Y217, Z217, AA217)&gt;0.9,
 "Critical",
 IF(AK217&lt;=0.2,"Very Low",
 IF(AK217&lt;=0.4,"Low",
 IF(AK217&lt;=0.6,"Medium",
 IF(AK217&lt;=0.8,"High","Critical")))))</f>
        <v>Very Low</v>
      </c>
      <c r="AM217" t="str">
        <f>IF(MAX(X217:AA217)&gt;0.9,"CRITICAL ALERT",
 IF(AK217&gt;0.8,"CRITICAL ALERT",
 IF(AK217&gt;0.6,"ALERT",
 IF(AK217&gt;=0.4,"REVIEW","NO ACTION"))))</f>
        <v>NO ACTION</v>
      </c>
      <c r="AN217" t="str">
        <f>IF(AM217="NO ACTION","",
 IF(_xlfn.TEXTJOIN(", ", TRUE,
  IF(X217&gt;0.7,"Login anomaly",""),
  IF(Y217&gt;0.7,"File anomaly",""),
  IF(Z217&gt;0.7,"Network anomaly",""),
  IF(AA217&gt;0.7,"USB anomaly","")
 )="",
 "General anomaly detected",
 _xlfn.TEXTJOIN(", ", TRUE,
  IF(X217&gt;0.7,"Login anomaly",""),
  IF(Y217&gt;0.7,"File anomaly",""),
  IF(Z217&gt;0.7,"Network anomaly",""),
  IF(AA217&gt;0.7,"USB anomaly","")
 )))</f>
        <v/>
      </c>
    </row>
    <row r="218" spans="1:40" x14ac:dyDescent="0.3">
      <c r="A218" t="s">
        <v>241</v>
      </c>
      <c r="B218">
        <v>0.257088846880907</v>
      </c>
      <c r="C218">
        <v>0.60454081678720695</v>
      </c>
      <c r="D218">
        <v>0.50529085307629096</v>
      </c>
      <c r="E218">
        <v>0.26640675763482702</v>
      </c>
      <c r="F218">
        <v>5.5555555555555497E-2</v>
      </c>
      <c r="G218">
        <v>0.42671372362131899</v>
      </c>
      <c r="H218">
        <v>0</v>
      </c>
      <c r="I218">
        <v>23</v>
      </c>
      <c r="J218">
        <v>0.129717093650112</v>
      </c>
      <c r="K218">
        <v>4.8939641109298502E-3</v>
      </c>
      <c r="L218">
        <v>9.6193185602420506E-3</v>
      </c>
      <c r="M218">
        <v>2.59740259740259E-3</v>
      </c>
      <c r="N218">
        <v>1.2078303487995099E-2</v>
      </c>
      <c r="O218">
        <v>410</v>
      </c>
      <c r="P218">
        <v>9.8730359147025798E-2</v>
      </c>
      <c r="Q218">
        <v>9.8881447456081906E-2</v>
      </c>
      <c r="R218">
        <v>2.9498525073746298E-2</v>
      </c>
      <c r="S218">
        <v>1</v>
      </c>
      <c r="T218" t="s">
        <v>24</v>
      </c>
      <c r="U218">
        <v>1.0188679245283E-2</v>
      </c>
      <c r="V218">
        <v>0</v>
      </c>
      <c r="W218">
        <v>1.7439584316562999E-2</v>
      </c>
      <c r="X218">
        <v>0.253731505435557</v>
      </c>
      <c r="Y218">
        <v>3.4376569056541899E-2</v>
      </c>
      <c r="Z218">
        <v>6.4069536883413505E-2</v>
      </c>
      <c r="AA218">
        <v>2.9498525073746298E-2</v>
      </c>
      <c r="AB218">
        <v>0.18896600604057309</v>
      </c>
      <c r="AC218">
        <v>5.5599998449906707E-4</v>
      </c>
      <c r="AD218">
        <v>1.266999985091388E-3</v>
      </c>
      <c r="AE218">
        <v>6.5582998096942902E-2</v>
      </c>
      <c r="AF218">
        <f>0.16*X218 + 0.28*Y218 + 0.28*Z218 + 0.28*AA218</f>
        <v>7.6421537553525598E-2</v>
      </c>
      <c r="AG218">
        <f t="shared" si="9"/>
        <v>4.9108240425121033E-2</v>
      </c>
      <c r="AH218">
        <f>IF(T218="IT_Admin", 0.25, IF(AND(T218="HR", AA218&gt;0.6), 0.25, IF(AND(T218="General", Z218&gt;0.7), 0.2, 0.1)))</f>
        <v>0.25</v>
      </c>
      <c r="AI218">
        <f>IF(V218&gt;0.7, 0.1,
 IF(F218&gt;0.5, 0.08,
 IF(E218&gt;0.5, 0.05,
 0)))</f>
        <v>0</v>
      </c>
      <c r="AJ218">
        <f t="shared" si="10"/>
        <v>5.73022295636424E-2</v>
      </c>
      <c r="AK218">
        <f t="shared" si="11"/>
        <v>7.1627786954553005E-2</v>
      </c>
      <c r="AL218" t="str">
        <f>IF(MAX(X218, Y218, Z218, AA218)&gt;0.9,
 "Critical",
 IF(AK218&lt;=0.2,"Very Low",
 IF(AK218&lt;=0.4,"Low",
 IF(AK218&lt;=0.6,"Medium",
 IF(AK218&lt;=0.8,"High","Critical")))))</f>
        <v>Very Low</v>
      </c>
      <c r="AM218" t="str">
        <f>IF(MAX(X218:AA218)&gt;0.9,"CRITICAL ALERT",
 IF(AK218&gt;0.8,"CRITICAL ALERT",
 IF(AK218&gt;0.6,"ALERT",
 IF(AK218&gt;=0.4,"REVIEW","NO ACTION"))))</f>
        <v>NO ACTION</v>
      </c>
      <c r="AN218" t="str">
        <f>IF(AM218="NO ACTION","",
 IF(_xlfn.TEXTJOIN(", ", TRUE,
  IF(X218&gt;0.7,"Login anomaly",""),
  IF(Y218&gt;0.7,"File anomaly",""),
  IF(Z218&gt;0.7,"Network anomaly",""),
  IF(AA218&gt;0.7,"USB anomaly","")
 )="",
 "General anomaly detected",
 _xlfn.TEXTJOIN(", ", TRUE,
  IF(X218&gt;0.7,"Login anomaly",""),
  IF(Y218&gt;0.7,"File anomaly",""),
  IF(Z218&gt;0.7,"Network anomaly",""),
  IF(AA218&gt;0.7,"USB anomaly","")
 )))</f>
        <v/>
      </c>
    </row>
    <row r="219" spans="1:40" x14ac:dyDescent="0.3">
      <c r="A219" t="s">
        <v>242</v>
      </c>
      <c r="B219">
        <v>0.92627599243856296</v>
      </c>
      <c r="C219">
        <v>0.951235308156963</v>
      </c>
      <c r="D219">
        <v>0.96259207463479801</v>
      </c>
      <c r="E219">
        <v>0</v>
      </c>
      <c r="F219">
        <v>0.38427057864710601</v>
      </c>
      <c r="G219">
        <v>1.17038519322333E-2</v>
      </c>
      <c r="H219">
        <v>0</v>
      </c>
      <c r="I219">
        <v>23</v>
      </c>
      <c r="J219">
        <v>6.2830971804780297E-2</v>
      </c>
      <c r="K219">
        <v>1.38662316476345E-2</v>
      </c>
      <c r="L219">
        <v>5.6158775074090797E-2</v>
      </c>
      <c r="M219">
        <v>2.88600288600288E-4</v>
      </c>
      <c r="N219">
        <v>2.76527976981834E-3</v>
      </c>
      <c r="O219">
        <v>276</v>
      </c>
      <c r="P219">
        <v>5.2293771043770997E-2</v>
      </c>
      <c r="Q219">
        <v>5.24562572320207E-2</v>
      </c>
      <c r="R219">
        <v>0</v>
      </c>
      <c r="S219">
        <v>0</v>
      </c>
      <c r="T219" t="s">
        <v>49</v>
      </c>
      <c r="U219">
        <v>0.14433962264150901</v>
      </c>
      <c r="V219">
        <v>0</v>
      </c>
      <c r="W219">
        <v>0</v>
      </c>
      <c r="X219">
        <v>0.44248585384928202</v>
      </c>
      <c r="Y219">
        <v>4.1475165828947003E-2</v>
      </c>
      <c r="Z219">
        <v>3.2482374534189902E-2</v>
      </c>
      <c r="AA219">
        <v>0</v>
      </c>
      <c r="AB219">
        <v>0.92344701290130615</v>
      </c>
      <c r="AC219">
        <v>4.029999952763319E-3</v>
      </c>
      <c r="AD219">
        <v>6.3840001821517944E-3</v>
      </c>
      <c r="AE219">
        <v>1.8674999475479129E-2</v>
      </c>
      <c r="AF219">
        <f>0.16*X219 + 0.28*Y219 + 0.28*Z219 + 0.28*AA219</f>
        <v>9.1505847917563457E-2</v>
      </c>
      <c r="AG219">
        <f t="shared" si="9"/>
        <v>0.15589644195511937</v>
      </c>
      <c r="AH219">
        <f>IF(T219="IT_Admin", 0.25, IF(AND(T219="HR", AA219&gt;0.6), 0.25, IF(AND(T219="General", Z219&gt;0.7), 0.2, 0.1)))</f>
        <v>0.1</v>
      </c>
      <c r="AI219">
        <f>IF(V219&gt;0.7, 0.1,
 IF(F219&gt;0.5, 0.08,
 IF(E219&gt;0.5, 0.05,
 0)))</f>
        <v>0</v>
      </c>
      <c r="AJ219">
        <f t="shared" si="10"/>
        <v>0.1365792637438526</v>
      </c>
      <c r="AK219">
        <f t="shared" si="11"/>
        <v>0.15023719011823786</v>
      </c>
      <c r="AL219" t="str">
        <f>IF(MAX(X219, Y219, Z219, AA219)&gt;0.9,
 "Critical",
 IF(AK219&lt;=0.2,"Very Low",
 IF(AK219&lt;=0.4,"Low",
 IF(AK219&lt;=0.6,"Medium",
 IF(AK219&lt;=0.8,"High","Critical")))))</f>
        <v>Very Low</v>
      </c>
      <c r="AM219" t="str">
        <f>IF(MAX(X219:AA219)&gt;0.9,"CRITICAL ALERT",
 IF(AK219&gt;0.8,"CRITICAL ALERT",
 IF(AK219&gt;0.6,"ALERT",
 IF(AK219&gt;=0.4,"REVIEW","NO ACTION"))))</f>
        <v>NO ACTION</v>
      </c>
      <c r="AN219" t="str">
        <f>IF(AM219="NO ACTION","",
 IF(_xlfn.TEXTJOIN(", ", TRUE,
  IF(X219&gt;0.7,"Login anomaly",""),
  IF(Y219&gt;0.7,"File anomaly",""),
  IF(Z219&gt;0.7,"Network anomaly",""),
  IF(AA219&gt;0.7,"USB anomaly","")
 )="",
 "General anomaly detected",
 _xlfn.TEXTJOIN(", ", TRUE,
  IF(X219&gt;0.7,"Login anomaly",""),
  IF(Y219&gt;0.7,"File anomaly",""),
  IF(Z219&gt;0.7,"Network anomaly",""),
  IF(AA219&gt;0.7,"USB anomaly","")
 )))</f>
        <v/>
      </c>
    </row>
    <row r="220" spans="1:40" x14ac:dyDescent="0.3">
      <c r="A220" t="s">
        <v>243</v>
      </c>
      <c r="B220">
        <v>0.23629489603024501</v>
      </c>
      <c r="C220">
        <v>0.78723754180143501</v>
      </c>
      <c r="D220">
        <v>0.38176186991698902</v>
      </c>
      <c r="E220">
        <v>0</v>
      </c>
      <c r="F220">
        <v>0</v>
      </c>
      <c r="G220">
        <v>0.47734601148998002</v>
      </c>
      <c r="H220">
        <v>8</v>
      </c>
      <c r="I220">
        <v>14</v>
      </c>
      <c r="J220">
        <v>0.108010114021277</v>
      </c>
      <c r="K220">
        <v>2.4469820554649199E-3</v>
      </c>
      <c r="L220">
        <v>5.7741348078667503E-3</v>
      </c>
      <c r="M220">
        <v>0</v>
      </c>
      <c r="N220">
        <v>0</v>
      </c>
      <c r="O220">
        <v>401</v>
      </c>
      <c r="P220">
        <v>8.0457351290684598E-2</v>
      </c>
      <c r="Q220">
        <v>8.0612924716855397E-2</v>
      </c>
      <c r="R220">
        <v>0</v>
      </c>
      <c r="S220">
        <v>0</v>
      </c>
      <c r="T220" t="s">
        <v>24</v>
      </c>
      <c r="U220">
        <v>5.0943396226415097E-2</v>
      </c>
      <c r="V220">
        <v>0</v>
      </c>
      <c r="W220">
        <v>0</v>
      </c>
      <c r="X220">
        <v>0.11452856097509601</v>
      </c>
      <c r="Y220">
        <v>2.4489090208188902E-2</v>
      </c>
      <c r="Z220">
        <v>4.8274410774410699E-2</v>
      </c>
      <c r="AA220">
        <v>0</v>
      </c>
      <c r="AB220">
        <v>4.0688998997211463E-2</v>
      </c>
      <c r="AC220">
        <v>6.7899998975917697E-4</v>
      </c>
      <c r="AD220">
        <v>3.4479999449104071E-3</v>
      </c>
      <c r="AE220">
        <v>9.3729998916387558E-3</v>
      </c>
      <c r="AF220">
        <f>0.16*X220 + 0.28*Y220 + 0.28*Z220 + 0.28*AA220</f>
        <v>3.8698350031143247E-2</v>
      </c>
      <c r="AG220">
        <f t="shared" si="9"/>
        <v>1.0290239790920171E-2</v>
      </c>
      <c r="AH220">
        <f>IF(T220="IT_Admin", 0.25, IF(AND(T220="HR", AA220&gt;0.6), 0.25, IF(AND(T220="General", Z220&gt;0.7), 0.2, 0.1)))</f>
        <v>0.25</v>
      </c>
      <c r="AI220">
        <f>IF(V220&gt;0.7, 0.1,
 IF(F220&gt;0.5, 0.08,
 IF(E220&gt;0.5, 0.05,
 0)))</f>
        <v>0</v>
      </c>
      <c r="AJ220">
        <f t="shared" si="10"/>
        <v>1.8812672862987094E-2</v>
      </c>
      <c r="AK220">
        <f t="shared" si="11"/>
        <v>2.3515841078733869E-2</v>
      </c>
      <c r="AL220" t="str">
        <f>IF(MAX(X220, Y220, Z220, AA220)&gt;0.9,
 "Critical",
 IF(AK220&lt;=0.2,"Very Low",
 IF(AK220&lt;=0.4,"Low",
 IF(AK220&lt;=0.6,"Medium",
 IF(AK220&lt;=0.8,"High","Critical")))))</f>
        <v>Very Low</v>
      </c>
      <c r="AM220" t="str">
        <f>IF(MAX(X220:AA220)&gt;0.9,"CRITICAL ALERT",
 IF(AK220&gt;0.8,"CRITICAL ALERT",
 IF(AK220&gt;0.6,"ALERT",
 IF(AK220&gt;=0.4,"REVIEW","NO ACTION"))))</f>
        <v>NO ACTION</v>
      </c>
      <c r="AN220" t="str">
        <f>IF(AM220="NO ACTION","",
 IF(_xlfn.TEXTJOIN(", ", TRUE,
  IF(X220&gt;0.7,"Login anomaly",""),
  IF(Y220&gt;0.7,"File anomaly",""),
  IF(Z220&gt;0.7,"Network anomaly",""),
  IF(AA220&gt;0.7,"USB anomaly","")
 )="",
 "General anomaly detected",
 _xlfn.TEXTJOIN(", ", TRUE,
  IF(X220&gt;0.7,"Login anomaly",""),
  IF(Y220&gt;0.7,"File anomaly",""),
  IF(Z220&gt;0.7,"Network anomaly",""),
  IF(AA220&gt;0.7,"USB anomaly","")
 )))</f>
        <v/>
      </c>
    </row>
    <row r="221" spans="1:40" x14ac:dyDescent="0.3">
      <c r="A221" t="s">
        <v>244</v>
      </c>
      <c r="B221">
        <v>0.12892249527410199</v>
      </c>
      <c r="C221">
        <v>0.45629125735639597</v>
      </c>
      <c r="D221">
        <v>7.4993488433305694E-2</v>
      </c>
      <c r="E221">
        <v>0</v>
      </c>
      <c r="F221">
        <v>0</v>
      </c>
      <c r="G221">
        <v>0.99365231335413495</v>
      </c>
      <c r="H221">
        <v>8</v>
      </c>
      <c r="I221">
        <v>9</v>
      </c>
      <c r="J221">
        <v>0.12260865416726301</v>
      </c>
      <c r="K221">
        <v>7.34094616639478E-3</v>
      </c>
      <c r="L221">
        <v>1.5263897334815099E-2</v>
      </c>
      <c r="M221">
        <v>2.3088023088023001E-3</v>
      </c>
      <c r="N221">
        <v>1.1357514114795599E-2</v>
      </c>
      <c r="O221">
        <v>421</v>
      </c>
      <c r="P221">
        <v>9.4416386083052695E-2</v>
      </c>
      <c r="Q221">
        <v>9.4568533258529403E-2</v>
      </c>
      <c r="R221">
        <v>9.5870206489675494E-2</v>
      </c>
      <c r="S221">
        <v>1</v>
      </c>
      <c r="T221" t="s">
        <v>24</v>
      </c>
      <c r="U221">
        <v>1.6981132075471601E-2</v>
      </c>
      <c r="V221">
        <v>0</v>
      </c>
      <c r="W221">
        <v>0</v>
      </c>
      <c r="X221">
        <v>2.2498046529991701E-2</v>
      </c>
      <c r="Y221">
        <v>3.5560933735298797E-2</v>
      </c>
      <c r="Z221">
        <v>6.1192837295749897E-2</v>
      </c>
      <c r="AA221">
        <v>9.5870206489675494E-2</v>
      </c>
      <c r="AB221">
        <v>1.512799970805645E-2</v>
      </c>
      <c r="AC221">
        <v>3.8099999073892832E-4</v>
      </c>
      <c r="AD221">
        <v>1.954999985173345E-3</v>
      </c>
      <c r="AE221">
        <v>6.4177997410297394E-2</v>
      </c>
      <c r="AF221">
        <f>0.16*X221 + 0.28*Y221 + 0.28*Z221 + 0.28*AA221</f>
        <v>5.7534401150601447E-2</v>
      </c>
      <c r="AG221">
        <f t="shared" si="9"/>
        <v>2.1044399221427739E-2</v>
      </c>
      <c r="AH221">
        <f>IF(T221="IT_Admin", 0.25, IF(AND(T221="HR", AA221&gt;0.6), 0.25, IF(AND(T221="General", Z221&gt;0.7), 0.2, 0.1)))</f>
        <v>0.25</v>
      </c>
      <c r="AI221">
        <f>IF(V221&gt;0.7, 0.1,
 IF(F221&gt;0.5, 0.08,
 IF(E221&gt;0.5, 0.05,
 0)))</f>
        <v>0</v>
      </c>
      <c r="AJ221">
        <f t="shared" si="10"/>
        <v>3.199139980017985E-2</v>
      </c>
      <c r="AK221">
        <f t="shared" si="11"/>
        <v>3.998924975022481E-2</v>
      </c>
      <c r="AL221" t="str">
        <f>IF(MAX(X221, Y221, Z221, AA221)&gt;0.9,
 "Critical",
 IF(AK221&lt;=0.2,"Very Low",
 IF(AK221&lt;=0.4,"Low",
 IF(AK221&lt;=0.6,"Medium",
 IF(AK221&lt;=0.8,"High","Critical")))))</f>
        <v>Very Low</v>
      </c>
      <c r="AM221" t="str">
        <f>IF(MAX(X221:AA221)&gt;0.9,"CRITICAL ALERT",
 IF(AK221&gt;0.8,"CRITICAL ALERT",
 IF(AK221&gt;0.6,"ALERT",
 IF(AK221&gt;=0.4,"REVIEW","NO ACTION"))))</f>
        <v>NO ACTION</v>
      </c>
      <c r="AN221" t="str">
        <f>IF(AM221="NO ACTION","",
 IF(_xlfn.TEXTJOIN(", ", TRUE,
  IF(X221&gt;0.7,"Login anomaly",""),
  IF(Y221&gt;0.7,"File anomaly",""),
  IF(Z221&gt;0.7,"Network anomaly",""),
  IF(AA221&gt;0.7,"USB anomaly","")
 )="",
 "General anomaly detected",
 _xlfn.TEXTJOIN(", ", TRUE,
  IF(X221&gt;0.7,"Login anomaly",""),
  IF(Y221&gt;0.7,"File anomaly",""),
  IF(Z221&gt;0.7,"Network anomaly",""),
  IF(AA221&gt;0.7,"USB anomaly","")
 )))</f>
        <v/>
      </c>
    </row>
    <row r="222" spans="1:40" x14ac:dyDescent="0.3">
      <c r="A222" t="s">
        <v>245</v>
      </c>
      <c r="B222">
        <v>0.12892249527410199</v>
      </c>
      <c r="C222">
        <v>0.18476582604220201</v>
      </c>
      <c r="D222">
        <v>0</v>
      </c>
      <c r="E222">
        <v>0</v>
      </c>
      <c r="F222">
        <v>0</v>
      </c>
      <c r="G222">
        <v>0.993678808425977</v>
      </c>
      <c r="H222">
        <v>7</v>
      </c>
      <c r="I222">
        <v>7</v>
      </c>
      <c r="J222">
        <v>0.14131005200133501</v>
      </c>
      <c r="K222">
        <v>2.6101141924959201E-2</v>
      </c>
      <c r="L222">
        <v>4.7101267287898999E-2</v>
      </c>
      <c r="M222">
        <v>6.0606060606060597E-3</v>
      </c>
      <c r="N222">
        <v>2.5874518695549999E-2</v>
      </c>
      <c r="O222">
        <v>1368</v>
      </c>
      <c r="P222">
        <v>0.118055555555555</v>
      </c>
      <c r="Q222">
        <v>0.118201900487394</v>
      </c>
      <c r="R222">
        <v>0</v>
      </c>
      <c r="S222">
        <v>0</v>
      </c>
      <c r="T222" t="s">
        <v>24</v>
      </c>
      <c r="U222">
        <v>2.4699828473413302E-2</v>
      </c>
      <c r="V222">
        <v>0</v>
      </c>
      <c r="W222">
        <v>0</v>
      </c>
      <c r="X222">
        <v>0</v>
      </c>
      <c r="Y222">
        <v>5.9574999652881697E-2</v>
      </c>
      <c r="Z222">
        <v>8.1183140811553298E-2</v>
      </c>
      <c r="AA222">
        <v>0</v>
      </c>
      <c r="AB222">
        <v>3.6752000451087952E-2</v>
      </c>
      <c r="AC222">
        <v>1.4299999747890979E-4</v>
      </c>
      <c r="AD222">
        <v>5.0899997586384416E-4</v>
      </c>
      <c r="AE222">
        <v>1.160999992862344E-3</v>
      </c>
      <c r="AF222">
        <f>0.16*X222 + 0.28*Y222 + 0.28*Z222 + 0.28*AA222</f>
        <v>3.9412279330041801E-2</v>
      </c>
      <c r="AG222">
        <f t="shared" si="9"/>
        <v>6.3879600627115007E-3</v>
      </c>
      <c r="AH222">
        <f>IF(T222="IT_Admin", 0.25, IF(AND(T222="HR", AA222&gt;0.6), 0.25, IF(AND(T222="General", Z222&gt;0.7), 0.2, 0.1)))</f>
        <v>0.25</v>
      </c>
      <c r="AI222">
        <f>IF(V222&gt;0.7, 0.1,
 IF(F222&gt;0.5, 0.08,
 IF(E222&gt;0.5, 0.05,
 0)))</f>
        <v>0</v>
      </c>
      <c r="AJ222">
        <f t="shared" si="10"/>
        <v>1.629525584291059E-2</v>
      </c>
      <c r="AK222">
        <f t="shared" si="11"/>
        <v>2.0369069803638236E-2</v>
      </c>
      <c r="AL222" t="str">
        <f>IF(MAX(X222, Y222, Z222, AA222)&gt;0.9,
 "Critical",
 IF(AK222&lt;=0.2,"Very Low",
 IF(AK222&lt;=0.4,"Low",
 IF(AK222&lt;=0.6,"Medium",
 IF(AK222&lt;=0.8,"High","Critical")))))</f>
        <v>Very Low</v>
      </c>
      <c r="AM222" t="str">
        <f>IF(MAX(X222:AA222)&gt;0.9,"CRITICAL ALERT",
 IF(AK222&gt;0.8,"CRITICAL ALERT",
 IF(AK222&gt;0.6,"ALERT",
 IF(AK222&gt;=0.4,"REVIEW","NO ACTION"))))</f>
        <v>NO ACTION</v>
      </c>
      <c r="AN222" t="str">
        <f>IF(AM222="NO ACTION","",
 IF(_xlfn.TEXTJOIN(", ", TRUE,
  IF(X222&gt;0.7,"Login anomaly",""),
  IF(Y222&gt;0.7,"File anomaly",""),
  IF(Z222&gt;0.7,"Network anomaly",""),
  IF(AA222&gt;0.7,"USB anomaly","")
 )="",
 "General anomaly detected",
 _xlfn.TEXTJOIN(", ", TRUE,
  IF(X222&gt;0.7,"Login anomaly",""),
  IF(Y222&gt;0.7,"File anomaly",""),
  IF(Z222&gt;0.7,"Network anomaly",""),
  IF(AA222&gt;0.7,"USB anomaly","")
 )))</f>
        <v/>
      </c>
    </row>
    <row r="223" spans="1:40" x14ac:dyDescent="0.3">
      <c r="A223" t="s">
        <v>246</v>
      </c>
      <c r="B223">
        <v>0.26238185255198399</v>
      </c>
      <c r="C223">
        <v>0.56409165515176696</v>
      </c>
      <c r="D223">
        <v>0.52819625283119898</v>
      </c>
      <c r="E223">
        <v>0.32632919452403603</v>
      </c>
      <c r="F223">
        <v>0.27936962750716299</v>
      </c>
      <c r="G223">
        <v>0.41537599173852002</v>
      </c>
      <c r="H223">
        <v>0</v>
      </c>
      <c r="I223">
        <v>23</v>
      </c>
      <c r="J223">
        <v>0.14526978674681501</v>
      </c>
      <c r="K223">
        <v>1.71288743882544E-2</v>
      </c>
      <c r="L223">
        <v>3.0069043656835302E-2</v>
      </c>
      <c r="M223">
        <v>2.59740259740259E-3</v>
      </c>
      <c r="N223">
        <v>1.07873110496061E-2</v>
      </c>
      <c r="O223">
        <v>1508</v>
      </c>
      <c r="P223">
        <v>0.115425084175084</v>
      </c>
      <c r="Q223">
        <v>0.115572074757179</v>
      </c>
      <c r="R223">
        <v>3.68731563421828E-2</v>
      </c>
      <c r="S223">
        <v>1</v>
      </c>
      <c r="T223" t="s">
        <v>24</v>
      </c>
      <c r="U223">
        <v>3.5660377358490501E-2</v>
      </c>
      <c r="V223">
        <v>0</v>
      </c>
      <c r="W223">
        <v>0.27413414393730701</v>
      </c>
      <c r="X223">
        <v>0.36810548520943598</v>
      </c>
      <c r="Y223">
        <v>4.7324672492662603E-2</v>
      </c>
      <c r="Z223">
        <v>7.3569974924892895E-2</v>
      </c>
      <c r="AA223">
        <v>3.68731563421828E-2</v>
      </c>
      <c r="AB223">
        <v>0.24468100070953369</v>
      </c>
      <c r="AC223">
        <v>5.5000000429572538E-5</v>
      </c>
      <c r="AD223">
        <v>4.1199999395757908E-4</v>
      </c>
      <c r="AE223">
        <v>6.3341997563838959E-2</v>
      </c>
      <c r="AF223">
        <f>0.16*X223 + 0.28*Y223 + 0.28*Z223 + 0.28*AA223</f>
        <v>0.1030718626862365</v>
      </c>
      <c r="AG223">
        <f t="shared" si="9"/>
        <v>5.7015479429828701E-2</v>
      </c>
      <c r="AH223">
        <f>IF(T223="IT_Admin", 0.25, IF(AND(T223="HR", AA223&gt;0.6), 0.25, IF(AND(T223="General", Z223&gt;0.7), 0.2, 0.1)))</f>
        <v>0.25</v>
      </c>
      <c r="AI223">
        <f>IF(V223&gt;0.7, 0.1,
 IF(F223&gt;0.5, 0.08,
 IF(E223&gt;0.5, 0.05,
 0)))</f>
        <v>0</v>
      </c>
      <c r="AJ223">
        <f t="shared" si="10"/>
        <v>7.0832394406751042E-2</v>
      </c>
      <c r="AK223">
        <f t="shared" si="11"/>
        <v>8.8540493008438803E-2</v>
      </c>
      <c r="AL223" t="str">
        <f>IF(MAX(X223, Y223, Z223, AA223)&gt;0.9,
 "Critical",
 IF(AK223&lt;=0.2,"Very Low",
 IF(AK223&lt;=0.4,"Low",
 IF(AK223&lt;=0.6,"Medium",
 IF(AK223&lt;=0.8,"High","Critical")))))</f>
        <v>Very Low</v>
      </c>
      <c r="AM223" t="str">
        <f>IF(MAX(X223:AA223)&gt;0.9,"CRITICAL ALERT",
 IF(AK223&gt;0.8,"CRITICAL ALERT",
 IF(AK223&gt;0.6,"ALERT",
 IF(AK223&gt;=0.4,"REVIEW","NO ACTION"))))</f>
        <v>NO ACTION</v>
      </c>
      <c r="AN223" t="str">
        <f>IF(AM223="NO ACTION","",
 IF(_xlfn.TEXTJOIN(", ", TRUE,
  IF(X223&gt;0.7,"Login anomaly",""),
  IF(Y223&gt;0.7,"File anomaly",""),
  IF(Z223&gt;0.7,"Network anomaly",""),
  IF(AA223&gt;0.7,"USB anomaly","")
 )="",
 "General anomaly detected",
 _xlfn.TEXTJOIN(", ", TRUE,
  IF(X223&gt;0.7,"Login anomaly",""),
  IF(Y223&gt;0.7,"File anomaly",""),
  IF(Z223&gt;0.7,"Network anomaly",""),
  IF(AA223&gt;0.7,"USB anomaly","")
 )))</f>
        <v/>
      </c>
    </row>
    <row r="224" spans="1:40" x14ac:dyDescent="0.3">
      <c r="A224" t="s">
        <v>247</v>
      </c>
      <c r="B224">
        <v>0.12892249527410199</v>
      </c>
      <c r="C224">
        <v>0.36953165208440503</v>
      </c>
      <c r="D224">
        <v>0</v>
      </c>
      <c r="E224">
        <v>0</v>
      </c>
      <c r="F224">
        <v>0</v>
      </c>
      <c r="G224">
        <v>0.99367321502192096</v>
      </c>
      <c r="H224">
        <v>8</v>
      </c>
      <c r="I224">
        <v>8</v>
      </c>
      <c r="J224">
        <v>0.11187443347168501</v>
      </c>
      <c r="K224">
        <v>1.1419249592169599E-2</v>
      </c>
      <c r="L224">
        <v>2.6017186710169501E-2</v>
      </c>
      <c r="M224">
        <v>3.4632034632034602E-3</v>
      </c>
      <c r="N224">
        <v>1.8667403518467299E-2</v>
      </c>
      <c r="O224">
        <v>901</v>
      </c>
      <c r="P224">
        <v>8.8839786756453404E-2</v>
      </c>
      <c r="Q224">
        <v>8.8993302710473704E-2</v>
      </c>
      <c r="R224">
        <v>0</v>
      </c>
      <c r="S224">
        <v>0</v>
      </c>
      <c r="T224" t="s">
        <v>24</v>
      </c>
      <c r="U224">
        <v>1.82873730043541E-2</v>
      </c>
      <c r="V224">
        <v>0</v>
      </c>
      <c r="W224">
        <v>0</v>
      </c>
      <c r="X224">
        <v>0</v>
      </c>
      <c r="Y224">
        <v>4.0983701104962002E-2</v>
      </c>
      <c r="Z224">
        <v>6.0770833461258902E-2</v>
      </c>
      <c r="AA224">
        <v>0</v>
      </c>
      <c r="AB224">
        <v>2.4617999792098999E-2</v>
      </c>
      <c r="AC224">
        <v>1.900000061141327E-4</v>
      </c>
      <c r="AD224">
        <v>2.5100000202655788E-3</v>
      </c>
      <c r="AE224">
        <v>1.443000044673681E-3</v>
      </c>
      <c r="AF224">
        <f>0.16*X224 + 0.28*Y224 + 0.28*Z224 + 0.28*AA224</f>
        <v>2.8491269678541854E-2</v>
      </c>
      <c r="AG224">
        <f t="shared" si="9"/>
        <v>5.0989199866307896E-3</v>
      </c>
      <c r="AH224">
        <f>IF(T224="IT_Admin", 0.25, IF(AND(T224="HR", AA224&gt;0.6), 0.25, IF(AND(T224="General", Z224&gt;0.7), 0.2, 0.1)))</f>
        <v>0.25</v>
      </c>
      <c r="AI224">
        <f>IF(V224&gt;0.7, 0.1,
 IF(F224&gt;0.5, 0.08,
 IF(E224&gt;0.5, 0.05,
 0)))</f>
        <v>0</v>
      </c>
      <c r="AJ224">
        <f t="shared" si="10"/>
        <v>1.211662489420411E-2</v>
      </c>
      <c r="AK224">
        <f t="shared" si="11"/>
        <v>1.5145781117755136E-2</v>
      </c>
      <c r="AL224" t="str">
        <f>IF(MAX(X224, Y224, Z224, AA224)&gt;0.9,
 "Critical",
 IF(AK224&lt;=0.2,"Very Low",
 IF(AK224&lt;=0.4,"Low",
 IF(AK224&lt;=0.6,"Medium",
 IF(AK224&lt;=0.8,"High","Critical")))))</f>
        <v>Very Low</v>
      </c>
      <c r="AM224" t="str">
        <f>IF(MAX(X224:AA224)&gt;0.9,"CRITICAL ALERT",
 IF(AK224&gt;0.8,"CRITICAL ALERT",
 IF(AK224&gt;0.6,"ALERT",
 IF(AK224&gt;=0.4,"REVIEW","NO ACTION"))))</f>
        <v>NO ACTION</v>
      </c>
      <c r="AN224" t="str">
        <f>IF(AM224="NO ACTION","",
 IF(_xlfn.TEXTJOIN(", ", TRUE,
  IF(X224&gt;0.7,"Login anomaly",""),
  IF(Y224&gt;0.7,"File anomaly",""),
  IF(Z224&gt;0.7,"Network anomaly",""),
  IF(AA224&gt;0.7,"USB anomaly","")
 )="",
 "General anomaly detected",
 _xlfn.TEXTJOIN(", ", TRUE,
  IF(X224&gt;0.7,"Login anomaly",""),
  IF(Y224&gt;0.7,"File anomaly",""),
  IF(Z224&gt;0.7,"Network anomaly",""),
  IF(AA224&gt;0.7,"USB anomaly","")
 )))</f>
        <v/>
      </c>
    </row>
    <row r="225" spans="1:40" x14ac:dyDescent="0.3">
      <c r="A225" t="s">
        <v>248</v>
      </c>
      <c r="B225">
        <v>0.12892249527410199</v>
      </c>
      <c r="C225">
        <v>0.27098987819523002</v>
      </c>
      <c r="D225">
        <v>7.4965657310309297E-2</v>
      </c>
      <c r="E225">
        <v>0</v>
      </c>
      <c r="F225">
        <v>0</v>
      </c>
      <c r="G225">
        <v>0.99367693503705901</v>
      </c>
      <c r="H225">
        <v>7</v>
      </c>
      <c r="I225">
        <v>8</v>
      </c>
      <c r="J225">
        <v>0.10128333571871501</v>
      </c>
      <c r="K225">
        <v>4.8939641109298502E-3</v>
      </c>
      <c r="L225">
        <v>1.23134510141444E-2</v>
      </c>
      <c r="M225">
        <v>2.0202020202020202E-3</v>
      </c>
      <c r="N225">
        <v>1.20253284726968E-2</v>
      </c>
      <c r="O225">
        <v>309</v>
      </c>
      <c r="P225">
        <v>7.7546296296296294E-2</v>
      </c>
      <c r="Q225">
        <v>7.7702584242084205E-2</v>
      </c>
      <c r="R225">
        <v>0</v>
      </c>
      <c r="S225">
        <v>0</v>
      </c>
      <c r="T225" t="s">
        <v>24</v>
      </c>
      <c r="U225">
        <v>1.27358490566037E-2</v>
      </c>
      <c r="V225">
        <v>0</v>
      </c>
      <c r="W225">
        <v>0</v>
      </c>
      <c r="X225">
        <v>2.2489697193092802E-2</v>
      </c>
      <c r="Y225">
        <v>3.0020991192624399E-2</v>
      </c>
      <c r="Z225">
        <v>5.1337909166856502E-2</v>
      </c>
      <c r="AA225">
        <v>0</v>
      </c>
      <c r="AB225">
        <v>1.932699978351593E-2</v>
      </c>
      <c r="AC225">
        <v>5.8200000785291195E-4</v>
      </c>
      <c r="AD225">
        <v>3.7140001077204938E-3</v>
      </c>
      <c r="AE225">
        <v>3.3950000070035462E-3</v>
      </c>
      <c r="AF225">
        <f>0.16*X225 + 0.28*Y225 + 0.28*Z225 + 0.28*AA225</f>
        <v>2.6378843651549501E-2</v>
      </c>
      <c r="AG225">
        <f t="shared" si="9"/>
        <v>5.2457999996840966E-3</v>
      </c>
      <c r="AH225">
        <f>IF(T225="IT_Admin", 0.25, IF(AND(T225="HR", AA225&gt;0.6), 0.25, IF(AND(T225="General", Z225&gt;0.7), 0.2, 0.1)))</f>
        <v>0.25</v>
      </c>
      <c r="AI225">
        <f>IF(V225&gt;0.7, 0.1,
 IF(F225&gt;0.5, 0.08,
 IF(E225&gt;0.5, 0.05,
 0)))</f>
        <v>0</v>
      </c>
      <c r="AJ225">
        <f t="shared" si="10"/>
        <v>1.1585713095243717E-2</v>
      </c>
      <c r="AK225">
        <f t="shared" si="11"/>
        <v>1.4482141369054645E-2</v>
      </c>
      <c r="AL225" t="str">
        <f>IF(MAX(X225, Y225, Z225, AA225)&gt;0.9,
 "Critical",
 IF(AK225&lt;=0.2,"Very Low",
 IF(AK225&lt;=0.4,"Low",
 IF(AK225&lt;=0.6,"Medium",
 IF(AK225&lt;=0.8,"High","Critical")))))</f>
        <v>Very Low</v>
      </c>
      <c r="AM225" t="str">
        <f>IF(MAX(X225:AA225)&gt;0.9,"CRITICAL ALERT",
 IF(AK225&gt;0.8,"CRITICAL ALERT",
 IF(AK225&gt;0.6,"ALERT",
 IF(AK225&gt;=0.4,"REVIEW","NO ACTION"))))</f>
        <v>NO ACTION</v>
      </c>
      <c r="AN225" t="str">
        <f>IF(AM225="NO ACTION","",
 IF(_xlfn.TEXTJOIN(", ", TRUE,
  IF(X225&gt;0.7,"Login anomaly",""),
  IF(Y225&gt;0.7,"File anomaly",""),
  IF(Z225&gt;0.7,"Network anomaly",""),
  IF(AA225&gt;0.7,"USB anomaly","")
 )="",
 "General anomaly detected",
 _xlfn.TEXTJOIN(", ", TRUE,
  IF(X225&gt;0.7,"Login anomaly",""),
  IF(Y225&gt;0.7,"File anomaly",""),
  IF(Z225&gt;0.7,"Network anomaly",""),
  IF(AA225&gt;0.7,"USB anomaly","")
 )))</f>
        <v/>
      </c>
    </row>
    <row r="226" spans="1:40" x14ac:dyDescent="0.3">
      <c r="A226" t="s">
        <v>249</v>
      </c>
      <c r="B226">
        <v>0.12892249527410199</v>
      </c>
      <c r="C226">
        <v>0.27313209067108202</v>
      </c>
      <c r="D226">
        <v>7.5061757440099602E-2</v>
      </c>
      <c r="E226">
        <v>0</v>
      </c>
      <c r="F226">
        <v>0</v>
      </c>
      <c r="G226">
        <v>0.99367784496881895</v>
      </c>
      <c r="H226">
        <v>7</v>
      </c>
      <c r="I226">
        <v>8</v>
      </c>
      <c r="J226">
        <v>9.4031773293258902E-2</v>
      </c>
      <c r="K226">
        <v>1.1419249592169599E-2</v>
      </c>
      <c r="L226">
        <v>3.0941492291952599E-2</v>
      </c>
      <c r="M226">
        <v>4.6176046176046098E-3</v>
      </c>
      <c r="N226">
        <v>2.9600808548176899E-2</v>
      </c>
      <c r="O226">
        <v>1041</v>
      </c>
      <c r="P226">
        <v>7.6283670033669995E-2</v>
      </c>
      <c r="Q226">
        <v>7.6440267891580996E-2</v>
      </c>
      <c r="R226">
        <v>0</v>
      </c>
      <c r="S226">
        <v>0</v>
      </c>
      <c r="T226" t="s">
        <v>49</v>
      </c>
      <c r="U226">
        <v>1.3984461709211899E-2</v>
      </c>
      <c r="V226">
        <v>0</v>
      </c>
      <c r="W226">
        <v>0</v>
      </c>
      <c r="X226">
        <v>2.2518527232029802E-2</v>
      </c>
      <c r="Y226">
        <v>4.3157343369081197E-2</v>
      </c>
      <c r="Z226">
        <v>5.7610525439472801E-2</v>
      </c>
      <c r="AA226">
        <v>0</v>
      </c>
      <c r="AB226">
        <v>1.8716000020504001E-2</v>
      </c>
      <c r="AC226">
        <v>2.309999981662259E-4</v>
      </c>
      <c r="AD226">
        <v>3.5389999393373732E-3</v>
      </c>
      <c r="AE226">
        <v>1.9519999623298649E-3</v>
      </c>
      <c r="AF226">
        <f>0.16*X226 + 0.28*Y226 + 0.28*Z226 + 0.28*AA226</f>
        <v>3.1817967623519891E-2</v>
      </c>
      <c r="AG226">
        <f t="shared" si="9"/>
        <v>4.5967199752340107E-3</v>
      </c>
      <c r="AH226">
        <f>IF(T226="IT_Admin", 0.25, IF(AND(T226="HR", AA226&gt;0.6), 0.25, IF(AND(T226="General", Z226&gt;0.7), 0.2, 0.1)))</f>
        <v>0.1</v>
      </c>
      <c r="AI226">
        <f>IF(V226&gt;0.7, 0.1,
 IF(F226&gt;0.5, 0.08,
 IF(E226&gt;0.5, 0.05,
 0)))</f>
        <v>0</v>
      </c>
      <c r="AJ226">
        <f t="shared" si="10"/>
        <v>1.2763094269719773E-2</v>
      </c>
      <c r="AK226">
        <f t="shared" si="11"/>
        <v>1.4039403696691752E-2</v>
      </c>
      <c r="AL226" t="str">
        <f>IF(MAX(X226, Y226, Z226, AA226)&gt;0.9,
 "Critical",
 IF(AK226&lt;=0.2,"Very Low",
 IF(AK226&lt;=0.4,"Low",
 IF(AK226&lt;=0.6,"Medium",
 IF(AK226&lt;=0.8,"High","Critical")))))</f>
        <v>Very Low</v>
      </c>
      <c r="AM226" t="str">
        <f>IF(MAX(X226:AA226)&gt;0.9,"CRITICAL ALERT",
 IF(AK226&gt;0.8,"CRITICAL ALERT",
 IF(AK226&gt;0.6,"ALERT",
 IF(AK226&gt;=0.4,"REVIEW","NO ACTION"))))</f>
        <v>NO ACTION</v>
      </c>
      <c r="AN226" t="str">
        <f>IF(AM226="NO ACTION","",
 IF(_xlfn.TEXTJOIN(", ", TRUE,
  IF(X226&gt;0.7,"Login anomaly",""),
  IF(Y226&gt;0.7,"File anomaly",""),
  IF(Z226&gt;0.7,"Network anomaly",""),
  IF(AA226&gt;0.7,"USB anomaly","")
 )="",
 "General anomaly detected",
 _xlfn.TEXTJOIN(", ", TRUE,
  IF(X226&gt;0.7,"Login anomaly",""),
  IF(Y226&gt;0.7,"File anomaly",""),
  IF(Z226&gt;0.7,"Network anomaly",""),
  IF(AA226&gt;0.7,"USB anomaly","")
 )))</f>
        <v/>
      </c>
    </row>
    <row r="227" spans="1:40" x14ac:dyDescent="0.3">
      <c r="A227" t="s">
        <v>250</v>
      </c>
      <c r="B227">
        <v>0.12892249527410199</v>
      </c>
      <c r="C227">
        <v>0.46111123542706201</v>
      </c>
      <c r="D227">
        <v>7.5129964412319103E-2</v>
      </c>
      <c r="E227">
        <v>0</v>
      </c>
      <c r="F227">
        <v>0</v>
      </c>
      <c r="G227">
        <v>0.99366047597727902</v>
      </c>
      <c r="H227">
        <v>8</v>
      </c>
      <c r="I227">
        <v>9</v>
      </c>
      <c r="J227">
        <v>0.14479271027145599</v>
      </c>
      <c r="K227">
        <v>2.2838499184339299E-2</v>
      </c>
      <c r="L227">
        <v>4.0223939979538402E-2</v>
      </c>
      <c r="M227">
        <v>4.9062049062049001E-3</v>
      </c>
      <c r="N227">
        <v>2.04430584035847E-2</v>
      </c>
      <c r="O227">
        <v>1465</v>
      </c>
      <c r="P227">
        <v>0.118651795735129</v>
      </c>
      <c r="Q227">
        <v>0.11879799431957599</v>
      </c>
      <c r="R227">
        <v>0</v>
      </c>
      <c r="S227">
        <v>0</v>
      </c>
      <c r="T227" t="s">
        <v>24</v>
      </c>
      <c r="U227">
        <v>2.6415094339622601E-2</v>
      </c>
      <c r="V227">
        <v>0</v>
      </c>
      <c r="W227">
        <v>0</v>
      </c>
      <c r="X227">
        <v>2.2538989323695701E-2</v>
      </c>
      <c r="Y227">
        <v>5.5203429565135902E-2</v>
      </c>
      <c r="Z227">
        <v>7.9368300802511296E-2</v>
      </c>
      <c r="AA227">
        <v>0</v>
      </c>
      <c r="AB227">
        <v>1.34079996496439E-2</v>
      </c>
      <c r="AC227">
        <v>5.999999848427251E-5</v>
      </c>
      <c r="AD227">
        <v>5.2499998128041625E-4</v>
      </c>
      <c r="AE227">
        <v>1.2250000145286319E-3</v>
      </c>
      <c r="AF227">
        <f>0.16*X227 + 0.28*Y227 + 0.28*Z227 + 0.28*AA227</f>
        <v>4.128632279473253E-2</v>
      </c>
      <c r="AG227">
        <f t="shared" si="9"/>
        <v>2.6520799423451541E-3</v>
      </c>
      <c r="AH227">
        <f>IF(T227="IT_Admin", 0.25, IF(AND(T227="HR", AA227&gt;0.6), 0.25, IF(AND(T227="General", Z227&gt;0.7), 0.2, 0.1)))</f>
        <v>0.25</v>
      </c>
      <c r="AI227">
        <f>IF(V227&gt;0.7, 0.1,
 IF(F227&gt;0.5, 0.08,
 IF(E227&gt;0.5, 0.05,
 0)))</f>
        <v>0</v>
      </c>
      <c r="AJ227">
        <f t="shared" si="10"/>
        <v>1.4242352798061367E-2</v>
      </c>
      <c r="AK227">
        <f t="shared" si="11"/>
        <v>1.7802940997576708E-2</v>
      </c>
      <c r="AL227" t="str">
        <f>IF(MAX(X227, Y227, Z227, AA227)&gt;0.9,
 "Critical",
 IF(AK227&lt;=0.2,"Very Low",
 IF(AK227&lt;=0.4,"Low",
 IF(AK227&lt;=0.6,"Medium",
 IF(AK227&lt;=0.8,"High","Critical")))))</f>
        <v>Very Low</v>
      </c>
      <c r="AM227" t="str">
        <f>IF(MAX(X227:AA227)&gt;0.9,"CRITICAL ALERT",
 IF(AK227&gt;0.8,"CRITICAL ALERT",
 IF(AK227&gt;0.6,"ALERT",
 IF(AK227&gt;=0.4,"REVIEW","NO ACTION"))))</f>
        <v>NO ACTION</v>
      </c>
      <c r="AN227" t="str">
        <f>IF(AM227="NO ACTION","",
 IF(_xlfn.TEXTJOIN(", ", TRUE,
  IF(X227&gt;0.7,"Login anomaly",""),
  IF(Y227&gt;0.7,"File anomaly",""),
  IF(Z227&gt;0.7,"Network anomaly",""),
  IF(AA227&gt;0.7,"USB anomaly","")
 )="",
 "General anomaly detected",
 _xlfn.TEXTJOIN(", ", TRUE,
  IF(X227&gt;0.7,"Login anomaly",""),
  IF(Y227&gt;0.7,"File anomaly",""),
  IF(Z227&gt;0.7,"Network anomaly",""),
  IF(AA227&gt;0.7,"USB anomaly","")
 )))</f>
        <v/>
      </c>
    </row>
    <row r="228" spans="1:40" x14ac:dyDescent="0.3">
      <c r="A228" t="s">
        <v>251</v>
      </c>
      <c r="B228">
        <v>0.12892249527410199</v>
      </c>
      <c r="C228">
        <v>0</v>
      </c>
      <c r="D228">
        <v>0</v>
      </c>
      <c r="E228">
        <v>0</v>
      </c>
      <c r="F228">
        <v>1</v>
      </c>
      <c r="G228">
        <v>0.99366772866866104</v>
      </c>
      <c r="H228">
        <v>6</v>
      </c>
      <c r="I228">
        <v>6</v>
      </c>
      <c r="J228">
        <v>0.108916559324459</v>
      </c>
      <c r="K228">
        <v>3.2626427406199001E-3</v>
      </c>
      <c r="L228">
        <v>7.6349136824298801E-3</v>
      </c>
      <c r="M228">
        <v>2.1067821067820999E-2</v>
      </c>
      <c r="N228">
        <v>0.116637276864549</v>
      </c>
      <c r="O228">
        <v>293</v>
      </c>
      <c r="P228">
        <v>9.1715768799102093E-2</v>
      </c>
      <c r="Q228">
        <v>9.1868578842175294E-2</v>
      </c>
      <c r="R228">
        <v>0</v>
      </c>
      <c r="S228">
        <v>0</v>
      </c>
      <c r="T228" t="s">
        <v>24</v>
      </c>
      <c r="U228">
        <v>9.1789903110657805E-4</v>
      </c>
      <c r="V228">
        <v>0</v>
      </c>
      <c r="W228">
        <v>0</v>
      </c>
      <c r="X228">
        <v>0.4</v>
      </c>
      <c r="Y228">
        <v>6.0591951765471698E-2</v>
      </c>
      <c r="Z228">
        <v>0.10168437202528099</v>
      </c>
      <c r="AA228">
        <v>0</v>
      </c>
      <c r="AB228">
        <v>0.1190949976444244</v>
      </c>
      <c r="AC228">
        <v>3.5429999697953458E-3</v>
      </c>
      <c r="AD228">
        <v>1.582999946549535E-3</v>
      </c>
      <c r="AE228">
        <v>3.0000001061125658E-6</v>
      </c>
      <c r="AF228">
        <f>0.16*X228 + 0.28*Y228 + 0.28*Z228 + 0.28*AA228</f>
        <v>0.10943737066141077</v>
      </c>
      <c r="AG228">
        <f t="shared" si="9"/>
        <v>2.0491319599714182E-2</v>
      </c>
      <c r="AH228">
        <f>IF(T228="IT_Admin", 0.25, IF(AND(T228="HR", AA228&gt;0.6), 0.25, IF(AND(T228="General", Z228&gt;0.7), 0.2, 0.1)))</f>
        <v>0.25</v>
      </c>
      <c r="AI228">
        <f>IF(V228&gt;0.7, 0.1,
 IF(F228&gt;0.5, 0.08,
 IF(E228&gt;0.5, 0.05,
 0)))</f>
        <v>0.08</v>
      </c>
      <c r="AJ228">
        <f t="shared" si="10"/>
        <v>4.7175134918223158E-2</v>
      </c>
      <c r="AK228">
        <f t="shared" si="11"/>
        <v>6.27429294412368E-2</v>
      </c>
      <c r="AL228" t="str">
        <f>IF(MAX(X228, Y228, Z228, AA228)&gt;0.9,
 "Critical",
 IF(AK228&lt;=0.2,"Very Low",
 IF(AK228&lt;=0.4,"Low",
 IF(AK228&lt;=0.6,"Medium",
 IF(AK228&lt;=0.8,"High","Critical")))))</f>
        <v>Very Low</v>
      </c>
      <c r="AM228" t="str">
        <f>IF(MAX(X228:AA228)&gt;0.9,"CRITICAL ALERT",
 IF(AK228&gt;0.8,"CRITICAL ALERT",
 IF(AK228&gt;0.6,"ALERT",
 IF(AK228&gt;=0.4,"REVIEW","NO ACTION"))))</f>
        <v>NO ACTION</v>
      </c>
      <c r="AN228" t="str">
        <f>IF(AM228="NO ACTION","",
 IF(_xlfn.TEXTJOIN(", ", TRUE,
  IF(X228&gt;0.7,"Login anomaly",""),
  IF(Y228&gt;0.7,"File anomaly",""),
  IF(Z228&gt;0.7,"Network anomaly",""),
  IF(AA228&gt;0.7,"USB anomaly","")
 )="",
 "General anomaly detected",
 _xlfn.TEXTJOIN(", ", TRUE,
  IF(X228&gt;0.7,"Login anomaly",""),
  IF(Y228&gt;0.7,"File anomaly",""),
  IF(Z228&gt;0.7,"Network anomaly",""),
  IF(AA228&gt;0.7,"USB anomaly","")
 )))</f>
        <v/>
      </c>
    </row>
    <row r="229" spans="1:40" x14ac:dyDescent="0.3">
      <c r="A229" t="s">
        <v>252</v>
      </c>
      <c r="B229">
        <v>0.29262759924385601</v>
      </c>
      <c r="C229">
        <v>0.67304158226684097</v>
      </c>
      <c r="D229">
        <v>0.54643142180615201</v>
      </c>
      <c r="E229">
        <v>0.234218794630105</v>
      </c>
      <c r="F229">
        <v>5.7840616966580903E-2</v>
      </c>
      <c r="G229">
        <v>0.35732102920394099</v>
      </c>
      <c r="H229">
        <v>0</v>
      </c>
      <c r="I229">
        <v>23</v>
      </c>
      <c r="J229">
        <v>0.102571442202185</v>
      </c>
      <c r="K229">
        <v>8.9722675367047301E-3</v>
      </c>
      <c r="L229">
        <v>2.2291822222667599E-2</v>
      </c>
      <c r="M229">
        <v>1.7316017316017301E-3</v>
      </c>
      <c r="N229">
        <v>1.0178282660881201E-2</v>
      </c>
      <c r="O229">
        <v>1103</v>
      </c>
      <c r="P229">
        <v>8.0106621773288395E-2</v>
      </c>
      <c r="Q229">
        <v>8.02622812861601E-2</v>
      </c>
      <c r="R229">
        <v>0.32743362831858402</v>
      </c>
      <c r="S229">
        <v>1</v>
      </c>
      <c r="T229" t="s">
        <v>24</v>
      </c>
      <c r="U229">
        <v>2.6684636118598299E-2</v>
      </c>
      <c r="V229">
        <v>0</v>
      </c>
      <c r="W229">
        <v>4.2076810730292902E-2</v>
      </c>
      <c r="X229">
        <v>0.257331311717509</v>
      </c>
      <c r="Y229">
        <v>3.4713684350035197E-2</v>
      </c>
      <c r="Z229">
        <v>5.2135286128325499E-2</v>
      </c>
      <c r="AA229">
        <v>0.32743362831858402</v>
      </c>
      <c r="AB229">
        <v>0.20300100743770599</v>
      </c>
      <c r="AC229">
        <v>2.0700000459328291E-4</v>
      </c>
      <c r="AD229">
        <v>2.6970000471919779E-3</v>
      </c>
      <c r="AE229">
        <v>0.10359100252389911</v>
      </c>
      <c r="AF229">
        <f>0.16*X229 + 0.28*Y229 + 0.28*Z229 + 0.28*AA229</f>
        <v>0.15717213753794598</v>
      </c>
      <c r="AG229">
        <f t="shared" si="9"/>
        <v>6.229876191122459E-2</v>
      </c>
      <c r="AH229">
        <f>IF(T229="IT_Admin", 0.25, IF(AND(T229="HR", AA229&gt;0.6), 0.25, IF(AND(T229="General", Z229&gt;0.7), 0.2, 0.1)))</f>
        <v>0.25</v>
      </c>
      <c r="AI229">
        <f>IF(V229&gt;0.7, 0.1,
 IF(F229&gt;0.5, 0.08,
 IF(E229&gt;0.5, 0.05,
 0)))</f>
        <v>0</v>
      </c>
      <c r="AJ229">
        <f t="shared" si="10"/>
        <v>9.0760774599241006E-2</v>
      </c>
      <c r="AK229">
        <f t="shared" si="11"/>
        <v>0.11345096824905126</v>
      </c>
      <c r="AL229" t="str">
        <f>IF(MAX(X229, Y229, Z229, AA229)&gt;0.9,
 "Critical",
 IF(AK229&lt;=0.2,"Very Low",
 IF(AK229&lt;=0.4,"Low",
 IF(AK229&lt;=0.6,"Medium",
 IF(AK229&lt;=0.8,"High","Critical")))))</f>
        <v>Very Low</v>
      </c>
      <c r="AM229" t="str">
        <f>IF(MAX(X229:AA229)&gt;0.9,"CRITICAL ALERT",
 IF(AK229&gt;0.8,"CRITICAL ALERT",
 IF(AK229&gt;0.6,"ALERT",
 IF(AK229&gt;=0.4,"REVIEW","NO ACTION"))))</f>
        <v>NO ACTION</v>
      </c>
      <c r="AN229" t="str">
        <f>IF(AM229="NO ACTION","",
 IF(_xlfn.TEXTJOIN(", ", TRUE,
  IF(X229&gt;0.7,"Login anomaly",""),
  IF(Y229&gt;0.7,"File anomaly",""),
  IF(Z229&gt;0.7,"Network anomaly",""),
  IF(AA229&gt;0.7,"USB anomaly","")
 )="",
 "General anomaly detected",
 _xlfn.TEXTJOIN(", ", TRUE,
  IF(X229&gt;0.7,"Login anomaly",""),
  IF(Y229&gt;0.7,"File anomaly",""),
  IF(Z229&gt;0.7,"Network anomaly",""),
  IF(AA229&gt;0.7,"USB anomaly","")
 )))</f>
        <v/>
      </c>
    </row>
    <row r="230" spans="1:40" x14ac:dyDescent="0.3">
      <c r="A230" t="s">
        <v>253</v>
      </c>
      <c r="B230">
        <v>0.12892249527410199</v>
      </c>
      <c r="C230">
        <v>0.18476582604220201</v>
      </c>
      <c r="D230">
        <v>0</v>
      </c>
      <c r="E230">
        <v>0</v>
      </c>
      <c r="F230">
        <v>0</v>
      </c>
      <c r="G230">
        <v>0.99365555164069397</v>
      </c>
      <c r="H230">
        <v>7</v>
      </c>
      <c r="I230">
        <v>7</v>
      </c>
      <c r="J230">
        <v>0.12809503363389099</v>
      </c>
      <c r="K230">
        <v>3.4257748776508903E-2</v>
      </c>
      <c r="L230">
        <v>6.8186307177210206E-2</v>
      </c>
      <c r="M230">
        <v>6.0606060606060597E-3</v>
      </c>
      <c r="N230">
        <v>2.8538920806578699E-2</v>
      </c>
      <c r="O230">
        <v>1343</v>
      </c>
      <c r="P230">
        <v>0.111847643097643</v>
      </c>
      <c r="Q230">
        <v>0.11199551176408699</v>
      </c>
      <c r="R230">
        <v>0</v>
      </c>
      <c r="S230">
        <v>0</v>
      </c>
      <c r="T230" t="s">
        <v>24</v>
      </c>
      <c r="U230">
        <v>3.2418524871354999E-2</v>
      </c>
      <c r="V230">
        <v>0</v>
      </c>
      <c r="W230">
        <v>0</v>
      </c>
      <c r="X230">
        <v>0</v>
      </c>
      <c r="Y230">
        <v>6.8273836557356998E-2</v>
      </c>
      <c r="Z230">
        <v>7.8524154181217304E-2</v>
      </c>
      <c r="AA230">
        <v>0</v>
      </c>
      <c r="AB230">
        <v>3.6789000034332282E-2</v>
      </c>
      <c r="AC230">
        <v>4.8600000445730979E-4</v>
      </c>
      <c r="AD230">
        <v>7.6399999670684338E-4</v>
      </c>
      <c r="AE230">
        <v>1.178000005893409E-3</v>
      </c>
      <c r="AF230">
        <f>0.16*X230 + 0.28*Y230 + 0.28*Z230 + 0.28*AA230</f>
        <v>4.1103437406800808E-2</v>
      </c>
      <c r="AG230">
        <f t="shared" si="9"/>
        <v>6.5660800074692823E-3</v>
      </c>
      <c r="AH230">
        <f>IF(T230="IT_Admin", 0.25, IF(AND(T230="HR", AA230&gt;0.6), 0.25, IF(AND(T230="General", Z230&gt;0.7), 0.2, 0.1)))</f>
        <v>0.25</v>
      </c>
      <c r="AI230">
        <f>IF(V230&gt;0.7, 0.1,
 IF(F230&gt;0.5, 0.08,
 IF(E230&gt;0.5, 0.05,
 0)))</f>
        <v>0</v>
      </c>
      <c r="AJ230">
        <f t="shared" si="10"/>
        <v>1.6927287227268738E-2</v>
      </c>
      <c r="AK230">
        <f t="shared" si="11"/>
        <v>2.1159109034085924E-2</v>
      </c>
      <c r="AL230" t="str">
        <f>IF(MAX(X230, Y230, Z230, AA230)&gt;0.9,
 "Critical",
 IF(AK230&lt;=0.2,"Very Low",
 IF(AK230&lt;=0.4,"Low",
 IF(AK230&lt;=0.6,"Medium",
 IF(AK230&lt;=0.8,"High","Critical")))))</f>
        <v>Very Low</v>
      </c>
      <c r="AM230" t="str">
        <f>IF(MAX(X230:AA230)&gt;0.9,"CRITICAL ALERT",
 IF(AK230&gt;0.8,"CRITICAL ALERT",
 IF(AK230&gt;0.6,"ALERT",
 IF(AK230&gt;=0.4,"REVIEW","NO ACTION"))))</f>
        <v>NO ACTION</v>
      </c>
      <c r="AN230" t="str">
        <f>IF(AM230="NO ACTION","",
 IF(_xlfn.TEXTJOIN(", ", TRUE,
  IF(X230&gt;0.7,"Login anomaly",""),
  IF(Y230&gt;0.7,"File anomaly",""),
  IF(Z230&gt;0.7,"Network anomaly",""),
  IF(AA230&gt;0.7,"USB anomaly","")
 )="",
 "General anomaly detected",
 _xlfn.TEXTJOIN(", ", TRUE,
  IF(X230&gt;0.7,"Login anomaly",""),
  IF(Y230&gt;0.7,"File anomaly",""),
  IF(Z230&gt;0.7,"Network anomaly",""),
  IF(AA230&gt;0.7,"USB anomaly","")
 )))</f>
        <v/>
      </c>
    </row>
    <row r="231" spans="1:40" x14ac:dyDescent="0.3">
      <c r="A231" t="s">
        <v>254</v>
      </c>
      <c r="B231">
        <v>0.13119092627599199</v>
      </c>
      <c r="C231">
        <v>0.38690279812256101</v>
      </c>
      <c r="D231">
        <v>0.116198043887675</v>
      </c>
      <c r="E231">
        <v>0</v>
      </c>
      <c r="F231">
        <v>0</v>
      </c>
      <c r="G231">
        <v>0.97409252575804695</v>
      </c>
      <c r="H231">
        <v>8</v>
      </c>
      <c r="I231">
        <v>16</v>
      </c>
      <c r="J231">
        <v>0.123038022995086</v>
      </c>
      <c r="K231">
        <v>2.1207177814029299E-2</v>
      </c>
      <c r="L231">
        <v>4.39421193053781E-2</v>
      </c>
      <c r="M231">
        <v>2.3088023088023001E-3</v>
      </c>
      <c r="N231">
        <v>1.1317956209597E-2</v>
      </c>
      <c r="O231">
        <v>1286</v>
      </c>
      <c r="P231">
        <v>0.100694444444444</v>
      </c>
      <c r="Q231">
        <v>0.100845050667975</v>
      </c>
      <c r="R231">
        <v>0.48525073746312603</v>
      </c>
      <c r="S231">
        <v>1</v>
      </c>
      <c r="T231" t="s">
        <v>24</v>
      </c>
      <c r="U231">
        <v>4.9056603773584902E-2</v>
      </c>
      <c r="V231">
        <v>0</v>
      </c>
      <c r="W231">
        <v>0</v>
      </c>
      <c r="X231">
        <v>3.48594131663027E-2</v>
      </c>
      <c r="Y231">
        <v>4.9974051114585402E-2</v>
      </c>
      <c r="Z231">
        <v>6.4943849150505495E-2</v>
      </c>
      <c r="AA231">
        <v>0.48525073746312603</v>
      </c>
      <c r="AB231">
        <v>1.8657000735402111E-2</v>
      </c>
      <c r="AC231">
        <v>8.7000000348780304E-5</v>
      </c>
      <c r="AD231">
        <v>1.365000032819808E-3</v>
      </c>
      <c r="AE231">
        <v>0.23760500550270081</v>
      </c>
      <c r="AF231">
        <f>0.16*X231 + 0.28*Y231 + 0.28*Z231 + 0.28*AA231</f>
        <v>0.17362472467050918</v>
      </c>
      <c r="AG231">
        <f t="shared" si="9"/>
        <v>6.9921081667707774E-2</v>
      </c>
      <c r="AH231">
        <f>IF(T231="IT_Admin", 0.25, IF(AND(T231="HR", AA231&gt;0.6), 0.25, IF(AND(T231="General", Z231&gt;0.7), 0.2, 0.1)))</f>
        <v>0.25</v>
      </c>
      <c r="AI231">
        <f>IF(V231&gt;0.7, 0.1,
 IF(F231&gt;0.5, 0.08,
 IF(E231&gt;0.5, 0.05,
 0)))</f>
        <v>0</v>
      </c>
      <c r="AJ231">
        <f t="shared" si="10"/>
        <v>0.10103217456854818</v>
      </c>
      <c r="AK231">
        <f t="shared" si="11"/>
        <v>0.12629021821068523</v>
      </c>
      <c r="AL231" t="str">
        <f>IF(MAX(X231, Y231, Z231, AA231)&gt;0.9,
 "Critical",
 IF(AK231&lt;=0.2,"Very Low",
 IF(AK231&lt;=0.4,"Low",
 IF(AK231&lt;=0.6,"Medium",
 IF(AK231&lt;=0.8,"High","Critical")))))</f>
        <v>Very Low</v>
      </c>
      <c r="AM231" t="str">
        <f>IF(MAX(X231:AA231)&gt;0.9,"CRITICAL ALERT",
 IF(AK231&gt;0.8,"CRITICAL ALERT",
 IF(AK231&gt;0.6,"ALERT",
 IF(AK231&gt;=0.4,"REVIEW","NO ACTION"))))</f>
        <v>NO ACTION</v>
      </c>
      <c r="AN231" t="str">
        <f>IF(AM231="NO ACTION","",
 IF(_xlfn.TEXTJOIN(", ", TRUE,
  IF(X231&gt;0.7,"Login anomaly",""),
  IF(Y231&gt;0.7,"File anomaly",""),
  IF(Z231&gt;0.7,"Network anomaly",""),
  IF(AA231&gt;0.7,"USB anomaly","")
 )="",
 "General anomaly detected",
 _xlfn.TEXTJOIN(", ", TRUE,
  IF(X231&gt;0.7,"Login anomaly",""),
  IF(Y231&gt;0.7,"File anomaly",""),
  IF(Z231&gt;0.7,"Network anomaly",""),
  IF(AA231&gt;0.7,"USB anomaly","")
 )))</f>
        <v/>
      </c>
    </row>
    <row r="232" spans="1:40" x14ac:dyDescent="0.3">
      <c r="A232" t="s">
        <v>255</v>
      </c>
      <c r="B232">
        <v>0.23629489603024501</v>
      </c>
      <c r="C232">
        <v>0.58514074002554495</v>
      </c>
      <c r="D232">
        <v>0.367612035692372</v>
      </c>
      <c r="E232">
        <v>0</v>
      </c>
      <c r="F232">
        <v>0</v>
      </c>
      <c r="G232">
        <v>0.47740127902000901</v>
      </c>
      <c r="H232">
        <v>7</v>
      </c>
      <c r="I232">
        <v>13</v>
      </c>
      <c r="J232">
        <v>0.112065264061829</v>
      </c>
      <c r="K232">
        <v>1.1419249592169599E-2</v>
      </c>
      <c r="L232">
        <v>2.59729773869577E-2</v>
      </c>
      <c r="M232">
        <v>8.6580086580086493E-3</v>
      </c>
      <c r="N232">
        <v>4.65892080165657E-2</v>
      </c>
      <c r="O232">
        <v>1038</v>
      </c>
      <c r="P232">
        <v>9.1505331088664404E-2</v>
      </c>
      <c r="Q232">
        <v>9.1658192783758197E-2</v>
      </c>
      <c r="R232">
        <v>0</v>
      </c>
      <c r="S232">
        <v>0</v>
      </c>
      <c r="T232" t="s">
        <v>24</v>
      </c>
      <c r="U232">
        <v>7.6688983566646296E-3</v>
      </c>
      <c r="V232">
        <v>0</v>
      </c>
      <c r="W232">
        <v>0</v>
      </c>
      <c r="X232">
        <v>0.11028361070771101</v>
      </c>
      <c r="Y232">
        <v>4.9376303910814302E-2</v>
      </c>
      <c r="Z232">
        <v>7.3538881859824906E-2</v>
      </c>
      <c r="AA232">
        <v>0</v>
      </c>
      <c r="AB232">
        <v>1.8907999619841579E-2</v>
      </c>
      <c r="AC232">
        <v>5.3199997637420893E-4</v>
      </c>
      <c r="AD232">
        <v>1.6789999790489669E-3</v>
      </c>
      <c r="AE232">
        <v>7.0500001311302194E-3</v>
      </c>
      <c r="AF232">
        <f>0.16*X232 + 0.28*Y232 + 0.28*Z232 + 0.28*AA232</f>
        <v>5.2061629729012737E-2</v>
      </c>
      <c r="AG232">
        <f t="shared" si="9"/>
        <v>5.6183599634096037E-3</v>
      </c>
      <c r="AH232">
        <f>IF(T232="IT_Admin", 0.25, IF(AND(T232="HR", AA232&gt;0.6), 0.25, IF(AND(T232="General", Z232&gt;0.7), 0.2, 0.1)))</f>
        <v>0.25</v>
      </c>
      <c r="AI232">
        <f>IF(V232&gt;0.7, 0.1,
 IF(F232&gt;0.5, 0.08,
 IF(E232&gt;0.5, 0.05,
 0)))</f>
        <v>0</v>
      </c>
      <c r="AJ232">
        <f t="shared" si="10"/>
        <v>1.9551340893090543E-2</v>
      </c>
      <c r="AK232">
        <f t="shared" si="11"/>
        <v>2.4439176116363179E-2</v>
      </c>
      <c r="AL232" t="str">
        <f>IF(MAX(X232, Y232, Z232, AA232)&gt;0.9,
 "Critical",
 IF(AK232&lt;=0.2,"Very Low",
 IF(AK232&lt;=0.4,"Low",
 IF(AK232&lt;=0.6,"Medium",
 IF(AK232&lt;=0.8,"High","Critical")))))</f>
        <v>Very Low</v>
      </c>
      <c r="AM232" t="str">
        <f>IF(MAX(X232:AA232)&gt;0.9,"CRITICAL ALERT",
 IF(AK232&gt;0.8,"CRITICAL ALERT",
 IF(AK232&gt;0.6,"ALERT",
 IF(AK232&gt;=0.4,"REVIEW","NO ACTION"))))</f>
        <v>NO ACTION</v>
      </c>
      <c r="AN232" t="str">
        <f>IF(AM232="NO ACTION","",
 IF(_xlfn.TEXTJOIN(", ", TRUE,
  IF(X232&gt;0.7,"Login anomaly",""),
  IF(Y232&gt;0.7,"File anomaly",""),
  IF(Z232&gt;0.7,"Network anomaly",""),
  IF(AA232&gt;0.7,"USB anomaly","")
 )="",
 "General anomaly detected",
 _xlfn.TEXTJOIN(", ", TRUE,
  IF(X232&gt;0.7,"Login anomaly",""),
  IF(Y232&gt;0.7,"File anomaly",""),
  IF(Z232&gt;0.7,"Network anomaly",""),
  IF(AA232&gt;0.7,"USB anomaly","")
 )))</f>
        <v/>
      </c>
    </row>
    <row r="233" spans="1:40" x14ac:dyDescent="0.3">
      <c r="A233" t="s">
        <v>256</v>
      </c>
      <c r="B233">
        <v>0.91153119092627599</v>
      </c>
      <c r="C233">
        <v>0.94571030050006899</v>
      </c>
      <c r="D233">
        <v>0.98102419736000801</v>
      </c>
      <c r="E233">
        <v>0</v>
      </c>
      <c r="F233">
        <v>0.39006211180124201</v>
      </c>
      <c r="G233">
        <v>1.4401860692430201E-2</v>
      </c>
      <c r="H233">
        <v>0</v>
      </c>
      <c r="I233">
        <v>23</v>
      </c>
      <c r="J233">
        <v>6.5454892419254798E-2</v>
      </c>
      <c r="K233">
        <v>8.9722675367047301E-3</v>
      </c>
      <c r="L233">
        <v>3.4886620835039003E-2</v>
      </c>
      <c r="M233">
        <v>8.6580086580086504E-4</v>
      </c>
      <c r="N233">
        <v>7.9644877030497895E-3</v>
      </c>
      <c r="O233">
        <v>769</v>
      </c>
      <c r="P233">
        <v>5.2398989898989903E-2</v>
      </c>
      <c r="Q233">
        <v>5.2561450261229298E-2</v>
      </c>
      <c r="R233">
        <v>0</v>
      </c>
      <c r="S233">
        <v>0</v>
      </c>
      <c r="T233" t="s">
        <v>49</v>
      </c>
      <c r="U233">
        <v>4.6698113207547097E-2</v>
      </c>
      <c r="V233">
        <v>0</v>
      </c>
      <c r="W233">
        <v>0</v>
      </c>
      <c r="X233">
        <v>0.45033210392849898</v>
      </c>
      <c r="Y233">
        <v>3.2923635212285397E-2</v>
      </c>
      <c r="Z233">
        <v>3.4625189020613803E-2</v>
      </c>
      <c r="AA233">
        <v>0</v>
      </c>
      <c r="AB233">
        <v>0.91237401962280273</v>
      </c>
      <c r="AC233">
        <v>1.829999964684248E-4</v>
      </c>
      <c r="AD233">
        <v>6.2560001388192177E-3</v>
      </c>
      <c r="AE233">
        <v>1.7667999491095539E-2</v>
      </c>
      <c r="AF233">
        <f>0.16*X233 + 0.28*Y233 + 0.28*Z233 + 0.28*AA233</f>
        <v>9.0966807413771611E-2</v>
      </c>
      <c r="AG233">
        <f t="shared" si="9"/>
        <v>0.15272980303503572</v>
      </c>
      <c r="AH233">
        <f>IF(T233="IT_Admin", 0.25, IF(AND(T233="HR", AA233&gt;0.6), 0.25, IF(AND(T233="General", Z233&gt;0.7), 0.2, 0.1)))</f>
        <v>0.1</v>
      </c>
      <c r="AI233">
        <f>IF(V233&gt;0.7, 0.1,
 IF(F233&gt;0.5, 0.08,
 IF(E233&gt;0.5, 0.05,
 0)))</f>
        <v>0</v>
      </c>
      <c r="AJ233">
        <f t="shared" si="10"/>
        <v>0.13420090434865647</v>
      </c>
      <c r="AK233">
        <f t="shared" si="11"/>
        <v>0.14762099478352214</v>
      </c>
      <c r="AL233" t="str">
        <f>IF(MAX(X233, Y233, Z233, AA233)&gt;0.9,
 "Critical",
 IF(AK233&lt;=0.2,"Very Low",
 IF(AK233&lt;=0.4,"Low",
 IF(AK233&lt;=0.6,"Medium",
 IF(AK233&lt;=0.8,"High","Critical")))))</f>
        <v>Very Low</v>
      </c>
      <c r="AM233" t="str">
        <f>IF(MAX(X233:AA233)&gt;0.9,"CRITICAL ALERT",
 IF(AK233&gt;0.8,"CRITICAL ALERT",
 IF(AK233&gt;0.6,"ALERT",
 IF(AK233&gt;=0.4,"REVIEW","NO ACTION"))))</f>
        <v>NO ACTION</v>
      </c>
      <c r="AN233" t="str">
        <f>IF(AM233="NO ACTION","",
 IF(_xlfn.TEXTJOIN(", ", TRUE,
  IF(X233&gt;0.7,"Login anomaly",""),
  IF(Y233&gt;0.7,"File anomaly",""),
  IF(Z233&gt;0.7,"Network anomaly",""),
  IF(AA233&gt;0.7,"USB anomaly","")
 )="",
 "General anomaly detected",
 _xlfn.TEXTJOIN(", ", TRUE,
  IF(X233&gt;0.7,"Login anomaly",""),
  IF(Y233&gt;0.7,"File anomaly",""),
  IF(Z233&gt;0.7,"Network anomaly",""),
  IF(AA233&gt;0.7,"USB anomaly","")
 )))</f>
        <v/>
      </c>
    </row>
    <row r="234" spans="1:40" x14ac:dyDescent="0.3">
      <c r="A234" t="s">
        <v>257</v>
      </c>
      <c r="B234">
        <v>0.23289224952741</v>
      </c>
      <c r="C234">
        <v>0.92412713960785597</v>
      </c>
      <c r="D234">
        <v>0.34566191243590599</v>
      </c>
      <c r="E234">
        <v>0</v>
      </c>
      <c r="F234">
        <v>0</v>
      </c>
      <c r="G234">
        <v>0.48619854534850698</v>
      </c>
      <c r="H234">
        <v>9</v>
      </c>
      <c r="I234">
        <v>15</v>
      </c>
      <c r="J234">
        <v>0.12666380420781401</v>
      </c>
      <c r="K234">
        <v>2.77324632952691E-2</v>
      </c>
      <c r="L234">
        <v>5.5820977930788003E-2</v>
      </c>
      <c r="M234">
        <v>2.0202020202020202E-3</v>
      </c>
      <c r="N234">
        <v>9.6202627781575099E-3</v>
      </c>
      <c r="O234">
        <v>1353</v>
      </c>
      <c r="P234">
        <v>0.106025533108866</v>
      </c>
      <c r="Q234">
        <v>0.106174830814544</v>
      </c>
      <c r="R234">
        <v>0</v>
      </c>
      <c r="S234">
        <v>0</v>
      </c>
      <c r="T234" t="s">
        <v>24</v>
      </c>
      <c r="U234">
        <v>7.2169811320754701E-2</v>
      </c>
      <c r="V234">
        <v>0</v>
      </c>
      <c r="W234">
        <v>0</v>
      </c>
      <c r="X234">
        <v>0.103698573730771</v>
      </c>
      <c r="Y234">
        <v>5.6129328640404201E-2</v>
      </c>
      <c r="Z234">
        <v>6.7463424976582795E-2</v>
      </c>
      <c r="AA234">
        <v>0</v>
      </c>
      <c r="AB234">
        <v>6.557600200176239E-2</v>
      </c>
      <c r="AC234">
        <v>5.740000051446259E-4</v>
      </c>
      <c r="AD234">
        <v>1.2319999514147639E-3</v>
      </c>
      <c r="AE234">
        <v>4.6740001998841763E-3</v>
      </c>
      <c r="AF234">
        <f>0.16*X234 + 0.28*Y234 + 0.28*Z234 + 0.28*AA234</f>
        <v>5.1197742809679717E-2</v>
      </c>
      <c r="AG234">
        <f t="shared" si="9"/>
        <v>1.2306560364086181E-2</v>
      </c>
      <c r="AH234">
        <f>IF(T234="IT_Admin", 0.25, IF(AND(T234="HR", AA234&gt;0.6), 0.25, IF(AND(T234="General", Z234&gt;0.7), 0.2, 0.1)))</f>
        <v>0.25</v>
      </c>
      <c r="AI234">
        <f>IF(V234&gt;0.7, 0.1,
 IF(F234&gt;0.5, 0.08,
 IF(E234&gt;0.5, 0.05,
 0)))</f>
        <v>0</v>
      </c>
      <c r="AJ234">
        <f t="shared" si="10"/>
        <v>2.397391509776424E-2</v>
      </c>
      <c r="AK234">
        <f t="shared" si="11"/>
        <v>2.9967393872205299E-2</v>
      </c>
      <c r="AL234" t="str">
        <f>IF(MAX(X234, Y234, Z234, AA234)&gt;0.9,
 "Critical",
 IF(AK234&lt;=0.2,"Very Low",
 IF(AK234&lt;=0.4,"Low",
 IF(AK234&lt;=0.6,"Medium",
 IF(AK234&lt;=0.8,"High","Critical")))))</f>
        <v>Very Low</v>
      </c>
      <c r="AM234" t="str">
        <f>IF(MAX(X234:AA234)&gt;0.9,"CRITICAL ALERT",
 IF(AK234&gt;0.8,"CRITICAL ALERT",
 IF(AK234&gt;0.6,"ALERT",
 IF(AK234&gt;=0.4,"REVIEW","NO ACTION"))))</f>
        <v>NO ACTION</v>
      </c>
      <c r="AN234" t="str">
        <f>IF(AM234="NO ACTION","",
 IF(_xlfn.TEXTJOIN(", ", TRUE,
  IF(X234&gt;0.7,"Login anomaly",""),
  IF(Y234&gt;0.7,"File anomaly",""),
  IF(Z234&gt;0.7,"Network anomaly",""),
  IF(AA234&gt;0.7,"USB anomaly","")
 )="",
 "General anomaly detected",
 _xlfn.TEXTJOIN(", ", TRUE,
  IF(X234&gt;0.7,"Login anomaly",""),
  IF(Y234&gt;0.7,"File anomaly",""),
  IF(Z234&gt;0.7,"Network anomaly",""),
  IF(AA234&gt;0.7,"USB anomaly","")
 )))</f>
        <v/>
      </c>
    </row>
    <row r="235" spans="1:40" x14ac:dyDescent="0.3">
      <c r="A235" t="s">
        <v>258</v>
      </c>
      <c r="B235">
        <v>0.12892249527410199</v>
      </c>
      <c r="C235">
        <v>0.36953165208440503</v>
      </c>
      <c r="D235">
        <v>0</v>
      </c>
      <c r="E235">
        <v>0</v>
      </c>
      <c r="F235">
        <v>0</v>
      </c>
      <c r="G235">
        <v>0.99366523973766996</v>
      </c>
      <c r="H235">
        <v>8</v>
      </c>
      <c r="I235">
        <v>8</v>
      </c>
      <c r="J235">
        <v>0.11053861934068</v>
      </c>
      <c r="K235">
        <v>1.71288743882544E-2</v>
      </c>
      <c r="L235">
        <v>3.9496375173707E-2</v>
      </c>
      <c r="M235">
        <v>2.8860028860028799E-3</v>
      </c>
      <c r="N235">
        <v>1.5743754761842602E-2</v>
      </c>
      <c r="O235">
        <v>1188</v>
      </c>
      <c r="P235">
        <v>9.0032267115600403E-2</v>
      </c>
      <c r="Q235">
        <v>9.0185490374837807E-2</v>
      </c>
      <c r="R235">
        <v>0</v>
      </c>
      <c r="S235">
        <v>0</v>
      </c>
      <c r="T235" t="s">
        <v>24</v>
      </c>
      <c r="U235">
        <v>3.2418524871354999E-2</v>
      </c>
      <c r="V235">
        <v>0</v>
      </c>
      <c r="W235">
        <v>0</v>
      </c>
      <c r="X235">
        <v>0</v>
      </c>
      <c r="Y235">
        <v>4.6579037883542299E-2</v>
      </c>
      <c r="Z235">
        <v>6.0316862174097298E-2</v>
      </c>
      <c r="AA235">
        <v>0</v>
      </c>
      <c r="AB235">
        <v>2.4777999147772789E-2</v>
      </c>
      <c r="AC235">
        <v>4.9999998736893758E-6</v>
      </c>
      <c r="AD235">
        <v>2.461000112816691E-3</v>
      </c>
      <c r="AE235">
        <v>1.2379999971017239E-3</v>
      </c>
      <c r="AF235">
        <f>0.16*X235 + 0.28*Y235 + 0.28*Z235 + 0.28*AA235</f>
        <v>2.9930852016139091E-2</v>
      </c>
      <c r="AG235">
        <f t="shared" si="9"/>
        <v>5.0015998943854353E-3</v>
      </c>
      <c r="AH235">
        <f>IF(T235="IT_Admin", 0.25, IF(AND(T235="HR", AA235&gt;0.6), 0.25, IF(AND(T235="General", Z235&gt;0.7), 0.2, 0.1)))</f>
        <v>0.25</v>
      </c>
      <c r="AI235">
        <f>IF(V235&gt;0.7, 0.1,
 IF(F235&gt;0.5, 0.08,
 IF(E235&gt;0.5, 0.05,
 0)))</f>
        <v>0</v>
      </c>
      <c r="AJ235">
        <f t="shared" si="10"/>
        <v>1.2480375530911532E-2</v>
      </c>
      <c r="AK235">
        <f t="shared" si="11"/>
        <v>1.5600469413639415E-2</v>
      </c>
      <c r="AL235" t="str">
        <f>IF(MAX(X235, Y235, Z235, AA235)&gt;0.9,
 "Critical",
 IF(AK235&lt;=0.2,"Very Low",
 IF(AK235&lt;=0.4,"Low",
 IF(AK235&lt;=0.6,"Medium",
 IF(AK235&lt;=0.8,"High","Critical")))))</f>
        <v>Very Low</v>
      </c>
      <c r="AM235" t="str">
        <f>IF(MAX(X235:AA235)&gt;0.9,"CRITICAL ALERT",
 IF(AK235&gt;0.8,"CRITICAL ALERT",
 IF(AK235&gt;0.6,"ALERT",
 IF(AK235&gt;=0.4,"REVIEW","NO ACTION"))))</f>
        <v>NO ACTION</v>
      </c>
      <c r="AN235" t="str">
        <f>IF(AM235="NO ACTION","",
 IF(_xlfn.TEXTJOIN(", ", TRUE,
  IF(X235&gt;0.7,"Login anomaly",""),
  IF(Y235&gt;0.7,"File anomaly",""),
  IF(Z235&gt;0.7,"Network anomaly",""),
  IF(AA235&gt;0.7,"USB anomaly","")
 )="",
 "General anomaly detected",
 _xlfn.TEXTJOIN(", ", TRUE,
  IF(X235&gt;0.7,"Login anomaly",""),
  IF(Y235&gt;0.7,"File anomaly",""),
  IF(Z235&gt;0.7,"Network anomaly",""),
  IF(AA235&gt;0.7,"USB anomaly","")
 )))</f>
        <v/>
      </c>
    </row>
    <row r="236" spans="1:40" x14ac:dyDescent="0.3">
      <c r="A236" t="s">
        <v>259</v>
      </c>
      <c r="B236">
        <v>6.3137996219281595E-2</v>
      </c>
      <c r="C236">
        <v>0.46353531796552599</v>
      </c>
      <c r="D236">
        <v>7.5232592202921E-2</v>
      </c>
      <c r="E236">
        <v>0</v>
      </c>
      <c r="F236">
        <v>0</v>
      </c>
      <c r="G236">
        <v>0.97901179785057701</v>
      </c>
      <c r="H236">
        <v>8</v>
      </c>
      <c r="I236">
        <v>9</v>
      </c>
      <c r="J236">
        <v>3.3633891512809502E-2</v>
      </c>
      <c r="K236">
        <v>2.0391517128874301E-2</v>
      </c>
      <c r="L236">
        <v>0.15377361360386901</v>
      </c>
      <c r="M236">
        <v>9.8124098124098107E-3</v>
      </c>
      <c r="N236">
        <v>0.17506168323069701</v>
      </c>
      <c r="O236">
        <v>230</v>
      </c>
      <c r="P236">
        <v>3.8264590347923601E-2</v>
      </c>
      <c r="Q236">
        <v>3.8430520004207699E-2</v>
      </c>
      <c r="R236">
        <v>0</v>
      </c>
      <c r="S236">
        <v>0</v>
      </c>
      <c r="T236" t="s">
        <v>49</v>
      </c>
      <c r="U236">
        <v>1.21293800539083E-2</v>
      </c>
      <c r="V236">
        <v>0</v>
      </c>
      <c r="W236">
        <v>0</v>
      </c>
      <c r="X236">
        <v>2.2569777660876301E-2</v>
      </c>
      <c r="Y236">
        <v>0.136132090073705</v>
      </c>
      <c r="Z236">
        <v>9.2983427501033097E-2</v>
      </c>
      <c r="AA236">
        <v>0</v>
      </c>
      <c r="AB236">
        <v>2.2305000573396679E-2</v>
      </c>
      <c r="AC236">
        <v>1.2920999899506571E-2</v>
      </c>
      <c r="AD236">
        <v>6.4360001124441624E-3</v>
      </c>
      <c r="AE236">
        <v>1.963000046089292E-3</v>
      </c>
      <c r="AF236">
        <f>0.16*X236 + 0.28*Y236 + 0.28*Z236 + 0.28*AA236</f>
        <v>6.7763509346666875E-2</v>
      </c>
      <c r="AG236">
        <f t="shared" si="9"/>
        <v>9.5384001079946764E-3</v>
      </c>
      <c r="AH236">
        <f>IF(T236="IT_Admin", 0.25, IF(AND(T236="HR", AA236&gt;0.6), 0.25, IF(AND(T236="General", Z236&gt;0.7), 0.2, 0.1)))</f>
        <v>0.1</v>
      </c>
      <c r="AI236">
        <f>IF(V236&gt;0.7, 0.1,
 IF(F236&gt;0.5, 0.08,
 IF(E236&gt;0.5, 0.05,
 0)))</f>
        <v>0</v>
      </c>
      <c r="AJ236">
        <f t="shared" si="10"/>
        <v>2.7005932879596333E-2</v>
      </c>
      <c r="AK236">
        <f t="shared" si="11"/>
        <v>2.970652616755597E-2</v>
      </c>
      <c r="AL236" t="str">
        <f>IF(MAX(X236, Y236, Z236, AA236)&gt;0.9,
 "Critical",
 IF(AK236&lt;=0.2,"Very Low",
 IF(AK236&lt;=0.4,"Low",
 IF(AK236&lt;=0.6,"Medium",
 IF(AK236&lt;=0.8,"High","Critical")))))</f>
        <v>Very Low</v>
      </c>
      <c r="AM236" t="str">
        <f>IF(MAX(X236:AA236)&gt;0.9,"CRITICAL ALERT",
 IF(AK236&gt;0.8,"CRITICAL ALERT",
 IF(AK236&gt;0.6,"ALERT",
 IF(AK236&gt;=0.4,"REVIEW","NO ACTION"))))</f>
        <v>NO ACTION</v>
      </c>
      <c r="AN236" t="str">
        <f>IF(AM236="NO ACTION","",
 IF(_xlfn.TEXTJOIN(", ", TRUE,
  IF(X236&gt;0.7,"Login anomaly",""),
  IF(Y236&gt;0.7,"File anomaly",""),
  IF(Z236&gt;0.7,"Network anomaly",""),
  IF(AA236&gt;0.7,"USB anomaly","")
 )="",
 "General anomaly detected",
 _xlfn.TEXTJOIN(", ", TRUE,
  IF(X236&gt;0.7,"Login anomaly",""),
  IF(Y236&gt;0.7,"File anomaly",""),
  IF(Z236&gt;0.7,"Network anomaly",""),
  IF(AA236&gt;0.7,"USB anomaly","")
 )))</f>
        <v/>
      </c>
    </row>
    <row r="237" spans="1:40" x14ac:dyDescent="0.3">
      <c r="A237" t="s">
        <v>260</v>
      </c>
      <c r="B237">
        <v>0.12892249527410199</v>
      </c>
      <c r="C237">
        <v>0.36953165208440503</v>
      </c>
      <c r="D237">
        <v>0</v>
      </c>
      <c r="E237">
        <v>0</v>
      </c>
      <c r="F237">
        <v>0</v>
      </c>
      <c r="G237">
        <v>0.99366705960118995</v>
      </c>
      <c r="H237">
        <v>8</v>
      </c>
      <c r="I237">
        <v>8</v>
      </c>
      <c r="J237">
        <v>0.123705930060588</v>
      </c>
      <c r="K237">
        <v>1.30505709624796E-2</v>
      </c>
      <c r="L237">
        <v>2.6895585073748299E-2</v>
      </c>
      <c r="M237">
        <v>3.4632034632034602E-3</v>
      </c>
      <c r="N237">
        <v>1.6885449679906898E-2</v>
      </c>
      <c r="O237">
        <v>552</v>
      </c>
      <c r="P237">
        <v>9.8239337822671094E-2</v>
      </c>
      <c r="Q237">
        <v>9.8390546653108396E-2</v>
      </c>
      <c r="R237">
        <v>0</v>
      </c>
      <c r="S237">
        <v>0</v>
      </c>
      <c r="T237" t="s">
        <v>24</v>
      </c>
      <c r="U237">
        <v>2.0899854862119E-2</v>
      </c>
      <c r="V237">
        <v>0</v>
      </c>
      <c r="W237">
        <v>0</v>
      </c>
      <c r="X237">
        <v>0</v>
      </c>
      <c r="Y237">
        <v>4.3254613452963997E-2</v>
      </c>
      <c r="Z237">
        <v>6.5697782565565396E-2</v>
      </c>
      <c r="AA237">
        <v>0</v>
      </c>
      <c r="AB237">
        <v>2.4761000648140911E-2</v>
      </c>
      <c r="AC237">
        <v>1.380000030621886E-4</v>
      </c>
      <c r="AD237">
        <v>1.751999952830374E-3</v>
      </c>
      <c r="AE237">
        <v>2.103999955579638E-3</v>
      </c>
      <c r="AF237">
        <f>0.16*X237 + 0.28*Y237 + 0.28*Z237 + 0.28*AA237</f>
        <v>3.0506670885188235E-2</v>
      </c>
      <c r="AG237">
        <f t="shared" si="9"/>
        <v>5.0800800789147617E-3</v>
      </c>
      <c r="AH237">
        <f>IF(T237="IT_Admin", 0.25, IF(AND(T237="HR", AA237&gt;0.6), 0.25, IF(AND(T237="General", Z237&gt;0.7), 0.2, 0.1)))</f>
        <v>0.25</v>
      </c>
      <c r="AI237">
        <f>IF(V237&gt;0.7, 0.1,
 IF(F237&gt;0.5, 0.08,
 IF(E237&gt;0.5, 0.05,
 0)))</f>
        <v>0</v>
      </c>
      <c r="AJ237">
        <f t="shared" si="10"/>
        <v>1.2708057320796804E-2</v>
      </c>
      <c r="AK237">
        <f t="shared" si="11"/>
        <v>1.5885071650996004E-2</v>
      </c>
      <c r="AL237" t="str">
        <f>IF(MAX(X237, Y237, Z237, AA237)&gt;0.9,
 "Critical",
 IF(AK237&lt;=0.2,"Very Low",
 IF(AK237&lt;=0.4,"Low",
 IF(AK237&lt;=0.6,"Medium",
 IF(AK237&lt;=0.8,"High","Critical")))))</f>
        <v>Very Low</v>
      </c>
      <c r="AM237" t="str">
        <f>IF(MAX(X237:AA237)&gt;0.9,"CRITICAL ALERT",
 IF(AK237&gt;0.8,"CRITICAL ALERT",
 IF(AK237&gt;0.6,"ALERT",
 IF(AK237&gt;=0.4,"REVIEW","NO ACTION"))))</f>
        <v>NO ACTION</v>
      </c>
      <c r="AN237" t="str">
        <f>IF(AM237="NO ACTION","",
 IF(_xlfn.TEXTJOIN(", ", TRUE,
  IF(X237&gt;0.7,"Login anomaly",""),
  IF(Y237&gt;0.7,"File anomaly",""),
  IF(Z237&gt;0.7,"Network anomaly",""),
  IF(AA237&gt;0.7,"USB anomaly","")
 )="",
 "General anomaly detected",
 _xlfn.TEXTJOIN(", ", TRUE,
  IF(X237&gt;0.7,"Login anomaly",""),
  IF(Y237&gt;0.7,"File anomaly",""),
  IF(Z237&gt;0.7,"Network anomaly",""),
  IF(AA237&gt;0.7,"USB anomaly","")
 )))</f>
        <v/>
      </c>
    </row>
    <row r="238" spans="1:40" x14ac:dyDescent="0.3">
      <c r="A238" t="s">
        <v>261</v>
      </c>
      <c r="B238">
        <v>0.12892249527410199</v>
      </c>
      <c r="C238">
        <v>0.18476582604220201</v>
      </c>
      <c r="D238">
        <v>0</v>
      </c>
      <c r="E238">
        <v>0</v>
      </c>
      <c r="F238">
        <v>0</v>
      </c>
      <c r="G238">
        <v>0.99365750531770802</v>
      </c>
      <c r="H238">
        <v>7</v>
      </c>
      <c r="I238">
        <v>7</v>
      </c>
      <c r="J238">
        <v>0.13811363961643</v>
      </c>
      <c r="K238">
        <v>1.7944535073409401E-2</v>
      </c>
      <c r="L238">
        <v>3.3130259924033602E-2</v>
      </c>
      <c r="M238">
        <v>5.4834054834054799E-3</v>
      </c>
      <c r="N238">
        <v>2.3951136985619698E-2</v>
      </c>
      <c r="O238">
        <v>1431</v>
      </c>
      <c r="P238">
        <v>0.111917789001122</v>
      </c>
      <c r="Q238">
        <v>0.112065640450226</v>
      </c>
      <c r="R238">
        <v>0</v>
      </c>
      <c r="S238">
        <v>0</v>
      </c>
      <c r="T238" t="s">
        <v>24</v>
      </c>
      <c r="U238">
        <v>1.86792452830188E-2</v>
      </c>
      <c r="V238">
        <v>0</v>
      </c>
      <c r="W238">
        <v>0</v>
      </c>
      <c r="X238">
        <v>0</v>
      </c>
      <c r="Y238">
        <v>5.1373198980988799E-2</v>
      </c>
      <c r="Z238">
        <v>7.6731128194921297E-2</v>
      </c>
      <c r="AA238">
        <v>0</v>
      </c>
      <c r="AB238">
        <v>3.6752000451087952E-2</v>
      </c>
      <c r="AC238">
        <v>1.130000018747523E-4</v>
      </c>
      <c r="AD238">
        <v>8.0500001786276698E-4</v>
      </c>
      <c r="AE238">
        <v>1.102000009268522E-3</v>
      </c>
      <c r="AF238">
        <f>0.16*X238 + 0.28*Y238 + 0.28*Z238 + 0.28*AA238</f>
        <v>3.5869211609254832E-2</v>
      </c>
      <c r="AG238">
        <f t="shared" si="9"/>
        <v>6.4459200802957639E-3</v>
      </c>
      <c r="AH238">
        <f>IF(T238="IT_Admin", 0.25, IF(AND(T238="HR", AA238&gt;0.6), 0.25, IF(AND(T238="General", Z238&gt;0.7), 0.2, 0.1)))</f>
        <v>0.25</v>
      </c>
      <c r="AI238">
        <f>IF(V238&gt;0.7, 0.1,
 IF(F238&gt;0.5, 0.08,
 IF(E238&gt;0.5, 0.05,
 0)))</f>
        <v>0</v>
      </c>
      <c r="AJ238">
        <f t="shared" si="10"/>
        <v>1.5272907538983483E-2</v>
      </c>
      <c r="AK238">
        <f t="shared" si="11"/>
        <v>1.9091134423729353E-2</v>
      </c>
      <c r="AL238" t="str">
        <f>IF(MAX(X238, Y238, Z238, AA238)&gt;0.9,
 "Critical",
 IF(AK238&lt;=0.2,"Very Low",
 IF(AK238&lt;=0.4,"Low",
 IF(AK238&lt;=0.6,"Medium",
 IF(AK238&lt;=0.8,"High","Critical")))))</f>
        <v>Very Low</v>
      </c>
      <c r="AM238" t="str">
        <f>IF(MAX(X238:AA238)&gt;0.9,"CRITICAL ALERT",
 IF(AK238&gt;0.8,"CRITICAL ALERT",
 IF(AK238&gt;0.6,"ALERT",
 IF(AK238&gt;=0.4,"REVIEW","NO ACTION"))))</f>
        <v>NO ACTION</v>
      </c>
      <c r="AN238" t="str">
        <f>IF(AM238="NO ACTION","",
 IF(_xlfn.TEXTJOIN(", ", TRUE,
  IF(X238&gt;0.7,"Login anomaly",""),
  IF(Y238&gt;0.7,"File anomaly",""),
  IF(Z238&gt;0.7,"Network anomaly",""),
  IF(AA238&gt;0.7,"USB anomaly","")
 )="",
 "General anomaly detected",
 _xlfn.TEXTJOIN(", ", TRUE,
  IF(X238&gt;0.7,"Login anomaly",""),
  IF(Y238&gt;0.7,"File anomaly",""),
  IF(Z238&gt;0.7,"Network anomaly",""),
  IF(AA238&gt;0.7,"USB anomaly","")
 )))</f>
        <v/>
      </c>
    </row>
    <row r="239" spans="1:40" x14ac:dyDescent="0.3">
      <c r="A239" t="s">
        <v>262</v>
      </c>
      <c r="B239">
        <v>0.24688090737240001</v>
      </c>
      <c r="C239">
        <v>0.45080611742108201</v>
      </c>
      <c r="D239">
        <v>0.47245826653925399</v>
      </c>
      <c r="E239">
        <v>0.13867749027566301</v>
      </c>
      <c r="F239">
        <v>0.55251141552511396</v>
      </c>
      <c r="G239">
        <v>0.45068443627849503</v>
      </c>
      <c r="H239">
        <v>0</v>
      </c>
      <c r="I239">
        <v>23</v>
      </c>
      <c r="J239">
        <v>0.107342206955775</v>
      </c>
      <c r="K239">
        <v>6.5252854812398002E-3</v>
      </c>
      <c r="L239">
        <v>1.5493288253126E-2</v>
      </c>
      <c r="M239">
        <v>2.8860028860028799E-3</v>
      </c>
      <c r="N239">
        <v>1.6211529293569199E-2</v>
      </c>
      <c r="O239">
        <v>507</v>
      </c>
      <c r="P239">
        <v>8.3122895622895598E-2</v>
      </c>
      <c r="Q239">
        <v>8.3277814790139904E-2</v>
      </c>
      <c r="R239">
        <v>0.68289085545722705</v>
      </c>
      <c r="S239">
        <v>1</v>
      </c>
      <c r="T239" t="s">
        <v>24</v>
      </c>
      <c r="U239">
        <v>1.2349914236706601E-2</v>
      </c>
      <c r="V239">
        <v>0</v>
      </c>
      <c r="W239">
        <v>0.27935032647457098</v>
      </c>
      <c r="X239">
        <v>0.40434529325452101</v>
      </c>
      <c r="Y239">
        <v>3.4078544305788702E-2</v>
      </c>
      <c r="Z239">
        <v>5.6358349091165001E-2</v>
      </c>
      <c r="AA239">
        <v>0.68289085545722705</v>
      </c>
      <c r="AB239">
        <v>0.1992889940738678</v>
      </c>
      <c r="AC239">
        <v>4.290000069886446E-4</v>
      </c>
      <c r="AD239">
        <v>2.2360000293701891E-3</v>
      </c>
      <c r="AE239">
        <v>0.42917799949646002</v>
      </c>
      <c r="AF239">
        <f>0.16*X239 + 0.28*Y239 + 0.28*Z239 + 0.28*AA239</f>
        <v>0.28122701659989402</v>
      </c>
      <c r="AG239">
        <f t="shared" si="9"/>
        <v>0.15280227892100814</v>
      </c>
      <c r="AH239">
        <f>IF(T239="IT_Admin", 0.25, IF(AND(T239="HR", AA239&gt;0.6), 0.25, IF(AND(T239="General", Z239&gt;0.7), 0.2, 0.1)))</f>
        <v>0.25</v>
      </c>
      <c r="AI239">
        <f>IF(V239&gt;0.7, 0.1,
 IF(F239&gt;0.5, 0.08,
 IF(E239&gt;0.5, 0.05,
 0)))</f>
        <v>0.08</v>
      </c>
      <c r="AJ239">
        <f t="shared" si="10"/>
        <v>0.19132970022467388</v>
      </c>
      <c r="AK239">
        <f t="shared" si="11"/>
        <v>0.25446850129881626</v>
      </c>
      <c r="AL239" t="str">
        <f>IF(MAX(X239, Y239, Z239, AA239)&gt;0.9,
 "Critical",
 IF(AK239&lt;=0.2,"Very Low",
 IF(AK239&lt;=0.4,"Low",
 IF(AK239&lt;=0.6,"Medium",
 IF(AK239&lt;=0.8,"High","Critical")))))</f>
        <v>Low</v>
      </c>
      <c r="AM239" t="str">
        <f>IF(MAX(X239:AA239)&gt;0.9,"CRITICAL ALERT",
 IF(AK239&gt;0.8,"CRITICAL ALERT",
 IF(AK239&gt;0.6,"ALERT",
 IF(AK239&gt;=0.4,"REVIEW","NO ACTION"))))</f>
        <v>NO ACTION</v>
      </c>
      <c r="AN239" t="str">
        <f>IF(AM239="NO ACTION","",
 IF(_xlfn.TEXTJOIN(", ", TRUE,
  IF(X239&gt;0.7,"Login anomaly",""),
  IF(Y239&gt;0.7,"File anomaly",""),
  IF(Z239&gt;0.7,"Network anomaly",""),
  IF(AA239&gt;0.7,"USB anomaly","")
 )="",
 "General anomaly detected",
 _xlfn.TEXTJOIN(", ", TRUE,
  IF(X239&gt;0.7,"Login anomaly",""),
  IF(Y239&gt;0.7,"File anomaly",""),
  IF(Z239&gt;0.7,"Network anomaly",""),
  IF(AA239&gt;0.7,"USB anomaly","")
 )))</f>
        <v/>
      </c>
    </row>
    <row r="240" spans="1:40" x14ac:dyDescent="0.3">
      <c r="A240" t="s">
        <v>263</v>
      </c>
      <c r="B240">
        <v>0.12892249527410199</v>
      </c>
      <c r="C240">
        <v>0.18476582604220201</v>
      </c>
      <c r="D240">
        <v>0</v>
      </c>
      <c r="E240">
        <v>0</v>
      </c>
      <c r="F240">
        <v>0</v>
      </c>
      <c r="G240">
        <v>0.99366655110991198</v>
      </c>
      <c r="H240">
        <v>7</v>
      </c>
      <c r="I240">
        <v>7</v>
      </c>
      <c r="J240">
        <v>0.12155908592147301</v>
      </c>
      <c r="K240">
        <v>2.1207177814029299E-2</v>
      </c>
      <c r="L240">
        <v>4.4475689888404599E-2</v>
      </c>
      <c r="M240">
        <v>2.59740259740259E-3</v>
      </c>
      <c r="N240">
        <v>1.28873085394824E-2</v>
      </c>
      <c r="O240">
        <v>1301</v>
      </c>
      <c r="P240">
        <v>9.9747474747474696E-2</v>
      </c>
      <c r="Q240">
        <v>9.9898313405098305E-2</v>
      </c>
      <c r="R240">
        <v>0</v>
      </c>
      <c r="S240">
        <v>0</v>
      </c>
      <c r="T240" t="s">
        <v>24</v>
      </c>
      <c r="U240">
        <v>4.4150943396226397E-2</v>
      </c>
      <c r="V240">
        <v>0</v>
      </c>
      <c r="W240">
        <v>0</v>
      </c>
      <c r="X240">
        <v>0</v>
      </c>
      <c r="Y240">
        <v>5.0415854690341697E-2</v>
      </c>
      <c r="Z240">
        <v>6.5003408264277807E-2</v>
      </c>
      <c r="AA240">
        <v>0</v>
      </c>
      <c r="AB240">
        <v>3.678400069475174E-2</v>
      </c>
      <c r="AC240">
        <v>4.400000034365803E-5</v>
      </c>
      <c r="AD240">
        <v>1.716000027954578E-3</v>
      </c>
      <c r="AE240">
        <v>1.1449999874457719E-3</v>
      </c>
      <c r="AF240">
        <f>0.16*X240 + 0.28*Y240 + 0.28*Z240 + 0.28*AA240</f>
        <v>3.2317393627293467E-2</v>
      </c>
      <c r="AG240">
        <f t="shared" si="9"/>
        <v>6.6988401155686E-3</v>
      </c>
      <c r="AH240">
        <f>IF(T240="IT_Admin", 0.25, IF(AND(T240="HR", AA240&gt;0.6), 0.25, IF(AND(T240="General", Z240&gt;0.7), 0.2, 0.1)))</f>
        <v>0.25</v>
      </c>
      <c r="AI240">
        <f>IF(V240&gt;0.7, 0.1,
 IF(F240&gt;0.5, 0.08,
 IF(E240&gt;0.5, 0.05,
 0)))</f>
        <v>0</v>
      </c>
      <c r="AJ240">
        <f t="shared" si="10"/>
        <v>1.438440616908606E-2</v>
      </c>
      <c r="AK240">
        <f t="shared" si="11"/>
        <v>1.7980507711357577E-2</v>
      </c>
      <c r="AL240" t="str">
        <f>IF(MAX(X240, Y240, Z240, AA240)&gt;0.9,
 "Critical",
 IF(AK240&lt;=0.2,"Very Low",
 IF(AK240&lt;=0.4,"Low",
 IF(AK240&lt;=0.6,"Medium",
 IF(AK240&lt;=0.8,"High","Critical")))))</f>
        <v>Very Low</v>
      </c>
      <c r="AM240" t="str">
        <f>IF(MAX(X240:AA240)&gt;0.9,"CRITICAL ALERT",
 IF(AK240&gt;0.8,"CRITICAL ALERT",
 IF(AK240&gt;0.6,"ALERT",
 IF(AK240&gt;=0.4,"REVIEW","NO ACTION"))))</f>
        <v>NO ACTION</v>
      </c>
      <c r="AN240" t="str">
        <f>IF(AM240="NO ACTION","",
 IF(_xlfn.TEXTJOIN(", ", TRUE,
  IF(X240&gt;0.7,"Login anomaly",""),
  IF(Y240&gt;0.7,"File anomaly",""),
  IF(Z240&gt;0.7,"Network anomaly",""),
  IF(AA240&gt;0.7,"USB anomaly","")
 )="",
 "General anomaly detected",
 _xlfn.TEXTJOIN(", ", TRUE,
  IF(X240&gt;0.7,"Login anomaly",""),
  IF(Y240&gt;0.7,"File anomaly",""),
  IF(Z240&gt;0.7,"Network anomaly",""),
  IF(AA240&gt;0.7,"USB anomaly","")
 )))</f>
        <v/>
      </c>
    </row>
    <row r="241" spans="1:40" x14ac:dyDescent="0.3">
      <c r="A241" t="s">
        <v>264</v>
      </c>
      <c r="B241">
        <v>0.14328922495274099</v>
      </c>
      <c r="C241">
        <v>0.19344933744888501</v>
      </c>
      <c r="D241">
        <v>0.48815499262918999</v>
      </c>
      <c r="E241">
        <v>0.118944009283434</v>
      </c>
      <c r="F241">
        <v>0.51697127937336795</v>
      </c>
      <c r="G241">
        <v>0.88003583241694505</v>
      </c>
      <c r="H241">
        <v>0</v>
      </c>
      <c r="I241">
        <v>23</v>
      </c>
      <c r="J241">
        <v>0.105815562234626</v>
      </c>
      <c r="K241">
        <v>1.2234910277324601E-2</v>
      </c>
      <c r="L241">
        <v>2.9468087897097699E-2</v>
      </c>
      <c r="M241">
        <v>2.3088023088023001E-3</v>
      </c>
      <c r="N241">
        <v>1.3155914910300799E-2</v>
      </c>
      <c r="O241">
        <v>1128</v>
      </c>
      <c r="P241">
        <v>8.4175084175084097E-2</v>
      </c>
      <c r="Q241">
        <v>8.4329745082225793E-2</v>
      </c>
      <c r="R241">
        <v>0</v>
      </c>
      <c r="S241">
        <v>0</v>
      </c>
      <c r="T241" t="s">
        <v>24</v>
      </c>
      <c r="U241">
        <v>2.83018867924528E-2</v>
      </c>
      <c r="V241">
        <v>0</v>
      </c>
      <c r="W241">
        <v>0</v>
      </c>
      <c r="X241">
        <v>0.388918212323134</v>
      </c>
      <c r="Y241">
        <v>3.9843930868564401E-2</v>
      </c>
      <c r="Z241">
        <v>5.57674164691708E-2</v>
      </c>
      <c r="AA241">
        <v>0</v>
      </c>
      <c r="AB241">
        <v>0.20135900378227231</v>
      </c>
      <c r="AC241">
        <v>9.0000001364387572E-5</v>
      </c>
      <c r="AD241">
        <v>2.7320000808686018E-3</v>
      </c>
      <c r="AE241">
        <v>9.7449999302625656E-3</v>
      </c>
      <c r="AF241">
        <f>0.16*X241 + 0.28*Y241 + 0.28*Z241 + 0.28*AA241</f>
        <v>8.8998091226267312E-2</v>
      </c>
      <c r="AG241">
        <f t="shared" si="9"/>
        <v>3.5736200608662332E-2</v>
      </c>
      <c r="AH241">
        <f>IF(T241="IT_Admin", 0.25, IF(AND(T241="HR", AA241&gt;0.6), 0.25, IF(AND(T241="General", Z241&gt;0.7), 0.2, 0.1)))</f>
        <v>0.25</v>
      </c>
      <c r="AI241">
        <f>IF(V241&gt;0.7, 0.1,
 IF(F241&gt;0.5, 0.08,
 IF(E241&gt;0.5, 0.05,
 0)))</f>
        <v>0.08</v>
      </c>
      <c r="AJ241">
        <f t="shared" si="10"/>
        <v>5.1714767793943822E-2</v>
      </c>
      <c r="AK241">
        <f t="shared" si="11"/>
        <v>6.8780641165945289E-2</v>
      </c>
      <c r="AL241" t="str">
        <f>IF(MAX(X241, Y241, Z241, AA241)&gt;0.9,
 "Critical",
 IF(AK241&lt;=0.2,"Very Low",
 IF(AK241&lt;=0.4,"Low",
 IF(AK241&lt;=0.6,"Medium",
 IF(AK241&lt;=0.8,"High","Critical")))))</f>
        <v>Very Low</v>
      </c>
      <c r="AM241" t="str">
        <f>IF(MAX(X241:AA241)&gt;0.9,"CRITICAL ALERT",
 IF(AK241&gt;0.8,"CRITICAL ALERT",
 IF(AK241&gt;0.6,"ALERT",
 IF(AK241&gt;=0.4,"REVIEW","NO ACTION"))))</f>
        <v>NO ACTION</v>
      </c>
      <c r="AN241" t="str">
        <f>IF(AM241="NO ACTION","",
 IF(_xlfn.TEXTJOIN(", ", TRUE,
  IF(X241&gt;0.7,"Login anomaly",""),
  IF(Y241&gt;0.7,"File anomaly",""),
  IF(Z241&gt;0.7,"Network anomaly",""),
  IF(AA241&gt;0.7,"USB anomaly","")
 )="",
 "General anomaly detected",
 _xlfn.TEXTJOIN(", ", TRUE,
  IF(X241&gt;0.7,"Login anomaly",""),
  IF(Y241&gt;0.7,"File anomaly",""),
  IF(Z241&gt;0.7,"Network anomaly",""),
  IF(AA241&gt;0.7,"USB anomaly","")
 )))</f>
        <v/>
      </c>
    </row>
    <row r="242" spans="1:40" x14ac:dyDescent="0.3">
      <c r="A242" t="s">
        <v>265</v>
      </c>
      <c r="B242">
        <v>0.14744801512287301</v>
      </c>
      <c r="C242">
        <v>0.35546318817256201</v>
      </c>
      <c r="D242">
        <v>0.42397455722739702</v>
      </c>
      <c r="E242">
        <v>0.92498589960518895</v>
      </c>
      <c r="F242">
        <v>0.12436548223350199</v>
      </c>
      <c r="G242">
        <v>0.85126666970311204</v>
      </c>
      <c r="H242">
        <v>0</v>
      </c>
      <c r="I242">
        <v>23</v>
      </c>
      <c r="J242">
        <v>0.13033729306807801</v>
      </c>
      <c r="K242">
        <v>3.5073409461663901E-2</v>
      </c>
      <c r="L242">
        <v>6.8611010936443298E-2</v>
      </c>
      <c r="M242">
        <v>2.8860028860028799E-3</v>
      </c>
      <c r="N242">
        <v>1.33565942846176E-2</v>
      </c>
      <c r="O242">
        <v>1330</v>
      </c>
      <c r="P242">
        <v>0.11230359147025799</v>
      </c>
      <c r="Q242">
        <v>0.112451348223991</v>
      </c>
      <c r="R242">
        <v>0</v>
      </c>
      <c r="S242">
        <v>0</v>
      </c>
      <c r="T242" t="s">
        <v>24</v>
      </c>
      <c r="U242">
        <v>6.6380789022298395E-2</v>
      </c>
      <c r="V242">
        <v>0</v>
      </c>
      <c r="W242">
        <v>0</v>
      </c>
      <c r="X242">
        <v>0.45443432994317601</v>
      </c>
      <c r="Y242">
        <v>6.4379942367222706E-2</v>
      </c>
      <c r="Z242">
        <v>7.2724792596001897E-2</v>
      </c>
      <c r="AA242">
        <v>0</v>
      </c>
      <c r="AB242">
        <v>0.70078998804092407</v>
      </c>
      <c r="AC242">
        <v>8.8700000196695328E-4</v>
      </c>
      <c r="AD242">
        <v>4.9700000090524554E-4</v>
      </c>
      <c r="AE242">
        <v>2.2200999781489369E-2</v>
      </c>
      <c r="AF242">
        <f>0.16*X242 + 0.28*Y242 + 0.28*Z242 + 0.28*AA242</f>
        <v>0.11109881858061105</v>
      </c>
      <c r="AG242">
        <f t="shared" si="9"/>
        <v>0.11873019802616909</v>
      </c>
      <c r="AH242">
        <f>IF(T242="IT_Admin", 0.25, IF(AND(T242="HR", AA242&gt;0.6), 0.25, IF(AND(T242="General", Z242&gt;0.7), 0.2, 0.1)))</f>
        <v>0.25</v>
      </c>
      <c r="AI242">
        <f>IF(V242&gt;0.7, 0.1,
 IF(F242&gt;0.5, 0.08,
 IF(E242&gt;0.5, 0.05,
 0)))</f>
        <v>0.05</v>
      </c>
      <c r="AJ242">
        <f t="shared" si="10"/>
        <v>0.11644078419250167</v>
      </c>
      <c r="AK242">
        <f t="shared" si="11"/>
        <v>0.15137301945025217</v>
      </c>
      <c r="AL242" t="str">
        <f>IF(MAX(X242, Y242, Z242, AA242)&gt;0.9,
 "Critical",
 IF(AK242&lt;=0.2,"Very Low",
 IF(AK242&lt;=0.4,"Low",
 IF(AK242&lt;=0.6,"Medium",
 IF(AK242&lt;=0.8,"High","Critical")))))</f>
        <v>Very Low</v>
      </c>
      <c r="AM242" t="str">
        <f>IF(MAX(X242:AA242)&gt;0.9,"CRITICAL ALERT",
 IF(AK242&gt;0.8,"CRITICAL ALERT",
 IF(AK242&gt;0.6,"ALERT",
 IF(AK242&gt;=0.4,"REVIEW","NO ACTION"))))</f>
        <v>NO ACTION</v>
      </c>
      <c r="AN242" t="str">
        <f>IF(AM242="NO ACTION","",
 IF(_xlfn.TEXTJOIN(", ", TRUE,
  IF(X242&gt;0.7,"Login anomaly",""),
  IF(Y242&gt;0.7,"File anomaly",""),
  IF(Z242&gt;0.7,"Network anomaly",""),
  IF(AA242&gt;0.7,"USB anomaly","")
 )="",
 "General anomaly detected",
 _xlfn.TEXTJOIN(", ", TRUE,
  IF(X242&gt;0.7,"Login anomaly",""),
  IF(Y242&gt;0.7,"File anomaly",""),
  IF(Z242&gt;0.7,"Network anomaly",""),
  IF(AA242&gt;0.7,"USB anomaly","")
 )))</f>
        <v/>
      </c>
    </row>
    <row r="243" spans="1:40" x14ac:dyDescent="0.3">
      <c r="A243" t="s">
        <v>266</v>
      </c>
      <c r="B243">
        <v>0.15047258979205999</v>
      </c>
      <c r="C243">
        <v>0.40905866959592102</v>
      </c>
      <c r="D243">
        <v>0.498587485191685</v>
      </c>
      <c r="E243">
        <v>0.22664455500276301</v>
      </c>
      <c r="F243">
        <v>0.121890547263681</v>
      </c>
      <c r="G243">
        <v>0.831308811987576</v>
      </c>
      <c r="H243">
        <v>0</v>
      </c>
      <c r="I243">
        <v>23</v>
      </c>
      <c r="J243">
        <v>0.15175802681169701</v>
      </c>
      <c r="K243">
        <v>0.43230016313213698</v>
      </c>
      <c r="L243">
        <v>0.72649103325971198</v>
      </c>
      <c r="M243">
        <v>2.3088023088023001E-3</v>
      </c>
      <c r="N243">
        <v>9.1794095560573906E-3</v>
      </c>
      <c r="O243">
        <v>629</v>
      </c>
      <c r="P243">
        <v>0.298576038159371</v>
      </c>
      <c r="Q243">
        <v>0.29867807426627802</v>
      </c>
      <c r="R243">
        <v>0</v>
      </c>
      <c r="S243">
        <v>0</v>
      </c>
      <c r="T243" t="s">
        <v>24</v>
      </c>
      <c r="U243">
        <v>0.999999999999999</v>
      </c>
      <c r="V243">
        <v>0</v>
      </c>
      <c r="W243">
        <v>0</v>
      </c>
      <c r="X243">
        <v>0.26632583096380702</v>
      </c>
      <c r="Y243">
        <v>0.39635094485901201</v>
      </c>
      <c r="Z243">
        <v>0.18281738671804501</v>
      </c>
      <c r="AA243">
        <v>0</v>
      </c>
      <c r="AB243">
        <v>0.17379400134086609</v>
      </c>
      <c r="AC243">
        <v>0.5546029806137085</v>
      </c>
      <c r="AD243">
        <v>1.9858000800013539E-2</v>
      </c>
      <c r="AE243">
        <v>4.2670001275837421E-3</v>
      </c>
      <c r="AF243">
        <f>0.16*X243 + 0.28*Y243 + 0.28*Z243 + 0.28*AA243</f>
        <v>0.20477926579578509</v>
      </c>
      <c r="AG243">
        <f t="shared" si="9"/>
        <v>0.18985087504610421</v>
      </c>
      <c r="AH243">
        <f>IF(T243="IT_Admin", 0.25, IF(AND(T243="HR", AA243&gt;0.6), 0.25, IF(AND(T243="General", Z243&gt;0.7), 0.2, 0.1)))</f>
        <v>0.25</v>
      </c>
      <c r="AI243">
        <f>IF(V243&gt;0.7, 0.1,
 IF(F243&gt;0.5, 0.08,
 IF(E243&gt;0.5, 0.05,
 0)))</f>
        <v>0</v>
      </c>
      <c r="AJ243">
        <f t="shared" si="10"/>
        <v>0.19432939227100848</v>
      </c>
      <c r="AK243">
        <f t="shared" si="11"/>
        <v>0.24291174033876062</v>
      </c>
      <c r="AL243" t="str">
        <f>IF(MAX(X243, Y243, Z243, AA243)&gt;0.9,
 "Critical",
 IF(AK243&lt;=0.2,"Very Low",
 IF(AK243&lt;=0.4,"Low",
 IF(AK243&lt;=0.6,"Medium",
 IF(AK243&lt;=0.8,"High","Critical")))))</f>
        <v>Low</v>
      </c>
      <c r="AM243" t="str">
        <f>IF(MAX(X243:AA243)&gt;0.9,"CRITICAL ALERT",
 IF(AK243&gt;0.8,"CRITICAL ALERT",
 IF(AK243&gt;0.6,"ALERT",
 IF(AK243&gt;=0.4,"REVIEW","NO ACTION"))))</f>
        <v>NO ACTION</v>
      </c>
      <c r="AN243" t="str">
        <f>IF(AM243="NO ACTION","",
 IF(_xlfn.TEXTJOIN(", ", TRUE,
  IF(X243&gt;0.7,"Login anomaly",""),
  IF(Y243&gt;0.7,"File anomaly",""),
  IF(Z243&gt;0.7,"Network anomaly",""),
  IF(AA243&gt;0.7,"USB anomaly","")
 )="",
 "General anomaly detected",
 _xlfn.TEXTJOIN(", ", TRUE,
  IF(X243&gt;0.7,"Login anomaly",""),
  IF(Y243&gt;0.7,"File anomaly",""),
  IF(Z243&gt;0.7,"Network anomaly",""),
  IF(AA243&gt;0.7,"USB anomaly","")
 )))</f>
        <v/>
      </c>
    </row>
    <row r="244" spans="1:40" x14ac:dyDescent="0.3">
      <c r="A244" t="s">
        <v>267</v>
      </c>
      <c r="B244">
        <v>0.15047258979205999</v>
      </c>
      <c r="C244">
        <v>0.35712200705171998</v>
      </c>
      <c r="D244">
        <v>0.54039124265665806</v>
      </c>
      <c r="E244">
        <v>0.79325594250967302</v>
      </c>
      <c r="F244">
        <v>0.116915422885572</v>
      </c>
      <c r="G244">
        <v>0.83132316106550297</v>
      </c>
      <c r="H244">
        <v>0</v>
      </c>
      <c r="I244">
        <v>23</v>
      </c>
      <c r="J244">
        <v>0.10204665807929</v>
      </c>
      <c r="K244">
        <v>2.4469820554649201E-2</v>
      </c>
      <c r="L244">
        <v>6.1107797943328698E-2</v>
      </c>
      <c r="M244">
        <v>1.1544011544011501E-3</v>
      </c>
      <c r="N244">
        <v>6.8203355516788296E-3</v>
      </c>
      <c r="O244">
        <v>1164</v>
      </c>
      <c r="P244">
        <v>8.6104096520763201E-2</v>
      </c>
      <c r="Q244">
        <v>8.6258283951050105E-2</v>
      </c>
      <c r="R244">
        <v>0.38790560471976399</v>
      </c>
      <c r="S244">
        <v>1</v>
      </c>
      <c r="T244" t="s">
        <v>24</v>
      </c>
      <c r="U244">
        <v>0.10188679245283</v>
      </c>
      <c r="V244">
        <v>0</v>
      </c>
      <c r="W244">
        <v>0.23314857508084999</v>
      </c>
      <c r="X244">
        <v>0.44686032470412801</v>
      </c>
      <c r="Y244">
        <v>5.3009331253026003E-2</v>
      </c>
      <c r="Z244">
        <v>5.4390592133129398E-2</v>
      </c>
      <c r="AA244">
        <v>0.38790560471976399</v>
      </c>
      <c r="AB244">
        <v>0.56216001510620117</v>
      </c>
      <c r="AC244">
        <v>1.7010000301524999E-3</v>
      </c>
      <c r="AD244">
        <v>2.233000006526709E-3</v>
      </c>
      <c r="AE244">
        <v>0.13186000287532809</v>
      </c>
      <c r="AF244">
        <f>0.16*X244 + 0.28*Y244 + 0.28*Z244 + 0.28*AA244</f>
        <v>0.21018319982231792</v>
      </c>
      <c r="AG244">
        <f t="shared" si="9"/>
        <v>0.12796792323235423</v>
      </c>
      <c r="AH244">
        <f>IF(T244="IT_Admin", 0.25, IF(AND(T244="HR", AA244&gt;0.6), 0.25, IF(AND(T244="General", Z244&gt;0.7), 0.2, 0.1)))</f>
        <v>0.25</v>
      </c>
      <c r="AI244">
        <f>IF(V244&gt;0.7, 0.1,
 IF(F244&gt;0.5, 0.08,
 IF(E244&gt;0.5, 0.05,
 0)))</f>
        <v>0.05</v>
      </c>
      <c r="AJ244">
        <f t="shared" si="10"/>
        <v>0.15263250620934332</v>
      </c>
      <c r="AK244">
        <f t="shared" si="11"/>
        <v>0.19842225807214633</v>
      </c>
      <c r="AL244" t="str">
        <f>IF(MAX(X244, Y244, Z244, AA244)&gt;0.9,
 "Critical",
 IF(AK244&lt;=0.2,"Very Low",
 IF(AK244&lt;=0.4,"Low",
 IF(AK244&lt;=0.6,"Medium",
 IF(AK244&lt;=0.8,"High","Critical")))))</f>
        <v>Very Low</v>
      </c>
      <c r="AM244" t="str">
        <f>IF(MAX(X244:AA244)&gt;0.9,"CRITICAL ALERT",
 IF(AK244&gt;0.8,"CRITICAL ALERT",
 IF(AK244&gt;0.6,"ALERT",
 IF(AK244&gt;=0.4,"REVIEW","NO ACTION"))))</f>
        <v>NO ACTION</v>
      </c>
      <c r="AN244" t="str">
        <f>IF(AM244="NO ACTION","",
 IF(_xlfn.TEXTJOIN(", ", TRUE,
  IF(X244&gt;0.7,"Login anomaly",""),
  IF(Y244&gt;0.7,"File anomaly",""),
  IF(Z244&gt;0.7,"Network anomaly",""),
  IF(AA244&gt;0.7,"USB anomaly","")
 )="",
 "General anomaly detected",
 _xlfn.TEXTJOIN(", ", TRUE,
  IF(X244&gt;0.7,"Login anomaly",""),
  IF(Y244&gt;0.7,"File anomaly",""),
  IF(Z244&gt;0.7,"Network anomaly",""),
  IF(AA244&gt;0.7,"USB anomaly","")
 )))</f>
        <v/>
      </c>
    </row>
    <row r="245" spans="1:40" x14ac:dyDescent="0.3">
      <c r="A245" t="s">
        <v>268</v>
      </c>
      <c r="B245">
        <v>0.17882797731569</v>
      </c>
      <c r="C245">
        <v>0.62014693394877596</v>
      </c>
      <c r="D245">
        <v>0.413184560866101</v>
      </c>
      <c r="E245">
        <v>0</v>
      </c>
      <c r="F245">
        <v>6.2893081761006197E-3</v>
      </c>
      <c r="G245">
        <v>0.47672910682695002</v>
      </c>
      <c r="H245">
        <v>7</v>
      </c>
      <c r="I245">
        <v>23</v>
      </c>
      <c r="J245">
        <v>3.7736749200896903E-2</v>
      </c>
      <c r="K245">
        <v>1.6313213703099501E-3</v>
      </c>
      <c r="L245">
        <v>1.0972790518467E-2</v>
      </c>
      <c r="M245">
        <v>1.1544011544011501E-3</v>
      </c>
      <c r="N245">
        <v>1.83703510336676E-2</v>
      </c>
      <c r="O245">
        <v>496</v>
      </c>
      <c r="P245">
        <v>2.9005331088664401E-2</v>
      </c>
      <c r="Q245">
        <v>2.9173533433851099E-2</v>
      </c>
      <c r="R245">
        <v>1.1799410029498501E-2</v>
      </c>
      <c r="S245">
        <v>1</v>
      </c>
      <c r="T245" t="s">
        <v>49</v>
      </c>
      <c r="U245">
        <v>6.7924528301886696E-3</v>
      </c>
      <c r="V245">
        <v>0</v>
      </c>
      <c r="W245">
        <v>2.2520824726613101E-3</v>
      </c>
      <c r="X245">
        <v>0.12647109153027</v>
      </c>
      <c r="Y245">
        <v>1.8544850409513099E-2</v>
      </c>
      <c r="Z245">
        <v>2.4751339066665601E-2</v>
      </c>
      <c r="AA245">
        <v>1.1799410029498501E-2</v>
      </c>
      <c r="AB245">
        <v>6.5177999436855316E-2</v>
      </c>
      <c r="AC245">
        <v>9.1699999757111073E-4</v>
      </c>
      <c r="AD245">
        <v>1.0107000358402731E-2</v>
      </c>
      <c r="AE245">
        <v>7.133600115776062E-2</v>
      </c>
      <c r="AF245">
        <f>0.16*X245 + 0.28*Y245 + 0.28*Z245 + 0.28*AA245</f>
        <v>3.566214250643282E-2</v>
      </c>
      <c r="AG245">
        <f t="shared" si="9"/>
        <v>3.3489280333742502E-2</v>
      </c>
      <c r="AH245">
        <f>IF(T245="IT_Admin", 0.25, IF(AND(T245="HR", AA245&gt;0.6), 0.25, IF(AND(T245="General", Z245&gt;0.7), 0.2, 0.1)))</f>
        <v>0.1</v>
      </c>
      <c r="AI245">
        <f>IF(V245&gt;0.7, 0.1,
 IF(F245&gt;0.5, 0.08,
 IF(E245&gt;0.5, 0.05,
 0)))</f>
        <v>0</v>
      </c>
      <c r="AJ245">
        <f t="shared" si="10"/>
        <v>3.4141138985549595E-2</v>
      </c>
      <c r="AK245">
        <f t="shared" si="11"/>
        <v>3.7555252884104558E-2</v>
      </c>
      <c r="AL245" t="str">
        <f>IF(MAX(X245, Y245, Z245, AA245)&gt;0.9,
 "Critical",
 IF(AK245&lt;=0.2,"Very Low",
 IF(AK245&lt;=0.4,"Low",
 IF(AK245&lt;=0.6,"Medium",
 IF(AK245&lt;=0.8,"High","Critical")))))</f>
        <v>Very Low</v>
      </c>
      <c r="AM245" t="str">
        <f>IF(MAX(X245:AA245)&gt;0.9,"CRITICAL ALERT",
 IF(AK245&gt;0.8,"CRITICAL ALERT",
 IF(AK245&gt;0.6,"ALERT",
 IF(AK245&gt;=0.4,"REVIEW","NO ACTION"))))</f>
        <v>NO ACTION</v>
      </c>
      <c r="AN245" t="str">
        <f>IF(AM245="NO ACTION","",
 IF(_xlfn.TEXTJOIN(", ", TRUE,
  IF(X245&gt;0.7,"Login anomaly",""),
  IF(Y245&gt;0.7,"File anomaly",""),
  IF(Z245&gt;0.7,"Network anomaly",""),
  IF(AA245&gt;0.7,"USB anomaly","")
 )="",
 "General anomaly detected",
 _xlfn.TEXTJOIN(", ", TRUE,
  IF(X245&gt;0.7,"Login anomaly",""),
  IF(Y245&gt;0.7,"File anomaly",""),
  IF(Z245&gt;0.7,"Network anomaly",""),
  IF(AA245&gt;0.7,"USB anomaly","")
 )))</f>
        <v/>
      </c>
    </row>
    <row r="246" spans="1:40" x14ac:dyDescent="0.3">
      <c r="A246" t="s">
        <v>269</v>
      </c>
      <c r="B246">
        <v>0.25179584120982901</v>
      </c>
      <c r="C246">
        <v>0.63785575468002198</v>
      </c>
      <c r="D246">
        <v>0.39838392508067699</v>
      </c>
      <c r="E246">
        <v>0</v>
      </c>
      <c r="F246">
        <v>0</v>
      </c>
      <c r="G246">
        <v>0.439039678252441</v>
      </c>
      <c r="H246">
        <v>7</v>
      </c>
      <c r="I246">
        <v>17</v>
      </c>
      <c r="J246">
        <v>0.13033729306807801</v>
      </c>
      <c r="K246">
        <v>1.38662316476345E-2</v>
      </c>
      <c r="L246">
        <v>2.7125283393477501E-2</v>
      </c>
      <c r="M246">
        <v>2.8860028860028799E-3</v>
      </c>
      <c r="N246">
        <v>1.33565942846176E-2</v>
      </c>
      <c r="O246">
        <v>1321</v>
      </c>
      <c r="P246">
        <v>0.103184624017957</v>
      </c>
      <c r="Q246">
        <v>0.103334619025912</v>
      </c>
      <c r="R246">
        <v>0.30235988200589903</v>
      </c>
      <c r="S246">
        <v>1</v>
      </c>
      <c r="T246" t="s">
        <v>24</v>
      </c>
      <c r="U246">
        <v>2.6243567753001702E-2</v>
      </c>
      <c r="V246">
        <v>0</v>
      </c>
      <c r="W246">
        <v>0</v>
      </c>
      <c r="X246">
        <v>0.119515177524203</v>
      </c>
      <c r="Y246">
        <v>4.3637078595739801E-2</v>
      </c>
      <c r="Z246">
        <v>6.7253412124621395E-2</v>
      </c>
      <c r="AA246">
        <v>0.30235988200589903</v>
      </c>
      <c r="AB246">
        <v>3.8152001798152917E-2</v>
      </c>
      <c r="AC246">
        <v>9.1000001702923328E-5</v>
      </c>
      <c r="AD246">
        <v>1.1010000016540289E-3</v>
      </c>
      <c r="AE246">
        <v>0.1018619984388351</v>
      </c>
      <c r="AF246">
        <f>0.16*X246 + 0.28*Y246 + 0.28*Z246 + 0.28*AA246</f>
        <v>0.13483253276722534</v>
      </c>
      <c r="AG246">
        <f t="shared" si="9"/>
        <v>3.4959439851518247E-2</v>
      </c>
      <c r="AH246">
        <f>IF(T246="IT_Admin", 0.25, IF(AND(T246="HR", AA246&gt;0.6), 0.25, IF(AND(T246="General", Z246&gt;0.7), 0.2, 0.1)))</f>
        <v>0.25</v>
      </c>
      <c r="AI246">
        <f>IF(V246&gt;0.7, 0.1,
 IF(F246&gt;0.5, 0.08,
 IF(E246&gt;0.5, 0.05,
 0)))</f>
        <v>0</v>
      </c>
      <c r="AJ246">
        <f t="shared" si="10"/>
        <v>6.4921367726230375E-2</v>
      </c>
      <c r="AK246">
        <f t="shared" si="11"/>
        <v>8.1151709657787965E-2</v>
      </c>
      <c r="AL246" t="str">
        <f>IF(MAX(X246, Y246, Z246, AA246)&gt;0.9,
 "Critical",
 IF(AK246&lt;=0.2,"Very Low",
 IF(AK246&lt;=0.4,"Low",
 IF(AK246&lt;=0.6,"Medium",
 IF(AK246&lt;=0.8,"High","Critical")))))</f>
        <v>Very Low</v>
      </c>
      <c r="AM246" t="str">
        <f>IF(MAX(X246:AA246)&gt;0.9,"CRITICAL ALERT",
 IF(AK246&gt;0.8,"CRITICAL ALERT",
 IF(AK246&gt;0.6,"ALERT",
 IF(AK246&gt;=0.4,"REVIEW","NO ACTION"))))</f>
        <v>NO ACTION</v>
      </c>
      <c r="AN246" t="str">
        <f>IF(AM246="NO ACTION","",
 IF(_xlfn.TEXTJOIN(", ", TRUE,
  IF(X246&gt;0.7,"Login anomaly",""),
  IF(Y246&gt;0.7,"File anomaly",""),
  IF(Z246&gt;0.7,"Network anomaly",""),
  IF(AA246&gt;0.7,"USB anomaly","")
 )="",
 "General anomaly detected",
 _xlfn.TEXTJOIN(", ", TRUE,
  IF(X246&gt;0.7,"Login anomaly",""),
  IF(Y246&gt;0.7,"File anomaly",""),
  IF(Z246&gt;0.7,"Network anomaly",""),
  IF(AA246&gt;0.7,"USB anomaly","")
 )))</f>
        <v/>
      </c>
    </row>
    <row r="247" spans="1:40" x14ac:dyDescent="0.3">
      <c r="A247" t="s">
        <v>270</v>
      </c>
      <c r="B247">
        <v>0.25179584120982901</v>
      </c>
      <c r="C247">
        <v>0.90397369815871698</v>
      </c>
      <c r="D247">
        <v>0.50360986381422701</v>
      </c>
      <c r="E247">
        <v>0.54394693200663302</v>
      </c>
      <c r="F247">
        <v>7.6119402985074594E-2</v>
      </c>
      <c r="G247">
        <v>0.43897001810770597</v>
      </c>
      <c r="H247">
        <v>0</v>
      </c>
      <c r="I247">
        <v>23</v>
      </c>
      <c r="J247">
        <v>0.144411049091169</v>
      </c>
      <c r="K247">
        <v>1.7944535073409401E-2</v>
      </c>
      <c r="L247">
        <v>3.16879135157314E-2</v>
      </c>
      <c r="M247">
        <v>4.0404040404040404E-3</v>
      </c>
      <c r="N247">
        <v>1.6879880600197201E-2</v>
      </c>
      <c r="O247">
        <v>1538</v>
      </c>
      <c r="P247">
        <v>0.115845959595959</v>
      </c>
      <c r="Q247">
        <v>0.115992846874013</v>
      </c>
      <c r="R247">
        <v>0.16666666666666599</v>
      </c>
      <c r="S247">
        <v>1</v>
      </c>
      <c r="T247" t="s">
        <v>24</v>
      </c>
      <c r="U247">
        <v>2.4905660377358401E-2</v>
      </c>
      <c r="V247">
        <v>0</v>
      </c>
      <c r="W247">
        <v>7.8714246822557996E-2</v>
      </c>
      <c r="X247">
        <v>0.34471479994028797</v>
      </c>
      <c r="Y247">
        <v>4.97901307561587E-2</v>
      </c>
      <c r="Z247">
        <v>7.6259527997654605E-2</v>
      </c>
      <c r="AA247">
        <v>0.16666666666666599</v>
      </c>
      <c r="AB247">
        <v>0.36917901039123541</v>
      </c>
      <c r="AC247">
        <v>7.6999996963422745E-5</v>
      </c>
      <c r="AD247">
        <v>3.3400001120753592E-4</v>
      </c>
      <c r="AE247">
        <v>5.4124001413583762E-2</v>
      </c>
      <c r="AF247">
        <f>0.16*X247 + 0.28*Y247 + 0.28*Z247 + 0.28*AA247</f>
        <v>0.13711493910818029</v>
      </c>
      <c r="AG247">
        <f t="shared" si="9"/>
        <v>7.4338442060688986E-2</v>
      </c>
      <c r="AH247">
        <f>IF(T247="IT_Admin", 0.25, IF(AND(T247="HR", AA247&gt;0.6), 0.25, IF(AND(T247="General", Z247&gt;0.7), 0.2, 0.1)))</f>
        <v>0.25</v>
      </c>
      <c r="AI247">
        <f>IF(V247&gt;0.7, 0.1,
 IF(F247&gt;0.5, 0.08,
 IF(E247&gt;0.5, 0.05,
 0)))</f>
        <v>0.05</v>
      </c>
      <c r="AJ247">
        <f t="shared" si="10"/>
        <v>9.3171391174936363E-2</v>
      </c>
      <c r="AK247">
        <f t="shared" si="11"/>
        <v>0.12112280852741727</v>
      </c>
      <c r="AL247" t="str">
        <f>IF(MAX(X247, Y247, Z247, AA247)&gt;0.9,
 "Critical",
 IF(AK247&lt;=0.2,"Very Low",
 IF(AK247&lt;=0.4,"Low",
 IF(AK247&lt;=0.6,"Medium",
 IF(AK247&lt;=0.8,"High","Critical")))))</f>
        <v>Very Low</v>
      </c>
      <c r="AM247" t="str">
        <f>IF(MAX(X247:AA247)&gt;0.9,"CRITICAL ALERT",
 IF(AK247&gt;0.8,"CRITICAL ALERT",
 IF(AK247&gt;0.6,"ALERT",
 IF(AK247&gt;=0.4,"REVIEW","NO ACTION"))))</f>
        <v>NO ACTION</v>
      </c>
      <c r="AN247" t="str">
        <f>IF(AM247="NO ACTION","",
 IF(_xlfn.TEXTJOIN(", ", TRUE,
  IF(X247&gt;0.7,"Login anomaly",""),
  IF(Y247&gt;0.7,"File anomaly",""),
  IF(Z247&gt;0.7,"Network anomaly",""),
  IF(AA247&gt;0.7,"USB anomaly","")
 )="",
 "General anomaly detected",
 _xlfn.TEXTJOIN(", ", TRUE,
  IF(X247&gt;0.7,"Login anomaly",""),
  IF(Y247&gt;0.7,"File anomaly",""),
  IF(Z247&gt;0.7,"Network anomaly",""),
  IF(AA247&gt;0.7,"USB anomaly","")
 )))</f>
        <v/>
      </c>
    </row>
    <row r="248" spans="1:40" x14ac:dyDescent="0.3">
      <c r="A248" t="s">
        <v>271</v>
      </c>
      <c r="B248">
        <v>0.25444234404536797</v>
      </c>
      <c r="C248">
        <v>0.70358389887267103</v>
      </c>
      <c r="D248">
        <v>0.38268019017993199</v>
      </c>
      <c r="E248">
        <v>0</v>
      </c>
      <c r="F248">
        <v>0</v>
      </c>
      <c r="G248">
        <v>0.432954192708009</v>
      </c>
      <c r="H248">
        <v>7</v>
      </c>
      <c r="I248">
        <v>17</v>
      </c>
      <c r="J248">
        <v>0.121654501216545</v>
      </c>
      <c r="K248">
        <v>1.6313213703099499E-2</v>
      </c>
      <c r="L248">
        <v>3.4185288660273101E-2</v>
      </c>
      <c r="M248">
        <v>2.59740259740259E-3</v>
      </c>
      <c r="N248">
        <v>1.2877220626731301E-2</v>
      </c>
      <c r="O248">
        <v>1289</v>
      </c>
      <c r="P248">
        <v>9.7713243546576803E-2</v>
      </c>
      <c r="Q248">
        <v>9.7864581507065396E-2</v>
      </c>
      <c r="R248">
        <v>0.29646017699115002</v>
      </c>
      <c r="S248">
        <v>1</v>
      </c>
      <c r="T248" t="s">
        <v>24</v>
      </c>
      <c r="U248">
        <v>3.3962264150943298E-2</v>
      </c>
      <c r="V248">
        <v>0</v>
      </c>
      <c r="W248">
        <v>0</v>
      </c>
      <c r="X248">
        <v>0.114804057053979</v>
      </c>
      <c r="Y248">
        <v>4.5286710761464899E-2</v>
      </c>
      <c r="Z248">
        <v>6.3778834378638599E-2</v>
      </c>
      <c r="AA248">
        <v>0.29646017699115002</v>
      </c>
      <c r="AB248">
        <v>4.2514998465776437E-2</v>
      </c>
      <c r="AC248">
        <v>2.9000000722589899E-5</v>
      </c>
      <c r="AD248">
        <v>1.4659999869763849E-3</v>
      </c>
      <c r="AE248">
        <v>9.916599839925766E-2</v>
      </c>
      <c r="AF248">
        <f>0.16*X248 + 0.28*Y248 + 0.28*Z248 + 0.28*AA248</f>
        <v>0.13191585132538763</v>
      </c>
      <c r="AG248">
        <f t="shared" si="9"/>
        <v>3.498747930287209E-2</v>
      </c>
      <c r="AH248">
        <f>IF(T248="IT_Admin", 0.25, IF(AND(T248="HR", AA248&gt;0.6), 0.25, IF(AND(T248="General", Z248&gt;0.7), 0.2, 0.1)))</f>
        <v>0.25</v>
      </c>
      <c r="AI248">
        <f>IF(V248&gt;0.7, 0.1,
 IF(F248&gt;0.5, 0.08,
 IF(E248&gt;0.5, 0.05,
 0)))</f>
        <v>0</v>
      </c>
      <c r="AJ248">
        <f t="shared" si="10"/>
        <v>6.4065990909626752E-2</v>
      </c>
      <c r="AK248">
        <f t="shared" si="11"/>
        <v>8.0082488637033433E-2</v>
      </c>
      <c r="AL248" t="str">
        <f>IF(MAX(X248, Y248, Z248, AA248)&gt;0.9,
 "Critical",
 IF(AK248&lt;=0.2,"Very Low",
 IF(AK248&lt;=0.4,"Low",
 IF(AK248&lt;=0.6,"Medium",
 IF(AK248&lt;=0.8,"High","Critical")))))</f>
        <v>Very Low</v>
      </c>
      <c r="AM248" t="str">
        <f>IF(MAX(X248:AA248)&gt;0.9,"CRITICAL ALERT",
 IF(AK248&gt;0.8,"CRITICAL ALERT",
 IF(AK248&gt;0.6,"ALERT",
 IF(AK248&gt;=0.4,"REVIEW","NO ACTION"))))</f>
        <v>NO ACTION</v>
      </c>
      <c r="AN248" t="str">
        <f>IF(AM248="NO ACTION","",
 IF(_xlfn.TEXTJOIN(", ", TRUE,
  IF(X248&gt;0.7,"Login anomaly",""),
  IF(Y248&gt;0.7,"File anomaly",""),
  IF(Z248&gt;0.7,"Network anomaly",""),
  IF(AA248&gt;0.7,"USB anomaly","")
 )="",
 "General anomaly detected",
 _xlfn.TEXTJOIN(", ", TRUE,
  IF(X248&gt;0.7,"Login anomaly",""),
  IF(Y248&gt;0.7,"File anomaly",""),
  IF(Z248&gt;0.7,"Network anomaly",""),
  IF(AA248&gt;0.7,"USB anomaly","")
 )))</f>
        <v/>
      </c>
    </row>
    <row r="249" spans="1:40" x14ac:dyDescent="0.3">
      <c r="A249" t="s">
        <v>272</v>
      </c>
      <c r="B249">
        <v>0.12892249527410199</v>
      </c>
      <c r="C249">
        <v>8.6759605271990697E-2</v>
      </c>
      <c r="D249">
        <v>7.4993488433305694E-2</v>
      </c>
      <c r="E249">
        <v>0</v>
      </c>
      <c r="F249">
        <v>0.53043478260869503</v>
      </c>
      <c r="G249">
        <v>0.99369767612865201</v>
      </c>
      <c r="H249">
        <v>6</v>
      </c>
      <c r="I249">
        <v>7</v>
      </c>
      <c r="J249">
        <v>8.6493964982586699E-2</v>
      </c>
      <c r="K249">
        <v>6.5252854812398002E-3</v>
      </c>
      <c r="L249">
        <v>1.9217472503189802E-2</v>
      </c>
      <c r="M249">
        <v>4.0404040404040404E-3</v>
      </c>
      <c r="N249">
        <v>2.8151704059294801E-2</v>
      </c>
      <c r="O249">
        <v>963</v>
      </c>
      <c r="P249">
        <v>6.8357182940516195E-2</v>
      </c>
      <c r="Q249">
        <v>6.8515726357866596E-2</v>
      </c>
      <c r="R249">
        <v>0</v>
      </c>
      <c r="S249">
        <v>0</v>
      </c>
      <c r="T249" t="s">
        <v>49</v>
      </c>
      <c r="U249">
        <v>9.0566037735848991E-3</v>
      </c>
      <c r="V249">
        <v>0</v>
      </c>
      <c r="W249">
        <v>0</v>
      </c>
      <c r="X249">
        <v>0.23467195957347001</v>
      </c>
      <c r="Y249">
        <v>3.5353040465900702E-2</v>
      </c>
      <c r="Z249">
        <v>5.2274991388027603E-2</v>
      </c>
      <c r="AA249">
        <v>0</v>
      </c>
      <c r="AB249">
        <v>4.8330001533031457E-2</v>
      </c>
      <c r="AC249">
        <v>4.6599999768659472E-4</v>
      </c>
      <c r="AD249">
        <v>4.5199999585747719E-3</v>
      </c>
      <c r="AE249">
        <v>6.9600000279024243E-4</v>
      </c>
      <c r="AF249">
        <f>0.16*X249 + 0.28*Y249 + 0.28*Z249 + 0.28*AA249</f>
        <v>6.208336245085512E-2</v>
      </c>
      <c r="AG249">
        <f t="shared" si="9"/>
        <v>9.3237602338194833E-3</v>
      </c>
      <c r="AH249">
        <f>IF(T249="IT_Admin", 0.25, IF(AND(T249="HR", AA249&gt;0.6), 0.25, IF(AND(T249="General", Z249&gt;0.7), 0.2, 0.1)))</f>
        <v>0.1</v>
      </c>
      <c r="AI249">
        <f>IF(V249&gt;0.7, 0.1,
 IF(F249&gt;0.5, 0.08,
 IF(E249&gt;0.5, 0.05,
 0)))</f>
        <v>0.08</v>
      </c>
      <c r="AJ249">
        <f t="shared" si="10"/>
        <v>2.5151640898930173E-2</v>
      </c>
      <c r="AK249">
        <f t="shared" si="11"/>
        <v>2.9678936260737608E-2</v>
      </c>
      <c r="AL249" t="str">
        <f>IF(MAX(X249, Y249, Z249, AA249)&gt;0.9,
 "Critical",
 IF(AK249&lt;=0.2,"Very Low",
 IF(AK249&lt;=0.4,"Low",
 IF(AK249&lt;=0.6,"Medium",
 IF(AK249&lt;=0.8,"High","Critical")))))</f>
        <v>Very Low</v>
      </c>
      <c r="AM249" t="str">
        <f>IF(MAX(X249:AA249)&gt;0.9,"CRITICAL ALERT",
 IF(AK249&gt;0.8,"CRITICAL ALERT",
 IF(AK249&gt;0.6,"ALERT",
 IF(AK249&gt;=0.4,"REVIEW","NO ACTION"))))</f>
        <v>NO ACTION</v>
      </c>
      <c r="AN249" t="str">
        <f>IF(AM249="NO ACTION","",
 IF(_xlfn.TEXTJOIN(", ", TRUE,
  IF(X249&gt;0.7,"Login anomaly",""),
  IF(Y249&gt;0.7,"File anomaly",""),
  IF(Z249&gt;0.7,"Network anomaly",""),
  IF(AA249&gt;0.7,"USB anomaly","")
 )="",
 "General anomaly detected",
 _xlfn.TEXTJOIN(", ", TRUE,
  IF(X249&gt;0.7,"Login anomaly",""),
  IF(Y249&gt;0.7,"File anomaly",""),
  IF(Z249&gt;0.7,"Network anomaly",""),
  IF(AA249&gt;0.7,"USB anomaly","")
 )))</f>
        <v/>
      </c>
    </row>
    <row r="250" spans="1:40" x14ac:dyDescent="0.3">
      <c r="A250" t="s">
        <v>273</v>
      </c>
      <c r="B250">
        <v>0.23591682419659701</v>
      </c>
      <c r="C250">
        <v>0.67463063553307401</v>
      </c>
      <c r="D250">
        <v>0.36981100936372502</v>
      </c>
      <c r="E250">
        <v>0</v>
      </c>
      <c r="F250">
        <v>0</v>
      </c>
      <c r="G250">
        <v>0.47833641566318702</v>
      </c>
      <c r="H250">
        <v>7</v>
      </c>
      <c r="I250">
        <v>14</v>
      </c>
      <c r="J250">
        <v>0.108200944611421</v>
      </c>
      <c r="K250">
        <v>2.6916802610114102E-2</v>
      </c>
      <c r="L250">
        <v>6.3403709049514395E-2</v>
      </c>
      <c r="M250">
        <v>2.0202020202020202E-3</v>
      </c>
      <c r="N250">
        <v>1.1258204571006999E-2</v>
      </c>
      <c r="O250">
        <v>517</v>
      </c>
      <c r="P250">
        <v>9.2101571268237897E-2</v>
      </c>
      <c r="Q250">
        <v>9.2254286615940206E-2</v>
      </c>
      <c r="R250">
        <v>0</v>
      </c>
      <c r="S250">
        <v>0</v>
      </c>
      <c r="T250" t="s">
        <v>24</v>
      </c>
      <c r="U250">
        <v>7.0047169811320698E-2</v>
      </c>
      <c r="V250">
        <v>0</v>
      </c>
      <c r="W250">
        <v>0</v>
      </c>
      <c r="X250">
        <v>0.110943302809117</v>
      </c>
      <c r="Y250">
        <v>5.6719504818343501E-2</v>
      </c>
      <c r="Z250">
        <v>5.9764224589345501E-2</v>
      </c>
      <c r="AA250">
        <v>0</v>
      </c>
      <c r="AB250">
        <v>2.5551000609993931E-2</v>
      </c>
      <c r="AC250">
        <v>6.0400000074878335E-4</v>
      </c>
      <c r="AD250">
        <v>2.106999978423119E-3</v>
      </c>
      <c r="AE250">
        <v>9.0089999139308929E-3</v>
      </c>
      <c r="AF250">
        <f>0.16*X250 + 0.28*Y250 + 0.28*Z250 + 0.28*AA250</f>
        <v>5.0366372683611639E-2</v>
      </c>
      <c r="AG250">
        <f t="shared" si="9"/>
        <v>7.3697600676678127E-3</v>
      </c>
      <c r="AH250">
        <f>IF(T250="IT_Admin", 0.25, IF(AND(T250="HR", AA250&gt;0.6), 0.25, IF(AND(T250="General", Z250&gt;0.7), 0.2, 0.1)))</f>
        <v>0.25</v>
      </c>
      <c r="AI250">
        <f>IF(V250&gt;0.7, 0.1,
 IF(F250&gt;0.5, 0.08,
 IF(E250&gt;0.5, 0.05,
 0)))</f>
        <v>0</v>
      </c>
      <c r="AJ250">
        <f t="shared" si="10"/>
        <v>2.0268743852450959E-2</v>
      </c>
      <c r="AK250">
        <f t="shared" si="11"/>
        <v>2.53359298155637E-2</v>
      </c>
      <c r="AL250" t="str">
        <f>IF(MAX(X250, Y250, Z250, AA250)&gt;0.9,
 "Critical",
 IF(AK250&lt;=0.2,"Very Low",
 IF(AK250&lt;=0.4,"Low",
 IF(AK250&lt;=0.6,"Medium",
 IF(AK250&lt;=0.8,"High","Critical")))))</f>
        <v>Very Low</v>
      </c>
      <c r="AM250" t="str">
        <f>IF(MAX(X250:AA250)&gt;0.9,"CRITICAL ALERT",
 IF(AK250&gt;0.8,"CRITICAL ALERT",
 IF(AK250&gt;0.6,"ALERT",
 IF(AK250&gt;=0.4,"REVIEW","NO ACTION"))))</f>
        <v>NO ACTION</v>
      </c>
      <c r="AN250" t="str">
        <f>IF(AM250="NO ACTION","",
 IF(_xlfn.TEXTJOIN(", ", TRUE,
  IF(X250&gt;0.7,"Login anomaly",""),
  IF(Y250&gt;0.7,"File anomaly",""),
  IF(Z250&gt;0.7,"Network anomaly",""),
  IF(AA250&gt;0.7,"USB anomaly","")
 )="",
 "General anomaly detected",
 _xlfn.TEXTJOIN(", ", TRUE,
  IF(X250&gt;0.7,"Login anomaly",""),
  IF(Y250&gt;0.7,"File anomaly",""),
  IF(Z250&gt;0.7,"Network anomaly",""),
  IF(AA250&gt;0.7,"USB anomaly","")
 )))</f>
        <v/>
      </c>
    </row>
    <row r="251" spans="1:40" x14ac:dyDescent="0.3">
      <c r="A251" t="s">
        <v>274</v>
      </c>
      <c r="B251">
        <v>0.15311909262759901</v>
      </c>
      <c r="C251">
        <v>0.16805106916307899</v>
      </c>
      <c r="D251">
        <v>0.31896186431968998</v>
      </c>
      <c r="E251">
        <v>0</v>
      </c>
      <c r="F251">
        <v>0.79951100244498696</v>
      </c>
      <c r="G251">
        <v>0.75796265047713296</v>
      </c>
      <c r="H251">
        <v>6</v>
      </c>
      <c r="I251">
        <v>15</v>
      </c>
      <c r="J251">
        <v>7.2229378369352601E-2</v>
      </c>
      <c r="K251">
        <v>9.7879282218597003E-3</v>
      </c>
      <c r="L251">
        <v>3.4500360445160402E-2</v>
      </c>
      <c r="M251">
        <v>1.7316017316017301E-3</v>
      </c>
      <c r="N251">
        <v>1.44398940975636E-2</v>
      </c>
      <c r="O251">
        <v>853</v>
      </c>
      <c r="P251">
        <v>5.8150953984287303E-2</v>
      </c>
      <c r="Q251">
        <v>5.83120025246327E-2</v>
      </c>
      <c r="R251">
        <v>0</v>
      </c>
      <c r="S251">
        <v>0</v>
      </c>
      <c r="T251" t="s">
        <v>49</v>
      </c>
      <c r="U251">
        <v>2.9110512129380001E-2</v>
      </c>
      <c r="V251">
        <v>0</v>
      </c>
      <c r="W251">
        <v>0</v>
      </c>
      <c r="X251">
        <v>0.41549296027390198</v>
      </c>
      <c r="Y251">
        <v>3.6028024125719801E-2</v>
      </c>
      <c r="Z251">
        <v>4.0666530029597803E-2</v>
      </c>
      <c r="AA251">
        <v>0</v>
      </c>
      <c r="AB251">
        <v>9.0341001749038696E-2</v>
      </c>
      <c r="AC251">
        <v>1.0900000052060931E-4</v>
      </c>
      <c r="AD251">
        <v>6.1980001628398904E-3</v>
      </c>
      <c r="AE251">
        <v>1.3210000470280649E-3</v>
      </c>
      <c r="AF251">
        <f>0.16*X251 + 0.28*Y251 + 0.28*Z251 + 0.28*AA251</f>
        <v>8.7953348807313259E-2</v>
      </c>
      <c r="AG251">
        <f t="shared" si="9"/>
        <v>1.6590400338754991E-2</v>
      </c>
      <c r="AH251">
        <f>IF(T251="IT_Admin", 0.25, IF(AND(T251="HR", AA251&gt;0.6), 0.25, IF(AND(T251="General", Z251&gt;0.7), 0.2, 0.1)))</f>
        <v>0.1</v>
      </c>
      <c r="AI251">
        <f>IF(V251&gt;0.7, 0.1,
 IF(F251&gt;0.5, 0.08,
 IF(E251&gt;0.5, 0.05,
 0)))</f>
        <v>0.08</v>
      </c>
      <c r="AJ251">
        <f t="shared" si="10"/>
        <v>3.799928487932247E-2</v>
      </c>
      <c r="AK251">
        <f t="shared" si="11"/>
        <v>4.4839156157600521E-2</v>
      </c>
      <c r="AL251" t="str">
        <f>IF(MAX(X251, Y251, Z251, AA251)&gt;0.9,
 "Critical",
 IF(AK251&lt;=0.2,"Very Low",
 IF(AK251&lt;=0.4,"Low",
 IF(AK251&lt;=0.6,"Medium",
 IF(AK251&lt;=0.8,"High","Critical")))))</f>
        <v>Very Low</v>
      </c>
      <c r="AM251" t="str">
        <f>IF(MAX(X251:AA251)&gt;0.9,"CRITICAL ALERT",
 IF(AK251&gt;0.8,"CRITICAL ALERT",
 IF(AK251&gt;0.6,"ALERT",
 IF(AK251&gt;=0.4,"REVIEW","NO ACTION"))))</f>
        <v>NO ACTION</v>
      </c>
      <c r="AN251" t="str">
        <f>IF(AM251="NO ACTION","",
 IF(_xlfn.TEXTJOIN(", ", TRUE,
  IF(X251&gt;0.7,"Login anomaly",""),
  IF(Y251&gt;0.7,"File anomaly",""),
  IF(Z251&gt;0.7,"Network anomaly",""),
  IF(AA251&gt;0.7,"USB anomaly","")
 )="",
 "General anomaly detected",
 _xlfn.TEXTJOIN(", ", TRUE,
  IF(X251&gt;0.7,"Login anomaly",""),
  IF(Y251&gt;0.7,"File anomaly",""),
  IF(Z251&gt;0.7,"Network anomaly",""),
  IF(AA251&gt;0.7,"USB anomaly","")
 )))</f>
        <v/>
      </c>
    </row>
    <row r="252" spans="1:40" x14ac:dyDescent="0.3">
      <c r="A252" t="s">
        <v>275</v>
      </c>
      <c r="B252">
        <v>0.12892249527410199</v>
      </c>
      <c r="C252">
        <v>0.18476582604220201</v>
      </c>
      <c r="D252">
        <v>0</v>
      </c>
      <c r="E252">
        <v>0</v>
      </c>
      <c r="F252">
        <v>0</v>
      </c>
      <c r="G252">
        <v>0.99368092267918395</v>
      </c>
      <c r="H252">
        <v>7</v>
      </c>
      <c r="I252">
        <v>7</v>
      </c>
      <c r="J252">
        <v>0.110013835217785</v>
      </c>
      <c r="K252">
        <v>1.8760195758564399E-2</v>
      </c>
      <c r="L252">
        <v>4.3463835744719799E-2</v>
      </c>
      <c r="M252">
        <v>3.4632034632034602E-3</v>
      </c>
      <c r="N252">
        <v>1.89824310983982E-2</v>
      </c>
      <c r="O252">
        <v>1203</v>
      </c>
      <c r="P252">
        <v>9.0628507295173896E-2</v>
      </c>
      <c r="Q252">
        <v>9.0781584207019803E-2</v>
      </c>
      <c r="R252">
        <v>0</v>
      </c>
      <c r="S252">
        <v>0</v>
      </c>
      <c r="T252" t="s">
        <v>24</v>
      </c>
      <c r="U252">
        <v>3.0043541364296E-2</v>
      </c>
      <c r="V252">
        <v>0</v>
      </c>
      <c r="W252">
        <v>0</v>
      </c>
      <c r="X252">
        <v>0</v>
      </c>
      <c r="Y252">
        <v>4.9429414245436398E-2</v>
      </c>
      <c r="Z252">
        <v>6.1970076816463597E-2</v>
      </c>
      <c r="AA252">
        <v>0</v>
      </c>
      <c r="AB252">
        <v>3.6727000027894967E-2</v>
      </c>
      <c r="AC252">
        <v>9.0000003183376975E-6</v>
      </c>
      <c r="AD252">
        <v>2.3489999584853649E-3</v>
      </c>
      <c r="AE252">
        <v>1.203999971039593E-3</v>
      </c>
      <c r="AF252">
        <f>0.16*X252 + 0.28*Y252 + 0.28*Z252 + 0.28*AA252</f>
        <v>3.1191857497331998E-2</v>
      </c>
      <c r="AG252">
        <f t="shared" si="9"/>
        <v>6.873679984819317E-3</v>
      </c>
      <c r="AH252">
        <f>IF(T252="IT_Admin", 0.25, IF(AND(T252="HR", AA252&gt;0.6), 0.25, IF(AND(T252="General", Z252&gt;0.7), 0.2, 0.1)))</f>
        <v>0.25</v>
      </c>
      <c r="AI252">
        <f>IF(V252&gt;0.7, 0.1,
 IF(F252&gt;0.5, 0.08,
 IF(E252&gt;0.5, 0.05,
 0)))</f>
        <v>0</v>
      </c>
      <c r="AJ252">
        <f t="shared" si="10"/>
        <v>1.416913323857312E-2</v>
      </c>
      <c r="AK252">
        <f t="shared" si="11"/>
        <v>1.77114165482164E-2</v>
      </c>
      <c r="AL252" t="str">
        <f>IF(MAX(X252, Y252, Z252, AA252)&gt;0.9,
 "Critical",
 IF(AK252&lt;=0.2,"Very Low",
 IF(AK252&lt;=0.4,"Low",
 IF(AK252&lt;=0.6,"Medium",
 IF(AK252&lt;=0.8,"High","Critical")))))</f>
        <v>Very Low</v>
      </c>
      <c r="AM252" t="str">
        <f>IF(MAX(X252:AA252)&gt;0.9,"CRITICAL ALERT",
 IF(AK252&gt;0.8,"CRITICAL ALERT",
 IF(AK252&gt;0.6,"ALERT",
 IF(AK252&gt;=0.4,"REVIEW","NO ACTION"))))</f>
        <v>NO ACTION</v>
      </c>
      <c r="AN252" t="str">
        <f>IF(AM252="NO ACTION","",
 IF(_xlfn.TEXTJOIN(", ", TRUE,
  IF(X252&gt;0.7,"Login anomaly",""),
  IF(Y252&gt;0.7,"File anomaly",""),
  IF(Z252&gt;0.7,"Network anomaly",""),
  IF(AA252&gt;0.7,"USB anomaly","")
 )="",
 "General anomaly detected",
 _xlfn.TEXTJOIN(", ", TRUE,
  IF(X252&gt;0.7,"Login anomaly",""),
  IF(Y252&gt;0.7,"File anomaly",""),
  IF(Z252&gt;0.7,"Network anomaly",""),
  IF(AA252&gt;0.7,"USB anomaly","")
 )))</f>
        <v/>
      </c>
    </row>
    <row r="253" spans="1:40" x14ac:dyDescent="0.3">
      <c r="A253" t="s">
        <v>276</v>
      </c>
      <c r="B253">
        <v>0.23629489603024501</v>
      </c>
      <c r="C253">
        <v>0.66885816517980201</v>
      </c>
      <c r="D253">
        <v>0.36075635078903301</v>
      </c>
      <c r="E253">
        <v>0</v>
      </c>
      <c r="F253">
        <v>0</v>
      </c>
      <c r="G253">
        <v>0.47738554903069302</v>
      </c>
      <c r="H253">
        <v>7</v>
      </c>
      <c r="I253">
        <v>14</v>
      </c>
      <c r="J253">
        <v>9.2600543867181903E-2</v>
      </c>
      <c r="K253">
        <v>1.71288743882544E-2</v>
      </c>
      <c r="L253">
        <v>4.7127740572121102E-2</v>
      </c>
      <c r="M253">
        <v>3.1746031746031698E-3</v>
      </c>
      <c r="N253">
        <v>2.06642848986117E-2</v>
      </c>
      <c r="O253">
        <v>823</v>
      </c>
      <c r="P253">
        <v>7.6985129068462402E-2</v>
      </c>
      <c r="Q253">
        <v>7.71415547529717E-2</v>
      </c>
      <c r="R253">
        <v>0.96165191740412903</v>
      </c>
      <c r="S253">
        <v>1</v>
      </c>
      <c r="T253" t="s">
        <v>49</v>
      </c>
      <c r="U253">
        <v>2.9716981132075399E-2</v>
      </c>
      <c r="V253">
        <v>0</v>
      </c>
      <c r="W253">
        <v>0</v>
      </c>
      <c r="X253">
        <v>0.10822690523671</v>
      </c>
      <c r="Y253">
        <v>4.8283264529080397E-2</v>
      </c>
      <c r="Z253">
        <v>5.4456791400522099E-2</v>
      </c>
      <c r="AA253">
        <v>0.96165191740412903</v>
      </c>
      <c r="AB253">
        <v>2.3922000080347061E-2</v>
      </c>
      <c r="AC253">
        <v>6.2999999499879777E-5</v>
      </c>
      <c r="AD253">
        <v>2.958999946713448E-3</v>
      </c>
      <c r="AE253">
        <v>0.94729602336883545</v>
      </c>
      <c r="AF253">
        <f>0.16*X253 + 0.28*Y253 + 0.28*Z253 + 0.28*AA253</f>
        <v>0.31534605737131843</v>
      </c>
      <c r="AG253">
        <f t="shared" si="9"/>
        <v>0.26991656654106921</v>
      </c>
      <c r="AH253">
        <f>IF(T253="IT_Admin", 0.25, IF(AND(T253="HR", AA253&gt;0.6), 0.25, IF(AND(T253="General", Z253&gt;0.7), 0.2, 0.1)))</f>
        <v>0.1</v>
      </c>
      <c r="AI253">
        <f>IF(V253&gt;0.7, 0.1,
 IF(F253&gt;0.5, 0.08,
 IF(E253&gt;0.5, 0.05,
 0)))</f>
        <v>0</v>
      </c>
      <c r="AJ253">
        <f t="shared" si="10"/>
        <v>0.28354541379014397</v>
      </c>
      <c r="AK253">
        <f t="shared" si="11"/>
        <v>0.31189995516915842</v>
      </c>
      <c r="AL253" t="str">
        <f>IF(MAX(X253, Y253, Z253, AA253)&gt;0.9,
 "Critical",
 IF(AK253&lt;=0.2,"Very Low",
 IF(AK253&lt;=0.4,"Low",
 IF(AK253&lt;=0.6,"Medium",
 IF(AK253&lt;=0.8,"High","Critical")))))</f>
        <v>Critical</v>
      </c>
      <c r="AM253" t="str">
        <f>IF(MAX(X253:AA253)&gt;0.9,"CRITICAL ALERT",
 IF(AK253&gt;0.8,"CRITICAL ALERT",
 IF(AK253&gt;0.6,"ALERT",
 IF(AK253&gt;=0.4,"REVIEW","NO ACTION"))))</f>
        <v>CRITICAL ALERT</v>
      </c>
      <c r="AN253" t="str">
        <f>IF(AM253="NO ACTION","",
 IF(_xlfn.TEXTJOIN(", ", TRUE,
  IF(X253&gt;0.7,"Login anomaly",""),
  IF(Y253&gt;0.7,"File anomaly",""),
  IF(Z253&gt;0.7,"Network anomaly",""),
  IF(AA253&gt;0.7,"USB anomaly","")
 )="",
 "General anomaly detected",
 _xlfn.TEXTJOIN(", ", TRUE,
  IF(X253&gt;0.7,"Login anomaly",""),
  IF(Y253&gt;0.7,"File anomaly",""),
  IF(Z253&gt;0.7,"Network anomaly",""),
  IF(AA253&gt;0.7,"USB anomaly","")
 )))</f>
        <v>USB anomaly</v>
      </c>
    </row>
    <row r="254" spans="1:40" x14ac:dyDescent="0.3">
      <c r="A254" t="s">
        <v>277</v>
      </c>
      <c r="B254">
        <v>8.1663516068052902E-2</v>
      </c>
      <c r="C254">
        <v>0.18476582604220201</v>
      </c>
      <c r="D254">
        <v>0</v>
      </c>
      <c r="E254">
        <v>0</v>
      </c>
      <c r="F254">
        <v>0</v>
      </c>
      <c r="G254">
        <v>0.98097728826402897</v>
      </c>
      <c r="H254">
        <v>7</v>
      </c>
      <c r="I254">
        <v>7</v>
      </c>
      <c r="J254">
        <v>3.94065168646534E-2</v>
      </c>
      <c r="K254">
        <v>8.1566068515497494E-3</v>
      </c>
      <c r="L254">
        <v>5.2553196466304297E-2</v>
      </c>
      <c r="M254">
        <v>1.44300144300144E-3</v>
      </c>
      <c r="N254">
        <v>2.1995787338747599E-2</v>
      </c>
      <c r="O254">
        <v>518</v>
      </c>
      <c r="P254">
        <v>3.3179012345679E-2</v>
      </c>
      <c r="Q254">
        <v>3.3346190259125497E-2</v>
      </c>
      <c r="R254">
        <v>0</v>
      </c>
      <c r="S254">
        <v>0</v>
      </c>
      <c r="T254" t="s">
        <v>49</v>
      </c>
      <c r="U254">
        <v>2.83018867924528E-2</v>
      </c>
      <c r="V254">
        <v>0</v>
      </c>
      <c r="W254">
        <v>0</v>
      </c>
      <c r="X254">
        <v>0</v>
      </c>
      <c r="Y254">
        <v>4.0756637807707101E-2</v>
      </c>
      <c r="Z254">
        <v>2.8705722342906401E-2</v>
      </c>
      <c r="AA254">
        <v>0</v>
      </c>
      <c r="AB254">
        <v>4.2380999773740768E-2</v>
      </c>
      <c r="AC254">
        <v>1.049999991664663E-4</v>
      </c>
      <c r="AD254">
        <v>1.003899984061718E-2</v>
      </c>
      <c r="AE254">
        <v>1.8459999701008201E-3</v>
      </c>
      <c r="AF254">
        <f>0.16*X254 + 0.28*Y254 + 0.28*Z254 + 0.28*AA254</f>
        <v>1.9449460842171782E-2</v>
      </c>
      <c r="AG254">
        <f t="shared" si="9"/>
        <v>1.0138159910566175E-2</v>
      </c>
      <c r="AH254">
        <f>IF(T254="IT_Admin", 0.25, IF(AND(T254="HR", AA254&gt;0.6), 0.25, IF(AND(T254="General", Z254&gt;0.7), 0.2, 0.1)))</f>
        <v>0.1</v>
      </c>
      <c r="AI254">
        <f>IF(V254&gt;0.7, 0.1,
 IF(F254&gt;0.5, 0.08,
 IF(E254&gt;0.5, 0.05,
 0)))</f>
        <v>0</v>
      </c>
      <c r="AJ254">
        <f t="shared" si="10"/>
        <v>1.2931550190047856E-2</v>
      </c>
      <c r="AK254">
        <f t="shared" si="11"/>
        <v>1.4224705209052642E-2</v>
      </c>
      <c r="AL254" t="str">
        <f>IF(MAX(X254, Y254, Z254, AA254)&gt;0.9,
 "Critical",
 IF(AK254&lt;=0.2,"Very Low",
 IF(AK254&lt;=0.4,"Low",
 IF(AK254&lt;=0.6,"Medium",
 IF(AK254&lt;=0.8,"High","Critical")))))</f>
        <v>Very Low</v>
      </c>
      <c r="AM254" t="str">
        <f>IF(MAX(X254:AA254)&gt;0.9,"CRITICAL ALERT",
 IF(AK254&gt;0.8,"CRITICAL ALERT",
 IF(AK254&gt;0.6,"ALERT",
 IF(AK254&gt;=0.4,"REVIEW","NO ACTION"))))</f>
        <v>NO ACTION</v>
      </c>
      <c r="AN254" t="str">
        <f>IF(AM254="NO ACTION","",
 IF(_xlfn.TEXTJOIN(", ", TRUE,
  IF(X254&gt;0.7,"Login anomaly",""),
  IF(Y254&gt;0.7,"File anomaly",""),
  IF(Z254&gt;0.7,"Network anomaly",""),
  IF(AA254&gt;0.7,"USB anomaly","")
 )="",
 "General anomaly detected",
 _xlfn.TEXTJOIN(", ", TRUE,
  IF(X254&gt;0.7,"Login anomaly",""),
  IF(Y254&gt;0.7,"File anomaly",""),
  IF(Z254&gt;0.7,"Network anomaly",""),
  IF(AA254&gt;0.7,"USB anomaly","")
 )))</f>
        <v/>
      </c>
    </row>
    <row r="255" spans="1:40" x14ac:dyDescent="0.3">
      <c r="A255" t="s">
        <v>278</v>
      </c>
      <c r="B255">
        <v>5.3686200378071799E-2</v>
      </c>
      <c r="C255">
        <v>0.282210816489117</v>
      </c>
      <c r="D255">
        <v>7.5168996337989305E-2</v>
      </c>
      <c r="E255">
        <v>0</v>
      </c>
      <c r="F255">
        <v>0</v>
      </c>
      <c r="G255">
        <v>0.98145668623371396</v>
      </c>
      <c r="H255">
        <v>7</v>
      </c>
      <c r="I255">
        <v>8</v>
      </c>
      <c r="J255">
        <v>2.0943657268260099E-2</v>
      </c>
      <c r="K255">
        <v>2.4469820554649199E-3</v>
      </c>
      <c r="L255">
        <v>2.9507909637499202E-2</v>
      </c>
      <c r="M255">
        <v>2.88600288600288E-4</v>
      </c>
      <c r="N255">
        <v>8.2335582335582302E-3</v>
      </c>
      <c r="O255">
        <v>285</v>
      </c>
      <c r="P255">
        <v>1.65895061728395E-2</v>
      </c>
      <c r="Q255">
        <v>1.67607559872365E-2</v>
      </c>
      <c r="R255">
        <v>0</v>
      </c>
      <c r="S255">
        <v>0</v>
      </c>
      <c r="T255" t="s">
        <v>49</v>
      </c>
      <c r="U255">
        <v>2.54716981132075E-2</v>
      </c>
      <c r="V255">
        <v>0</v>
      </c>
      <c r="W255">
        <v>0</v>
      </c>
      <c r="X255">
        <v>2.2550698901396701E-2</v>
      </c>
      <c r="Y255">
        <v>2.14127537424691E-2</v>
      </c>
      <c r="Z255">
        <v>1.32471269971269E-2</v>
      </c>
      <c r="AA255">
        <v>0</v>
      </c>
      <c r="AB255">
        <v>2.9517000541090969E-2</v>
      </c>
      <c r="AC255">
        <v>4.7999998787418008E-4</v>
      </c>
      <c r="AD255">
        <v>1.3813000172376629E-2</v>
      </c>
      <c r="AE255">
        <v>2.5220001116395001E-3</v>
      </c>
      <c r="AF255">
        <f>0.16*X255 + 0.28*Y255 + 0.28*Z255 + 0.28*AA255</f>
        <v>1.3312878431310352E-2</v>
      </c>
      <c r="AG255">
        <f t="shared" si="9"/>
        <v>9.4309201627038423E-3</v>
      </c>
      <c r="AH255">
        <f>IF(T255="IT_Admin", 0.25, IF(AND(T255="HR", AA255&gt;0.6), 0.25, IF(AND(T255="General", Z255&gt;0.7), 0.2, 0.1)))</f>
        <v>0.1</v>
      </c>
      <c r="AI255">
        <f>IF(V255&gt;0.7, 0.1,
 IF(F255&gt;0.5, 0.08,
 IF(E255&gt;0.5, 0.05,
 0)))</f>
        <v>0</v>
      </c>
      <c r="AJ255">
        <f t="shared" si="10"/>
        <v>1.0595507643285793E-2</v>
      </c>
      <c r="AK255">
        <f t="shared" si="11"/>
        <v>1.1655058407614374E-2</v>
      </c>
      <c r="AL255" t="str">
        <f>IF(MAX(X255, Y255, Z255, AA255)&gt;0.9,
 "Critical",
 IF(AK255&lt;=0.2,"Very Low",
 IF(AK255&lt;=0.4,"Low",
 IF(AK255&lt;=0.6,"Medium",
 IF(AK255&lt;=0.8,"High","Critical")))))</f>
        <v>Very Low</v>
      </c>
      <c r="AM255" t="str">
        <f>IF(MAX(X255:AA255)&gt;0.9,"CRITICAL ALERT",
 IF(AK255&gt;0.8,"CRITICAL ALERT",
 IF(AK255&gt;0.6,"ALERT",
 IF(AK255&gt;=0.4,"REVIEW","NO ACTION"))))</f>
        <v>NO ACTION</v>
      </c>
      <c r="AN255" t="str">
        <f>IF(AM255="NO ACTION","",
 IF(_xlfn.TEXTJOIN(", ", TRUE,
  IF(X255&gt;0.7,"Login anomaly",""),
  IF(Y255&gt;0.7,"File anomaly",""),
  IF(Z255&gt;0.7,"Network anomaly",""),
  IF(AA255&gt;0.7,"USB anomaly","")
 )="",
 "General anomaly detected",
 _xlfn.TEXTJOIN(", ", TRUE,
  IF(X255&gt;0.7,"Login anomaly",""),
  IF(Y255&gt;0.7,"File anomaly",""),
  IF(Z255&gt;0.7,"Network anomaly",""),
  IF(AA255&gt;0.7,"USB anomaly","")
 )))</f>
        <v/>
      </c>
    </row>
    <row r="256" spans="1:40" x14ac:dyDescent="0.3">
      <c r="A256" t="s">
        <v>279</v>
      </c>
      <c r="B256">
        <v>0.134593572778827</v>
      </c>
      <c r="C256">
        <v>0.45011008177503198</v>
      </c>
      <c r="D256">
        <v>0.270940186757263</v>
      </c>
      <c r="E256">
        <v>0.12654320987654299</v>
      </c>
      <c r="F256">
        <v>4.1666666666666602E-2</v>
      </c>
      <c r="G256">
        <v>0.94593324303626702</v>
      </c>
      <c r="H256">
        <v>0</v>
      </c>
      <c r="I256">
        <v>23</v>
      </c>
      <c r="J256">
        <v>0.12418300653594699</v>
      </c>
      <c r="K256">
        <v>2.77324632952691E-2</v>
      </c>
      <c r="L256">
        <v>5.6933972889530698E-2</v>
      </c>
      <c r="M256">
        <v>3.1746031746031698E-3</v>
      </c>
      <c r="N256">
        <v>1.54189794527217E-2</v>
      </c>
      <c r="O256">
        <v>1287</v>
      </c>
      <c r="P256">
        <v>0.10476290684624</v>
      </c>
      <c r="Q256">
        <v>0.104912514464041</v>
      </c>
      <c r="R256">
        <v>0</v>
      </c>
      <c r="S256">
        <v>0</v>
      </c>
      <c r="T256" t="s">
        <v>24</v>
      </c>
      <c r="U256">
        <v>4.8113207547169801E-2</v>
      </c>
      <c r="V256">
        <v>0</v>
      </c>
      <c r="W256">
        <v>0</v>
      </c>
      <c r="X256">
        <v>0.135911685656808</v>
      </c>
      <c r="Y256">
        <v>5.79292815877714E-2</v>
      </c>
      <c r="Z256">
        <v>6.9025335888832806E-2</v>
      </c>
      <c r="AA256">
        <v>0</v>
      </c>
      <c r="AB256">
        <v>0.11363799870014191</v>
      </c>
      <c r="AC256">
        <v>2.4799999664537609E-4</v>
      </c>
      <c r="AD256">
        <v>1.0489999549463389E-3</v>
      </c>
      <c r="AE256">
        <v>1.2315000407397751E-2</v>
      </c>
      <c r="AF256">
        <f>0.16*X256 + 0.28*Y256 + 0.28*Z256 + 0.28*AA256</f>
        <v>5.7293162598538463E-2</v>
      </c>
      <c r="AG256">
        <f t="shared" si="9"/>
        <v>2.1993439892539754E-2</v>
      </c>
      <c r="AH256">
        <f>IF(T256="IT_Admin", 0.25, IF(AND(T256="HR", AA256&gt;0.6), 0.25, IF(AND(T256="General", Z256&gt;0.7), 0.2, 0.1)))</f>
        <v>0.25</v>
      </c>
      <c r="AI256">
        <f>IF(V256&gt;0.7, 0.1,
 IF(F256&gt;0.5, 0.08,
 IF(E256&gt;0.5, 0.05,
 0)))</f>
        <v>0</v>
      </c>
      <c r="AJ256">
        <f t="shared" si="10"/>
        <v>3.2583356704339365E-2</v>
      </c>
      <c r="AK256">
        <f t="shared" si="11"/>
        <v>4.0729195880424209E-2</v>
      </c>
      <c r="AL256" t="str">
        <f>IF(MAX(X256, Y256, Z256, AA256)&gt;0.9,
 "Critical",
 IF(AK256&lt;=0.2,"Very Low",
 IF(AK256&lt;=0.4,"Low",
 IF(AK256&lt;=0.6,"Medium",
 IF(AK256&lt;=0.8,"High","Critical")))))</f>
        <v>Very Low</v>
      </c>
      <c r="AM256" t="str">
        <f>IF(MAX(X256:AA256)&gt;0.9,"CRITICAL ALERT",
 IF(AK256&gt;0.8,"CRITICAL ALERT",
 IF(AK256&gt;0.6,"ALERT",
 IF(AK256&gt;=0.4,"REVIEW","NO ACTION"))))</f>
        <v>NO ACTION</v>
      </c>
      <c r="AN256" t="str">
        <f>IF(AM256="NO ACTION","",
 IF(_xlfn.TEXTJOIN(", ", TRUE,
  IF(X256&gt;0.7,"Login anomaly",""),
  IF(Y256&gt;0.7,"File anomaly",""),
  IF(Z256&gt;0.7,"Network anomaly",""),
  IF(AA256&gt;0.7,"USB anomaly","")
 )="",
 "General anomaly detected",
 _xlfn.TEXTJOIN(", ", TRUE,
  IF(X256&gt;0.7,"Login anomaly",""),
  IF(Y256&gt;0.7,"File anomaly",""),
  IF(Z256&gt;0.7,"Network anomaly",""),
  IF(AA256&gt;0.7,"USB anomaly","")
 )))</f>
        <v/>
      </c>
    </row>
    <row r="257" spans="1:40" x14ac:dyDescent="0.3">
      <c r="A257" t="s">
        <v>280</v>
      </c>
      <c r="B257">
        <v>0.12892249527410199</v>
      </c>
      <c r="C257">
        <v>0.18476582604220201</v>
      </c>
      <c r="D257">
        <v>0</v>
      </c>
      <c r="E257">
        <v>0</v>
      </c>
      <c r="F257">
        <v>0</v>
      </c>
      <c r="G257">
        <v>0.99366232260349796</v>
      </c>
      <c r="H257">
        <v>7</v>
      </c>
      <c r="I257">
        <v>7</v>
      </c>
      <c r="J257">
        <v>8.6493964982586699E-2</v>
      </c>
      <c r="K257">
        <v>1.5497553017944501E-2</v>
      </c>
      <c r="L257">
        <v>4.5641497195075799E-2</v>
      </c>
      <c r="M257">
        <v>2.8860028860028799E-3</v>
      </c>
      <c r="N257">
        <v>2.0108360042353401E-2</v>
      </c>
      <c r="O257">
        <v>982</v>
      </c>
      <c r="P257">
        <v>7.1654040404040401E-2</v>
      </c>
      <c r="Q257">
        <v>7.1811774606402701E-2</v>
      </c>
      <c r="R257">
        <v>0</v>
      </c>
      <c r="S257">
        <v>0</v>
      </c>
      <c r="T257" t="s">
        <v>49</v>
      </c>
      <c r="U257">
        <v>2.93310463121783E-2</v>
      </c>
      <c r="V257">
        <v>0</v>
      </c>
      <c r="W257">
        <v>0</v>
      </c>
      <c r="X257">
        <v>0</v>
      </c>
      <c r="Y257">
        <v>4.6152049606761301E-2</v>
      </c>
      <c r="Z257">
        <v>5.1035768259365601E-2</v>
      </c>
      <c r="AA257">
        <v>0</v>
      </c>
      <c r="AB257">
        <v>3.6639001220464713E-2</v>
      </c>
      <c r="AC257">
        <v>1.599999995960388E-5</v>
      </c>
      <c r="AD257">
        <v>4.2949998751282692E-3</v>
      </c>
      <c r="AE257">
        <v>1.60600000526756E-3</v>
      </c>
      <c r="AF257">
        <f>0.16*X257 + 0.28*Y257 + 0.28*Z257 + 0.28*AA257</f>
        <v>2.7212589002515535E-2</v>
      </c>
      <c r="AG257">
        <f t="shared" si="9"/>
        <v>7.5190001617738752E-3</v>
      </c>
      <c r="AH257">
        <f>IF(T257="IT_Admin", 0.25, IF(AND(T257="HR", AA257&gt;0.6), 0.25, IF(AND(T257="General", Z257&gt;0.7), 0.2, 0.1)))</f>
        <v>0.1</v>
      </c>
      <c r="AI257">
        <f>IF(V257&gt;0.7, 0.1,
 IF(F257&gt;0.5, 0.08,
 IF(E257&gt;0.5, 0.05,
 0)))</f>
        <v>0</v>
      </c>
      <c r="AJ257">
        <f t="shared" si="10"/>
        <v>1.3427076813996373E-2</v>
      </c>
      <c r="AK257">
        <f t="shared" si="11"/>
        <v>1.4769784495396012E-2</v>
      </c>
      <c r="AL257" t="str">
        <f>IF(MAX(X257, Y257, Z257, AA257)&gt;0.9,
 "Critical",
 IF(AK257&lt;=0.2,"Very Low",
 IF(AK257&lt;=0.4,"Low",
 IF(AK257&lt;=0.6,"Medium",
 IF(AK257&lt;=0.8,"High","Critical")))))</f>
        <v>Very Low</v>
      </c>
      <c r="AM257" t="str">
        <f>IF(MAX(X257:AA257)&gt;0.9,"CRITICAL ALERT",
 IF(AK257&gt;0.8,"CRITICAL ALERT",
 IF(AK257&gt;0.6,"ALERT",
 IF(AK257&gt;=0.4,"REVIEW","NO ACTION"))))</f>
        <v>NO ACTION</v>
      </c>
      <c r="AN257" t="str">
        <f>IF(AM257="NO ACTION","",
 IF(_xlfn.TEXTJOIN(", ", TRUE,
  IF(X257&gt;0.7,"Login anomaly",""),
  IF(Y257&gt;0.7,"File anomaly",""),
  IF(Z257&gt;0.7,"Network anomaly",""),
  IF(AA257&gt;0.7,"USB anomaly","")
 )="",
 "General anomaly detected",
 _xlfn.TEXTJOIN(", ", TRUE,
  IF(X257&gt;0.7,"Login anomaly",""),
  IF(Y257&gt;0.7,"File anomaly",""),
  IF(Z257&gt;0.7,"Network anomaly",""),
  IF(AA257&gt;0.7,"USB anomaly","")
 )))</f>
        <v/>
      </c>
    </row>
    <row r="258" spans="1:40" x14ac:dyDescent="0.3">
      <c r="A258" t="s">
        <v>281</v>
      </c>
      <c r="B258">
        <v>0.24347826086956501</v>
      </c>
      <c r="C258">
        <v>0.79209793942166495</v>
      </c>
      <c r="D258">
        <v>0.38909196694481302</v>
      </c>
      <c r="E258">
        <v>0</v>
      </c>
      <c r="F258">
        <v>0</v>
      </c>
      <c r="G258">
        <v>0.45873526490588401</v>
      </c>
      <c r="H258">
        <v>8</v>
      </c>
      <c r="I258">
        <v>17</v>
      </c>
      <c r="J258">
        <v>0.115261676446734</v>
      </c>
      <c r="K258">
        <v>2.4469820554649201E-2</v>
      </c>
      <c r="L258">
        <v>5.41161168073096E-2</v>
      </c>
      <c r="M258">
        <v>2.59740259740259E-3</v>
      </c>
      <c r="N258">
        <v>1.3589962288847001E-2</v>
      </c>
      <c r="O258">
        <v>1313</v>
      </c>
      <c r="P258">
        <v>9.6520763187429803E-2</v>
      </c>
      <c r="Q258">
        <v>9.6672393842701307E-2</v>
      </c>
      <c r="R258">
        <v>0.69321533923303802</v>
      </c>
      <c r="S258">
        <v>1</v>
      </c>
      <c r="T258" t="s">
        <v>24</v>
      </c>
      <c r="U258">
        <v>5.0943396226415097E-2</v>
      </c>
      <c r="V258">
        <v>0</v>
      </c>
      <c r="W258">
        <v>0</v>
      </c>
      <c r="X258">
        <v>0.11672759008344299</v>
      </c>
      <c r="Y258">
        <v>5.4187382379655799E-2</v>
      </c>
      <c r="Z258">
        <v>6.3348442827996704E-2</v>
      </c>
      <c r="AA258">
        <v>0.69321533923303802</v>
      </c>
      <c r="AB258">
        <v>5.2071999758481979E-2</v>
      </c>
      <c r="AC258">
        <v>2.1499999274965381E-4</v>
      </c>
      <c r="AD258">
        <v>1.484000007621944E-3</v>
      </c>
      <c r="AE258">
        <v>0.47283399105072021</v>
      </c>
      <c r="AF258">
        <f>0.16*X258 + 0.28*Y258 + 0.28*Z258 + 0.28*AA258</f>
        <v>0.24568674045674427</v>
      </c>
      <c r="AG258">
        <f t="shared" si="9"/>
        <v>0.14120075745566282</v>
      </c>
      <c r="AH258">
        <f>IF(T258="IT_Admin", 0.25, IF(AND(T258="HR", AA258&gt;0.6), 0.25, IF(AND(T258="General", Z258&gt;0.7), 0.2, 0.1)))</f>
        <v>0.25</v>
      </c>
      <c r="AI258">
        <f>IF(V258&gt;0.7, 0.1,
 IF(F258&gt;0.5, 0.08,
 IF(E258&gt;0.5, 0.05,
 0)))</f>
        <v>0</v>
      </c>
      <c r="AJ258">
        <f t="shared" si="10"/>
        <v>0.17254655235598726</v>
      </c>
      <c r="AK258">
        <f t="shared" si="11"/>
        <v>0.21568319044498407</v>
      </c>
      <c r="AL258" t="str">
        <f>IF(MAX(X258, Y258, Z258, AA258)&gt;0.9,
 "Critical",
 IF(AK258&lt;=0.2,"Very Low",
 IF(AK258&lt;=0.4,"Low",
 IF(AK258&lt;=0.6,"Medium",
 IF(AK258&lt;=0.8,"High","Critical")))))</f>
        <v>Low</v>
      </c>
      <c r="AM258" t="str">
        <f>IF(MAX(X258:AA258)&gt;0.9,"CRITICAL ALERT",
 IF(AK258&gt;0.8,"CRITICAL ALERT",
 IF(AK258&gt;0.6,"ALERT",
 IF(AK258&gt;=0.4,"REVIEW","NO ACTION"))))</f>
        <v>NO ACTION</v>
      </c>
      <c r="AN258" t="str">
        <f>IF(AM258="NO ACTION","",
 IF(_xlfn.TEXTJOIN(", ", TRUE,
  IF(X258&gt;0.7,"Login anomaly",""),
  IF(Y258&gt;0.7,"File anomaly",""),
  IF(Z258&gt;0.7,"Network anomaly",""),
  IF(AA258&gt;0.7,"USB anomaly","")
 )="",
 "General anomaly detected",
 _xlfn.TEXTJOIN(", ", TRUE,
  IF(X258&gt;0.7,"Login anomaly",""),
  IF(Y258&gt;0.7,"File anomaly",""),
  IF(Z258&gt;0.7,"Network anomaly",""),
  IF(AA258&gt;0.7,"USB anomaly","")
 )))</f>
        <v/>
      </c>
    </row>
    <row r="259" spans="1:40" x14ac:dyDescent="0.3">
      <c r="A259" t="s">
        <v>282</v>
      </c>
      <c r="B259">
        <v>0.27826086956521701</v>
      </c>
      <c r="C259">
        <v>0.66390855600840104</v>
      </c>
      <c r="D259">
        <v>0.39697218971285497</v>
      </c>
      <c r="E259">
        <v>0</v>
      </c>
      <c r="F259">
        <v>0</v>
      </c>
      <c r="G259">
        <v>0.38336011245382401</v>
      </c>
      <c r="H259">
        <v>7</v>
      </c>
      <c r="I259">
        <v>16</v>
      </c>
      <c r="J259">
        <v>9.3411573875292198E-2</v>
      </c>
      <c r="K259">
        <v>1.30505709624796E-2</v>
      </c>
      <c r="L259">
        <v>3.5595888956494202E-2</v>
      </c>
      <c r="M259">
        <v>2.0202020202020202E-3</v>
      </c>
      <c r="N259">
        <v>1.30361176718792E-2</v>
      </c>
      <c r="O259">
        <v>997</v>
      </c>
      <c r="P259">
        <v>7.5266554433221097E-2</v>
      </c>
      <c r="Q259">
        <v>7.5423401942564597E-2</v>
      </c>
      <c r="R259">
        <v>0.48525073746312603</v>
      </c>
      <c r="S259">
        <v>1</v>
      </c>
      <c r="T259" t="s">
        <v>49</v>
      </c>
      <c r="U259">
        <v>3.3962264150943298E-2</v>
      </c>
      <c r="V259">
        <v>0</v>
      </c>
      <c r="W259">
        <v>0</v>
      </c>
      <c r="X259">
        <v>0.11909165691385599</v>
      </c>
      <c r="Y259">
        <v>4.0391094554869299E-2</v>
      </c>
      <c r="Z259">
        <v>5.0374379728684297E-2</v>
      </c>
      <c r="AA259">
        <v>0.48525073746312603</v>
      </c>
      <c r="AB259">
        <v>4.5705001801252372E-2</v>
      </c>
      <c r="AC259">
        <v>5.0999999075429507E-5</v>
      </c>
      <c r="AD259">
        <v>3.4129999112337832E-3</v>
      </c>
      <c r="AE259">
        <v>0.2288199961185455</v>
      </c>
      <c r="AF259">
        <f>0.16*X259 + 0.28*Y259 + 0.28*Z259 + 0.28*AA259</f>
        <v>0.18033920439528728</v>
      </c>
      <c r="AG259">
        <f t="shared" ref="AG259:AG322" si="12">0.16*AB259 + 0.28*AC259 + 0.28*AD259 + 0.28*AE259</f>
        <v>7.2352319176279711E-2</v>
      </c>
      <c r="AH259">
        <f>IF(T259="IT_Admin", 0.25, IF(AND(T259="HR", AA259&gt;0.6), 0.25, IF(AND(T259="General", Z259&gt;0.7), 0.2, 0.1)))</f>
        <v>0.1</v>
      </c>
      <c r="AI259">
        <f>IF(V259&gt;0.7, 0.1,
 IF(F259&gt;0.5, 0.08,
 IF(E259&gt;0.5, 0.05,
 0)))</f>
        <v>0</v>
      </c>
      <c r="AJ259">
        <f t="shared" ref="AJ259:AJ322" si="13">0.3*AF259+0.7*AG259</f>
        <v>0.10474838474198198</v>
      </c>
      <c r="AK259">
        <f t="shared" ref="AK259:AK322" si="14">MIN(1,AJ259*(1+AH259+AI259))</f>
        <v>0.11522322321618018</v>
      </c>
      <c r="AL259" t="str">
        <f>IF(MAX(X259, Y259, Z259, AA259)&gt;0.9,
 "Critical",
 IF(AK259&lt;=0.2,"Very Low",
 IF(AK259&lt;=0.4,"Low",
 IF(AK259&lt;=0.6,"Medium",
 IF(AK259&lt;=0.8,"High","Critical")))))</f>
        <v>Very Low</v>
      </c>
      <c r="AM259" t="str">
        <f>IF(MAX(X259:AA259)&gt;0.9,"CRITICAL ALERT",
 IF(AK259&gt;0.8,"CRITICAL ALERT",
 IF(AK259&gt;0.6,"ALERT",
 IF(AK259&gt;=0.4,"REVIEW","NO ACTION"))))</f>
        <v>NO ACTION</v>
      </c>
      <c r="AN259" t="str">
        <f>IF(AM259="NO ACTION","",
 IF(_xlfn.TEXTJOIN(", ", TRUE,
  IF(X259&gt;0.7,"Login anomaly",""),
  IF(Y259&gt;0.7,"File anomaly",""),
  IF(Z259&gt;0.7,"Network anomaly",""),
  IF(AA259&gt;0.7,"USB anomaly","")
 )="",
 "General anomaly detected",
 _xlfn.TEXTJOIN(", ", TRUE,
  IF(X259&gt;0.7,"Login anomaly",""),
  IF(Y259&gt;0.7,"File anomaly",""),
  IF(Z259&gt;0.7,"Network anomaly",""),
  IF(AA259&gt;0.7,"USB anomaly","")
 )))</f>
        <v/>
      </c>
    </row>
    <row r="260" spans="1:40" x14ac:dyDescent="0.3">
      <c r="A260" t="s">
        <v>283</v>
      </c>
      <c r="B260">
        <v>0.12892249527410199</v>
      </c>
      <c r="C260">
        <v>0.18476582604220201</v>
      </c>
      <c r="D260">
        <v>0</v>
      </c>
      <c r="E260">
        <v>0</v>
      </c>
      <c r="F260">
        <v>0</v>
      </c>
      <c r="G260">
        <v>0.99366914709169896</v>
      </c>
      <c r="H260">
        <v>7</v>
      </c>
      <c r="I260">
        <v>7</v>
      </c>
      <c r="J260">
        <v>0.105147655169123</v>
      </c>
      <c r="K260">
        <v>1.4681892332789499E-2</v>
      </c>
      <c r="L260">
        <v>3.5585817688681701E-2</v>
      </c>
      <c r="M260">
        <v>2.59740259740259E-3</v>
      </c>
      <c r="N260">
        <v>1.48942049349473E-2</v>
      </c>
      <c r="O260">
        <v>1235</v>
      </c>
      <c r="P260">
        <v>8.4876543209876504E-2</v>
      </c>
      <c r="Q260">
        <v>8.5031031943616497E-2</v>
      </c>
      <c r="R260">
        <v>0</v>
      </c>
      <c r="S260">
        <v>0</v>
      </c>
      <c r="T260" t="s">
        <v>24</v>
      </c>
      <c r="U260">
        <v>3.0566037735849001E-2</v>
      </c>
      <c r="V260">
        <v>0</v>
      </c>
      <c r="W260">
        <v>0</v>
      </c>
      <c r="X260">
        <v>0</v>
      </c>
      <c r="Y260">
        <v>4.3290701358649798E-2</v>
      </c>
      <c r="Z260">
        <v>5.6883607899904799E-2</v>
      </c>
      <c r="AA260">
        <v>0</v>
      </c>
      <c r="AB260">
        <v>3.6734998226165771E-2</v>
      </c>
      <c r="AC260">
        <v>3.0999999580672011E-5</v>
      </c>
      <c r="AD260">
        <v>2.9680000152438879E-3</v>
      </c>
      <c r="AE260">
        <v>1.1699999449774621E-3</v>
      </c>
      <c r="AF260">
        <f>0.16*X260 + 0.28*Y260 + 0.28*Z260 + 0.28*AA260</f>
        <v>2.8048806592395288E-2</v>
      </c>
      <c r="AG260">
        <f t="shared" si="12"/>
        <v>7.0449197049310902E-3</v>
      </c>
      <c r="AH260">
        <f>IF(T260="IT_Admin", 0.25, IF(AND(T260="HR", AA260&gt;0.6), 0.25, IF(AND(T260="General", Z260&gt;0.7), 0.2, 0.1)))</f>
        <v>0.25</v>
      </c>
      <c r="AI260">
        <f>IF(V260&gt;0.7, 0.1,
 IF(F260&gt;0.5, 0.08,
 IF(E260&gt;0.5, 0.05,
 0)))</f>
        <v>0</v>
      </c>
      <c r="AJ260">
        <f t="shared" si="13"/>
        <v>1.3346085771170349E-2</v>
      </c>
      <c r="AK260">
        <f t="shared" si="14"/>
        <v>1.6682607213962936E-2</v>
      </c>
      <c r="AL260" t="str">
        <f>IF(MAX(X260, Y260, Z260, AA260)&gt;0.9,
 "Critical",
 IF(AK260&lt;=0.2,"Very Low",
 IF(AK260&lt;=0.4,"Low",
 IF(AK260&lt;=0.6,"Medium",
 IF(AK260&lt;=0.8,"High","Critical")))))</f>
        <v>Very Low</v>
      </c>
      <c r="AM260" t="str">
        <f>IF(MAX(X260:AA260)&gt;0.9,"CRITICAL ALERT",
 IF(AK260&gt;0.8,"CRITICAL ALERT",
 IF(AK260&gt;0.6,"ALERT",
 IF(AK260&gt;=0.4,"REVIEW","NO ACTION"))))</f>
        <v>NO ACTION</v>
      </c>
      <c r="AN260" t="str">
        <f>IF(AM260="NO ACTION","",
 IF(_xlfn.TEXTJOIN(", ", TRUE,
  IF(X260&gt;0.7,"Login anomaly",""),
  IF(Y260&gt;0.7,"File anomaly",""),
  IF(Z260&gt;0.7,"Network anomaly",""),
  IF(AA260&gt;0.7,"USB anomaly","")
 )="",
 "General anomaly detected",
 _xlfn.TEXTJOIN(", ", TRUE,
  IF(X260&gt;0.7,"Login anomaly",""),
  IF(Y260&gt;0.7,"File anomaly",""),
  IF(Z260&gt;0.7,"Network anomaly",""),
  IF(AA260&gt;0.7,"USB anomaly","")
 )))</f>
        <v/>
      </c>
    </row>
    <row r="261" spans="1:40" x14ac:dyDescent="0.3">
      <c r="A261" t="s">
        <v>284</v>
      </c>
      <c r="B261">
        <v>0.23137996219281601</v>
      </c>
      <c r="C261">
        <v>0.54919842123907903</v>
      </c>
      <c r="D261">
        <v>0.34347114364352299</v>
      </c>
      <c r="E261">
        <v>0</v>
      </c>
      <c r="F261">
        <v>0</v>
      </c>
      <c r="G261">
        <v>0.49054754831430902</v>
      </c>
      <c r="H261">
        <v>7</v>
      </c>
      <c r="I261">
        <v>13</v>
      </c>
      <c r="J261">
        <v>8.4251705548399405E-2</v>
      </c>
      <c r="K261">
        <v>1.30505709624796E-2</v>
      </c>
      <c r="L261">
        <v>3.9454957663240101E-2</v>
      </c>
      <c r="M261">
        <v>2.59740259740259E-3</v>
      </c>
      <c r="N261">
        <v>1.8577808414059101E-2</v>
      </c>
      <c r="O261">
        <v>993</v>
      </c>
      <c r="P261">
        <v>6.8813131313131298E-2</v>
      </c>
      <c r="Q261">
        <v>6.8971562817770601E-2</v>
      </c>
      <c r="R261">
        <v>0</v>
      </c>
      <c r="S261">
        <v>0</v>
      </c>
      <c r="T261" t="s">
        <v>49</v>
      </c>
      <c r="U261">
        <v>2.7169811320754699E-2</v>
      </c>
      <c r="V261">
        <v>0</v>
      </c>
      <c r="W261">
        <v>0</v>
      </c>
      <c r="X261">
        <v>0.103041343093057</v>
      </c>
      <c r="Y261">
        <v>4.2151162465517603E-2</v>
      </c>
      <c r="Z261">
        <v>4.8719002153502403E-2</v>
      </c>
      <c r="AA261">
        <v>0</v>
      </c>
      <c r="AB261">
        <v>1.4685000292956831E-2</v>
      </c>
      <c r="AC261">
        <v>4.8999998398358002E-5</v>
      </c>
      <c r="AD261">
        <v>4.4639999978244296E-3</v>
      </c>
      <c r="AE261">
        <v>5.6739998981356621E-3</v>
      </c>
      <c r="AF261">
        <f>0.16*X261 + 0.28*Y261 + 0.28*Z261 + 0.28*AA261</f>
        <v>4.1930260988214729E-2</v>
      </c>
      <c r="AG261">
        <f t="shared" si="12"/>
        <v>5.2019600172934586E-3</v>
      </c>
      <c r="AH261">
        <f>IF(T261="IT_Admin", 0.25, IF(AND(T261="HR", AA261&gt;0.6), 0.25, IF(AND(T261="General", Z261&gt;0.7), 0.2, 0.1)))</f>
        <v>0.1</v>
      </c>
      <c r="AI261">
        <f>IF(V261&gt;0.7, 0.1,
 IF(F261&gt;0.5, 0.08,
 IF(E261&gt;0.5, 0.05,
 0)))</f>
        <v>0</v>
      </c>
      <c r="AJ261">
        <f t="shared" si="13"/>
        <v>1.6220450308569837E-2</v>
      </c>
      <c r="AK261">
        <f t="shared" si="14"/>
        <v>1.7842495339426823E-2</v>
      </c>
      <c r="AL261" t="str">
        <f>IF(MAX(X261, Y261, Z261, AA261)&gt;0.9,
 "Critical",
 IF(AK261&lt;=0.2,"Very Low",
 IF(AK261&lt;=0.4,"Low",
 IF(AK261&lt;=0.6,"Medium",
 IF(AK261&lt;=0.8,"High","Critical")))))</f>
        <v>Very Low</v>
      </c>
      <c r="AM261" t="str">
        <f>IF(MAX(X261:AA261)&gt;0.9,"CRITICAL ALERT",
 IF(AK261&gt;0.8,"CRITICAL ALERT",
 IF(AK261&gt;0.6,"ALERT",
 IF(AK261&gt;=0.4,"REVIEW","NO ACTION"))))</f>
        <v>NO ACTION</v>
      </c>
      <c r="AN261" t="str">
        <f>IF(AM261="NO ACTION","",
 IF(_xlfn.TEXTJOIN(", ", TRUE,
  IF(X261&gt;0.7,"Login anomaly",""),
  IF(Y261&gt;0.7,"File anomaly",""),
  IF(Z261&gt;0.7,"Network anomaly",""),
  IF(AA261&gt;0.7,"USB anomaly","")
 )="",
 "General anomaly detected",
 _xlfn.TEXTJOIN(", ", TRUE,
  IF(X261&gt;0.7,"Login anomaly",""),
  IF(Y261&gt;0.7,"File anomaly",""),
  IF(Z261&gt;0.7,"Network anomaly",""),
  IF(AA261&gt;0.7,"USB anomaly","")
 )))</f>
        <v/>
      </c>
    </row>
    <row r="262" spans="1:40" x14ac:dyDescent="0.3">
      <c r="A262" t="s">
        <v>285</v>
      </c>
      <c r="B262">
        <v>0.24045368620037799</v>
      </c>
      <c r="C262">
        <v>0.593271519557385</v>
      </c>
      <c r="D262">
        <v>0.37861451069125801</v>
      </c>
      <c r="E262">
        <v>0</v>
      </c>
      <c r="F262">
        <v>0</v>
      </c>
      <c r="G262">
        <v>0.46662262995339798</v>
      </c>
      <c r="H262">
        <v>7</v>
      </c>
      <c r="I262">
        <v>18</v>
      </c>
      <c r="J262">
        <v>0.15061304327083599</v>
      </c>
      <c r="K262">
        <v>1.8760195758564399E-2</v>
      </c>
      <c r="L262">
        <v>3.17662632530194E-2</v>
      </c>
      <c r="M262">
        <v>4.6176046176046098E-3</v>
      </c>
      <c r="N262">
        <v>1.8498164987728501E-2</v>
      </c>
      <c r="O262">
        <v>627</v>
      </c>
      <c r="P262">
        <v>0.121036756453423</v>
      </c>
      <c r="Q262">
        <v>0.12118236964830401</v>
      </c>
      <c r="R262">
        <v>0</v>
      </c>
      <c r="S262">
        <v>0</v>
      </c>
      <c r="T262" t="s">
        <v>24</v>
      </c>
      <c r="U262">
        <v>2.29744728079911E-2</v>
      </c>
      <c r="V262">
        <v>0</v>
      </c>
      <c r="W262">
        <v>0</v>
      </c>
      <c r="X262">
        <v>0.113584353207377</v>
      </c>
      <c r="Y262">
        <v>5.1555189776995497E-2</v>
      </c>
      <c r="Z262">
        <v>8.0021319867145294E-2</v>
      </c>
      <c r="AA262">
        <v>0</v>
      </c>
      <c r="AB262">
        <v>3.5149000585079193E-2</v>
      </c>
      <c r="AC262">
        <v>9.1000001702923328E-5</v>
      </c>
      <c r="AD262">
        <v>2.9100000392645597E-4</v>
      </c>
      <c r="AE262">
        <v>1.13359997048974E-2</v>
      </c>
      <c r="AF262">
        <f>0.16*X262 + 0.28*Y262 + 0.28*Z262 + 0.28*AA262</f>
        <v>5.5014919213539751E-2</v>
      </c>
      <c r="AG262">
        <f t="shared" si="12"/>
        <v>8.9048800125601704E-3</v>
      </c>
      <c r="AH262">
        <f>IF(T262="IT_Admin", 0.25, IF(AND(T262="HR", AA262&gt;0.6), 0.25, IF(AND(T262="General", Z262&gt;0.7), 0.2, 0.1)))</f>
        <v>0.25</v>
      </c>
      <c r="AI262">
        <f>IF(V262&gt;0.7, 0.1,
 IF(F262&gt;0.5, 0.08,
 IF(E262&gt;0.5, 0.05,
 0)))</f>
        <v>0</v>
      </c>
      <c r="AJ262">
        <f t="shared" si="13"/>
        <v>2.2737891772854044E-2</v>
      </c>
      <c r="AK262">
        <f t="shared" si="14"/>
        <v>2.8422364716067555E-2</v>
      </c>
      <c r="AL262" t="str">
        <f>IF(MAX(X262, Y262, Z262, AA262)&gt;0.9,
 "Critical",
 IF(AK262&lt;=0.2,"Very Low",
 IF(AK262&lt;=0.4,"Low",
 IF(AK262&lt;=0.6,"Medium",
 IF(AK262&lt;=0.8,"High","Critical")))))</f>
        <v>Very Low</v>
      </c>
      <c r="AM262" t="str">
        <f>IF(MAX(X262:AA262)&gt;0.9,"CRITICAL ALERT",
 IF(AK262&gt;0.8,"CRITICAL ALERT",
 IF(AK262&gt;0.6,"ALERT",
 IF(AK262&gt;=0.4,"REVIEW","NO ACTION"))))</f>
        <v>NO ACTION</v>
      </c>
      <c r="AN262" t="str">
        <f>IF(AM262="NO ACTION","",
 IF(_xlfn.TEXTJOIN(", ", TRUE,
  IF(X262&gt;0.7,"Login anomaly",""),
  IF(Y262&gt;0.7,"File anomaly",""),
  IF(Z262&gt;0.7,"Network anomaly",""),
  IF(AA262&gt;0.7,"USB anomaly","")
 )="",
 "General anomaly detected",
 _xlfn.TEXTJOIN(", ", TRUE,
  IF(X262&gt;0.7,"Login anomaly",""),
  IF(Y262&gt;0.7,"File anomaly",""),
  IF(Z262&gt;0.7,"Network anomaly",""),
  IF(AA262&gt;0.7,"USB anomaly","")
 )))</f>
        <v/>
      </c>
    </row>
    <row r="263" spans="1:40" x14ac:dyDescent="0.3">
      <c r="A263" t="s">
        <v>286</v>
      </c>
      <c r="B263">
        <v>0.15463137996219201</v>
      </c>
      <c r="C263">
        <v>0.314951916546515</v>
      </c>
      <c r="D263">
        <v>0.29844843487121497</v>
      </c>
      <c r="E263">
        <v>0</v>
      </c>
      <c r="F263">
        <v>0</v>
      </c>
      <c r="G263">
        <v>0.80515650904950398</v>
      </c>
      <c r="H263">
        <v>7</v>
      </c>
      <c r="I263">
        <v>17</v>
      </c>
      <c r="J263">
        <v>0.108582605791708</v>
      </c>
      <c r="K263">
        <v>1.4681892332789499E-2</v>
      </c>
      <c r="L263">
        <v>3.4462547687109997E-2</v>
      </c>
      <c r="M263">
        <v>5.4834054834054799E-3</v>
      </c>
      <c r="N263">
        <v>3.0450809845811999E-2</v>
      </c>
      <c r="O263">
        <v>942</v>
      </c>
      <c r="P263">
        <v>8.8804713804713803E-2</v>
      </c>
      <c r="Q263">
        <v>8.8958238367404102E-2</v>
      </c>
      <c r="R263">
        <v>0.212389380530973</v>
      </c>
      <c r="S263">
        <v>1</v>
      </c>
      <c r="T263" t="s">
        <v>24</v>
      </c>
      <c r="U263">
        <v>1.52830188679245E-2</v>
      </c>
      <c r="V263">
        <v>0</v>
      </c>
      <c r="W263">
        <v>0</v>
      </c>
      <c r="X263">
        <v>8.95345304613646E-2</v>
      </c>
      <c r="Y263">
        <v>4.8083037955640298E-2</v>
      </c>
      <c r="Z263">
        <v>6.5463152221152995E-2</v>
      </c>
      <c r="AA263">
        <v>0.212389380530973</v>
      </c>
      <c r="AB263">
        <v>1.1908999644219881E-2</v>
      </c>
      <c r="AC263">
        <v>2.0999999833293259E-4</v>
      </c>
      <c r="AD263">
        <v>1.9219999667257071E-3</v>
      </c>
      <c r="AE263">
        <v>7.209700345993042E-2</v>
      </c>
      <c r="AF263">
        <f>0.16*X263 + 0.28*Y263 + 0.28*Z263 + 0.28*AA263</f>
        <v>0.10558748467199291</v>
      </c>
      <c r="AG263">
        <f t="shared" si="12"/>
        <v>2.2689560902072119E-2</v>
      </c>
      <c r="AH263">
        <f>IF(T263="IT_Admin", 0.25, IF(AND(T263="HR", AA263&gt;0.6), 0.25, IF(AND(T263="General", Z263&gt;0.7), 0.2, 0.1)))</f>
        <v>0.25</v>
      </c>
      <c r="AI263">
        <f>IF(V263&gt;0.7, 0.1,
 IF(F263&gt;0.5, 0.08,
 IF(E263&gt;0.5, 0.05,
 0)))</f>
        <v>0</v>
      </c>
      <c r="AJ263">
        <f t="shared" si="13"/>
        <v>4.7558938033048351E-2</v>
      </c>
      <c r="AK263">
        <f t="shared" si="14"/>
        <v>5.9448672541310435E-2</v>
      </c>
      <c r="AL263" t="str">
        <f>IF(MAX(X263, Y263, Z263, AA263)&gt;0.9,
 "Critical",
 IF(AK263&lt;=0.2,"Very Low",
 IF(AK263&lt;=0.4,"Low",
 IF(AK263&lt;=0.6,"Medium",
 IF(AK263&lt;=0.8,"High","Critical")))))</f>
        <v>Very Low</v>
      </c>
      <c r="AM263" t="str">
        <f>IF(MAX(X263:AA263)&gt;0.9,"CRITICAL ALERT",
 IF(AK263&gt;0.8,"CRITICAL ALERT",
 IF(AK263&gt;0.6,"ALERT",
 IF(AK263&gt;=0.4,"REVIEW","NO ACTION"))))</f>
        <v>NO ACTION</v>
      </c>
      <c r="AN263" t="str">
        <f>IF(AM263="NO ACTION","",
 IF(_xlfn.TEXTJOIN(", ", TRUE,
  IF(X263&gt;0.7,"Login anomaly",""),
  IF(Y263&gt;0.7,"File anomaly",""),
  IF(Z263&gt;0.7,"Network anomaly",""),
  IF(AA263&gt;0.7,"USB anomaly","")
 )="",
 "General anomaly detected",
 _xlfn.TEXTJOIN(", ", TRUE,
  IF(X263&gt;0.7,"Login anomaly",""),
  IF(Y263&gt;0.7,"File anomaly",""),
  IF(Z263&gt;0.7,"Network anomaly",""),
  IF(AA263&gt;0.7,"USB anomaly","")
 )))</f>
        <v/>
      </c>
    </row>
    <row r="264" spans="1:40" x14ac:dyDescent="0.3">
      <c r="A264" t="s">
        <v>287</v>
      </c>
      <c r="B264">
        <v>0.12892249527410199</v>
      </c>
      <c r="C264">
        <v>0.28062983433656202</v>
      </c>
      <c r="D264">
        <v>7.5079446679057096E-2</v>
      </c>
      <c r="E264">
        <v>0</v>
      </c>
      <c r="F264">
        <v>0</v>
      </c>
      <c r="G264">
        <v>0.99367902252756701</v>
      </c>
      <c r="H264">
        <v>7</v>
      </c>
      <c r="I264">
        <v>8</v>
      </c>
      <c r="J264">
        <v>0.12299031534755001</v>
      </c>
      <c r="K264">
        <v>3.2626427406198998E-2</v>
      </c>
      <c r="L264">
        <v>6.7629432850946802E-2</v>
      </c>
      <c r="M264">
        <v>4.3290043290043203E-3</v>
      </c>
      <c r="N264">
        <v>2.12293835987215E-2</v>
      </c>
      <c r="O264">
        <v>1252</v>
      </c>
      <c r="P264">
        <v>0.10655162738496</v>
      </c>
      <c r="Q264">
        <v>0.106700795960587</v>
      </c>
      <c r="R264">
        <v>0</v>
      </c>
      <c r="S264">
        <v>0</v>
      </c>
      <c r="T264" t="s">
        <v>24</v>
      </c>
      <c r="U264">
        <v>4.2452830188679201E-2</v>
      </c>
      <c r="V264">
        <v>0</v>
      </c>
      <c r="W264">
        <v>0</v>
      </c>
      <c r="X264">
        <v>2.2523834003717099E-2</v>
      </c>
      <c r="Y264">
        <v>6.4781594574599893E-2</v>
      </c>
      <c r="Z264">
        <v>7.2422729870464997E-2</v>
      </c>
      <c r="AA264">
        <v>0</v>
      </c>
      <c r="AB264">
        <v>1.8238000571727749E-2</v>
      </c>
      <c r="AC264">
        <v>3.9599998854100699E-4</v>
      </c>
      <c r="AD264">
        <v>1.127999974414706E-3</v>
      </c>
      <c r="AE264">
        <v>1.32599996868521E-3</v>
      </c>
      <c r="AF264">
        <f>0.16*X264 + 0.28*Y264 + 0.28*Z264 + 0.28*AA264</f>
        <v>4.2021024285212913E-2</v>
      </c>
      <c r="AG264">
        <f t="shared" si="12"/>
        <v>3.7160800723358986E-3</v>
      </c>
      <c r="AH264">
        <f>IF(T264="IT_Admin", 0.25, IF(AND(T264="HR", AA264&gt;0.6), 0.25, IF(AND(T264="General", Z264&gt;0.7), 0.2, 0.1)))</f>
        <v>0.25</v>
      </c>
      <c r="AI264">
        <f>IF(V264&gt;0.7, 0.1,
 IF(F264&gt;0.5, 0.08,
 IF(E264&gt;0.5, 0.05,
 0)))</f>
        <v>0</v>
      </c>
      <c r="AJ264">
        <f t="shared" si="13"/>
        <v>1.5207563336199003E-2</v>
      </c>
      <c r="AK264">
        <f t="shared" si="14"/>
        <v>1.9009454170248755E-2</v>
      </c>
      <c r="AL264" t="str">
        <f>IF(MAX(X264, Y264, Z264, AA264)&gt;0.9,
 "Critical",
 IF(AK264&lt;=0.2,"Very Low",
 IF(AK264&lt;=0.4,"Low",
 IF(AK264&lt;=0.6,"Medium",
 IF(AK264&lt;=0.8,"High","Critical")))))</f>
        <v>Very Low</v>
      </c>
      <c r="AM264" t="str">
        <f>IF(MAX(X264:AA264)&gt;0.9,"CRITICAL ALERT",
 IF(AK264&gt;0.8,"CRITICAL ALERT",
 IF(AK264&gt;0.6,"ALERT",
 IF(AK264&gt;=0.4,"REVIEW","NO ACTION"))))</f>
        <v>NO ACTION</v>
      </c>
      <c r="AN264" t="str">
        <f>IF(AM264="NO ACTION","",
 IF(_xlfn.TEXTJOIN(", ", TRUE,
  IF(X264&gt;0.7,"Login anomaly",""),
  IF(Y264&gt;0.7,"File anomaly",""),
  IF(Z264&gt;0.7,"Network anomaly",""),
  IF(AA264&gt;0.7,"USB anomaly","")
 )="",
 "General anomaly detected",
 _xlfn.TEXTJOIN(", ", TRUE,
  IF(X264&gt;0.7,"Login anomaly",""),
  IF(Y264&gt;0.7,"File anomaly",""),
  IF(Z264&gt;0.7,"Network anomaly",""),
  IF(AA264&gt;0.7,"USB anomaly","")
 )))</f>
        <v/>
      </c>
    </row>
    <row r="265" spans="1:40" x14ac:dyDescent="0.3">
      <c r="A265" t="s">
        <v>288</v>
      </c>
      <c r="B265">
        <v>0.12892249527410199</v>
      </c>
      <c r="C265">
        <v>0.36953165208440503</v>
      </c>
      <c r="D265">
        <v>0</v>
      </c>
      <c r="E265">
        <v>0</v>
      </c>
      <c r="F265">
        <v>0</v>
      </c>
      <c r="G265">
        <v>0.99366416922971701</v>
      </c>
      <c r="H265">
        <v>8</v>
      </c>
      <c r="I265">
        <v>8</v>
      </c>
      <c r="J265">
        <v>0.105815562234626</v>
      </c>
      <c r="K265">
        <v>1.30505709624796E-2</v>
      </c>
      <c r="L265">
        <v>3.14326270902376E-2</v>
      </c>
      <c r="M265">
        <v>4.6176046176046098E-3</v>
      </c>
      <c r="N265">
        <v>2.63118298206017E-2</v>
      </c>
      <c r="O265">
        <v>1178</v>
      </c>
      <c r="P265">
        <v>8.5648148148148098E-2</v>
      </c>
      <c r="Q265">
        <v>8.5802447491146197E-2</v>
      </c>
      <c r="R265">
        <v>0</v>
      </c>
      <c r="S265">
        <v>0</v>
      </c>
      <c r="T265" t="s">
        <v>24</v>
      </c>
      <c r="U265">
        <v>1.5982241953385101E-2</v>
      </c>
      <c r="V265">
        <v>0</v>
      </c>
      <c r="W265">
        <v>0</v>
      </c>
      <c r="X265">
        <v>0</v>
      </c>
      <c r="Y265">
        <v>4.4772974938224498E-2</v>
      </c>
      <c r="Z265">
        <v>6.1913620817129499E-2</v>
      </c>
      <c r="AA265">
        <v>0</v>
      </c>
      <c r="AB265">
        <v>2.472300082445145E-2</v>
      </c>
      <c r="AC265">
        <v>1.6900000628083939E-4</v>
      </c>
      <c r="AD265">
        <v>2.6650000363588329E-3</v>
      </c>
      <c r="AE265">
        <v>1.2659999774768951E-3</v>
      </c>
      <c r="AF265">
        <f>0.16*X265 + 0.28*Y265 + 0.28*Z265 + 0.28*AA265</f>
        <v>2.9872246811499123E-2</v>
      </c>
      <c r="AG265">
        <f t="shared" si="12"/>
        <v>5.1036801375448715E-3</v>
      </c>
      <c r="AH265">
        <f>IF(T265="IT_Admin", 0.25, IF(AND(T265="HR", AA265&gt;0.6), 0.25, IF(AND(T265="General", Z265&gt;0.7), 0.2, 0.1)))</f>
        <v>0.25</v>
      </c>
      <c r="AI265">
        <f>IF(V265&gt;0.7, 0.1,
 IF(F265&gt;0.5, 0.08,
 IF(E265&gt;0.5, 0.05,
 0)))</f>
        <v>0</v>
      </c>
      <c r="AJ265">
        <f t="shared" si="13"/>
        <v>1.2534250139731147E-2</v>
      </c>
      <c r="AK265">
        <f t="shared" si="14"/>
        <v>1.5667812674663932E-2</v>
      </c>
      <c r="AL265" t="str">
        <f>IF(MAX(X265, Y265, Z265, AA265)&gt;0.9,
 "Critical",
 IF(AK265&lt;=0.2,"Very Low",
 IF(AK265&lt;=0.4,"Low",
 IF(AK265&lt;=0.6,"Medium",
 IF(AK265&lt;=0.8,"High","Critical")))))</f>
        <v>Very Low</v>
      </c>
      <c r="AM265" t="str">
        <f>IF(MAX(X265:AA265)&gt;0.9,"CRITICAL ALERT",
 IF(AK265&gt;0.8,"CRITICAL ALERT",
 IF(AK265&gt;0.6,"ALERT",
 IF(AK265&gt;=0.4,"REVIEW","NO ACTION"))))</f>
        <v>NO ACTION</v>
      </c>
      <c r="AN265" t="str">
        <f>IF(AM265="NO ACTION","",
 IF(_xlfn.TEXTJOIN(", ", TRUE,
  IF(X265&gt;0.7,"Login anomaly",""),
  IF(Y265&gt;0.7,"File anomaly",""),
  IF(Z265&gt;0.7,"Network anomaly",""),
  IF(AA265&gt;0.7,"USB anomaly","")
 )="",
 "General anomaly detected",
 _xlfn.TEXTJOIN(", ", TRUE,
  IF(X265&gt;0.7,"Login anomaly",""),
  IF(Y265&gt;0.7,"File anomaly",""),
  IF(Z265&gt;0.7,"Network anomaly",""),
  IF(AA265&gt;0.7,"USB anomaly","")
 )))</f>
        <v/>
      </c>
    </row>
    <row r="266" spans="1:40" x14ac:dyDescent="0.3">
      <c r="A266" t="s">
        <v>289</v>
      </c>
      <c r="B266">
        <v>0.24196597353497101</v>
      </c>
      <c r="C266">
        <v>0.68598616470016505</v>
      </c>
      <c r="D266">
        <v>0.385118480090478</v>
      </c>
      <c r="E266">
        <v>0</v>
      </c>
      <c r="F266">
        <v>0</v>
      </c>
      <c r="G266">
        <v>0.46275940710205699</v>
      </c>
      <c r="H266">
        <v>7</v>
      </c>
      <c r="I266">
        <v>17</v>
      </c>
      <c r="J266">
        <v>0.13148227660893999</v>
      </c>
      <c r="K266">
        <v>4.48613376835236E-2</v>
      </c>
      <c r="L266">
        <v>8.6995430803782706E-2</v>
      </c>
      <c r="M266">
        <v>4.0404040404040404E-3</v>
      </c>
      <c r="N266">
        <v>1.8536688873523301E-2</v>
      </c>
      <c r="O266">
        <v>1078</v>
      </c>
      <c r="P266">
        <v>0.117915263748597</v>
      </c>
      <c r="Q266">
        <v>0.11806164311511599</v>
      </c>
      <c r="R266">
        <v>0</v>
      </c>
      <c r="S266">
        <v>0</v>
      </c>
      <c r="T266" t="s">
        <v>24</v>
      </c>
      <c r="U266">
        <v>6.2264150943396199E-2</v>
      </c>
      <c r="V266">
        <v>0</v>
      </c>
      <c r="W266">
        <v>0</v>
      </c>
      <c r="X266">
        <v>0.115535544027143</v>
      </c>
      <c r="Y266">
        <v>7.5355177385736397E-2</v>
      </c>
      <c r="Z266">
        <v>7.8163833798567506E-2</v>
      </c>
      <c r="AA266">
        <v>0</v>
      </c>
      <c r="AB266">
        <v>3.8345001637935638E-2</v>
      </c>
      <c r="AC266">
        <v>1.4619999565184121E-3</v>
      </c>
      <c r="AD266">
        <v>4.4199998956173658E-4</v>
      </c>
      <c r="AE266">
        <v>8.5330000147223473E-3</v>
      </c>
      <c r="AF266">
        <f>0.16*X266 + 0.28*Y266 + 0.28*Z266 + 0.28*AA266</f>
        <v>6.1471010175947978E-2</v>
      </c>
      <c r="AG266">
        <f t="shared" si="12"/>
        <v>9.0575602510944014E-3</v>
      </c>
      <c r="AH266">
        <f>IF(T266="IT_Admin", 0.25, IF(AND(T266="HR", AA266&gt;0.6), 0.25, IF(AND(T266="General", Z266&gt;0.7), 0.2, 0.1)))</f>
        <v>0.25</v>
      </c>
      <c r="AI266">
        <f>IF(V266&gt;0.7, 0.1,
 IF(F266&gt;0.5, 0.08,
 IF(E266&gt;0.5, 0.05,
 0)))</f>
        <v>0</v>
      </c>
      <c r="AJ266">
        <f t="shared" si="13"/>
        <v>2.4781595228550474E-2</v>
      </c>
      <c r="AK266">
        <f t="shared" si="14"/>
        <v>3.0976994035688092E-2</v>
      </c>
      <c r="AL266" t="str">
        <f>IF(MAX(X266, Y266, Z266, AA266)&gt;0.9,
 "Critical",
 IF(AK266&lt;=0.2,"Very Low",
 IF(AK266&lt;=0.4,"Low",
 IF(AK266&lt;=0.6,"Medium",
 IF(AK266&lt;=0.8,"High","Critical")))))</f>
        <v>Very Low</v>
      </c>
      <c r="AM266" t="str">
        <f>IF(MAX(X266:AA266)&gt;0.9,"CRITICAL ALERT",
 IF(AK266&gt;0.8,"CRITICAL ALERT",
 IF(AK266&gt;0.6,"ALERT",
 IF(AK266&gt;=0.4,"REVIEW","NO ACTION"))))</f>
        <v>NO ACTION</v>
      </c>
      <c r="AN266" t="str">
        <f>IF(AM266="NO ACTION","",
 IF(_xlfn.TEXTJOIN(", ", TRUE,
  IF(X266&gt;0.7,"Login anomaly",""),
  IF(Y266&gt;0.7,"File anomaly",""),
  IF(Z266&gt;0.7,"Network anomaly",""),
  IF(AA266&gt;0.7,"USB anomaly","")
 )="",
 "General anomaly detected",
 _xlfn.TEXTJOIN(", ", TRUE,
  IF(X266&gt;0.7,"Login anomaly",""),
  IF(Y266&gt;0.7,"File anomaly",""),
  IF(Z266&gt;0.7,"Network anomaly",""),
  IF(AA266&gt;0.7,"USB anomaly","")
 )))</f>
        <v/>
      </c>
    </row>
    <row r="267" spans="1:40" x14ac:dyDescent="0.3">
      <c r="A267" t="s">
        <v>290</v>
      </c>
      <c r="B267">
        <v>0.12892249527410199</v>
      </c>
      <c r="C267">
        <v>0.18476582604220201</v>
      </c>
      <c r="D267">
        <v>0</v>
      </c>
      <c r="E267">
        <v>0</v>
      </c>
      <c r="F267">
        <v>0</v>
      </c>
      <c r="G267">
        <v>0.99365632775895996</v>
      </c>
      <c r="H267">
        <v>7</v>
      </c>
      <c r="I267">
        <v>7</v>
      </c>
      <c r="J267">
        <v>0.121845331806688</v>
      </c>
      <c r="K267">
        <v>2.2022838499184301E-2</v>
      </c>
      <c r="L267">
        <v>4.6078001919283698E-2</v>
      </c>
      <c r="M267">
        <v>8.6580086580086504E-4</v>
      </c>
      <c r="N267">
        <v>4.2856973689330002E-3</v>
      </c>
      <c r="O267">
        <v>1245</v>
      </c>
      <c r="P267">
        <v>9.9466891133557805E-2</v>
      </c>
      <c r="Q267">
        <v>9.9617798660542101E-2</v>
      </c>
      <c r="R267">
        <v>0</v>
      </c>
      <c r="S267">
        <v>0</v>
      </c>
      <c r="T267" t="s">
        <v>24</v>
      </c>
      <c r="U267">
        <v>0.11462264150943299</v>
      </c>
      <c r="V267">
        <v>0</v>
      </c>
      <c r="W267">
        <v>0</v>
      </c>
      <c r="X267">
        <v>0</v>
      </c>
      <c r="Y267">
        <v>4.8693776531659398E-2</v>
      </c>
      <c r="Z267">
        <v>6.1394413627707797E-2</v>
      </c>
      <c r="AA267">
        <v>0</v>
      </c>
      <c r="AB267">
        <v>3.6887999624013901E-2</v>
      </c>
      <c r="AC267">
        <v>2.1500000730156898E-3</v>
      </c>
      <c r="AD267">
        <v>1.8939999863505359E-3</v>
      </c>
      <c r="AE267">
        <v>1.1180000146850939E-3</v>
      </c>
      <c r="AF267">
        <f>0.16*X267 + 0.28*Y267 + 0.28*Z267 + 0.28*AA267</f>
        <v>3.0824693244622815E-2</v>
      </c>
      <c r="AG267">
        <f t="shared" si="12"/>
        <v>7.347439960576593E-3</v>
      </c>
      <c r="AH267">
        <f>IF(T267="IT_Admin", 0.25, IF(AND(T267="HR", AA267&gt;0.6), 0.25, IF(AND(T267="General", Z267&gt;0.7), 0.2, 0.1)))</f>
        <v>0.25</v>
      </c>
      <c r="AI267">
        <f>IF(V267&gt;0.7, 0.1,
 IF(F267&gt;0.5, 0.08,
 IF(E267&gt;0.5, 0.05,
 0)))</f>
        <v>0</v>
      </c>
      <c r="AJ267">
        <f t="shared" si="13"/>
        <v>1.4390615945790459E-2</v>
      </c>
      <c r="AK267">
        <f t="shared" si="14"/>
        <v>1.7988269932238073E-2</v>
      </c>
      <c r="AL267" t="str">
        <f>IF(MAX(X267, Y267, Z267, AA267)&gt;0.9,
 "Critical",
 IF(AK267&lt;=0.2,"Very Low",
 IF(AK267&lt;=0.4,"Low",
 IF(AK267&lt;=0.6,"Medium",
 IF(AK267&lt;=0.8,"High","Critical")))))</f>
        <v>Very Low</v>
      </c>
      <c r="AM267" t="str">
        <f>IF(MAX(X267:AA267)&gt;0.9,"CRITICAL ALERT",
 IF(AK267&gt;0.8,"CRITICAL ALERT",
 IF(AK267&gt;0.6,"ALERT",
 IF(AK267&gt;=0.4,"REVIEW","NO ACTION"))))</f>
        <v>NO ACTION</v>
      </c>
      <c r="AN267" t="str">
        <f>IF(AM267="NO ACTION","",
 IF(_xlfn.TEXTJOIN(", ", TRUE,
  IF(X267&gt;0.7,"Login anomaly",""),
  IF(Y267&gt;0.7,"File anomaly",""),
  IF(Z267&gt;0.7,"Network anomaly",""),
  IF(AA267&gt;0.7,"USB anomaly","")
 )="",
 "General anomaly detected",
 _xlfn.TEXTJOIN(", ", TRUE,
  IF(X267&gt;0.7,"Login anomaly",""),
  IF(Y267&gt;0.7,"File anomaly",""),
  IF(Z267&gt;0.7,"Network anomaly",""),
  IF(AA267&gt;0.7,"USB anomaly","")
 )))</f>
        <v/>
      </c>
    </row>
    <row r="268" spans="1:40" x14ac:dyDescent="0.3">
      <c r="A268" t="s">
        <v>291</v>
      </c>
      <c r="B268">
        <v>0.29149338374291101</v>
      </c>
      <c r="C268">
        <v>0.83681038633307203</v>
      </c>
      <c r="D268">
        <v>0.50872484658216899</v>
      </c>
      <c r="E268">
        <v>0.235125448028673</v>
      </c>
      <c r="F268">
        <v>5.4193548387096703E-2</v>
      </c>
      <c r="G268">
        <v>0.35997932658561999</v>
      </c>
      <c r="H268">
        <v>0</v>
      </c>
      <c r="I268">
        <v>23</v>
      </c>
      <c r="J268">
        <v>0.113257955250226</v>
      </c>
      <c r="K268">
        <v>1.7944535073409401E-2</v>
      </c>
      <c r="L268">
        <v>4.0385772921268402E-2</v>
      </c>
      <c r="M268">
        <v>2.3088023088023001E-3</v>
      </c>
      <c r="N268">
        <v>1.22932319653631E-2</v>
      </c>
      <c r="O268">
        <v>558</v>
      </c>
      <c r="P268">
        <v>9.2101571268237897E-2</v>
      </c>
      <c r="Q268">
        <v>9.2254286615940206E-2</v>
      </c>
      <c r="R268">
        <v>0.606194690265486</v>
      </c>
      <c r="S268">
        <v>1</v>
      </c>
      <c r="T268" t="s">
        <v>24</v>
      </c>
      <c r="U268">
        <v>4.15094339622641E-2</v>
      </c>
      <c r="V268">
        <v>0</v>
      </c>
      <c r="W268">
        <v>7.1423366024920498E-2</v>
      </c>
      <c r="X268">
        <v>0.24483250773809101</v>
      </c>
      <c r="Y268">
        <v>4.65324471002884E-2</v>
      </c>
      <c r="Z268">
        <v>6.0178235547088003E-2</v>
      </c>
      <c r="AA268">
        <v>0.606194690265486</v>
      </c>
      <c r="AB268">
        <v>0.21042700111866</v>
      </c>
      <c r="AC268">
        <v>5.199999941396527E-5</v>
      </c>
      <c r="AD268">
        <v>1.6230000182986259E-3</v>
      </c>
      <c r="AE268">
        <v>0.3366369903087616</v>
      </c>
      <c r="AF268">
        <f>0.16*X268 + 0.28*Y268 + 0.28*Z268 + 0.28*AA268</f>
        <v>0.23878670565369603</v>
      </c>
      <c r="AG268">
        <f t="shared" si="12"/>
        <v>0.12839567747039837</v>
      </c>
      <c r="AH268">
        <f>IF(T268="IT_Admin", 0.25, IF(AND(T268="HR", AA268&gt;0.6), 0.25, IF(AND(T268="General", Z268&gt;0.7), 0.2, 0.1)))</f>
        <v>0.25</v>
      </c>
      <c r="AI268">
        <f>IF(V268&gt;0.7, 0.1,
 IF(F268&gt;0.5, 0.08,
 IF(E268&gt;0.5, 0.05,
 0)))</f>
        <v>0</v>
      </c>
      <c r="AJ268">
        <f t="shared" si="13"/>
        <v>0.16151298592538765</v>
      </c>
      <c r="AK268">
        <f t="shared" si="14"/>
        <v>0.20189123240673457</v>
      </c>
      <c r="AL268" t="str">
        <f>IF(MAX(X268, Y268, Z268, AA268)&gt;0.9,
 "Critical",
 IF(AK268&lt;=0.2,"Very Low",
 IF(AK268&lt;=0.4,"Low",
 IF(AK268&lt;=0.6,"Medium",
 IF(AK268&lt;=0.8,"High","Critical")))))</f>
        <v>Low</v>
      </c>
      <c r="AM268" t="str">
        <f>IF(MAX(X268:AA268)&gt;0.9,"CRITICAL ALERT",
 IF(AK268&gt;0.8,"CRITICAL ALERT",
 IF(AK268&gt;0.6,"ALERT",
 IF(AK268&gt;=0.4,"REVIEW","NO ACTION"))))</f>
        <v>NO ACTION</v>
      </c>
      <c r="AN268" t="str">
        <f>IF(AM268="NO ACTION","",
 IF(_xlfn.TEXTJOIN(", ", TRUE,
  IF(X268&gt;0.7,"Login anomaly",""),
  IF(Y268&gt;0.7,"File anomaly",""),
  IF(Z268&gt;0.7,"Network anomaly",""),
  IF(AA268&gt;0.7,"USB anomaly","")
 )="",
 "General anomaly detected",
 _xlfn.TEXTJOIN(", ", TRUE,
  IF(X268&gt;0.7,"Login anomaly",""),
  IF(Y268&gt;0.7,"File anomaly",""),
  IF(Z268&gt;0.7,"Network anomaly",""),
  IF(AA268&gt;0.7,"USB anomaly","")
 )))</f>
        <v/>
      </c>
    </row>
    <row r="269" spans="1:40" x14ac:dyDescent="0.3">
      <c r="A269" t="s">
        <v>292</v>
      </c>
      <c r="B269">
        <v>0.23478260869565201</v>
      </c>
      <c r="C269">
        <v>0.58238188368502197</v>
      </c>
      <c r="D269">
        <v>0.36746955510641999</v>
      </c>
      <c r="E269">
        <v>0</v>
      </c>
      <c r="F269">
        <v>0</v>
      </c>
      <c r="G269">
        <v>0.48136286547729501</v>
      </c>
      <c r="H269">
        <v>7</v>
      </c>
      <c r="I269">
        <v>13</v>
      </c>
      <c r="J269">
        <v>0.11516626115166199</v>
      </c>
      <c r="K269">
        <v>1.7944535073409401E-2</v>
      </c>
      <c r="L269">
        <v>3.9717963530259401E-2</v>
      </c>
      <c r="M269">
        <v>1.0678210678210599E-2</v>
      </c>
      <c r="N269">
        <v>5.5916037478666601E-2</v>
      </c>
      <c r="O269">
        <v>542</v>
      </c>
      <c r="P269">
        <v>9.7572951739618399E-2</v>
      </c>
      <c r="Q269">
        <v>9.7724324134787294E-2</v>
      </c>
      <c r="R269">
        <v>0</v>
      </c>
      <c r="S269">
        <v>0</v>
      </c>
      <c r="T269" t="s">
        <v>24</v>
      </c>
      <c r="U269">
        <v>9.8311817279046598E-3</v>
      </c>
      <c r="V269">
        <v>0</v>
      </c>
      <c r="W269">
        <v>0</v>
      </c>
      <c r="X269">
        <v>0.110240866531926</v>
      </c>
      <c r="Y269">
        <v>5.9667045239062202E-2</v>
      </c>
      <c r="Z269">
        <v>8.0910186035237697E-2</v>
      </c>
      <c r="AA269">
        <v>0</v>
      </c>
      <c r="AB269">
        <v>1.8185000866651539E-2</v>
      </c>
      <c r="AC269">
        <v>6.7899998975917697E-4</v>
      </c>
      <c r="AD269">
        <v>1.1640000157058239E-3</v>
      </c>
      <c r="AE269">
        <v>8.0350004136562347E-3</v>
      </c>
      <c r="AF269">
        <f>0.16*X269 + 0.28*Y269 + 0.28*Z269 + 0.28*AA269</f>
        <v>5.7000163401912135E-2</v>
      </c>
      <c r="AG269">
        <f t="shared" si="12"/>
        <v>5.6754402560181931E-3</v>
      </c>
      <c r="AH269">
        <f>IF(T269="IT_Admin", 0.25, IF(AND(T269="HR", AA269&gt;0.6), 0.25, IF(AND(T269="General", Z269&gt;0.7), 0.2, 0.1)))</f>
        <v>0.25</v>
      </c>
      <c r="AI269">
        <f>IF(V269&gt;0.7, 0.1,
 IF(F269&gt;0.5, 0.08,
 IF(E269&gt;0.5, 0.05,
 0)))</f>
        <v>0</v>
      </c>
      <c r="AJ269">
        <f t="shared" si="13"/>
        <v>2.1072857199786375E-2</v>
      </c>
      <c r="AK269">
        <f t="shared" si="14"/>
        <v>2.6341071499732971E-2</v>
      </c>
      <c r="AL269" t="str">
        <f>IF(MAX(X269, Y269, Z269, AA269)&gt;0.9,
 "Critical",
 IF(AK269&lt;=0.2,"Very Low",
 IF(AK269&lt;=0.4,"Low",
 IF(AK269&lt;=0.6,"Medium",
 IF(AK269&lt;=0.8,"High","Critical")))))</f>
        <v>Very Low</v>
      </c>
      <c r="AM269" t="str">
        <f>IF(MAX(X269:AA269)&gt;0.9,"CRITICAL ALERT",
 IF(AK269&gt;0.8,"CRITICAL ALERT",
 IF(AK269&gt;0.6,"ALERT",
 IF(AK269&gt;=0.4,"REVIEW","NO ACTION"))))</f>
        <v>NO ACTION</v>
      </c>
      <c r="AN269" t="str">
        <f>IF(AM269="NO ACTION","",
 IF(_xlfn.TEXTJOIN(", ", TRUE,
  IF(X269&gt;0.7,"Login anomaly",""),
  IF(Y269&gt;0.7,"File anomaly",""),
  IF(Z269&gt;0.7,"Network anomaly",""),
  IF(AA269&gt;0.7,"USB anomaly","")
 )="",
 "General anomaly detected",
 _xlfn.TEXTJOIN(", ", TRUE,
  IF(X269&gt;0.7,"Login anomaly",""),
  IF(Y269&gt;0.7,"File anomaly",""),
  IF(Z269&gt;0.7,"Network anomaly",""),
  IF(AA269&gt;0.7,"USB anomaly","")
 )))</f>
        <v/>
      </c>
    </row>
    <row r="270" spans="1:40" x14ac:dyDescent="0.3">
      <c r="A270" t="s">
        <v>293</v>
      </c>
      <c r="B270">
        <v>0.12892249527410199</v>
      </c>
      <c r="C270">
        <v>0.18476582604220201</v>
      </c>
      <c r="D270">
        <v>0</v>
      </c>
      <c r="E270">
        <v>0</v>
      </c>
      <c r="F270">
        <v>0</v>
      </c>
      <c r="G270">
        <v>0.99366601585593595</v>
      </c>
      <c r="H270">
        <v>7</v>
      </c>
      <c r="I270">
        <v>7</v>
      </c>
      <c r="J270">
        <v>0.10834406755402801</v>
      </c>
      <c r="K270">
        <v>1.7944535073409401E-2</v>
      </c>
      <c r="L270">
        <v>4.22134243320288E-2</v>
      </c>
      <c r="M270">
        <v>2.3088023088023001E-3</v>
      </c>
      <c r="N270">
        <v>1.28495601254827E-2</v>
      </c>
      <c r="O270">
        <v>1191</v>
      </c>
      <c r="P270">
        <v>8.8489057239057201E-2</v>
      </c>
      <c r="Q270">
        <v>8.8642659279778394E-2</v>
      </c>
      <c r="R270">
        <v>0</v>
      </c>
      <c r="S270">
        <v>0</v>
      </c>
      <c r="T270" t="s">
        <v>24</v>
      </c>
      <c r="U270">
        <v>4.15094339622641E-2</v>
      </c>
      <c r="V270">
        <v>0</v>
      </c>
      <c r="W270">
        <v>0</v>
      </c>
      <c r="X270">
        <v>0</v>
      </c>
      <c r="Y270">
        <v>4.6630393714465E-2</v>
      </c>
      <c r="Z270">
        <v>5.8233258393627398E-2</v>
      </c>
      <c r="AA270">
        <v>0</v>
      </c>
      <c r="AB270">
        <v>3.6743998527526862E-2</v>
      </c>
      <c r="AC270">
        <v>1.8999999156221751E-5</v>
      </c>
      <c r="AD270">
        <v>2.6620000135153532E-3</v>
      </c>
      <c r="AE270">
        <v>1.197000034153461E-3</v>
      </c>
      <c r="AF270">
        <f>0.16*X270 + 0.28*Y270 + 0.28*Z270 + 0.28*AA270</f>
        <v>2.9361822590265874E-2</v>
      </c>
      <c r="AG270">
        <f t="shared" si="12"/>
        <v>6.9648797775153093E-3</v>
      </c>
      <c r="AH270">
        <f>IF(T270="IT_Admin", 0.25, IF(AND(T270="HR", AA270&gt;0.6), 0.25, IF(AND(T270="General", Z270&gt;0.7), 0.2, 0.1)))</f>
        <v>0.25</v>
      </c>
      <c r="AI270">
        <f>IF(V270&gt;0.7, 0.1,
 IF(F270&gt;0.5, 0.08,
 IF(E270&gt;0.5, 0.05,
 0)))</f>
        <v>0</v>
      </c>
      <c r="AJ270">
        <f t="shared" si="13"/>
        <v>1.3683962621340478E-2</v>
      </c>
      <c r="AK270">
        <f t="shared" si="14"/>
        <v>1.7104953276675598E-2</v>
      </c>
      <c r="AL270" t="str">
        <f>IF(MAX(X270, Y270, Z270, AA270)&gt;0.9,
 "Critical",
 IF(AK270&lt;=0.2,"Very Low",
 IF(AK270&lt;=0.4,"Low",
 IF(AK270&lt;=0.6,"Medium",
 IF(AK270&lt;=0.8,"High","Critical")))))</f>
        <v>Very Low</v>
      </c>
      <c r="AM270" t="str">
        <f>IF(MAX(X270:AA270)&gt;0.9,"CRITICAL ALERT",
 IF(AK270&gt;0.8,"CRITICAL ALERT",
 IF(AK270&gt;0.6,"ALERT",
 IF(AK270&gt;=0.4,"REVIEW","NO ACTION"))))</f>
        <v>NO ACTION</v>
      </c>
      <c r="AN270" t="str">
        <f>IF(AM270="NO ACTION","",
 IF(_xlfn.TEXTJOIN(", ", TRUE,
  IF(X270&gt;0.7,"Login anomaly",""),
  IF(Y270&gt;0.7,"File anomaly",""),
  IF(Z270&gt;0.7,"Network anomaly",""),
  IF(AA270&gt;0.7,"USB anomaly","")
 )="",
 "General anomaly detected",
 _xlfn.TEXTJOIN(", ", TRUE,
  IF(X270&gt;0.7,"Login anomaly",""),
  IF(Y270&gt;0.7,"File anomaly",""),
  IF(Z270&gt;0.7,"Network anomaly",""),
  IF(AA270&gt;0.7,"USB anomaly","")
 )))</f>
        <v/>
      </c>
    </row>
    <row r="271" spans="1:40" x14ac:dyDescent="0.3">
      <c r="A271" t="s">
        <v>294</v>
      </c>
      <c r="B271">
        <v>0.22873345935727701</v>
      </c>
      <c r="C271">
        <v>0.77334661836054897</v>
      </c>
      <c r="D271">
        <v>0.38254960281719302</v>
      </c>
      <c r="E271">
        <v>0</v>
      </c>
      <c r="F271">
        <v>0</v>
      </c>
      <c r="G271">
        <v>0.49796752152657597</v>
      </c>
      <c r="H271">
        <v>8</v>
      </c>
      <c r="I271">
        <v>14</v>
      </c>
      <c r="J271">
        <v>0.105720146939554</v>
      </c>
      <c r="K271">
        <v>1.4681892332789499E-2</v>
      </c>
      <c r="L271">
        <v>3.53935485251229E-2</v>
      </c>
      <c r="M271">
        <v>3.4632034632034602E-3</v>
      </c>
      <c r="N271">
        <v>1.97516426242225E-2</v>
      </c>
      <c r="O271">
        <v>1178</v>
      </c>
      <c r="P271">
        <v>8.5718294051627397E-2</v>
      </c>
      <c r="Q271">
        <v>8.5872576177285304E-2</v>
      </c>
      <c r="R271">
        <v>0.67256637168141498</v>
      </c>
      <c r="S271">
        <v>1</v>
      </c>
      <c r="T271" t="s">
        <v>24</v>
      </c>
      <c r="U271">
        <v>2.35123367198838E-2</v>
      </c>
      <c r="V271">
        <v>0</v>
      </c>
      <c r="W271">
        <v>0</v>
      </c>
      <c r="X271">
        <v>0.114764880845158</v>
      </c>
      <c r="Y271">
        <v>4.4766296437739099E-2</v>
      </c>
      <c r="Z271">
        <v>5.9331633480665398E-2</v>
      </c>
      <c r="AA271">
        <v>0.67256637168141498</v>
      </c>
      <c r="AB271">
        <v>3.6591000854969018E-2</v>
      </c>
      <c r="AC271">
        <v>7.9999997979030013E-5</v>
      </c>
      <c r="AD271">
        <v>2.234000014141202E-3</v>
      </c>
      <c r="AE271">
        <v>0.44522801041603088</v>
      </c>
      <c r="AF271">
        <f>0.16*X271 + 0.28*Y271 + 0.28*Z271 + 0.28*AA271</f>
        <v>0.23582838538317474</v>
      </c>
      <c r="AG271">
        <f t="shared" si="12"/>
        <v>0.13116632305667736</v>
      </c>
      <c r="AH271">
        <f>IF(T271="IT_Admin", 0.25, IF(AND(T271="HR", AA271&gt;0.6), 0.25, IF(AND(T271="General", Z271&gt;0.7), 0.2, 0.1)))</f>
        <v>0.25</v>
      </c>
      <c r="AI271">
        <f>IF(V271&gt;0.7, 0.1,
 IF(F271&gt;0.5, 0.08,
 IF(E271&gt;0.5, 0.05,
 0)))</f>
        <v>0</v>
      </c>
      <c r="AJ271">
        <f t="shared" si="13"/>
        <v>0.16256494175462655</v>
      </c>
      <c r="AK271">
        <f t="shared" si="14"/>
        <v>0.20320617719328318</v>
      </c>
      <c r="AL271" t="str">
        <f>IF(MAX(X271, Y271, Z271, AA271)&gt;0.9,
 "Critical",
 IF(AK271&lt;=0.2,"Very Low",
 IF(AK271&lt;=0.4,"Low",
 IF(AK271&lt;=0.6,"Medium",
 IF(AK271&lt;=0.8,"High","Critical")))))</f>
        <v>Low</v>
      </c>
      <c r="AM271" t="str">
        <f>IF(MAX(X271:AA271)&gt;0.9,"CRITICAL ALERT",
 IF(AK271&gt;0.8,"CRITICAL ALERT",
 IF(AK271&gt;0.6,"ALERT",
 IF(AK271&gt;=0.4,"REVIEW","NO ACTION"))))</f>
        <v>NO ACTION</v>
      </c>
      <c r="AN271" t="str">
        <f>IF(AM271="NO ACTION","",
 IF(_xlfn.TEXTJOIN(", ", TRUE,
  IF(X271&gt;0.7,"Login anomaly",""),
  IF(Y271&gt;0.7,"File anomaly",""),
  IF(Z271&gt;0.7,"Network anomaly",""),
  IF(AA271&gt;0.7,"USB anomaly","")
 )="",
 "General anomaly detected",
 _xlfn.TEXTJOIN(", ", TRUE,
  IF(X271&gt;0.7,"Login anomaly",""),
  IF(Y271&gt;0.7,"File anomaly",""),
  IF(Z271&gt;0.7,"Network anomaly",""),
  IF(AA271&gt;0.7,"USB anomaly","")
 )))</f>
        <v/>
      </c>
    </row>
    <row r="272" spans="1:40" x14ac:dyDescent="0.3">
      <c r="A272" t="s">
        <v>295</v>
      </c>
      <c r="B272">
        <v>0.25293005671077501</v>
      </c>
      <c r="C272">
        <v>0.78875515337183999</v>
      </c>
      <c r="D272">
        <v>0.53050877984906497</v>
      </c>
      <c r="E272">
        <v>0.473831929998349</v>
      </c>
      <c r="F272">
        <v>7.1322436849925702E-2</v>
      </c>
      <c r="G272">
        <v>0.43695055921520098</v>
      </c>
      <c r="H272">
        <v>0</v>
      </c>
      <c r="I272">
        <v>23</v>
      </c>
      <c r="J272">
        <v>8.0148847860311997E-2</v>
      </c>
      <c r="K272">
        <v>1.38662316476345E-2</v>
      </c>
      <c r="L272">
        <v>4.4060475161987002E-2</v>
      </c>
      <c r="M272">
        <v>1.44300144300144E-3</v>
      </c>
      <c r="N272">
        <v>1.08477740525218E-2</v>
      </c>
      <c r="O272">
        <v>920</v>
      </c>
      <c r="P272">
        <v>6.5586419753086406E-2</v>
      </c>
      <c r="Q272">
        <v>6.5745643255373604E-2</v>
      </c>
      <c r="R272">
        <v>9.2920353982300793E-2</v>
      </c>
      <c r="S272">
        <v>1</v>
      </c>
      <c r="T272" t="s">
        <v>49</v>
      </c>
      <c r="U272">
        <v>4.8113207547169801E-2</v>
      </c>
      <c r="V272">
        <v>0</v>
      </c>
      <c r="W272">
        <v>0.10255094726788801</v>
      </c>
      <c r="X272">
        <v>0.32983118769419401</v>
      </c>
      <c r="Y272">
        <v>4.1314339368812403E-2</v>
      </c>
      <c r="Z272">
        <v>4.3690961472860501E-2</v>
      </c>
      <c r="AA272">
        <v>9.2920353982300793E-2</v>
      </c>
      <c r="AB272">
        <v>0.31160500645637512</v>
      </c>
      <c r="AC272">
        <v>1.140000022132881E-4</v>
      </c>
      <c r="AD272">
        <v>4.1910000145435333E-3</v>
      </c>
      <c r="AE272">
        <v>5.4444998502731323E-2</v>
      </c>
      <c r="AF272">
        <f>0.16*X272 + 0.28*Y272 + 0.28*Z272 + 0.28*AA272</f>
        <v>0.10259217338178368</v>
      </c>
      <c r="AG272">
        <f t="shared" si="12"/>
        <v>6.6306800618476699E-2</v>
      </c>
      <c r="AH272">
        <f>IF(T272="IT_Admin", 0.25, IF(AND(T272="HR", AA272&gt;0.6), 0.25, IF(AND(T272="General", Z272&gt;0.7), 0.2, 0.1)))</f>
        <v>0.1</v>
      </c>
      <c r="AI272">
        <f>IF(V272&gt;0.7, 0.1,
 IF(F272&gt;0.5, 0.08,
 IF(E272&gt;0.5, 0.05,
 0)))</f>
        <v>0</v>
      </c>
      <c r="AJ272">
        <f t="shared" si="13"/>
        <v>7.71924124474688E-2</v>
      </c>
      <c r="AK272">
        <f t="shared" si="14"/>
        <v>8.4911653692215691E-2</v>
      </c>
      <c r="AL272" t="str">
        <f>IF(MAX(X272, Y272, Z272, AA272)&gt;0.9,
 "Critical",
 IF(AK272&lt;=0.2,"Very Low",
 IF(AK272&lt;=0.4,"Low",
 IF(AK272&lt;=0.6,"Medium",
 IF(AK272&lt;=0.8,"High","Critical")))))</f>
        <v>Very Low</v>
      </c>
      <c r="AM272" t="str">
        <f>IF(MAX(X272:AA272)&gt;0.9,"CRITICAL ALERT",
 IF(AK272&gt;0.8,"CRITICAL ALERT",
 IF(AK272&gt;0.6,"ALERT",
 IF(AK272&gt;=0.4,"REVIEW","NO ACTION"))))</f>
        <v>NO ACTION</v>
      </c>
      <c r="AN272" t="str">
        <f>IF(AM272="NO ACTION","",
 IF(_xlfn.TEXTJOIN(", ", TRUE,
  IF(X272&gt;0.7,"Login anomaly",""),
  IF(Y272&gt;0.7,"File anomaly",""),
  IF(Z272&gt;0.7,"Network anomaly",""),
  IF(AA272&gt;0.7,"USB anomaly","")
 )="",
 "General anomaly detected",
 _xlfn.TEXTJOIN(", ", TRUE,
  IF(X272&gt;0.7,"Login anomaly",""),
  IF(Y272&gt;0.7,"File anomaly",""),
  IF(Z272&gt;0.7,"Network anomaly",""),
  IF(AA272&gt;0.7,"USB anomaly","")
 )))</f>
        <v/>
      </c>
    </row>
    <row r="273" spans="1:40" x14ac:dyDescent="0.3">
      <c r="A273" t="s">
        <v>296</v>
      </c>
      <c r="B273">
        <v>0.27901701323251399</v>
      </c>
      <c r="C273">
        <v>0.98309364045096503</v>
      </c>
      <c r="D273">
        <v>0.36051498334925203</v>
      </c>
      <c r="E273">
        <v>0</v>
      </c>
      <c r="F273">
        <v>0</v>
      </c>
      <c r="G273">
        <v>0.381887560302203</v>
      </c>
      <c r="H273">
        <v>9</v>
      </c>
      <c r="I273">
        <v>17</v>
      </c>
      <c r="J273">
        <v>9.8134630981346296E-2</v>
      </c>
      <c r="K273">
        <v>1.8760195758564399E-2</v>
      </c>
      <c r="L273">
        <v>4.8712378470440097E-2</v>
      </c>
      <c r="M273">
        <v>4.6176046176046098E-3</v>
      </c>
      <c r="N273">
        <v>2.83662452430638E-2</v>
      </c>
      <c r="O273">
        <v>1056</v>
      </c>
      <c r="P273">
        <v>8.2456509539842807E-2</v>
      </c>
      <c r="Q273">
        <v>8.2611592271818704E-2</v>
      </c>
      <c r="R273">
        <v>0</v>
      </c>
      <c r="S273">
        <v>0</v>
      </c>
      <c r="T273" t="s">
        <v>24</v>
      </c>
      <c r="U273">
        <v>2.29744728079911E-2</v>
      </c>
      <c r="V273">
        <v>0</v>
      </c>
      <c r="W273">
        <v>0</v>
      </c>
      <c r="X273">
        <v>0.108154495004775</v>
      </c>
      <c r="Y273">
        <v>5.2492989004408401E-2</v>
      </c>
      <c r="Z273">
        <v>6.08204038211312E-2</v>
      </c>
      <c r="AA273">
        <v>0</v>
      </c>
      <c r="AB273">
        <v>9.8863996565341949E-2</v>
      </c>
      <c r="AC273">
        <v>1.2599999899975961E-4</v>
      </c>
      <c r="AD273">
        <v>2.7020000852644439E-3</v>
      </c>
      <c r="AE273">
        <v>7.5949998572468758E-3</v>
      </c>
      <c r="AF273">
        <f>0.16*X273 + 0.28*Y273 + 0.28*Z273 + 0.28*AA273</f>
        <v>4.903246919191509E-2</v>
      </c>
      <c r="AG273">
        <f t="shared" si="12"/>
        <v>1.8736679434077814E-2</v>
      </c>
      <c r="AH273">
        <f>IF(T273="IT_Admin", 0.25, IF(AND(T273="HR", AA273&gt;0.6), 0.25, IF(AND(T273="General", Z273&gt;0.7), 0.2, 0.1)))</f>
        <v>0.25</v>
      </c>
      <c r="AI273">
        <f>IF(V273&gt;0.7, 0.1,
 IF(F273&gt;0.5, 0.08,
 IF(E273&gt;0.5, 0.05,
 0)))</f>
        <v>0</v>
      </c>
      <c r="AJ273">
        <f t="shared" si="13"/>
        <v>2.7825416361428996E-2</v>
      </c>
      <c r="AK273">
        <f t="shared" si="14"/>
        <v>3.4781770451786244E-2</v>
      </c>
      <c r="AL273" t="str">
        <f>IF(MAX(X273, Y273, Z273, AA273)&gt;0.9,
 "Critical",
 IF(AK273&lt;=0.2,"Very Low",
 IF(AK273&lt;=0.4,"Low",
 IF(AK273&lt;=0.6,"Medium",
 IF(AK273&lt;=0.8,"High","Critical")))))</f>
        <v>Very Low</v>
      </c>
      <c r="AM273" t="str">
        <f>IF(MAX(X273:AA273)&gt;0.9,"CRITICAL ALERT",
 IF(AK273&gt;0.8,"CRITICAL ALERT",
 IF(AK273&gt;0.6,"ALERT",
 IF(AK273&gt;=0.4,"REVIEW","NO ACTION"))))</f>
        <v>NO ACTION</v>
      </c>
      <c r="AN273" t="str">
        <f>IF(AM273="NO ACTION","",
 IF(_xlfn.TEXTJOIN(", ", TRUE,
  IF(X273&gt;0.7,"Login anomaly",""),
  IF(Y273&gt;0.7,"File anomaly",""),
  IF(Z273&gt;0.7,"Network anomaly",""),
  IF(AA273&gt;0.7,"USB anomaly","")
 )="",
 "General anomaly detected",
 _xlfn.TEXTJOIN(", ", TRUE,
  IF(X273&gt;0.7,"Login anomaly",""),
  IF(Y273&gt;0.7,"File anomaly",""),
  IF(Z273&gt;0.7,"Network anomaly",""),
  IF(AA273&gt;0.7,"USB anomaly","")
 )))</f>
        <v/>
      </c>
    </row>
    <row r="274" spans="1:40" x14ac:dyDescent="0.3">
      <c r="A274" t="s">
        <v>297</v>
      </c>
      <c r="B274">
        <v>0.26427221172022602</v>
      </c>
      <c r="C274">
        <v>0.717511671543688</v>
      </c>
      <c r="D274">
        <v>0.56377664566241104</v>
      </c>
      <c r="E274">
        <v>0.38880986249407301</v>
      </c>
      <c r="F274">
        <v>7.9658605974395405E-2</v>
      </c>
      <c r="G274">
        <v>0.41212936368597403</v>
      </c>
      <c r="H274">
        <v>0</v>
      </c>
      <c r="I274">
        <v>23</v>
      </c>
      <c r="J274">
        <v>9.1837221506607503E-2</v>
      </c>
      <c r="K274">
        <v>1.71288743882544E-2</v>
      </c>
      <c r="L274">
        <v>4.7518436867019502E-2</v>
      </c>
      <c r="M274">
        <v>1.44300144300144E-3</v>
      </c>
      <c r="N274">
        <v>9.4707250147664599E-3</v>
      </c>
      <c r="O274">
        <v>1025</v>
      </c>
      <c r="P274">
        <v>7.5582210998877603E-2</v>
      </c>
      <c r="Q274">
        <v>7.5738981030190403E-2</v>
      </c>
      <c r="R274">
        <v>0.91297935103244798</v>
      </c>
      <c r="S274">
        <v>1</v>
      </c>
      <c r="T274" t="s">
        <v>49</v>
      </c>
      <c r="U274">
        <v>5.9433962264150902E-2</v>
      </c>
      <c r="V274">
        <v>0</v>
      </c>
      <c r="W274">
        <v>0.123526226497177</v>
      </c>
      <c r="X274">
        <v>0.317639394836703</v>
      </c>
      <c r="Y274">
        <v>4.4967880239261203E-2</v>
      </c>
      <c r="Z274">
        <v>4.9137616605233102E-2</v>
      </c>
      <c r="AA274">
        <v>0.91297935103244798</v>
      </c>
      <c r="AB274">
        <v>0.26325398683547968</v>
      </c>
      <c r="AC274">
        <v>2.5499999173916882E-4</v>
      </c>
      <c r="AD274">
        <v>3.0879999976605181E-3</v>
      </c>
      <c r="AE274">
        <v>0.81589198112487793</v>
      </c>
      <c r="AF274">
        <f>0.16*X274 + 0.28*Y274 + 0.28*Z274 + 0.28*AA274</f>
        <v>0.33280606057941631</v>
      </c>
      <c r="AG274">
        <f t="shared" si="12"/>
        <v>0.27150643260567453</v>
      </c>
      <c r="AH274">
        <f>IF(T274="IT_Admin", 0.25, IF(AND(T274="HR", AA274&gt;0.6), 0.25, IF(AND(T274="General", Z274&gt;0.7), 0.2, 0.1)))</f>
        <v>0.1</v>
      </c>
      <c r="AI274">
        <f>IF(V274&gt;0.7, 0.1,
 IF(F274&gt;0.5, 0.08,
 IF(E274&gt;0.5, 0.05,
 0)))</f>
        <v>0</v>
      </c>
      <c r="AJ274">
        <f t="shared" si="13"/>
        <v>0.28989632099779705</v>
      </c>
      <c r="AK274">
        <f t="shared" si="14"/>
        <v>0.31888595309757678</v>
      </c>
      <c r="AL274" t="str">
        <f>IF(MAX(X274, Y274, Z274, AA274)&gt;0.9,
 "Critical",
 IF(AK274&lt;=0.2,"Very Low",
 IF(AK274&lt;=0.4,"Low",
 IF(AK274&lt;=0.6,"Medium",
 IF(AK274&lt;=0.8,"High","Critical")))))</f>
        <v>Critical</v>
      </c>
      <c r="AM274" t="str">
        <f>IF(MAX(X274:AA274)&gt;0.9,"CRITICAL ALERT",
 IF(AK274&gt;0.8,"CRITICAL ALERT",
 IF(AK274&gt;0.6,"ALERT",
 IF(AK274&gt;=0.4,"REVIEW","NO ACTION"))))</f>
        <v>CRITICAL ALERT</v>
      </c>
      <c r="AN274" t="str">
        <f>IF(AM274="NO ACTION","",
 IF(_xlfn.TEXTJOIN(", ", TRUE,
  IF(X274&gt;0.7,"Login anomaly",""),
  IF(Y274&gt;0.7,"File anomaly",""),
  IF(Z274&gt;0.7,"Network anomaly",""),
  IF(AA274&gt;0.7,"USB anomaly","")
 )="",
 "General anomaly detected",
 _xlfn.TEXTJOIN(", ", TRUE,
  IF(X274&gt;0.7,"Login anomaly",""),
  IF(Y274&gt;0.7,"File anomaly",""),
  IF(Z274&gt;0.7,"Network anomaly",""),
  IF(AA274&gt;0.7,"USB anomaly","")
 )))</f>
        <v>USB anomaly</v>
      </c>
    </row>
    <row r="275" spans="1:40" x14ac:dyDescent="0.3">
      <c r="A275" t="s">
        <v>298</v>
      </c>
      <c r="B275">
        <v>0.12892249527410199</v>
      </c>
      <c r="C275">
        <v>0.27527430314693302</v>
      </c>
      <c r="D275">
        <v>7.51173381640724E-2</v>
      </c>
      <c r="E275">
        <v>0</v>
      </c>
      <c r="F275">
        <v>0</v>
      </c>
      <c r="G275">
        <v>0.99367843374819298</v>
      </c>
      <c r="H275">
        <v>7</v>
      </c>
      <c r="I275">
        <v>8</v>
      </c>
      <c r="J275">
        <v>0.131816230141691</v>
      </c>
      <c r="K275">
        <v>1.9575856443719401E-2</v>
      </c>
      <c r="L275">
        <v>3.7865641268929599E-2</v>
      </c>
      <c r="M275">
        <v>4.0404040404040404E-3</v>
      </c>
      <c r="N275">
        <v>1.8489811408886499E-2</v>
      </c>
      <c r="O275">
        <v>610</v>
      </c>
      <c r="P275">
        <v>0.107288159371492</v>
      </c>
      <c r="Q275">
        <v>0.107437147165047</v>
      </c>
      <c r="R275">
        <v>0</v>
      </c>
      <c r="S275">
        <v>0</v>
      </c>
      <c r="T275" t="s">
        <v>24</v>
      </c>
      <c r="U275">
        <v>2.7169811320754699E-2</v>
      </c>
      <c r="V275">
        <v>0</v>
      </c>
      <c r="W275">
        <v>0</v>
      </c>
      <c r="X275">
        <v>2.2535201449221699E-2</v>
      </c>
      <c r="Y275">
        <v>5.0843010085469098E-2</v>
      </c>
      <c r="Z275">
        <v>7.17688201864502E-2</v>
      </c>
      <c r="AA275">
        <v>0</v>
      </c>
      <c r="AB275">
        <v>1.8763000145554539E-2</v>
      </c>
      <c r="AC275">
        <v>3.1999999919207767E-5</v>
      </c>
      <c r="AD275">
        <v>1.084999996237457E-3</v>
      </c>
      <c r="AE275">
        <v>2.6640000287443399E-3</v>
      </c>
      <c r="AF275">
        <f>0.16*X275 + 0.28*Y275 + 0.28*Z275 + 0.28*AA275</f>
        <v>3.7936944708012885E-2</v>
      </c>
      <c r="AG275">
        <f t="shared" si="12"/>
        <v>4.0607600302610073E-3</v>
      </c>
      <c r="AH275">
        <f>IF(T275="IT_Admin", 0.25, IF(AND(T275="HR", AA275&gt;0.6), 0.25, IF(AND(T275="General", Z275&gt;0.7), 0.2, 0.1)))</f>
        <v>0.25</v>
      </c>
      <c r="AI275">
        <f>IF(V275&gt;0.7, 0.1,
 IF(F275&gt;0.5, 0.08,
 IF(E275&gt;0.5, 0.05,
 0)))</f>
        <v>0</v>
      </c>
      <c r="AJ275">
        <f t="shared" si="13"/>
        <v>1.422361543358657E-2</v>
      </c>
      <c r="AK275">
        <f t="shared" si="14"/>
        <v>1.7779519291983212E-2</v>
      </c>
      <c r="AL275" t="str">
        <f>IF(MAX(X275, Y275, Z275, AA275)&gt;0.9,
 "Critical",
 IF(AK275&lt;=0.2,"Very Low",
 IF(AK275&lt;=0.4,"Low",
 IF(AK275&lt;=0.6,"Medium",
 IF(AK275&lt;=0.8,"High","Critical")))))</f>
        <v>Very Low</v>
      </c>
      <c r="AM275" t="str">
        <f>IF(MAX(X275:AA275)&gt;0.9,"CRITICAL ALERT",
 IF(AK275&gt;0.8,"CRITICAL ALERT",
 IF(AK275&gt;0.6,"ALERT",
 IF(AK275&gt;=0.4,"REVIEW","NO ACTION"))))</f>
        <v>NO ACTION</v>
      </c>
      <c r="AN275" t="str">
        <f>IF(AM275="NO ACTION","",
 IF(_xlfn.TEXTJOIN(", ", TRUE,
  IF(X275&gt;0.7,"Login anomaly",""),
  IF(Y275&gt;0.7,"File anomaly",""),
  IF(Z275&gt;0.7,"Network anomaly",""),
  IF(AA275&gt;0.7,"USB anomaly","")
 )="",
 "General anomaly detected",
 _xlfn.TEXTJOIN(", ", TRUE,
  IF(X275&gt;0.7,"Login anomaly",""),
  IF(Y275&gt;0.7,"File anomaly",""),
  IF(Z275&gt;0.7,"Network anomaly",""),
  IF(AA275&gt;0.7,"USB anomaly","")
 )))</f>
        <v/>
      </c>
    </row>
    <row r="276" spans="1:40" x14ac:dyDescent="0.3">
      <c r="A276" t="s">
        <v>299</v>
      </c>
      <c r="B276">
        <v>0.25293005671077501</v>
      </c>
      <c r="C276">
        <v>0.69733313246239903</v>
      </c>
      <c r="D276">
        <v>0.51256496847853295</v>
      </c>
      <c r="E276">
        <v>0.33845137857024898</v>
      </c>
      <c r="F276">
        <v>5.0520059435364001E-2</v>
      </c>
      <c r="G276">
        <v>0.43643296129194897</v>
      </c>
      <c r="H276">
        <v>0</v>
      </c>
      <c r="I276">
        <v>23</v>
      </c>
      <c r="J276">
        <v>0.11254234053718799</v>
      </c>
      <c r="K276">
        <v>1.1419249592169599E-2</v>
      </c>
      <c r="L276">
        <v>2.58631086162853E-2</v>
      </c>
      <c r="M276">
        <v>4.3290043290043203E-3</v>
      </c>
      <c r="N276">
        <v>2.3196065074237601E-2</v>
      </c>
      <c r="O276">
        <v>522</v>
      </c>
      <c r="P276">
        <v>8.9751683501683499E-2</v>
      </c>
      <c r="Q276">
        <v>8.9904975630281506E-2</v>
      </c>
      <c r="R276">
        <v>0</v>
      </c>
      <c r="S276">
        <v>0</v>
      </c>
      <c r="T276" t="s">
        <v>24</v>
      </c>
      <c r="U276">
        <v>1.48584905660377E-2</v>
      </c>
      <c r="V276">
        <v>0</v>
      </c>
      <c r="W276">
        <v>0</v>
      </c>
      <c r="X276">
        <v>0.27551292788878001</v>
      </c>
      <c r="Y276">
        <v>4.2398841937851497E-2</v>
      </c>
      <c r="Z276">
        <v>6.3129436130705097E-2</v>
      </c>
      <c r="AA276">
        <v>0</v>
      </c>
      <c r="AB276">
        <v>0.22462800145149231</v>
      </c>
      <c r="AC276">
        <v>2.169999934267253E-4</v>
      </c>
      <c r="AD276">
        <v>1.759000006131828E-3</v>
      </c>
      <c r="AE276">
        <v>1.8139999359846119E-2</v>
      </c>
      <c r="AF276">
        <f>0.16*X276 + 0.28*Y276 + 0.28*Z276 + 0.28*AA276</f>
        <v>7.3629986321400651E-2</v>
      </c>
      <c r="AG276">
        <f t="shared" si="12"/>
        <v>4.1572960052872088E-2</v>
      </c>
      <c r="AH276">
        <f>IF(T276="IT_Admin", 0.25, IF(AND(T276="HR", AA276&gt;0.6), 0.25, IF(AND(T276="General", Z276&gt;0.7), 0.2, 0.1)))</f>
        <v>0.25</v>
      </c>
      <c r="AI276">
        <f>IF(V276&gt;0.7, 0.1,
 IF(F276&gt;0.5, 0.08,
 IF(E276&gt;0.5, 0.05,
 0)))</f>
        <v>0</v>
      </c>
      <c r="AJ276">
        <f t="shared" si="13"/>
        <v>5.1190067933430658E-2</v>
      </c>
      <c r="AK276">
        <f t="shared" si="14"/>
        <v>6.3987584916788326E-2</v>
      </c>
      <c r="AL276" t="str">
        <f>IF(MAX(X276, Y276, Z276, AA276)&gt;0.9,
 "Critical",
 IF(AK276&lt;=0.2,"Very Low",
 IF(AK276&lt;=0.4,"Low",
 IF(AK276&lt;=0.6,"Medium",
 IF(AK276&lt;=0.8,"High","Critical")))))</f>
        <v>Very Low</v>
      </c>
      <c r="AM276" t="str">
        <f>IF(MAX(X276:AA276)&gt;0.9,"CRITICAL ALERT",
 IF(AK276&gt;0.8,"CRITICAL ALERT",
 IF(AK276&gt;0.6,"ALERT",
 IF(AK276&gt;=0.4,"REVIEW","NO ACTION"))))</f>
        <v>NO ACTION</v>
      </c>
      <c r="AN276" t="str">
        <f>IF(AM276="NO ACTION","",
 IF(_xlfn.TEXTJOIN(", ", TRUE,
  IF(X276&gt;0.7,"Login anomaly",""),
  IF(Y276&gt;0.7,"File anomaly",""),
  IF(Z276&gt;0.7,"Network anomaly",""),
  IF(AA276&gt;0.7,"USB anomaly","")
 )="",
 "General anomaly detected",
 _xlfn.TEXTJOIN(", ", TRUE,
  IF(X276&gt;0.7,"Login anomaly",""),
  IF(Y276&gt;0.7,"File anomaly",""),
  IF(Z276&gt;0.7,"Network anomaly",""),
  IF(AA276&gt;0.7,"USB anomaly","")
 )))</f>
        <v/>
      </c>
    </row>
    <row r="277" spans="1:40" x14ac:dyDescent="0.3">
      <c r="A277" t="s">
        <v>300</v>
      </c>
      <c r="B277">
        <v>0.12892249527410199</v>
      </c>
      <c r="C277">
        <v>0.36953165208440503</v>
      </c>
      <c r="D277">
        <v>0</v>
      </c>
      <c r="E277">
        <v>0</v>
      </c>
      <c r="F277">
        <v>0</v>
      </c>
      <c r="G277">
        <v>0.99366673844880504</v>
      </c>
      <c r="H277">
        <v>8</v>
      </c>
      <c r="I277">
        <v>8</v>
      </c>
      <c r="J277">
        <v>0.10090167453842799</v>
      </c>
      <c r="K277">
        <v>1.71288743882544E-2</v>
      </c>
      <c r="L277">
        <v>4.3259709034597901E-2</v>
      </c>
      <c r="M277">
        <v>4.0404040404040404E-3</v>
      </c>
      <c r="N277">
        <v>2.4141414141414099E-2</v>
      </c>
      <c r="O277">
        <v>1151</v>
      </c>
      <c r="P277">
        <v>8.3508698092031403E-2</v>
      </c>
      <c r="Q277">
        <v>8.3663522563904705E-2</v>
      </c>
      <c r="R277">
        <v>0</v>
      </c>
      <c r="S277">
        <v>0</v>
      </c>
      <c r="T277" t="s">
        <v>24</v>
      </c>
      <c r="U277">
        <v>2.3773584905660301E-2</v>
      </c>
      <c r="V277">
        <v>0</v>
      </c>
      <c r="W277">
        <v>0</v>
      </c>
      <c r="X277">
        <v>0</v>
      </c>
      <c r="Y277">
        <v>4.9052613667408901E-2</v>
      </c>
      <c r="Z277">
        <v>5.9761784511784502E-2</v>
      </c>
      <c r="AA277">
        <v>0</v>
      </c>
      <c r="AB277">
        <v>2.4749999865889549E-2</v>
      </c>
      <c r="AC277">
        <v>4.7000001359265298E-5</v>
      </c>
      <c r="AD277">
        <v>2.9100000392645602E-3</v>
      </c>
      <c r="AE277">
        <v>1.2710000155493619E-3</v>
      </c>
      <c r="AF277">
        <f>0.16*X277 + 0.28*Y277 + 0.28*Z277 + 0.28*AA277</f>
        <v>3.0468031490174158E-2</v>
      </c>
      <c r="AG277">
        <f t="shared" si="12"/>
        <v>5.1438399942708201E-3</v>
      </c>
      <c r="AH277">
        <f>IF(T277="IT_Admin", 0.25, IF(AND(T277="HR", AA277&gt;0.6), 0.25, IF(AND(T277="General", Z277&gt;0.7), 0.2, 0.1)))</f>
        <v>0.25</v>
      </c>
      <c r="AI277">
        <f>IF(V277&gt;0.7, 0.1,
 IF(F277&gt;0.5, 0.08,
 IF(E277&gt;0.5, 0.05,
 0)))</f>
        <v>0</v>
      </c>
      <c r="AJ277">
        <f t="shared" si="13"/>
        <v>1.274109744304182E-2</v>
      </c>
      <c r="AK277">
        <f t="shared" si="14"/>
        <v>1.5926371803802276E-2</v>
      </c>
      <c r="AL277" t="str">
        <f>IF(MAX(X277, Y277, Z277, AA277)&gt;0.9,
 "Critical",
 IF(AK277&lt;=0.2,"Very Low",
 IF(AK277&lt;=0.4,"Low",
 IF(AK277&lt;=0.6,"Medium",
 IF(AK277&lt;=0.8,"High","Critical")))))</f>
        <v>Very Low</v>
      </c>
      <c r="AM277" t="str">
        <f>IF(MAX(X277:AA277)&gt;0.9,"CRITICAL ALERT",
 IF(AK277&gt;0.8,"CRITICAL ALERT",
 IF(AK277&gt;0.6,"ALERT",
 IF(AK277&gt;=0.4,"REVIEW","NO ACTION"))))</f>
        <v>NO ACTION</v>
      </c>
      <c r="AN277" t="str">
        <f>IF(AM277="NO ACTION","",
 IF(_xlfn.TEXTJOIN(", ", TRUE,
  IF(X277&gt;0.7,"Login anomaly",""),
  IF(Y277&gt;0.7,"File anomaly",""),
  IF(Z277&gt;0.7,"Network anomaly",""),
  IF(AA277&gt;0.7,"USB anomaly","")
 )="",
 "General anomaly detected",
 _xlfn.TEXTJOIN(", ", TRUE,
  IF(X277&gt;0.7,"Login anomaly",""),
  IF(Y277&gt;0.7,"File anomaly",""),
  IF(Z277&gt;0.7,"Network anomaly",""),
  IF(AA277&gt;0.7,"USB anomaly","")
 )))</f>
        <v/>
      </c>
    </row>
    <row r="278" spans="1:40" x14ac:dyDescent="0.3">
      <c r="A278" t="s">
        <v>301</v>
      </c>
      <c r="B278">
        <v>0.12892249527410199</v>
      </c>
      <c r="C278">
        <v>0.46111123542706201</v>
      </c>
      <c r="D278">
        <v>7.5129964412319103E-2</v>
      </c>
      <c r="E278">
        <v>0</v>
      </c>
      <c r="F278">
        <v>0</v>
      </c>
      <c r="G278">
        <v>0.99368536528718998</v>
      </c>
      <c r="H278">
        <v>8</v>
      </c>
      <c r="I278">
        <v>9</v>
      </c>
      <c r="J278">
        <v>0.100567721005677</v>
      </c>
      <c r="K278">
        <v>1.8760195758564399E-2</v>
      </c>
      <c r="L278">
        <v>4.7536641933765902E-2</v>
      </c>
      <c r="M278">
        <v>2.8860028860028799E-3</v>
      </c>
      <c r="N278">
        <v>1.7300993164693999E-2</v>
      </c>
      <c r="O278">
        <v>1096</v>
      </c>
      <c r="P278">
        <v>8.3403479236812503E-2</v>
      </c>
      <c r="Q278">
        <v>8.3558329534696094E-2</v>
      </c>
      <c r="R278">
        <v>0</v>
      </c>
      <c r="S278">
        <v>0</v>
      </c>
      <c r="T278" t="s">
        <v>24</v>
      </c>
      <c r="U278">
        <v>3.5506003430531702E-2</v>
      </c>
      <c r="V278">
        <v>0</v>
      </c>
      <c r="W278">
        <v>0</v>
      </c>
      <c r="X278">
        <v>2.2538989323695701E-2</v>
      </c>
      <c r="Y278">
        <v>4.9072163117426598E-2</v>
      </c>
      <c r="Z278">
        <v>5.6962484807965098E-2</v>
      </c>
      <c r="AA278">
        <v>0</v>
      </c>
      <c r="AB278">
        <v>1.331000030040741E-2</v>
      </c>
      <c r="AC278">
        <v>6.0000002122251317E-6</v>
      </c>
      <c r="AD278">
        <v>3.0549999792128801E-3</v>
      </c>
      <c r="AE278">
        <v>1.4209999935701489E-3</v>
      </c>
      <c r="AF278">
        <f>0.16*X278 + 0.28*Y278 + 0.28*Z278 + 0.28*AA278</f>
        <v>3.3295939710900987E-2</v>
      </c>
      <c r="AG278">
        <f t="shared" si="12"/>
        <v>3.3845600405038568E-3</v>
      </c>
      <c r="AH278">
        <f>IF(T278="IT_Admin", 0.25, IF(AND(T278="HR", AA278&gt;0.6), 0.25, IF(AND(T278="General", Z278&gt;0.7), 0.2, 0.1)))</f>
        <v>0.25</v>
      </c>
      <c r="AI278">
        <f>IF(V278&gt;0.7, 0.1,
 IF(F278&gt;0.5, 0.08,
 IF(E278&gt;0.5, 0.05,
 0)))</f>
        <v>0</v>
      </c>
      <c r="AJ278">
        <f t="shared" si="13"/>
        <v>1.2357973941622996E-2</v>
      </c>
      <c r="AK278">
        <f t="shared" si="14"/>
        <v>1.5447467427028745E-2</v>
      </c>
      <c r="AL278" t="str">
        <f>IF(MAX(X278, Y278, Z278, AA278)&gt;0.9,
 "Critical",
 IF(AK278&lt;=0.2,"Very Low",
 IF(AK278&lt;=0.4,"Low",
 IF(AK278&lt;=0.6,"Medium",
 IF(AK278&lt;=0.8,"High","Critical")))))</f>
        <v>Very Low</v>
      </c>
      <c r="AM278" t="str">
        <f>IF(MAX(X278:AA278)&gt;0.9,"CRITICAL ALERT",
 IF(AK278&gt;0.8,"CRITICAL ALERT",
 IF(AK278&gt;0.6,"ALERT",
 IF(AK278&gt;=0.4,"REVIEW","NO ACTION"))))</f>
        <v>NO ACTION</v>
      </c>
      <c r="AN278" t="str">
        <f>IF(AM278="NO ACTION","",
 IF(_xlfn.TEXTJOIN(", ", TRUE,
  IF(X278&gt;0.7,"Login anomaly",""),
  IF(Y278&gt;0.7,"File anomaly",""),
  IF(Z278&gt;0.7,"Network anomaly",""),
  IF(AA278&gt;0.7,"USB anomaly","")
 )="",
 "General anomaly detected",
 _xlfn.TEXTJOIN(", ", TRUE,
  IF(X278&gt;0.7,"Login anomaly",""),
  IF(Y278&gt;0.7,"File anomaly",""),
  IF(Z278&gt;0.7,"Network anomaly",""),
  IF(AA278&gt;0.7,"USB anomaly","")
 )))</f>
        <v/>
      </c>
    </row>
    <row r="279" spans="1:40" x14ac:dyDescent="0.3">
      <c r="A279" t="s">
        <v>302</v>
      </c>
      <c r="B279">
        <v>0.172778827977315</v>
      </c>
      <c r="C279">
        <v>0.38556339404034401</v>
      </c>
      <c r="D279">
        <v>0.33041086616917598</v>
      </c>
      <c r="E279">
        <v>0</v>
      </c>
      <c r="F279">
        <v>0</v>
      </c>
      <c r="G279">
        <v>0.70561021197746698</v>
      </c>
      <c r="H279">
        <v>7</v>
      </c>
      <c r="I279">
        <v>15</v>
      </c>
      <c r="J279">
        <v>9.3316158580220396E-2</v>
      </c>
      <c r="K279">
        <v>2.1207177814029299E-2</v>
      </c>
      <c r="L279">
        <v>5.7902313250941903E-2</v>
      </c>
      <c r="M279">
        <v>4.0404040404040404E-3</v>
      </c>
      <c r="N279">
        <v>2.6098826098826002E-2</v>
      </c>
      <c r="O279">
        <v>956</v>
      </c>
      <c r="P279">
        <v>7.9685746352413003E-2</v>
      </c>
      <c r="Q279">
        <v>7.9841509169325697E-2</v>
      </c>
      <c r="R279">
        <v>0</v>
      </c>
      <c r="S279">
        <v>0</v>
      </c>
      <c r="T279" t="s">
        <v>49</v>
      </c>
      <c r="U279">
        <v>2.94339622641509E-2</v>
      </c>
      <c r="V279">
        <v>0</v>
      </c>
      <c r="W279">
        <v>0</v>
      </c>
      <c r="X279">
        <v>9.9123259850753001E-2</v>
      </c>
      <c r="Y279">
        <v>5.5444036171162801E-2</v>
      </c>
      <c r="Z279">
        <v>5.8250978250978198E-2</v>
      </c>
      <c r="AA279">
        <v>0</v>
      </c>
      <c r="AB279">
        <v>5.1890001632273197E-3</v>
      </c>
      <c r="AC279">
        <v>1.3699999544769531E-4</v>
      </c>
      <c r="AD279">
        <v>3.1020001042634249E-3</v>
      </c>
      <c r="AE279">
        <v>5.1580001600086689E-3</v>
      </c>
      <c r="AF279">
        <f>0.16*X279 + 0.28*Y279 + 0.28*Z279 + 0.28*AA279</f>
        <v>4.7694325614319966E-2</v>
      </c>
      <c r="AG279">
        <f t="shared" si="12"/>
        <v>3.1814000988379127E-3</v>
      </c>
      <c r="AH279">
        <f>IF(T279="IT_Admin", 0.25, IF(AND(T279="HR", AA279&gt;0.6), 0.25, IF(AND(T279="General", Z279&gt;0.7), 0.2, 0.1)))</f>
        <v>0.1</v>
      </c>
      <c r="AI279">
        <f>IF(V279&gt;0.7, 0.1,
 IF(F279&gt;0.5, 0.08,
 IF(E279&gt;0.5, 0.05,
 0)))</f>
        <v>0</v>
      </c>
      <c r="AJ279">
        <f t="shared" si="13"/>
        <v>1.6535277753482527E-2</v>
      </c>
      <c r="AK279">
        <f t="shared" si="14"/>
        <v>1.818880552883078E-2</v>
      </c>
      <c r="AL279" t="str">
        <f>IF(MAX(X279, Y279, Z279, AA279)&gt;0.9,
 "Critical",
 IF(AK279&lt;=0.2,"Very Low",
 IF(AK279&lt;=0.4,"Low",
 IF(AK279&lt;=0.6,"Medium",
 IF(AK279&lt;=0.8,"High","Critical")))))</f>
        <v>Very Low</v>
      </c>
      <c r="AM279" t="str">
        <f>IF(MAX(X279:AA279)&gt;0.9,"CRITICAL ALERT",
 IF(AK279&gt;0.8,"CRITICAL ALERT",
 IF(AK279&gt;0.6,"ALERT",
 IF(AK279&gt;=0.4,"REVIEW","NO ACTION"))))</f>
        <v>NO ACTION</v>
      </c>
      <c r="AN279" t="str">
        <f>IF(AM279="NO ACTION","",
 IF(_xlfn.TEXTJOIN(", ", TRUE,
  IF(X279&gt;0.7,"Login anomaly",""),
  IF(Y279&gt;0.7,"File anomaly",""),
  IF(Z279&gt;0.7,"Network anomaly",""),
  IF(AA279&gt;0.7,"USB anomaly","")
 )="",
 "General anomaly detected",
 _xlfn.TEXTJOIN(", ", TRUE,
  IF(X279&gt;0.7,"Login anomaly",""),
  IF(Y279&gt;0.7,"File anomaly",""),
  IF(Z279&gt;0.7,"Network anomaly",""),
  IF(AA279&gt;0.7,"USB anomaly","")
 )))</f>
        <v/>
      </c>
    </row>
    <row r="280" spans="1:40" x14ac:dyDescent="0.3">
      <c r="A280" t="s">
        <v>303</v>
      </c>
      <c r="B280">
        <v>0.12892249527410199</v>
      </c>
      <c r="C280">
        <v>0.36953165208440503</v>
      </c>
      <c r="D280">
        <v>0</v>
      </c>
      <c r="E280">
        <v>0</v>
      </c>
      <c r="F280">
        <v>0</v>
      </c>
      <c r="G280">
        <v>0.99366842449883097</v>
      </c>
      <c r="H280">
        <v>8</v>
      </c>
      <c r="I280">
        <v>8</v>
      </c>
      <c r="J280">
        <v>0.117360812938314</v>
      </c>
      <c r="K280">
        <v>2.5285481239804199E-2</v>
      </c>
      <c r="L280">
        <v>5.4921821264440798E-2</v>
      </c>
      <c r="M280">
        <v>3.4632034632034602E-3</v>
      </c>
      <c r="N280">
        <v>1.7796510453711199E-2</v>
      </c>
      <c r="O280">
        <v>1308</v>
      </c>
      <c r="P280">
        <v>9.8835578002244601E-2</v>
      </c>
      <c r="Q280">
        <v>9.8986640485290503E-2</v>
      </c>
      <c r="R280">
        <v>0</v>
      </c>
      <c r="S280">
        <v>0</v>
      </c>
      <c r="T280" t="s">
        <v>24</v>
      </c>
      <c r="U280">
        <v>4.0493468795355501E-2</v>
      </c>
      <c r="V280">
        <v>0</v>
      </c>
      <c r="W280">
        <v>0</v>
      </c>
      <c r="X280">
        <v>0</v>
      </c>
      <c r="Y280">
        <v>5.6272026355996499E-2</v>
      </c>
      <c r="Z280">
        <v>6.6419950982831294E-2</v>
      </c>
      <c r="AA280">
        <v>0</v>
      </c>
      <c r="AB280">
        <v>2.485400065779686E-2</v>
      </c>
      <c r="AC280">
        <v>1.039999988279305E-4</v>
      </c>
      <c r="AD280">
        <v>1.703000045381486E-3</v>
      </c>
      <c r="AE280">
        <v>1.1559999547898769E-3</v>
      </c>
      <c r="AF280">
        <f>0.16*X280 + 0.28*Y280 + 0.28*Z280 + 0.28*AA280</f>
        <v>3.4353753654871783E-2</v>
      </c>
      <c r="AG280">
        <f t="shared" si="12"/>
        <v>4.8062801049673001E-3</v>
      </c>
      <c r="AH280">
        <f>IF(T280="IT_Admin", 0.25, IF(AND(T280="HR", AA280&gt;0.6), 0.25, IF(AND(T280="General", Z280&gt;0.7), 0.2, 0.1)))</f>
        <v>0.25</v>
      </c>
      <c r="AI280">
        <f>IF(V280&gt;0.7, 0.1,
 IF(F280&gt;0.5, 0.08,
 IF(E280&gt;0.5, 0.05,
 0)))</f>
        <v>0</v>
      </c>
      <c r="AJ280">
        <f t="shared" si="13"/>
        <v>1.3670522169938644E-2</v>
      </c>
      <c r="AK280">
        <f t="shared" si="14"/>
        <v>1.7088152712423303E-2</v>
      </c>
      <c r="AL280" t="str">
        <f>IF(MAX(X280, Y280, Z280, AA280)&gt;0.9,
 "Critical",
 IF(AK280&lt;=0.2,"Very Low",
 IF(AK280&lt;=0.4,"Low",
 IF(AK280&lt;=0.6,"Medium",
 IF(AK280&lt;=0.8,"High","Critical")))))</f>
        <v>Very Low</v>
      </c>
      <c r="AM280" t="str">
        <f>IF(MAX(X280:AA280)&gt;0.9,"CRITICAL ALERT",
 IF(AK280&gt;0.8,"CRITICAL ALERT",
 IF(AK280&gt;0.6,"ALERT",
 IF(AK280&gt;=0.4,"REVIEW","NO ACTION"))))</f>
        <v>NO ACTION</v>
      </c>
      <c r="AN280" t="str">
        <f>IF(AM280="NO ACTION","",
 IF(_xlfn.TEXTJOIN(", ", TRUE,
  IF(X280&gt;0.7,"Login anomaly",""),
  IF(Y280&gt;0.7,"File anomaly",""),
  IF(Z280&gt;0.7,"Network anomaly",""),
  IF(AA280&gt;0.7,"USB anomaly","")
 )="",
 "General anomaly detected",
 _xlfn.TEXTJOIN(", ", TRUE,
  IF(X280&gt;0.7,"Login anomaly",""),
  IF(Y280&gt;0.7,"File anomaly",""),
  IF(Z280&gt;0.7,"Network anomaly",""),
  IF(AA280&gt;0.7,"USB anomaly","")
 )))</f>
        <v/>
      </c>
    </row>
    <row r="281" spans="1:40" x14ac:dyDescent="0.3">
      <c r="A281" t="s">
        <v>304</v>
      </c>
      <c r="B281">
        <v>0.28128544423440399</v>
      </c>
      <c r="C281">
        <v>0.74647369826141197</v>
      </c>
      <c r="D281">
        <v>0.40673125608376998</v>
      </c>
      <c r="E281">
        <v>0</v>
      </c>
      <c r="F281">
        <v>0</v>
      </c>
      <c r="G281">
        <v>0.37766588466878398</v>
      </c>
      <c r="H281">
        <v>7</v>
      </c>
      <c r="I281">
        <v>18</v>
      </c>
      <c r="J281">
        <v>0.115881875864701</v>
      </c>
      <c r="K281">
        <v>2.0391517128874301E-2</v>
      </c>
      <c r="L281">
        <v>4.4855902078367801E-2</v>
      </c>
      <c r="M281">
        <v>2.0202020202020202E-3</v>
      </c>
      <c r="N281">
        <v>1.05135164297037E-2</v>
      </c>
      <c r="O281">
        <v>1217</v>
      </c>
      <c r="P281">
        <v>9.4942480359147E-2</v>
      </c>
      <c r="Q281">
        <v>9.5094498404572306E-2</v>
      </c>
      <c r="R281">
        <v>0</v>
      </c>
      <c r="S281">
        <v>0</v>
      </c>
      <c r="T281" t="s">
        <v>24</v>
      </c>
      <c r="U281">
        <v>5.3066037735849003E-2</v>
      </c>
      <c r="V281">
        <v>0</v>
      </c>
      <c r="W281">
        <v>0</v>
      </c>
      <c r="X281">
        <v>0.122019376825131</v>
      </c>
      <c r="Y281">
        <v>4.8758381141035201E-2</v>
      </c>
      <c r="Z281">
        <v>6.1170894787369701E-2</v>
      </c>
      <c r="AA281">
        <v>0</v>
      </c>
      <c r="AB281">
        <v>6.353200227022171E-2</v>
      </c>
      <c r="AC281">
        <v>1.1800000356743109E-4</v>
      </c>
      <c r="AD281">
        <v>1.8710000440478321E-3</v>
      </c>
      <c r="AE281">
        <v>9.6509996801614761E-3</v>
      </c>
      <c r="AF281">
        <f>0.16*X281 + 0.28*Y281 + 0.28*Z281 + 0.28*AA281</f>
        <v>5.0303297551974338E-2</v>
      </c>
      <c r="AG281">
        <f t="shared" si="12"/>
        <v>1.3424320287012962E-2</v>
      </c>
      <c r="AH281">
        <f>IF(T281="IT_Admin", 0.25, IF(AND(T281="HR", AA281&gt;0.6), 0.25, IF(AND(T281="General", Z281&gt;0.7), 0.2, 0.1)))</f>
        <v>0.25</v>
      </c>
      <c r="AI281">
        <f>IF(V281&gt;0.7, 0.1,
 IF(F281&gt;0.5, 0.08,
 IF(E281&gt;0.5, 0.05,
 0)))</f>
        <v>0</v>
      </c>
      <c r="AJ281">
        <f t="shared" si="13"/>
        <v>2.4488013466501375E-2</v>
      </c>
      <c r="AK281">
        <f t="shared" si="14"/>
        <v>3.0610016833126717E-2</v>
      </c>
      <c r="AL281" t="str">
        <f>IF(MAX(X281, Y281, Z281, AA281)&gt;0.9,
 "Critical",
 IF(AK281&lt;=0.2,"Very Low",
 IF(AK281&lt;=0.4,"Low",
 IF(AK281&lt;=0.6,"Medium",
 IF(AK281&lt;=0.8,"High","Critical")))))</f>
        <v>Very Low</v>
      </c>
      <c r="AM281" t="str">
        <f>IF(MAX(X281:AA281)&gt;0.9,"CRITICAL ALERT",
 IF(AK281&gt;0.8,"CRITICAL ALERT",
 IF(AK281&gt;0.6,"ALERT",
 IF(AK281&gt;=0.4,"REVIEW","NO ACTION"))))</f>
        <v>NO ACTION</v>
      </c>
      <c r="AN281" t="str">
        <f>IF(AM281="NO ACTION","",
 IF(_xlfn.TEXTJOIN(", ", TRUE,
  IF(X281&gt;0.7,"Login anomaly",""),
  IF(Y281&gt;0.7,"File anomaly",""),
  IF(Z281&gt;0.7,"Network anomaly",""),
  IF(AA281&gt;0.7,"USB anomaly","")
 )="",
 "General anomaly detected",
 _xlfn.TEXTJOIN(", ", TRUE,
  IF(X281&gt;0.7,"Login anomaly",""),
  IF(Y281&gt;0.7,"File anomaly",""),
  IF(Z281&gt;0.7,"Network anomaly",""),
  IF(AA281&gt;0.7,"USB anomaly","")
 )))</f>
        <v/>
      </c>
    </row>
    <row r="282" spans="1:40" x14ac:dyDescent="0.3">
      <c r="A282" t="s">
        <v>305</v>
      </c>
      <c r="B282">
        <v>0.12892249527410199</v>
      </c>
      <c r="C282">
        <v>0.36953165208440503</v>
      </c>
      <c r="D282">
        <v>0</v>
      </c>
      <c r="E282">
        <v>0</v>
      </c>
      <c r="F282">
        <v>0</v>
      </c>
      <c r="G282">
        <v>0.99366582851704399</v>
      </c>
      <c r="H282">
        <v>8</v>
      </c>
      <c r="I282">
        <v>8</v>
      </c>
      <c r="J282">
        <v>9.2648251514717797E-2</v>
      </c>
      <c r="K282">
        <v>1.9575856443719401E-2</v>
      </c>
      <c r="L282">
        <v>5.38326117269632E-2</v>
      </c>
      <c r="M282">
        <v>3.1746031746031698E-3</v>
      </c>
      <c r="N282">
        <v>2.0653671501129098E-2</v>
      </c>
      <c r="O282">
        <v>1035</v>
      </c>
      <c r="P282">
        <v>7.8072390572390502E-2</v>
      </c>
      <c r="Q282">
        <v>7.8228549388127205E-2</v>
      </c>
      <c r="R282">
        <v>0</v>
      </c>
      <c r="S282">
        <v>0</v>
      </c>
      <c r="T282" t="s">
        <v>49</v>
      </c>
      <c r="U282">
        <v>3.3962264150943298E-2</v>
      </c>
      <c r="V282">
        <v>0</v>
      </c>
      <c r="W282">
        <v>0</v>
      </c>
      <c r="X282">
        <v>0</v>
      </c>
      <c r="Y282">
        <v>5.1642057616763902E-2</v>
      </c>
      <c r="Z282">
        <v>5.5104902943885897E-2</v>
      </c>
      <c r="AA282">
        <v>0</v>
      </c>
      <c r="AB282">
        <v>2.4622999131679531E-2</v>
      </c>
      <c r="AC282">
        <v>3.9999998989515013E-5</v>
      </c>
      <c r="AD282">
        <v>3.549000015482306E-3</v>
      </c>
      <c r="AE282">
        <v>1.5750000020489101E-3</v>
      </c>
      <c r="AF282">
        <f>0.16*X282 + 0.28*Y282 + 0.28*Z282 + 0.28*AA282</f>
        <v>2.9889148956981949E-2</v>
      </c>
      <c r="AG282">
        <f t="shared" si="12"/>
        <v>5.3855998656945304E-3</v>
      </c>
      <c r="AH282">
        <f>IF(T282="IT_Admin", 0.25, IF(AND(T282="HR", AA282&gt;0.6), 0.25, IF(AND(T282="General", Z282&gt;0.7), 0.2, 0.1)))</f>
        <v>0.1</v>
      </c>
      <c r="AI282">
        <f>IF(V282&gt;0.7, 0.1,
 IF(F282&gt;0.5, 0.08,
 IF(E282&gt;0.5, 0.05,
 0)))</f>
        <v>0</v>
      </c>
      <c r="AJ282">
        <f t="shared" si="13"/>
        <v>1.2736664593080756E-2</v>
      </c>
      <c r="AK282">
        <f t="shared" si="14"/>
        <v>1.4010331052388834E-2</v>
      </c>
      <c r="AL282" t="str">
        <f>IF(MAX(X282, Y282, Z282, AA282)&gt;0.9,
 "Critical",
 IF(AK282&lt;=0.2,"Very Low",
 IF(AK282&lt;=0.4,"Low",
 IF(AK282&lt;=0.6,"Medium",
 IF(AK282&lt;=0.8,"High","Critical")))))</f>
        <v>Very Low</v>
      </c>
      <c r="AM282" t="str">
        <f>IF(MAX(X282:AA282)&gt;0.9,"CRITICAL ALERT",
 IF(AK282&gt;0.8,"CRITICAL ALERT",
 IF(AK282&gt;0.6,"ALERT",
 IF(AK282&gt;=0.4,"REVIEW","NO ACTION"))))</f>
        <v>NO ACTION</v>
      </c>
      <c r="AN282" t="str">
        <f>IF(AM282="NO ACTION","",
 IF(_xlfn.TEXTJOIN(", ", TRUE,
  IF(X282&gt;0.7,"Login anomaly",""),
  IF(Y282&gt;0.7,"File anomaly",""),
  IF(Z282&gt;0.7,"Network anomaly",""),
  IF(AA282&gt;0.7,"USB anomaly","")
 )="",
 "General anomaly detected",
 _xlfn.TEXTJOIN(", ", TRUE,
  IF(X282&gt;0.7,"Login anomaly",""),
  IF(Y282&gt;0.7,"File anomaly",""),
  IF(Z282&gt;0.7,"Network anomaly",""),
  IF(AA282&gt;0.7,"USB anomaly","")
 )))</f>
        <v/>
      </c>
    </row>
    <row r="283" spans="1:40" x14ac:dyDescent="0.3">
      <c r="A283" t="s">
        <v>306</v>
      </c>
      <c r="B283">
        <v>0.12892249527410199</v>
      </c>
      <c r="C283">
        <v>0.36953165208440503</v>
      </c>
      <c r="D283">
        <v>0</v>
      </c>
      <c r="E283">
        <v>0</v>
      </c>
      <c r="F283">
        <v>0</v>
      </c>
      <c r="G283">
        <v>0.99366457067019898</v>
      </c>
      <c r="H283">
        <v>8</v>
      </c>
      <c r="I283">
        <v>8</v>
      </c>
      <c r="J283">
        <v>0.113735031725585</v>
      </c>
      <c r="K283">
        <v>1.6313213703099499E-2</v>
      </c>
      <c r="L283">
        <v>3.6560658236499698E-2</v>
      </c>
      <c r="M283">
        <v>2.59740259740259E-3</v>
      </c>
      <c r="N283">
        <v>1.37719961077014E-2</v>
      </c>
      <c r="O283">
        <v>1270</v>
      </c>
      <c r="P283">
        <v>9.1891133557800195E-2</v>
      </c>
      <c r="Q283">
        <v>9.2043900557522998E-2</v>
      </c>
      <c r="R283">
        <v>0</v>
      </c>
      <c r="S283">
        <v>0</v>
      </c>
      <c r="T283" t="s">
        <v>24</v>
      </c>
      <c r="U283">
        <v>3.3962264150943298E-2</v>
      </c>
      <c r="V283">
        <v>0</v>
      </c>
      <c r="W283">
        <v>0</v>
      </c>
      <c r="X283">
        <v>0</v>
      </c>
      <c r="Y283">
        <v>4.5158934295677397E-2</v>
      </c>
      <c r="Z283">
        <v>6.0643478577760701E-2</v>
      </c>
      <c r="AA283">
        <v>0</v>
      </c>
      <c r="AB283">
        <v>2.480899915099144E-2</v>
      </c>
      <c r="AC283">
        <v>1.599999995960388E-5</v>
      </c>
      <c r="AD283">
        <v>2.3360000923275952E-3</v>
      </c>
      <c r="AE283">
        <v>1.185999950394034E-3</v>
      </c>
      <c r="AF283">
        <f>0.16*X283 + 0.28*Y283 + 0.28*Z283 + 0.28*AA283</f>
        <v>2.9624675604562674E-2</v>
      </c>
      <c r="AG283">
        <f t="shared" si="12"/>
        <v>4.9600798761093752E-3</v>
      </c>
      <c r="AH283">
        <f>IF(T283="IT_Admin", 0.25, IF(AND(T283="HR", AA283&gt;0.6), 0.25, IF(AND(T283="General", Z283&gt;0.7), 0.2, 0.1)))</f>
        <v>0.25</v>
      </c>
      <c r="AI283">
        <f>IF(V283&gt;0.7, 0.1,
 IF(F283&gt;0.5, 0.08,
 IF(E283&gt;0.5, 0.05,
 0)))</f>
        <v>0</v>
      </c>
      <c r="AJ283">
        <f t="shared" si="13"/>
        <v>1.2359458594645364E-2</v>
      </c>
      <c r="AK283">
        <f t="shared" si="14"/>
        <v>1.5449323243306706E-2</v>
      </c>
      <c r="AL283" t="str">
        <f>IF(MAX(X283, Y283, Z283, AA283)&gt;0.9,
 "Critical",
 IF(AK283&lt;=0.2,"Very Low",
 IF(AK283&lt;=0.4,"Low",
 IF(AK283&lt;=0.6,"Medium",
 IF(AK283&lt;=0.8,"High","Critical")))))</f>
        <v>Very Low</v>
      </c>
      <c r="AM283" t="str">
        <f>IF(MAX(X283:AA283)&gt;0.9,"CRITICAL ALERT",
 IF(AK283&gt;0.8,"CRITICAL ALERT",
 IF(AK283&gt;0.6,"ALERT",
 IF(AK283&gt;=0.4,"REVIEW","NO ACTION"))))</f>
        <v>NO ACTION</v>
      </c>
      <c r="AN283" t="str">
        <f>IF(AM283="NO ACTION","",
 IF(_xlfn.TEXTJOIN(", ", TRUE,
  IF(X283&gt;0.7,"Login anomaly",""),
  IF(Y283&gt;0.7,"File anomaly",""),
  IF(Z283&gt;0.7,"Network anomaly",""),
  IF(AA283&gt;0.7,"USB anomaly","")
 )="",
 "General anomaly detected",
 _xlfn.TEXTJOIN(", ", TRUE,
  IF(X283&gt;0.7,"Login anomaly",""),
  IF(Y283&gt;0.7,"File anomaly",""),
  IF(Z283&gt;0.7,"Network anomaly",""),
  IF(AA283&gt;0.7,"USB anomaly","")
 )))</f>
        <v/>
      </c>
    </row>
    <row r="284" spans="1:40" x14ac:dyDescent="0.3">
      <c r="A284" t="s">
        <v>307</v>
      </c>
      <c r="B284">
        <v>0.26994328922495198</v>
      </c>
      <c r="C284">
        <v>0.79284611425630402</v>
      </c>
      <c r="D284">
        <v>0.369166864183262</v>
      </c>
      <c r="E284">
        <v>0</v>
      </c>
      <c r="F284">
        <v>0</v>
      </c>
      <c r="G284">
        <v>0.39942758427609798</v>
      </c>
      <c r="H284">
        <v>8</v>
      </c>
      <c r="I284">
        <v>17</v>
      </c>
      <c r="J284">
        <v>0.11006154286532099</v>
      </c>
      <c r="K284">
        <v>1.5497553017944501E-2</v>
      </c>
      <c r="L284">
        <v>3.58893779847093E-2</v>
      </c>
      <c r="M284">
        <v>1.7316017316017301E-3</v>
      </c>
      <c r="N284">
        <v>9.4871103521622507E-3</v>
      </c>
      <c r="O284">
        <v>1211</v>
      </c>
      <c r="P284">
        <v>8.8418911335577999E-2</v>
      </c>
      <c r="Q284">
        <v>8.8572530593639301E-2</v>
      </c>
      <c r="R284">
        <v>0</v>
      </c>
      <c r="S284">
        <v>0</v>
      </c>
      <c r="T284" t="s">
        <v>24</v>
      </c>
      <c r="U284">
        <v>4.6091644204851699E-2</v>
      </c>
      <c r="V284">
        <v>0</v>
      </c>
      <c r="W284">
        <v>0</v>
      </c>
      <c r="X284">
        <v>0.11075005925497799</v>
      </c>
      <c r="Y284">
        <v>4.2803130671067599E-2</v>
      </c>
      <c r="Z284">
        <v>5.6846190942211702E-2</v>
      </c>
      <c r="AA284">
        <v>0</v>
      </c>
      <c r="AB284">
        <v>6.0584001243114471E-2</v>
      </c>
      <c r="AC284">
        <v>5.7000001106644049E-5</v>
      </c>
      <c r="AD284">
        <v>2.4939998984336849E-3</v>
      </c>
      <c r="AE284">
        <v>8.237999863922596E-3</v>
      </c>
      <c r="AF284">
        <f>0.16*X284 + 0.28*Y284 + 0.28*Z284 + 0.28*AA284</f>
        <v>4.5621819532514693E-2</v>
      </c>
      <c r="AG284">
        <f t="shared" si="12"/>
        <v>1.2714360132667935E-2</v>
      </c>
      <c r="AH284">
        <f>IF(T284="IT_Admin", 0.25, IF(AND(T284="HR", AA284&gt;0.6), 0.25, IF(AND(T284="General", Z284&gt;0.7), 0.2, 0.1)))</f>
        <v>0.25</v>
      </c>
      <c r="AI284">
        <f>IF(V284&gt;0.7, 0.1,
 IF(F284&gt;0.5, 0.08,
 IF(E284&gt;0.5, 0.05,
 0)))</f>
        <v>0</v>
      </c>
      <c r="AJ284">
        <f t="shared" si="13"/>
        <v>2.258659795262196E-2</v>
      </c>
      <c r="AK284">
        <f t="shared" si="14"/>
        <v>2.8233247440777452E-2</v>
      </c>
      <c r="AL284" t="str">
        <f>IF(MAX(X284, Y284, Z284, AA284)&gt;0.9,
 "Critical",
 IF(AK284&lt;=0.2,"Very Low",
 IF(AK284&lt;=0.4,"Low",
 IF(AK284&lt;=0.6,"Medium",
 IF(AK284&lt;=0.8,"High","Critical")))))</f>
        <v>Very Low</v>
      </c>
      <c r="AM284" t="str">
        <f>IF(MAX(X284:AA284)&gt;0.9,"CRITICAL ALERT",
 IF(AK284&gt;0.8,"CRITICAL ALERT",
 IF(AK284&gt;0.6,"ALERT",
 IF(AK284&gt;=0.4,"REVIEW","NO ACTION"))))</f>
        <v>NO ACTION</v>
      </c>
      <c r="AN284" t="str">
        <f>IF(AM284="NO ACTION","",
 IF(_xlfn.TEXTJOIN(", ", TRUE,
  IF(X284&gt;0.7,"Login anomaly",""),
  IF(Y284&gt;0.7,"File anomaly",""),
  IF(Z284&gt;0.7,"Network anomaly",""),
  IF(AA284&gt;0.7,"USB anomaly","")
 )="",
 "General anomaly detected",
 _xlfn.TEXTJOIN(", ", TRUE,
  IF(X284&gt;0.7,"Login anomaly",""),
  IF(Y284&gt;0.7,"File anomaly",""),
  IF(Z284&gt;0.7,"Network anomaly",""),
  IF(AA284&gt;0.7,"USB anomaly","")
 )))</f>
        <v/>
      </c>
    </row>
    <row r="285" spans="1:40" x14ac:dyDescent="0.3">
      <c r="A285" t="s">
        <v>308</v>
      </c>
      <c r="B285">
        <v>0.12892249527410199</v>
      </c>
      <c r="C285">
        <v>0.55429747812660801</v>
      </c>
      <c r="D285">
        <v>0</v>
      </c>
      <c r="E285">
        <v>0</v>
      </c>
      <c r="F285">
        <v>0</v>
      </c>
      <c r="G285">
        <v>0.99364875391519103</v>
      </c>
      <c r="H285">
        <v>9</v>
      </c>
      <c r="I285">
        <v>9</v>
      </c>
      <c r="J285">
        <v>9.3984065645722994E-2</v>
      </c>
      <c r="K285">
        <v>1.30505709624796E-2</v>
      </c>
      <c r="L285">
        <v>3.53796101375181E-2</v>
      </c>
      <c r="M285">
        <v>2.0202020202020202E-3</v>
      </c>
      <c r="N285">
        <v>1.29569108809615E-2</v>
      </c>
      <c r="O285">
        <v>1076</v>
      </c>
      <c r="P285">
        <v>7.5687429854096502E-2</v>
      </c>
      <c r="Q285">
        <v>7.5844174059399E-2</v>
      </c>
      <c r="R285">
        <v>0</v>
      </c>
      <c r="S285">
        <v>0</v>
      </c>
      <c r="T285" t="s">
        <v>49</v>
      </c>
      <c r="U285">
        <v>3.3962264150943298E-2</v>
      </c>
      <c r="V285">
        <v>0</v>
      </c>
      <c r="W285">
        <v>0</v>
      </c>
      <c r="X285">
        <v>0</v>
      </c>
      <c r="Y285">
        <v>4.03736914621921E-2</v>
      </c>
      <c r="Z285">
        <v>5.0595222264842497E-2</v>
      </c>
      <c r="AA285">
        <v>0</v>
      </c>
      <c r="AB285">
        <v>2.8903000056743618E-2</v>
      </c>
      <c r="AC285">
        <v>4.6000001020729542E-5</v>
      </c>
      <c r="AD285">
        <v>3.9880000986158848E-3</v>
      </c>
      <c r="AE285">
        <v>1.501000020653009E-3</v>
      </c>
      <c r="AF285">
        <f>0.16*X285 + 0.28*Y285 + 0.28*Z285 + 0.28*AA285</f>
        <v>2.5471295843569691E-2</v>
      </c>
      <c r="AG285">
        <f t="shared" si="12"/>
        <v>6.1742800427600731E-3</v>
      </c>
      <c r="AH285">
        <f>IF(T285="IT_Admin", 0.25, IF(AND(T285="HR", AA285&gt;0.6), 0.25, IF(AND(T285="General", Z285&gt;0.7), 0.2, 0.1)))</f>
        <v>0.1</v>
      </c>
      <c r="AI285">
        <f>IF(V285&gt;0.7, 0.1,
 IF(F285&gt;0.5, 0.08,
 IF(E285&gt;0.5, 0.05,
 0)))</f>
        <v>0</v>
      </c>
      <c r="AJ285">
        <f t="shared" si="13"/>
        <v>1.1963384783002958E-2</v>
      </c>
      <c r="AK285">
        <f t="shared" si="14"/>
        <v>1.3159723261303255E-2</v>
      </c>
      <c r="AL285" t="str">
        <f>IF(MAX(X285, Y285, Z285, AA285)&gt;0.9,
 "Critical",
 IF(AK285&lt;=0.2,"Very Low",
 IF(AK285&lt;=0.4,"Low",
 IF(AK285&lt;=0.6,"Medium",
 IF(AK285&lt;=0.8,"High","Critical")))))</f>
        <v>Very Low</v>
      </c>
      <c r="AM285" t="str">
        <f>IF(MAX(X285:AA285)&gt;0.9,"CRITICAL ALERT",
 IF(AK285&gt;0.8,"CRITICAL ALERT",
 IF(AK285&gt;0.6,"ALERT",
 IF(AK285&gt;=0.4,"REVIEW","NO ACTION"))))</f>
        <v>NO ACTION</v>
      </c>
      <c r="AN285" t="str">
        <f>IF(AM285="NO ACTION","",
 IF(_xlfn.TEXTJOIN(", ", TRUE,
  IF(X285&gt;0.7,"Login anomaly",""),
  IF(Y285&gt;0.7,"File anomaly",""),
  IF(Z285&gt;0.7,"Network anomaly",""),
  IF(AA285&gt;0.7,"USB anomaly","")
 )="",
 "General anomaly detected",
 _xlfn.TEXTJOIN(", ", TRUE,
  IF(X285&gt;0.7,"Login anomaly",""),
  IF(Y285&gt;0.7,"File anomaly",""),
  IF(Z285&gt;0.7,"Network anomaly",""),
  IF(AA285&gt;0.7,"USB anomaly","")
 )))</f>
        <v/>
      </c>
    </row>
    <row r="286" spans="1:40" x14ac:dyDescent="0.3">
      <c r="A286" t="s">
        <v>309</v>
      </c>
      <c r="B286">
        <v>0.12892249527410199</v>
      </c>
      <c r="C286">
        <v>0.36953165208440503</v>
      </c>
      <c r="D286">
        <v>0</v>
      </c>
      <c r="E286">
        <v>0</v>
      </c>
      <c r="F286">
        <v>0</v>
      </c>
      <c r="G286">
        <v>0.99367027112505002</v>
      </c>
      <c r="H286">
        <v>8</v>
      </c>
      <c r="I286">
        <v>8</v>
      </c>
      <c r="J286">
        <v>0.105147655169123</v>
      </c>
      <c r="K286">
        <v>2.2838499184339299E-2</v>
      </c>
      <c r="L286">
        <v>5.5355716404616097E-2</v>
      </c>
      <c r="M286">
        <v>4.0404040404040404E-3</v>
      </c>
      <c r="N286">
        <v>2.3168763232140299E-2</v>
      </c>
      <c r="O286">
        <v>1181</v>
      </c>
      <c r="P286">
        <v>8.9085297418630693E-2</v>
      </c>
      <c r="Q286">
        <v>8.9238753111960403E-2</v>
      </c>
      <c r="R286">
        <v>0</v>
      </c>
      <c r="S286">
        <v>0</v>
      </c>
      <c r="T286" t="s">
        <v>24</v>
      </c>
      <c r="U286">
        <v>3.1698113207547098E-2</v>
      </c>
      <c r="V286">
        <v>0</v>
      </c>
      <c r="W286">
        <v>0</v>
      </c>
      <c r="X286">
        <v>0</v>
      </c>
      <c r="Y286">
        <v>5.5658018205774797E-2</v>
      </c>
      <c r="Z286">
        <v>6.2718683744034498E-2</v>
      </c>
      <c r="AA286">
        <v>0</v>
      </c>
      <c r="AB286">
        <v>2.4791000410914421E-2</v>
      </c>
      <c r="AC286">
        <v>8.4999999671708792E-5</v>
      </c>
      <c r="AD286">
        <v>2.4069999344646931E-3</v>
      </c>
      <c r="AE286">
        <v>1.243000035174191E-3</v>
      </c>
      <c r="AF286">
        <f>0.16*X286 + 0.28*Y286 + 0.28*Z286 + 0.28*AA286</f>
        <v>3.3145476545946607E-2</v>
      </c>
      <c r="AG286">
        <f t="shared" si="12"/>
        <v>5.0123600571532739E-3</v>
      </c>
      <c r="AH286">
        <f>IF(T286="IT_Admin", 0.25, IF(AND(T286="HR", AA286&gt;0.6), 0.25, IF(AND(T286="General", Z286&gt;0.7), 0.2, 0.1)))</f>
        <v>0.25</v>
      </c>
      <c r="AI286">
        <f>IF(V286&gt;0.7, 0.1,
 IF(F286&gt;0.5, 0.08,
 IF(E286&gt;0.5, 0.05,
 0)))</f>
        <v>0</v>
      </c>
      <c r="AJ286">
        <f t="shared" si="13"/>
        <v>1.3452295003791274E-2</v>
      </c>
      <c r="AK286">
        <f t="shared" si="14"/>
        <v>1.6815368754739091E-2</v>
      </c>
      <c r="AL286" t="str">
        <f>IF(MAX(X286, Y286, Z286, AA286)&gt;0.9,
 "Critical",
 IF(AK286&lt;=0.2,"Very Low",
 IF(AK286&lt;=0.4,"Low",
 IF(AK286&lt;=0.6,"Medium",
 IF(AK286&lt;=0.8,"High","Critical")))))</f>
        <v>Very Low</v>
      </c>
      <c r="AM286" t="str">
        <f>IF(MAX(X286:AA286)&gt;0.9,"CRITICAL ALERT",
 IF(AK286&gt;0.8,"CRITICAL ALERT",
 IF(AK286&gt;0.6,"ALERT",
 IF(AK286&gt;=0.4,"REVIEW","NO ACTION"))))</f>
        <v>NO ACTION</v>
      </c>
      <c r="AN286" t="str">
        <f>IF(AM286="NO ACTION","",
 IF(_xlfn.TEXTJOIN(", ", TRUE,
  IF(X286&gt;0.7,"Login anomaly",""),
  IF(Y286&gt;0.7,"File anomaly",""),
  IF(Z286&gt;0.7,"Network anomaly",""),
  IF(AA286&gt;0.7,"USB anomaly","")
 )="",
 "General anomaly detected",
 _xlfn.TEXTJOIN(", ", TRUE,
  IF(X286&gt;0.7,"Login anomaly",""),
  IF(Y286&gt;0.7,"File anomaly",""),
  IF(Z286&gt;0.7,"Network anomaly",""),
  IF(AA286&gt;0.7,"USB anomaly","")
 )))</f>
        <v/>
      </c>
    </row>
    <row r="287" spans="1:40" x14ac:dyDescent="0.3">
      <c r="A287" t="s">
        <v>310</v>
      </c>
      <c r="B287">
        <v>0.12892249527410199</v>
      </c>
      <c r="C287">
        <v>0.27313209067108202</v>
      </c>
      <c r="D287">
        <v>7.5061757440099602E-2</v>
      </c>
      <c r="E287">
        <v>0</v>
      </c>
      <c r="F287">
        <v>0</v>
      </c>
      <c r="G287">
        <v>0.99365753208040697</v>
      </c>
      <c r="H287">
        <v>7</v>
      </c>
      <c r="I287">
        <v>8</v>
      </c>
      <c r="J287">
        <v>0.104909116931444</v>
      </c>
      <c r="K287">
        <v>2.1207177814029299E-2</v>
      </c>
      <c r="L287">
        <v>5.1518346771822598E-2</v>
      </c>
      <c r="M287">
        <v>5.7720057720057703E-3</v>
      </c>
      <c r="N287">
        <v>3.3173319924680998E-2</v>
      </c>
      <c r="O287">
        <v>1181</v>
      </c>
      <c r="P287">
        <v>8.9050224466891106E-2</v>
      </c>
      <c r="Q287">
        <v>8.9203688768890899E-2</v>
      </c>
      <c r="R287">
        <v>0</v>
      </c>
      <c r="S287">
        <v>0</v>
      </c>
      <c r="T287" t="s">
        <v>24</v>
      </c>
      <c r="U287">
        <v>2.10242587601078E-2</v>
      </c>
      <c r="V287">
        <v>0</v>
      </c>
      <c r="W287">
        <v>0</v>
      </c>
      <c r="X287">
        <v>2.2518527232029802E-2</v>
      </c>
      <c r="Y287">
        <v>5.6692992749604397E-2</v>
      </c>
      <c r="Z287">
        <v>6.6699462650007105E-2</v>
      </c>
      <c r="AA287">
        <v>0</v>
      </c>
      <c r="AB287">
        <v>1.8658999353647229E-2</v>
      </c>
      <c r="AC287">
        <v>1.7699999443721029E-4</v>
      </c>
      <c r="AD287">
        <v>2.245000097900629E-3</v>
      </c>
      <c r="AE287">
        <v>1.3780000153928999E-3</v>
      </c>
      <c r="AF287">
        <f>0.16*X287 + 0.28*Y287 + 0.28*Z287 + 0.28*AA287</f>
        <v>3.8152851869015986E-2</v>
      </c>
      <c r="AG287">
        <f t="shared" si="12"/>
        <v>4.0494399267481636E-3</v>
      </c>
      <c r="AH287">
        <f>IF(T287="IT_Admin", 0.25, IF(AND(T287="HR", AA287&gt;0.6), 0.25, IF(AND(T287="General", Z287&gt;0.7), 0.2, 0.1)))</f>
        <v>0.25</v>
      </c>
      <c r="AI287">
        <f>IF(V287&gt;0.7, 0.1,
 IF(F287&gt;0.5, 0.08,
 IF(E287&gt;0.5, 0.05,
 0)))</f>
        <v>0</v>
      </c>
      <c r="AJ287">
        <f t="shared" si="13"/>
        <v>1.428046350942851E-2</v>
      </c>
      <c r="AK287">
        <f t="shared" si="14"/>
        <v>1.7850579386785637E-2</v>
      </c>
      <c r="AL287" t="str">
        <f>IF(MAX(X287, Y287, Z287, AA287)&gt;0.9,
 "Critical",
 IF(AK287&lt;=0.2,"Very Low",
 IF(AK287&lt;=0.4,"Low",
 IF(AK287&lt;=0.6,"Medium",
 IF(AK287&lt;=0.8,"High","Critical")))))</f>
        <v>Very Low</v>
      </c>
      <c r="AM287" t="str">
        <f>IF(MAX(X287:AA287)&gt;0.9,"CRITICAL ALERT",
 IF(AK287&gt;0.8,"CRITICAL ALERT",
 IF(AK287&gt;0.6,"ALERT",
 IF(AK287&gt;=0.4,"REVIEW","NO ACTION"))))</f>
        <v>NO ACTION</v>
      </c>
      <c r="AN287" t="str">
        <f>IF(AM287="NO ACTION","",
 IF(_xlfn.TEXTJOIN(", ", TRUE,
  IF(X287&gt;0.7,"Login anomaly",""),
  IF(Y287&gt;0.7,"File anomaly",""),
  IF(Z287&gt;0.7,"Network anomaly",""),
  IF(AA287&gt;0.7,"USB anomaly","")
 )="",
 "General anomaly detected",
 _xlfn.TEXTJOIN(", ", TRUE,
  IF(X287&gt;0.7,"Login anomaly",""),
  IF(Y287&gt;0.7,"File anomaly",""),
  IF(Z287&gt;0.7,"Network anomaly",""),
  IF(AA287&gt;0.7,"USB anomaly","")
 )))</f>
        <v/>
      </c>
    </row>
    <row r="288" spans="1:40" x14ac:dyDescent="0.3">
      <c r="A288" t="s">
        <v>311</v>
      </c>
      <c r="B288">
        <v>0.12892249527410199</v>
      </c>
      <c r="C288">
        <v>8.9972923985768199E-2</v>
      </c>
      <c r="D288">
        <v>7.5107235637207503E-2</v>
      </c>
      <c r="E288">
        <v>0</v>
      </c>
      <c r="F288">
        <v>0.51304347826086905</v>
      </c>
      <c r="G288">
        <v>0.99366566794085098</v>
      </c>
      <c r="H288">
        <v>6</v>
      </c>
      <c r="I288">
        <v>7</v>
      </c>
      <c r="J288">
        <v>0.115261676446734</v>
      </c>
      <c r="K288">
        <v>1.8760195758564399E-2</v>
      </c>
      <c r="L288">
        <v>4.1489022885604E-2</v>
      </c>
      <c r="M288">
        <v>3.7518037518037501E-3</v>
      </c>
      <c r="N288">
        <v>1.9629945528334601E-2</v>
      </c>
      <c r="O288">
        <v>1256</v>
      </c>
      <c r="P288">
        <v>9.4626823793490397E-2</v>
      </c>
      <c r="Q288">
        <v>9.4778919316946597E-2</v>
      </c>
      <c r="R288">
        <v>0</v>
      </c>
      <c r="S288">
        <v>0</v>
      </c>
      <c r="T288" t="s">
        <v>24</v>
      </c>
      <c r="U288">
        <v>2.7897574123989199E-2</v>
      </c>
      <c r="V288">
        <v>0</v>
      </c>
      <c r="W288">
        <v>0</v>
      </c>
      <c r="X288">
        <v>0.22774956199551</v>
      </c>
      <c r="Y288">
        <v>4.9685830390649298E-2</v>
      </c>
      <c r="Z288">
        <v>6.4628072487428107E-2</v>
      </c>
      <c r="AA288">
        <v>0</v>
      </c>
      <c r="AB288">
        <v>4.65410016477108E-2</v>
      </c>
      <c r="AC288">
        <v>1.200000042445026E-5</v>
      </c>
      <c r="AD288">
        <v>2.0290000829845671E-3</v>
      </c>
      <c r="AE288">
        <v>4.5200000749900943E-4</v>
      </c>
      <c r="AF288">
        <f>0.16*X288 + 0.28*Y288 + 0.28*Z288 + 0.28*AA288</f>
        <v>6.844782272514327E-2</v>
      </c>
      <c r="AG288">
        <f t="shared" si="12"/>
        <v>8.1446002890879759E-3</v>
      </c>
      <c r="AH288">
        <f>IF(T288="IT_Admin", 0.25, IF(AND(T288="HR", AA288&gt;0.6), 0.25, IF(AND(T288="General", Z288&gt;0.7), 0.2, 0.1)))</f>
        <v>0.25</v>
      </c>
      <c r="AI288">
        <f>IF(V288&gt;0.7, 0.1,
 IF(F288&gt;0.5, 0.08,
 IF(E288&gt;0.5, 0.05,
 0)))</f>
        <v>0.08</v>
      </c>
      <c r="AJ288">
        <f t="shared" si="13"/>
        <v>2.6235567019904562E-2</v>
      </c>
      <c r="AK288">
        <f t="shared" si="14"/>
        <v>3.4893304136473069E-2</v>
      </c>
      <c r="AL288" t="str">
        <f>IF(MAX(X288, Y288, Z288, AA288)&gt;0.9,
 "Critical",
 IF(AK288&lt;=0.2,"Very Low",
 IF(AK288&lt;=0.4,"Low",
 IF(AK288&lt;=0.6,"Medium",
 IF(AK288&lt;=0.8,"High","Critical")))))</f>
        <v>Very Low</v>
      </c>
      <c r="AM288" t="str">
        <f>IF(MAX(X288:AA288)&gt;0.9,"CRITICAL ALERT",
 IF(AK288&gt;0.8,"CRITICAL ALERT",
 IF(AK288&gt;0.6,"ALERT",
 IF(AK288&gt;=0.4,"REVIEW","NO ACTION"))))</f>
        <v>NO ACTION</v>
      </c>
      <c r="AN288" t="str">
        <f>IF(AM288="NO ACTION","",
 IF(_xlfn.TEXTJOIN(", ", TRUE,
  IF(X288&gt;0.7,"Login anomaly",""),
  IF(Y288&gt;0.7,"File anomaly",""),
  IF(Z288&gt;0.7,"Network anomaly",""),
  IF(AA288&gt;0.7,"USB anomaly","")
 )="",
 "General anomaly detected",
 _xlfn.TEXTJOIN(", ", TRUE,
  IF(X288&gt;0.7,"Login anomaly",""),
  IF(Y288&gt;0.7,"File anomaly",""),
  IF(Z288&gt;0.7,"Network anomaly",""),
  IF(AA288&gt;0.7,"USB anomaly","")
 )))</f>
        <v/>
      </c>
    </row>
    <row r="289" spans="1:40" x14ac:dyDescent="0.3">
      <c r="A289" t="s">
        <v>312</v>
      </c>
      <c r="B289">
        <v>0.2351606805293</v>
      </c>
      <c r="C289">
        <v>0.58115640811037805</v>
      </c>
      <c r="D289">
        <v>0.36556351791145397</v>
      </c>
      <c r="E289">
        <v>0</v>
      </c>
      <c r="F289">
        <v>0</v>
      </c>
      <c r="G289">
        <v>0.48033249139373602</v>
      </c>
      <c r="H289">
        <v>7</v>
      </c>
      <c r="I289">
        <v>13</v>
      </c>
      <c r="J289">
        <v>8.5587519679404603E-2</v>
      </c>
      <c r="K289">
        <v>9.7879282218597003E-3</v>
      </c>
      <c r="L289">
        <v>2.9130654539298799E-2</v>
      </c>
      <c r="M289">
        <v>3.1746031746031698E-3</v>
      </c>
      <c r="N289">
        <v>2.2352806232739501E-2</v>
      </c>
      <c r="O289">
        <v>970</v>
      </c>
      <c r="P289">
        <v>6.8672839506172798E-2</v>
      </c>
      <c r="Q289">
        <v>6.8831305445492402E-2</v>
      </c>
      <c r="R289">
        <v>0</v>
      </c>
      <c r="S289">
        <v>0</v>
      </c>
      <c r="T289" t="s">
        <v>49</v>
      </c>
      <c r="U289">
        <v>1.6981132075471601E-2</v>
      </c>
      <c r="V289">
        <v>0</v>
      </c>
      <c r="W289">
        <v>0</v>
      </c>
      <c r="X289">
        <v>0.10966905537343601</v>
      </c>
      <c r="Y289">
        <v>3.8388673075352202E-2</v>
      </c>
      <c r="Z289">
        <v>5.0144826196799497E-2</v>
      </c>
      <c r="AA289">
        <v>0</v>
      </c>
      <c r="AB289">
        <v>1.842200011014938E-2</v>
      </c>
      <c r="AC289">
        <v>2.130000066244975E-4</v>
      </c>
      <c r="AD289">
        <v>4.3649999424815178E-3</v>
      </c>
      <c r="AE289">
        <v>6.1240000650286666E-3</v>
      </c>
      <c r="AF289">
        <f>0.16*X289 + 0.28*Y289 + 0.28*Z289 + 0.28*AA289</f>
        <v>4.2336428655952239E-2</v>
      </c>
      <c r="AG289">
        <f t="shared" si="12"/>
        <v>5.9440800215816124E-3</v>
      </c>
      <c r="AH289">
        <f>IF(T289="IT_Admin", 0.25, IF(AND(T289="HR", AA289&gt;0.6), 0.25, IF(AND(T289="General", Z289&gt;0.7), 0.2, 0.1)))</f>
        <v>0.1</v>
      </c>
      <c r="AI289">
        <f>IF(V289&gt;0.7, 0.1,
 IF(F289&gt;0.5, 0.08,
 IF(E289&gt;0.5, 0.05,
 0)))</f>
        <v>0</v>
      </c>
      <c r="AJ289">
        <f t="shared" si="13"/>
        <v>1.6861784611892798E-2</v>
      </c>
      <c r="AK289">
        <f t="shared" si="14"/>
        <v>1.8547963073082079E-2</v>
      </c>
      <c r="AL289" t="str">
        <f>IF(MAX(X289, Y289, Z289, AA289)&gt;0.9,
 "Critical",
 IF(AK289&lt;=0.2,"Very Low",
 IF(AK289&lt;=0.4,"Low",
 IF(AK289&lt;=0.6,"Medium",
 IF(AK289&lt;=0.8,"High","Critical")))))</f>
        <v>Very Low</v>
      </c>
      <c r="AM289" t="str">
        <f>IF(MAX(X289:AA289)&gt;0.9,"CRITICAL ALERT",
 IF(AK289&gt;0.8,"CRITICAL ALERT",
 IF(AK289&gt;0.6,"ALERT",
 IF(AK289&gt;=0.4,"REVIEW","NO ACTION"))))</f>
        <v>NO ACTION</v>
      </c>
      <c r="AN289" t="str">
        <f>IF(AM289="NO ACTION","",
 IF(_xlfn.TEXTJOIN(", ", TRUE,
  IF(X289&gt;0.7,"Login anomaly",""),
  IF(Y289&gt;0.7,"File anomaly",""),
  IF(Z289&gt;0.7,"Network anomaly",""),
  IF(AA289&gt;0.7,"USB anomaly","")
 )="",
 "General anomaly detected",
 _xlfn.TEXTJOIN(", ", TRUE,
  IF(X289&gt;0.7,"Login anomaly",""),
  IF(Y289&gt;0.7,"File anomaly",""),
  IF(Z289&gt;0.7,"Network anomaly",""),
  IF(AA289&gt;0.7,"USB anomaly","")
 )))</f>
        <v/>
      </c>
    </row>
    <row r="290" spans="1:40" x14ac:dyDescent="0.3">
      <c r="A290" t="s">
        <v>313</v>
      </c>
      <c r="B290">
        <v>0.27674858223062299</v>
      </c>
      <c r="C290">
        <v>0.83119517666539799</v>
      </c>
      <c r="D290">
        <v>0.39346233367524802</v>
      </c>
      <c r="E290">
        <v>0</v>
      </c>
      <c r="F290">
        <v>0</v>
      </c>
      <c r="G290">
        <v>0.386194983228629</v>
      </c>
      <c r="H290">
        <v>8</v>
      </c>
      <c r="I290">
        <v>17</v>
      </c>
      <c r="J290">
        <v>0.10366871809551</v>
      </c>
      <c r="K290">
        <v>2.2838499184339299E-2</v>
      </c>
      <c r="L290">
        <v>5.6143607684938902E-2</v>
      </c>
      <c r="M290">
        <v>3.7518037518037501E-3</v>
      </c>
      <c r="N290">
        <v>2.1820063417859501E-2</v>
      </c>
      <c r="O290">
        <v>1148</v>
      </c>
      <c r="P290">
        <v>8.7857744107744107E-2</v>
      </c>
      <c r="Q290">
        <v>8.8011501104526796E-2</v>
      </c>
      <c r="R290">
        <v>0</v>
      </c>
      <c r="S290">
        <v>0</v>
      </c>
      <c r="T290" t="s">
        <v>24</v>
      </c>
      <c r="U290">
        <v>3.3962264150943298E-2</v>
      </c>
      <c r="V290">
        <v>0</v>
      </c>
      <c r="W290">
        <v>0</v>
      </c>
      <c r="X290">
        <v>0.118038700102574</v>
      </c>
      <c r="Y290">
        <v>5.5351566486929397E-2</v>
      </c>
      <c r="Z290">
        <v>6.1442671831790197E-2</v>
      </c>
      <c r="AA290">
        <v>0</v>
      </c>
      <c r="AB290">
        <v>6.9848999381065369E-2</v>
      </c>
      <c r="AC290">
        <v>1.2599999899975961E-4</v>
      </c>
      <c r="AD290">
        <v>2.297000028192997E-3</v>
      </c>
      <c r="AE290">
        <v>8.4239998832345009E-3</v>
      </c>
      <c r="AF290">
        <f>0.16*X290 + 0.28*Y290 + 0.28*Z290 + 0.28*AA290</f>
        <v>5.1588578745653327E-2</v>
      </c>
      <c r="AG290">
        <f t="shared" si="12"/>
        <v>1.4212999875890094E-2</v>
      </c>
      <c r="AH290">
        <f>IF(T290="IT_Admin", 0.25, IF(AND(T290="HR", AA290&gt;0.6), 0.25, IF(AND(T290="General", Z290&gt;0.7), 0.2, 0.1)))</f>
        <v>0.25</v>
      </c>
      <c r="AI290">
        <f>IF(V290&gt;0.7, 0.1,
 IF(F290&gt;0.5, 0.08,
 IF(E290&gt;0.5, 0.05,
 0)))</f>
        <v>0</v>
      </c>
      <c r="AJ290">
        <f t="shared" si="13"/>
        <v>2.5425673536819064E-2</v>
      </c>
      <c r="AK290">
        <f t="shared" si="14"/>
        <v>3.1782091921023832E-2</v>
      </c>
      <c r="AL290" t="str">
        <f>IF(MAX(X290, Y290, Z290, AA290)&gt;0.9,
 "Critical",
 IF(AK290&lt;=0.2,"Very Low",
 IF(AK290&lt;=0.4,"Low",
 IF(AK290&lt;=0.6,"Medium",
 IF(AK290&lt;=0.8,"High","Critical")))))</f>
        <v>Very Low</v>
      </c>
      <c r="AM290" t="str">
        <f>IF(MAX(X290:AA290)&gt;0.9,"CRITICAL ALERT",
 IF(AK290&gt;0.8,"CRITICAL ALERT",
 IF(AK290&gt;0.6,"ALERT",
 IF(AK290&gt;=0.4,"REVIEW","NO ACTION"))))</f>
        <v>NO ACTION</v>
      </c>
      <c r="AN290" t="str">
        <f>IF(AM290="NO ACTION","",
 IF(_xlfn.TEXTJOIN(", ", TRUE,
  IF(X290&gt;0.7,"Login anomaly",""),
  IF(Y290&gt;0.7,"File anomaly",""),
  IF(Z290&gt;0.7,"Network anomaly",""),
  IF(AA290&gt;0.7,"USB anomaly","")
 )="",
 "General anomaly detected",
 _xlfn.TEXTJOIN(", ", TRUE,
  IF(X290&gt;0.7,"Login anomaly",""),
  IF(Y290&gt;0.7,"File anomaly",""),
  IF(Z290&gt;0.7,"Network anomaly",""),
  IF(AA290&gt;0.7,"USB anomaly","")
 )))</f>
        <v/>
      </c>
    </row>
    <row r="291" spans="1:40" x14ac:dyDescent="0.3">
      <c r="A291" t="s">
        <v>314</v>
      </c>
      <c r="B291">
        <v>0.2351606805293</v>
      </c>
      <c r="C291">
        <v>0.68416483189429</v>
      </c>
      <c r="D291">
        <v>0.37753544924997801</v>
      </c>
      <c r="E291">
        <v>0</v>
      </c>
      <c r="F291">
        <v>0</v>
      </c>
      <c r="G291">
        <v>0.48029020101986503</v>
      </c>
      <c r="H291">
        <v>7</v>
      </c>
      <c r="I291">
        <v>16</v>
      </c>
      <c r="J291">
        <v>0.10247602690711299</v>
      </c>
      <c r="K291">
        <v>8.1566068515497494E-3</v>
      </c>
      <c r="L291">
        <v>2.0284118097305501E-2</v>
      </c>
      <c r="M291">
        <v>1.1544011544011501E-3</v>
      </c>
      <c r="N291">
        <v>6.7918250918715299E-3</v>
      </c>
      <c r="O291">
        <v>416</v>
      </c>
      <c r="P291">
        <v>7.9405162738496002E-2</v>
      </c>
      <c r="Q291">
        <v>7.9560994424769396E-2</v>
      </c>
      <c r="R291">
        <v>0</v>
      </c>
      <c r="S291">
        <v>0</v>
      </c>
      <c r="T291" t="s">
        <v>24</v>
      </c>
      <c r="U291">
        <v>3.3962264150943298E-2</v>
      </c>
      <c r="V291">
        <v>0</v>
      </c>
      <c r="W291">
        <v>0</v>
      </c>
      <c r="X291">
        <v>0.113260634774993</v>
      </c>
      <c r="Y291">
        <v>3.2674811957636898E-2</v>
      </c>
      <c r="Z291">
        <v>5.0359827679846203E-2</v>
      </c>
      <c r="AA291">
        <v>0</v>
      </c>
      <c r="AB291">
        <v>3.1505998224019997E-2</v>
      </c>
      <c r="AC291">
        <v>2.3700000019744041E-4</v>
      </c>
      <c r="AD291">
        <v>3.3440000843256712E-3</v>
      </c>
      <c r="AE291">
        <v>1.050399988889694E-2</v>
      </c>
      <c r="AF291">
        <f>0.16*X291 + 0.28*Y291 + 0.28*Z291 + 0.28*AA291</f>
        <v>4.1371400662494145E-2</v>
      </c>
      <c r="AG291">
        <f t="shared" si="12"/>
        <v>8.9847597084008156E-3</v>
      </c>
      <c r="AH291">
        <f>IF(T291="IT_Admin", 0.25, IF(AND(T291="HR", AA291&gt;0.6), 0.25, IF(AND(T291="General", Z291&gt;0.7), 0.2, 0.1)))</f>
        <v>0.25</v>
      </c>
      <c r="AI291">
        <f>IF(V291&gt;0.7, 0.1,
 IF(F291&gt;0.5, 0.08,
 IF(E291&gt;0.5, 0.05,
 0)))</f>
        <v>0</v>
      </c>
      <c r="AJ291">
        <f t="shared" si="13"/>
        <v>1.8700751994628811E-2</v>
      </c>
      <c r="AK291">
        <f t="shared" si="14"/>
        <v>2.3375939993286014E-2</v>
      </c>
      <c r="AL291" t="str">
        <f>IF(MAX(X291, Y291, Z291, AA291)&gt;0.9,
 "Critical",
 IF(AK291&lt;=0.2,"Very Low",
 IF(AK291&lt;=0.4,"Low",
 IF(AK291&lt;=0.6,"Medium",
 IF(AK291&lt;=0.8,"High","Critical")))))</f>
        <v>Very Low</v>
      </c>
      <c r="AM291" t="str">
        <f>IF(MAX(X291:AA291)&gt;0.9,"CRITICAL ALERT",
 IF(AK291&gt;0.8,"CRITICAL ALERT",
 IF(AK291&gt;0.6,"ALERT",
 IF(AK291&gt;=0.4,"REVIEW","NO ACTION"))))</f>
        <v>NO ACTION</v>
      </c>
      <c r="AN291" t="str">
        <f>IF(AM291="NO ACTION","",
 IF(_xlfn.TEXTJOIN(", ", TRUE,
  IF(X291&gt;0.7,"Login anomaly",""),
  IF(Y291&gt;0.7,"File anomaly",""),
  IF(Z291&gt;0.7,"Network anomaly",""),
  IF(AA291&gt;0.7,"USB anomaly","")
 )="",
 "General anomaly detected",
 _xlfn.TEXTJOIN(", ", TRUE,
  IF(X291&gt;0.7,"Login anomaly",""),
  IF(Y291&gt;0.7,"File anomaly",""),
  IF(Z291&gt;0.7,"Network anomaly",""),
  IF(AA291&gt;0.7,"USB anomaly","")
 )))</f>
        <v/>
      </c>
    </row>
    <row r="292" spans="1:40" x14ac:dyDescent="0.3">
      <c r="A292" t="s">
        <v>315</v>
      </c>
      <c r="B292">
        <v>0.12892249527410199</v>
      </c>
      <c r="C292">
        <v>0.36953165208440503</v>
      </c>
      <c r="D292">
        <v>0</v>
      </c>
      <c r="E292">
        <v>0</v>
      </c>
      <c r="F292">
        <v>0</v>
      </c>
      <c r="G292">
        <v>0.99366981615917005</v>
      </c>
      <c r="H292">
        <v>8</v>
      </c>
      <c r="I292">
        <v>8</v>
      </c>
      <c r="J292">
        <v>8.98812079576356E-2</v>
      </c>
      <c r="K292">
        <v>1.30505709624796E-2</v>
      </c>
      <c r="L292">
        <v>3.6990328227421002E-2</v>
      </c>
      <c r="M292">
        <v>2.0202020202020202E-3</v>
      </c>
      <c r="N292">
        <v>1.3546796712492801E-2</v>
      </c>
      <c r="O292">
        <v>976</v>
      </c>
      <c r="P292">
        <v>7.2671156004489298E-2</v>
      </c>
      <c r="Q292">
        <v>7.2828640555419197E-2</v>
      </c>
      <c r="R292">
        <v>0</v>
      </c>
      <c r="S292">
        <v>0</v>
      </c>
      <c r="T292" t="s">
        <v>49</v>
      </c>
      <c r="U292">
        <v>3.3962264150943298E-2</v>
      </c>
      <c r="V292">
        <v>0</v>
      </c>
      <c r="W292">
        <v>0</v>
      </c>
      <c r="X292">
        <v>0</v>
      </c>
      <c r="Y292">
        <v>4.0535444718985403E-2</v>
      </c>
      <c r="Z292">
        <v>4.9021412287690698E-2</v>
      </c>
      <c r="AA292">
        <v>0</v>
      </c>
      <c r="AB292">
        <v>2.4632999673485759E-2</v>
      </c>
      <c r="AC292">
        <v>3.7999998312443488E-5</v>
      </c>
      <c r="AD292">
        <v>4.3359999544918537E-3</v>
      </c>
      <c r="AE292">
        <v>1.6550000291317699E-3</v>
      </c>
      <c r="AF292">
        <f>0.16*X292 + 0.28*Y292 + 0.28*Z292 + 0.28*AA292</f>
        <v>2.5075919961869308E-2</v>
      </c>
      <c r="AG292">
        <f t="shared" si="12"/>
        <v>5.6293999426998203E-3</v>
      </c>
      <c r="AH292">
        <f>IF(T292="IT_Admin", 0.25, IF(AND(T292="HR", AA292&gt;0.6), 0.25, IF(AND(T292="General", Z292&gt;0.7), 0.2, 0.1)))</f>
        <v>0.1</v>
      </c>
      <c r="AI292">
        <f>IF(V292&gt;0.7, 0.1,
 IF(F292&gt;0.5, 0.08,
 IF(E292&gt;0.5, 0.05,
 0)))</f>
        <v>0</v>
      </c>
      <c r="AJ292">
        <f t="shared" si="13"/>
        <v>1.1463355948450667E-2</v>
      </c>
      <c r="AK292">
        <f t="shared" si="14"/>
        <v>1.2609691543295734E-2</v>
      </c>
      <c r="AL292" t="str">
        <f>IF(MAX(X292, Y292, Z292, AA292)&gt;0.9,
 "Critical",
 IF(AK292&lt;=0.2,"Very Low",
 IF(AK292&lt;=0.4,"Low",
 IF(AK292&lt;=0.6,"Medium",
 IF(AK292&lt;=0.8,"High","Critical")))))</f>
        <v>Very Low</v>
      </c>
      <c r="AM292" t="str">
        <f>IF(MAX(X292:AA292)&gt;0.9,"CRITICAL ALERT",
 IF(AK292&gt;0.8,"CRITICAL ALERT",
 IF(AK292&gt;0.6,"ALERT",
 IF(AK292&gt;=0.4,"REVIEW","NO ACTION"))))</f>
        <v>NO ACTION</v>
      </c>
      <c r="AN292" t="str">
        <f>IF(AM292="NO ACTION","",
 IF(_xlfn.TEXTJOIN(", ", TRUE,
  IF(X292&gt;0.7,"Login anomaly",""),
  IF(Y292&gt;0.7,"File anomaly",""),
  IF(Z292&gt;0.7,"Network anomaly",""),
  IF(AA292&gt;0.7,"USB anomaly","")
 )="",
 "General anomaly detected",
 _xlfn.TEXTJOIN(", ", TRUE,
  IF(X292&gt;0.7,"Login anomaly",""),
  IF(Y292&gt;0.7,"File anomaly",""),
  IF(Z292&gt;0.7,"Network anomaly",""),
  IF(AA292&gt;0.7,"USB anomaly","")
 )))</f>
        <v/>
      </c>
    </row>
    <row r="293" spans="1:40" x14ac:dyDescent="0.3">
      <c r="A293" t="s">
        <v>316</v>
      </c>
      <c r="B293">
        <v>0.26427221172022602</v>
      </c>
      <c r="C293">
        <v>0.51329681118125403</v>
      </c>
      <c r="D293">
        <v>0.38071525000442802</v>
      </c>
      <c r="E293">
        <v>0</v>
      </c>
      <c r="F293">
        <v>0.27880512091038401</v>
      </c>
      <c r="G293">
        <v>0.411419988083428</v>
      </c>
      <c r="H293">
        <v>6</v>
      </c>
      <c r="I293">
        <v>14</v>
      </c>
      <c r="J293">
        <v>9.1264729736176706E-2</v>
      </c>
      <c r="K293">
        <v>2.2022838499184301E-2</v>
      </c>
      <c r="L293">
        <v>6.1477375866239303E-2</v>
      </c>
      <c r="M293">
        <v>6.9264069264069203E-3</v>
      </c>
      <c r="N293">
        <v>4.5743898090092001E-2</v>
      </c>
      <c r="O293">
        <v>924</v>
      </c>
      <c r="P293">
        <v>7.9931257014590307E-2</v>
      </c>
      <c r="Q293">
        <v>8.0086959570812397E-2</v>
      </c>
      <c r="R293">
        <v>0</v>
      </c>
      <c r="S293">
        <v>0</v>
      </c>
      <c r="T293" t="s">
        <v>49</v>
      </c>
      <c r="U293">
        <v>1.8339622641509401E-2</v>
      </c>
      <c r="V293">
        <v>0</v>
      </c>
      <c r="W293">
        <v>0</v>
      </c>
      <c r="X293">
        <v>0.225736623365482</v>
      </c>
      <c r="Y293">
        <v>6.2714803307382605E-2</v>
      </c>
      <c r="Z293">
        <v>6.6256313444791007E-2</v>
      </c>
      <c r="AA293">
        <v>0</v>
      </c>
      <c r="AB293">
        <v>4.0240999311208718E-2</v>
      </c>
      <c r="AC293">
        <v>5.1599997095763683E-4</v>
      </c>
      <c r="AD293">
        <v>2.6640000287443399E-3</v>
      </c>
      <c r="AE293">
        <v>6.61499984562397E-3</v>
      </c>
      <c r="AF293">
        <f>0.16*X293 + 0.28*Y293 + 0.28*Z293 + 0.28*AA293</f>
        <v>7.2229772429085737E-2</v>
      </c>
      <c r="AG293">
        <f t="shared" si="12"/>
        <v>9.1811598464846596E-3</v>
      </c>
      <c r="AH293">
        <f>IF(T293="IT_Admin", 0.25, IF(AND(T293="HR", AA293&gt;0.6), 0.25, IF(AND(T293="General", Z293&gt;0.7), 0.2, 0.1)))</f>
        <v>0.1</v>
      </c>
      <c r="AI293">
        <f>IF(V293&gt;0.7, 0.1,
 IF(F293&gt;0.5, 0.08,
 IF(E293&gt;0.5, 0.05,
 0)))</f>
        <v>0</v>
      </c>
      <c r="AJ293">
        <f t="shared" si="13"/>
        <v>2.8095743621264983E-2</v>
      </c>
      <c r="AK293">
        <f t="shared" si="14"/>
        <v>3.0905317983391484E-2</v>
      </c>
      <c r="AL293" t="str">
        <f>IF(MAX(X293, Y293, Z293, AA293)&gt;0.9,
 "Critical",
 IF(AK293&lt;=0.2,"Very Low",
 IF(AK293&lt;=0.4,"Low",
 IF(AK293&lt;=0.6,"Medium",
 IF(AK293&lt;=0.8,"High","Critical")))))</f>
        <v>Very Low</v>
      </c>
      <c r="AM293" t="str">
        <f>IF(MAX(X293:AA293)&gt;0.9,"CRITICAL ALERT",
 IF(AK293&gt;0.8,"CRITICAL ALERT",
 IF(AK293&gt;0.6,"ALERT",
 IF(AK293&gt;=0.4,"REVIEW","NO ACTION"))))</f>
        <v>NO ACTION</v>
      </c>
      <c r="AN293" t="str">
        <f>IF(AM293="NO ACTION","",
 IF(_xlfn.TEXTJOIN(", ", TRUE,
  IF(X293&gt;0.7,"Login anomaly",""),
  IF(Y293&gt;0.7,"File anomaly",""),
  IF(Z293&gt;0.7,"Network anomaly",""),
  IF(AA293&gt;0.7,"USB anomaly","")
 )="",
 "General anomaly detected",
 _xlfn.TEXTJOIN(", ", TRUE,
  IF(X293&gt;0.7,"Login anomaly",""),
  IF(Y293&gt;0.7,"File anomaly",""),
  IF(Z293&gt;0.7,"Network anomaly",""),
  IF(AA293&gt;0.7,"USB anomaly","")
 )))</f>
        <v/>
      </c>
    </row>
    <row r="294" spans="1:40" x14ac:dyDescent="0.3">
      <c r="A294" t="s">
        <v>317</v>
      </c>
      <c r="B294">
        <v>0.133081285444234</v>
      </c>
      <c r="C294">
        <v>0.30517501604723302</v>
      </c>
      <c r="D294">
        <v>0.15662582622083901</v>
      </c>
      <c r="E294">
        <v>0</v>
      </c>
      <c r="F294">
        <v>0</v>
      </c>
      <c r="G294">
        <v>0.95827594039387798</v>
      </c>
      <c r="H294">
        <v>7</v>
      </c>
      <c r="I294">
        <v>16</v>
      </c>
      <c r="J294">
        <v>0.10867802108678</v>
      </c>
      <c r="K294">
        <v>1.5497553017944501E-2</v>
      </c>
      <c r="L294">
        <v>3.63452658347121E-2</v>
      </c>
      <c r="M294">
        <v>5.7720057720057698E-4</v>
      </c>
      <c r="N294">
        <v>3.2025403904510298E-3</v>
      </c>
      <c r="O294">
        <v>1193</v>
      </c>
      <c r="P294">
        <v>8.6840628507295098E-2</v>
      </c>
      <c r="Q294">
        <v>8.69946351555103E-2</v>
      </c>
      <c r="R294">
        <v>0</v>
      </c>
      <c r="S294">
        <v>0</v>
      </c>
      <c r="T294" t="s">
        <v>24</v>
      </c>
      <c r="U294">
        <v>0.10754716981132</v>
      </c>
      <c r="V294">
        <v>0</v>
      </c>
      <c r="W294">
        <v>0</v>
      </c>
      <c r="X294">
        <v>4.69877478662519E-2</v>
      </c>
      <c r="Y294">
        <v>4.08689992518474E-2</v>
      </c>
      <c r="Z294">
        <v>5.3385393260557502E-2</v>
      </c>
      <c r="AA294">
        <v>0</v>
      </c>
      <c r="AB294">
        <v>1.59159991890192E-2</v>
      </c>
      <c r="AC294">
        <v>1.757999998517334E-3</v>
      </c>
      <c r="AD294">
        <v>3.0239999759942289E-3</v>
      </c>
      <c r="AE294">
        <v>1.7679999582469459E-3</v>
      </c>
      <c r="AF294">
        <f>0.16*X294 + 0.28*Y294 + 0.28*Z294 + 0.28*AA294</f>
        <v>3.3909269562073678E-2</v>
      </c>
      <c r="AG294">
        <f t="shared" si="12"/>
        <v>4.3805598514154546E-3</v>
      </c>
      <c r="AH294">
        <f>IF(T294="IT_Admin", 0.25, IF(AND(T294="HR", AA294&gt;0.6), 0.25, IF(AND(T294="General", Z294&gt;0.7), 0.2, 0.1)))</f>
        <v>0.25</v>
      </c>
      <c r="AI294">
        <f>IF(V294&gt;0.7, 0.1,
 IF(F294&gt;0.5, 0.08,
 IF(E294&gt;0.5, 0.05,
 0)))</f>
        <v>0</v>
      </c>
      <c r="AJ294">
        <f t="shared" si="13"/>
        <v>1.323917276461292E-2</v>
      </c>
      <c r="AK294">
        <f t="shared" si="14"/>
        <v>1.6548965955766149E-2</v>
      </c>
      <c r="AL294" t="str">
        <f>IF(MAX(X294, Y294, Z294, AA294)&gt;0.9,
 "Critical",
 IF(AK294&lt;=0.2,"Very Low",
 IF(AK294&lt;=0.4,"Low",
 IF(AK294&lt;=0.6,"Medium",
 IF(AK294&lt;=0.8,"High","Critical")))))</f>
        <v>Very Low</v>
      </c>
      <c r="AM294" t="str">
        <f>IF(MAX(X294:AA294)&gt;0.9,"CRITICAL ALERT",
 IF(AK294&gt;0.8,"CRITICAL ALERT",
 IF(AK294&gt;0.6,"ALERT",
 IF(AK294&gt;=0.4,"REVIEW","NO ACTION"))))</f>
        <v>NO ACTION</v>
      </c>
      <c r="AN294" t="str">
        <f>IF(AM294="NO ACTION","",
 IF(_xlfn.TEXTJOIN(", ", TRUE,
  IF(X294&gt;0.7,"Login anomaly",""),
  IF(Y294&gt;0.7,"File anomaly",""),
  IF(Z294&gt;0.7,"Network anomaly",""),
  IF(AA294&gt;0.7,"USB anomaly","")
 )="",
 "General anomaly detected",
 _xlfn.TEXTJOIN(", ", TRUE,
  IF(X294&gt;0.7,"Login anomaly",""),
  IF(Y294&gt;0.7,"File anomaly",""),
  IF(Z294&gt;0.7,"Network anomaly",""),
  IF(AA294&gt;0.7,"USB anomaly","")
 )))</f>
        <v/>
      </c>
    </row>
    <row r="295" spans="1:40" x14ac:dyDescent="0.3">
      <c r="A295" t="s">
        <v>318</v>
      </c>
      <c r="B295">
        <v>0.13610586011342099</v>
      </c>
      <c r="C295">
        <v>0.32080220345789001</v>
      </c>
      <c r="D295">
        <v>0.34207807114169198</v>
      </c>
      <c r="E295">
        <v>0.37545787545787501</v>
      </c>
      <c r="F295">
        <v>3.8461538461538401E-2</v>
      </c>
      <c r="G295">
        <v>0.93388226724093104</v>
      </c>
      <c r="H295">
        <v>0</v>
      </c>
      <c r="I295">
        <v>23</v>
      </c>
      <c r="J295">
        <v>0.118601211774247</v>
      </c>
      <c r="K295">
        <v>2.8548123980424101E-2</v>
      </c>
      <c r="L295">
        <v>6.1361289410777203E-2</v>
      </c>
      <c r="M295">
        <v>5.1948051948051896E-3</v>
      </c>
      <c r="N295">
        <v>2.64161370544349E-2</v>
      </c>
      <c r="O295">
        <v>1307</v>
      </c>
      <c r="P295">
        <v>0.10199214365881</v>
      </c>
      <c r="Q295">
        <v>0.10214243136154801</v>
      </c>
      <c r="R295">
        <v>2.6548672566371601E-2</v>
      </c>
      <c r="S295">
        <v>1</v>
      </c>
      <c r="T295" t="s">
        <v>24</v>
      </c>
      <c r="U295">
        <v>3.1281032770605698E-2</v>
      </c>
      <c r="V295">
        <v>0</v>
      </c>
      <c r="W295">
        <v>7.70167974897841E-2</v>
      </c>
      <c r="X295">
        <v>0.230645399364485</v>
      </c>
      <c r="Y295">
        <v>6.2325728176568597E-2</v>
      </c>
      <c r="Z295">
        <v>7.1761741017060093E-2</v>
      </c>
      <c r="AA295">
        <v>2.6548672566371601E-2</v>
      </c>
      <c r="AB295">
        <v>0.19309599697589869</v>
      </c>
      <c r="AC295">
        <v>3.6199999158270662E-4</v>
      </c>
      <c r="AD295">
        <v>9.1599998995661736E-4</v>
      </c>
      <c r="AE295">
        <v>6.6765002906322479E-2</v>
      </c>
      <c r="AF295">
        <f>0.16*X295 + 0.28*Y295 + 0.28*Z295 + 0.28*AA295</f>
        <v>8.1881383591117685E-2</v>
      </c>
      <c r="AG295">
        <f t="shared" si="12"/>
        <v>4.9947400324745095E-2</v>
      </c>
      <c r="AH295">
        <f>IF(T295="IT_Admin", 0.25, IF(AND(T295="HR", AA295&gt;0.6), 0.25, IF(AND(T295="General", Z295&gt;0.7), 0.2, 0.1)))</f>
        <v>0.25</v>
      </c>
      <c r="AI295">
        <f>IF(V295&gt;0.7, 0.1,
 IF(F295&gt;0.5, 0.08,
 IF(E295&gt;0.5, 0.05,
 0)))</f>
        <v>0</v>
      </c>
      <c r="AJ295">
        <f t="shared" si="13"/>
        <v>5.9527595304656865E-2</v>
      </c>
      <c r="AK295">
        <f t="shared" si="14"/>
        <v>7.4409494130821083E-2</v>
      </c>
      <c r="AL295" t="str">
        <f>IF(MAX(X295, Y295, Z295, AA295)&gt;0.9,
 "Critical",
 IF(AK295&lt;=0.2,"Very Low",
 IF(AK295&lt;=0.4,"Low",
 IF(AK295&lt;=0.6,"Medium",
 IF(AK295&lt;=0.8,"High","Critical")))))</f>
        <v>Very Low</v>
      </c>
      <c r="AM295" t="str">
        <f>IF(MAX(X295:AA295)&gt;0.9,"CRITICAL ALERT",
 IF(AK295&gt;0.8,"CRITICAL ALERT",
 IF(AK295&gt;0.6,"ALERT",
 IF(AK295&gt;=0.4,"REVIEW","NO ACTION"))))</f>
        <v>NO ACTION</v>
      </c>
      <c r="AN295" t="str">
        <f>IF(AM295="NO ACTION","",
 IF(_xlfn.TEXTJOIN(", ", TRUE,
  IF(X295&gt;0.7,"Login anomaly",""),
  IF(Y295&gt;0.7,"File anomaly",""),
  IF(Z295&gt;0.7,"Network anomaly",""),
  IF(AA295&gt;0.7,"USB anomaly","")
 )="",
 "General anomaly detected",
 _xlfn.TEXTJOIN(", ", TRUE,
  IF(X295&gt;0.7,"Login anomaly",""),
  IF(Y295&gt;0.7,"File anomaly",""),
  IF(Z295&gt;0.7,"Network anomaly",""),
  IF(AA295&gt;0.7,"USB anomaly","")
 )))</f>
        <v/>
      </c>
    </row>
    <row r="296" spans="1:40" x14ac:dyDescent="0.3">
      <c r="A296" t="s">
        <v>319</v>
      </c>
      <c r="B296">
        <v>0.94102079395085003</v>
      </c>
      <c r="C296">
        <v>0.955772199213897</v>
      </c>
      <c r="D296">
        <v>0.98026932367581099</v>
      </c>
      <c r="E296">
        <v>1.8273387707804001E-2</v>
      </c>
      <c r="F296">
        <v>0.39510629763337302</v>
      </c>
      <c r="G296">
        <v>9.3389334190469298E-3</v>
      </c>
      <c r="H296">
        <v>0</v>
      </c>
      <c r="I296">
        <v>23</v>
      </c>
      <c r="J296">
        <v>6.1733695911454597E-2</v>
      </c>
      <c r="K296">
        <v>8.1566068515497494E-3</v>
      </c>
      <c r="L296">
        <v>3.3619481342185398E-2</v>
      </c>
      <c r="M296">
        <v>8.6580086580086504E-4</v>
      </c>
      <c r="N296">
        <v>8.44272483995347E-3</v>
      </c>
      <c r="O296">
        <v>718</v>
      </c>
      <c r="P296">
        <v>4.93125701459034E-2</v>
      </c>
      <c r="Q296">
        <v>4.9475788071110402E-2</v>
      </c>
      <c r="R296">
        <v>0</v>
      </c>
      <c r="S296">
        <v>0</v>
      </c>
      <c r="T296" t="s">
        <v>49</v>
      </c>
      <c r="U296">
        <v>4.2452830188679201E-2</v>
      </c>
      <c r="V296">
        <v>0</v>
      </c>
      <c r="W296">
        <v>0</v>
      </c>
      <c r="X296">
        <v>0.45760533246843399</v>
      </c>
      <c r="Y296">
        <v>3.16892973053697E-2</v>
      </c>
      <c r="Z296">
        <v>3.2964632023523399E-2</v>
      </c>
      <c r="AA296">
        <v>0</v>
      </c>
      <c r="AB296">
        <v>0.95624500513076782</v>
      </c>
      <c r="AC296">
        <v>1.829999964684248E-4</v>
      </c>
      <c r="AD296">
        <v>6.6470000892877579E-3</v>
      </c>
      <c r="AE296">
        <v>1.817400008440018E-2</v>
      </c>
      <c r="AF296">
        <f>0.16*X296 + 0.28*Y296 + 0.28*Z296 + 0.28*AA296</f>
        <v>9.1319953407039522E-2</v>
      </c>
      <c r="AG296">
        <f t="shared" si="12"/>
        <v>0.16000032086856666</v>
      </c>
      <c r="AH296">
        <f>IF(T296="IT_Admin", 0.25, IF(AND(T296="HR", AA296&gt;0.6), 0.25, IF(AND(T296="General", Z296&gt;0.7), 0.2, 0.1)))</f>
        <v>0.1</v>
      </c>
      <c r="AI296">
        <f>IF(V296&gt;0.7, 0.1,
 IF(F296&gt;0.5, 0.08,
 IF(E296&gt;0.5, 0.05,
 0)))</f>
        <v>0</v>
      </c>
      <c r="AJ296">
        <f t="shared" si="13"/>
        <v>0.13939621063010851</v>
      </c>
      <c r="AK296">
        <f t="shared" si="14"/>
        <v>0.15333583169311937</v>
      </c>
      <c r="AL296" t="str">
        <f>IF(MAX(X296, Y296, Z296, AA296)&gt;0.9,
 "Critical",
 IF(AK296&lt;=0.2,"Very Low",
 IF(AK296&lt;=0.4,"Low",
 IF(AK296&lt;=0.6,"Medium",
 IF(AK296&lt;=0.8,"High","Critical")))))</f>
        <v>Very Low</v>
      </c>
      <c r="AM296" t="str">
        <f>IF(MAX(X296:AA296)&gt;0.9,"CRITICAL ALERT",
 IF(AK296&gt;0.8,"CRITICAL ALERT",
 IF(AK296&gt;0.6,"ALERT",
 IF(AK296&gt;=0.4,"REVIEW","NO ACTION"))))</f>
        <v>NO ACTION</v>
      </c>
      <c r="AN296" t="str">
        <f>IF(AM296="NO ACTION","",
 IF(_xlfn.TEXTJOIN(", ", TRUE,
  IF(X296&gt;0.7,"Login anomaly",""),
  IF(Y296&gt;0.7,"File anomaly",""),
  IF(Z296&gt;0.7,"Network anomaly",""),
  IF(AA296&gt;0.7,"USB anomaly","")
 )="",
 "General anomaly detected",
 _xlfn.TEXTJOIN(", ", TRUE,
  IF(X296&gt;0.7,"Login anomaly",""),
  IF(Y296&gt;0.7,"File anomaly",""),
  IF(Z296&gt;0.7,"Network anomaly",""),
  IF(AA296&gt;0.7,"USB anomaly","")
 )))</f>
        <v/>
      </c>
    </row>
    <row r="297" spans="1:40" x14ac:dyDescent="0.3">
      <c r="A297" t="s">
        <v>320</v>
      </c>
      <c r="B297">
        <v>0.2351606805293</v>
      </c>
      <c r="C297">
        <v>0.55134594735915998</v>
      </c>
      <c r="D297">
        <v>0.339192201904571</v>
      </c>
      <c r="E297">
        <v>0</v>
      </c>
      <c r="F297">
        <v>0</v>
      </c>
      <c r="G297">
        <v>0.48038254457743901</v>
      </c>
      <c r="H297">
        <v>7</v>
      </c>
      <c r="I297">
        <v>13</v>
      </c>
      <c r="J297">
        <v>8.3440675540289097E-2</v>
      </c>
      <c r="K297">
        <v>1.71288743882544E-2</v>
      </c>
      <c r="L297">
        <v>5.2286535435203903E-2</v>
      </c>
      <c r="M297">
        <v>2.3088023088023001E-3</v>
      </c>
      <c r="N297">
        <v>1.6673659547091699E-2</v>
      </c>
      <c r="O297">
        <v>941</v>
      </c>
      <c r="P297">
        <v>6.9830246913580196E-2</v>
      </c>
      <c r="Q297">
        <v>6.9988428766787E-2</v>
      </c>
      <c r="R297">
        <v>0</v>
      </c>
      <c r="S297">
        <v>0</v>
      </c>
      <c r="T297" t="s">
        <v>49</v>
      </c>
      <c r="U297">
        <v>3.9622641509433898E-2</v>
      </c>
      <c r="V297">
        <v>0</v>
      </c>
      <c r="W297">
        <v>0</v>
      </c>
      <c r="X297">
        <v>0.10175766057137101</v>
      </c>
      <c r="Y297">
        <v>4.7833500689787298E-2</v>
      </c>
      <c r="Z297">
        <v>4.8567611966984801E-2</v>
      </c>
      <c r="AA297">
        <v>0</v>
      </c>
      <c r="AB297">
        <v>1.5615999698638919E-2</v>
      </c>
      <c r="AC297">
        <v>4.1999999666586518E-5</v>
      </c>
      <c r="AD297">
        <v>4.3839998543262482E-3</v>
      </c>
      <c r="AE297">
        <v>5.816000048071146E-3</v>
      </c>
      <c r="AF297">
        <f>0.16*X297 + 0.28*Y297 + 0.28*Z297 + 0.28*AA297</f>
        <v>4.3273537235315553E-2</v>
      </c>
      <c r="AG297">
        <f t="shared" si="12"/>
        <v>5.3663199243601419E-3</v>
      </c>
      <c r="AH297">
        <f>IF(T297="IT_Admin", 0.25, IF(AND(T297="HR", AA297&gt;0.6), 0.25, IF(AND(T297="General", Z297&gt;0.7), 0.2, 0.1)))</f>
        <v>0.1</v>
      </c>
      <c r="AI297">
        <f>IF(V297&gt;0.7, 0.1,
 IF(F297&gt;0.5, 0.08,
 IF(E297&gt;0.5, 0.05,
 0)))</f>
        <v>0</v>
      </c>
      <c r="AJ297">
        <f t="shared" si="13"/>
        <v>1.6738485117646765E-2</v>
      </c>
      <c r="AK297">
        <f t="shared" si="14"/>
        <v>1.8412333629411443E-2</v>
      </c>
      <c r="AL297" t="str">
        <f>IF(MAX(X297, Y297, Z297, AA297)&gt;0.9,
 "Critical",
 IF(AK297&lt;=0.2,"Very Low",
 IF(AK297&lt;=0.4,"Low",
 IF(AK297&lt;=0.6,"Medium",
 IF(AK297&lt;=0.8,"High","Critical")))))</f>
        <v>Very Low</v>
      </c>
      <c r="AM297" t="str">
        <f>IF(MAX(X297:AA297)&gt;0.9,"CRITICAL ALERT",
 IF(AK297&gt;0.8,"CRITICAL ALERT",
 IF(AK297&gt;0.6,"ALERT",
 IF(AK297&gt;=0.4,"REVIEW","NO ACTION"))))</f>
        <v>NO ACTION</v>
      </c>
      <c r="AN297" t="str">
        <f>IF(AM297="NO ACTION","",
 IF(_xlfn.TEXTJOIN(", ", TRUE,
  IF(X297&gt;0.7,"Login anomaly",""),
  IF(Y297&gt;0.7,"File anomaly",""),
  IF(Z297&gt;0.7,"Network anomaly",""),
  IF(AA297&gt;0.7,"USB anomaly","")
 )="",
 "General anomaly detected",
 _xlfn.TEXTJOIN(", ", TRUE,
  IF(X297&gt;0.7,"Login anomaly",""),
  IF(Y297&gt;0.7,"File anomaly",""),
  IF(Z297&gt;0.7,"Network anomaly",""),
  IF(AA297&gt;0.7,"USB anomaly","")
 )))</f>
        <v/>
      </c>
    </row>
    <row r="298" spans="1:40" x14ac:dyDescent="0.3">
      <c r="A298" t="s">
        <v>321</v>
      </c>
      <c r="B298">
        <v>0.12892249527410199</v>
      </c>
      <c r="C298">
        <v>0</v>
      </c>
      <c r="D298">
        <v>0</v>
      </c>
      <c r="E298">
        <v>0</v>
      </c>
      <c r="F298">
        <v>1</v>
      </c>
      <c r="G298">
        <v>0.99365873640185398</v>
      </c>
      <c r="H298">
        <v>6</v>
      </c>
      <c r="I298">
        <v>6</v>
      </c>
      <c r="J298">
        <v>8.2152569056819794E-2</v>
      </c>
      <c r="K298">
        <v>6.5252854812398002E-3</v>
      </c>
      <c r="L298">
        <v>2.0230089757266399E-2</v>
      </c>
      <c r="M298">
        <v>8.6580086580086504E-4</v>
      </c>
      <c r="N298">
        <v>6.3503761245509898E-3</v>
      </c>
      <c r="O298">
        <v>402</v>
      </c>
      <c r="P298">
        <v>6.3622334455667798E-2</v>
      </c>
      <c r="Q298">
        <v>6.3782040043479704E-2</v>
      </c>
      <c r="R298">
        <v>0</v>
      </c>
      <c r="S298">
        <v>0</v>
      </c>
      <c r="T298" t="s">
        <v>49</v>
      </c>
      <c r="U298">
        <v>3.3962264150943298E-2</v>
      </c>
      <c r="V298">
        <v>0</v>
      </c>
      <c r="W298">
        <v>0</v>
      </c>
      <c r="X298">
        <v>0.4</v>
      </c>
      <c r="Y298">
        <v>2.8450671527362401E-2</v>
      </c>
      <c r="Z298">
        <v>4.0713551123221003E-2</v>
      </c>
      <c r="AA298">
        <v>0</v>
      </c>
      <c r="AB298">
        <v>0.11929599940776819</v>
      </c>
      <c r="AC298">
        <v>3.5300001036375761E-4</v>
      </c>
      <c r="AD298">
        <v>5.7669999077916154E-3</v>
      </c>
      <c r="AE298">
        <v>1.4000000373926011E-4</v>
      </c>
      <c r="AF298">
        <f>0.16*X298 + 0.28*Y298 + 0.28*Z298 + 0.28*AA298</f>
        <v>8.3365982342163358E-2</v>
      </c>
      <c r="AG298">
        <f t="shared" si="12"/>
        <v>2.0840159883373406E-2</v>
      </c>
      <c r="AH298">
        <f>IF(T298="IT_Admin", 0.25, IF(AND(T298="HR", AA298&gt;0.6), 0.25, IF(AND(T298="General", Z298&gt;0.7), 0.2, 0.1)))</f>
        <v>0.1</v>
      </c>
      <c r="AI298">
        <f>IF(V298&gt;0.7, 0.1,
 IF(F298&gt;0.5, 0.08,
 IF(E298&gt;0.5, 0.05,
 0)))</f>
        <v>0.08</v>
      </c>
      <c r="AJ298">
        <f t="shared" si="13"/>
        <v>3.9597906621010391E-2</v>
      </c>
      <c r="AK298">
        <f t="shared" si="14"/>
        <v>4.6725529812792266E-2</v>
      </c>
      <c r="AL298" t="str">
        <f>IF(MAX(X298, Y298, Z298, AA298)&gt;0.9,
 "Critical",
 IF(AK298&lt;=0.2,"Very Low",
 IF(AK298&lt;=0.4,"Low",
 IF(AK298&lt;=0.6,"Medium",
 IF(AK298&lt;=0.8,"High","Critical")))))</f>
        <v>Very Low</v>
      </c>
      <c r="AM298" t="str">
        <f>IF(MAX(X298:AA298)&gt;0.9,"CRITICAL ALERT",
 IF(AK298&gt;0.8,"CRITICAL ALERT",
 IF(AK298&gt;0.6,"ALERT",
 IF(AK298&gt;=0.4,"REVIEW","NO ACTION"))))</f>
        <v>NO ACTION</v>
      </c>
      <c r="AN298" t="str">
        <f>IF(AM298="NO ACTION","",
 IF(_xlfn.TEXTJOIN(", ", TRUE,
  IF(X298&gt;0.7,"Login anomaly",""),
  IF(Y298&gt;0.7,"File anomaly",""),
  IF(Z298&gt;0.7,"Network anomaly",""),
  IF(AA298&gt;0.7,"USB anomaly","")
 )="",
 "General anomaly detected",
 _xlfn.TEXTJOIN(", ", TRUE,
  IF(X298&gt;0.7,"Login anomaly",""),
  IF(Y298&gt;0.7,"File anomaly",""),
  IF(Z298&gt;0.7,"Network anomaly",""),
  IF(AA298&gt;0.7,"USB anomaly","")
 )))</f>
        <v/>
      </c>
    </row>
    <row r="299" spans="1:40" x14ac:dyDescent="0.3">
      <c r="A299" t="s">
        <v>322</v>
      </c>
      <c r="B299">
        <v>0.12892249527410199</v>
      </c>
      <c r="C299">
        <v>0.28009428121759899</v>
      </c>
      <c r="D299">
        <v>7.50946055673926E-2</v>
      </c>
      <c r="E299">
        <v>0</v>
      </c>
      <c r="F299">
        <v>0</v>
      </c>
      <c r="G299">
        <v>0.99366328606065502</v>
      </c>
      <c r="H299">
        <v>7</v>
      </c>
      <c r="I299">
        <v>8</v>
      </c>
      <c r="J299">
        <v>0.114402938791088</v>
      </c>
      <c r="K299">
        <v>1.9575856443719401E-2</v>
      </c>
      <c r="L299">
        <v>4.3617184782520697E-2</v>
      </c>
      <c r="M299">
        <v>3.1746031746031698E-3</v>
      </c>
      <c r="N299">
        <v>1.6734373038992199E-2</v>
      </c>
      <c r="O299">
        <v>1240</v>
      </c>
      <c r="P299">
        <v>9.4065656565656505E-2</v>
      </c>
      <c r="Q299">
        <v>9.4217889827833995E-2</v>
      </c>
      <c r="R299">
        <v>0</v>
      </c>
      <c r="S299">
        <v>0</v>
      </c>
      <c r="T299" t="s">
        <v>24</v>
      </c>
      <c r="U299">
        <v>3.3962264150943298E-2</v>
      </c>
      <c r="V299">
        <v>0</v>
      </c>
      <c r="W299">
        <v>0</v>
      </c>
      <c r="X299">
        <v>2.2528381670217701E-2</v>
      </c>
      <c r="Y299">
        <v>4.9709492061175697E-2</v>
      </c>
      <c r="Z299">
        <v>6.3133143154990801E-2</v>
      </c>
      <c r="AA299">
        <v>0</v>
      </c>
      <c r="AB299">
        <v>1.8231000751256939E-2</v>
      </c>
      <c r="AC299">
        <v>3.0000001061125658E-6</v>
      </c>
      <c r="AD299">
        <v>2.0920000970363621E-3</v>
      </c>
      <c r="AE299">
        <v>1.3229999458417301E-3</v>
      </c>
      <c r="AF299">
        <f>0.16*X299 + 0.28*Y299 + 0.28*Z299 + 0.28*AA299</f>
        <v>3.5200478927761458E-2</v>
      </c>
      <c r="AG299">
        <f t="shared" si="12"/>
        <v>3.874000132236688E-3</v>
      </c>
      <c r="AH299">
        <f>IF(T299="IT_Admin", 0.25, IF(AND(T299="HR", AA299&gt;0.6), 0.25, IF(AND(T299="General", Z299&gt;0.7), 0.2, 0.1)))</f>
        <v>0.25</v>
      </c>
      <c r="AI299">
        <f>IF(V299&gt;0.7, 0.1,
 IF(F299&gt;0.5, 0.08,
 IF(E299&gt;0.5, 0.05,
 0)))</f>
        <v>0</v>
      </c>
      <c r="AJ299">
        <f t="shared" si="13"/>
        <v>1.3271943770894119E-2</v>
      </c>
      <c r="AK299">
        <f t="shared" si="14"/>
        <v>1.6589929713617647E-2</v>
      </c>
      <c r="AL299" t="str">
        <f>IF(MAX(X299, Y299, Z299, AA299)&gt;0.9,
 "Critical",
 IF(AK299&lt;=0.2,"Very Low",
 IF(AK299&lt;=0.4,"Low",
 IF(AK299&lt;=0.6,"Medium",
 IF(AK299&lt;=0.8,"High","Critical")))))</f>
        <v>Very Low</v>
      </c>
      <c r="AM299" t="str">
        <f>IF(MAX(X299:AA299)&gt;0.9,"CRITICAL ALERT",
 IF(AK299&gt;0.8,"CRITICAL ALERT",
 IF(AK299&gt;0.6,"ALERT",
 IF(AK299&gt;=0.4,"REVIEW","NO ACTION"))))</f>
        <v>NO ACTION</v>
      </c>
      <c r="AN299" t="str">
        <f>IF(AM299="NO ACTION","",
 IF(_xlfn.TEXTJOIN(", ", TRUE,
  IF(X299&gt;0.7,"Login anomaly",""),
  IF(Y299&gt;0.7,"File anomaly",""),
  IF(Z299&gt;0.7,"Network anomaly",""),
  IF(AA299&gt;0.7,"USB anomaly","")
 )="",
 "General anomaly detected",
 _xlfn.TEXTJOIN(", ", TRUE,
  IF(X299&gt;0.7,"Login anomaly",""),
  IF(Y299&gt;0.7,"File anomaly",""),
  IF(Z299&gt;0.7,"Network anomaly",""),
  IF(AA299&gt;0.7,"USB anomaly","")
 )))</f>
        <v/>
      </c>
    </row>
    <row r="300" spans="1:40" x14ac:dyDescent="0.3">
      <c r="A300" t="s">
        <v>323</v>
      </c>
      <c r="B300">
        <v>0.235538752362948</v>
      </c>
      <c r="C300">
        <v>0.74525163327070199</v>
      </c>
      <c r="D300">
        <v>0.347019652229832</v>
      </c>
      <c r="E300">
        <v>0</v>
      </c>
      <c r="F300">
        <v>0</v>
      </c>
      <c r="G300">
        <v>0.47931751282033402</v>
      </c>
      <c r="H300">
        <v>8</v>
      </c>
      <c r="I300">
        <v>14</v>
      </c>
      <c r="J300">
        <v>0.102905395734936</v>
      </c>
      <c r="K300">
        <v>8.1566068515497497E-2</v>
      </c>
      <c r="L300">
        <v>0.201996791228024</v>
      </c>
      <c r="M300">
        <v>6.63780663780663E-3</v>
      </c>
      <c r="N300">
        <v>3.8890423996806901E-2</v>
      </c>
      <c r="O300">
        <v>443</v>
      </c>
      <c r="P300">
        <v>0.11395202020202</v>
      </c>
      <c r="Q300">
        <v>0.114099372348259</v>
      </c>
      <c r="R300">
        <v>0</v>
      </c>
      <c r="S300">
        <v>0</v>
      </c>
      <c r="T300" t="s">
        <v>24</v>
      </c>
      <c r="U300">
        <v>7.0754716981132004E-2</v>
      </c>
      <c r="V300">
        <v>0</v>
      </c>
      <c r="W300">
        <v>0</v>
      </c>
      <c r="X300">
        <v>0.104105895668949</v>
      </c>
      <c r="Y300">
        <v>0.13324660196004101</v>
      </c>
      <c r="Z300">
        <v>8.3927381719934899E-2</v>
      </c>
      <c r="AA300">
        <v>0</v>
      </c>
      <c r="AB300">
        <v>3.4090001136064529E-2</v>
      </c>
      <c r="AC300">
        <v>1.1350999586284161E-2</v>
      </c>
      <c r="AD300">
        <v>5.4899998940527439E-4</v>
      </c>
      <c r="AE300">
        <v>4.0839998982846737E-3</v>
      </c>
      <c r="AF300">
        <f>0.16*X300 + 0.28*Y300 + 0.28*Z300 + 0.28*AA300</f>
        <v>7.7465658737425114E-2</v>
      </c>
      <c r="AG300">
        <f t="shared" si="12"/>
        <v>9.9299200344830762E-3</v>
      </c>
      <c r="AH300">
        <f>IF(T300="IT_Admin", 0.25, IF(AND(T300="HR", AA300&gt;0.6), 0.25, IF(AND(T300="General", Z300&gt;0.7), 0.2, 0.1)))</f>
        <v>0.25</v>
      </c>
      <c r="AI300">
        <f>IF(V300&gt;0.7, 0.1,
 IF(F300&gt;0.5, 0.08,
 IF(E300&gt;0.5, 0.05,
 0)))</f>
        <v>0</v>
      </c>
      <c r="AJ300">
        <f t="shared" si="13"/>
        <v>3.0190641645365689E-2</v>
      </c>
      <c r="AK300">
        <f t="shared" si="14"/>
        <v>3.7738302056707113E-2</v>
      </c>
      <c r="AL300" t="str">
        <f>IF(MAX(X300, Y300, Z300, AA300)&gt;0.9,
 "Critical",
 IF(AK300&lt;=0.2,"Very Low",
 IF(AK300&lt;=0.4,"Low",
 IF(AK300&lt;=0.6,"Medium",
 IF(AK300&lt;=0.8,"High","Critical")))))</f>
        <v>Very Low</v>
      </c>
      <c r="AM300" t="str">
        <f>IF(MAX(X300:AA300)&gt;0.9,"CRITICAL ALERT",
 IF(AK300&gt;0.8,"CRITICAL ALERT",
 IF(AK300&gt;0.6,"ALERT",
 IF(AK300&gt;=0.4,"REVIEW","NO ACTION"))))</f>
        <v>NO ACTION</v>
      </c>
      <c r="AN300" t="str">
        <f>IF(AM300="NO ACTION","",
 IF(_xlfn.TEXTJOIN(", ", TRUE,
  IF(X300&gt;0.7,"Login anomaly",""),
  IF(Y300&gt;0.7,"File anomaly",""),
  IF(Z300&gt;0.7,"Network anomaly",""),
  IF(AA300&gt;0.7,"USB anomaly","")
 )="",
 "General anomaly detected",
 _xlfn.TEXTJOIN(", ", TRUE,
  IF(X300&gt;0.7,"Login anomaly",""),
  IF(Y300&gt;0.7,"File anomaly",""),
  IF(Z300&gt;0.7,"Network anomaly",""),
  IF(AA300&gt;0.7,"USB anomaly","")
 )))</f>
        <v/>
      </c>
    </row>
    <row r="301" spans="1:40" x14ac:dyDescent="0.3">
      <c r="A301" t="s">
        <v>324</v>
      </c>
      <c r="B301">
        <v>0.12892249527410199</v>
      </c>
      <c r="C301">
        <v>0.18476582604220201</v>
      </c>
      <c r="D301">
        <v>0</v>
      </c>
      <c r="E301">
        <v>0</v>
      </c>
      <c r="F301">
        <v>0</v>
      </c>
      <c r="G301">
        <v>0.99367872813788005</v>
      </c>
      <c r="H301">
        <v>7</v>
      </c>
      <c r="I301">
        <v>7</v>
      </c>
      <c r="J301">
        <v>8.3440675540289097E-2</v>
      </c>
      <c r="K301">
        <v>1.38662316476345E-2</v>
      </c>
      <c r="L301">
        <v>4.2327195352307903E-2</v>
      </c>
      <c r="M301">
        <v>5.7720057720057698E-4</v>
      </c>
      <c r="N301">
        <v>4.1684148867729203E-3</v>
      </c>
      <c r="O301">
        <v>959</v>
      </c>
      <c r="P301">
        <v>6.7585578002244601E-2</v>
      </c>
      <c r="Q301">
        <v>6.7744310810336897E-2</v>
      </c>
      <c r="R301">
        <v>0</v>
      </c>
      <c r="S301">
        <v>0</v>
      </c>
      <c r="T301" t="s">
        <v>49</v>
      </c>
      <c r="U301">
        <v>9.6226415094339601E-2</v>
      </c>
      <c r="V301">
        <v>0</v>
      </c>
      <c r="W301">
        <v>0</v>
      </c>
      <c r="X301">
        <v>0</v>
      </c>
      <c r="Y301">
        <v>3.9102257250243598E-2</v>
      </c>
      <c r="Z301">
        <v>4.2218712756055897E-2</v>
      </c>
      <c r="AA301">
        <v>0</v>
      </c>
      <c r="AB301">
        <v>3.6667998880147927E-2</v>
      </c>
      <c r="AC301">
        <v>1.2829999905079601E-3</v>
      </c>
      <c r="AD301">
        <v>5.222999956458807E-3</v>
      </c>
      <c r="AE301">
        <v>1.329999999143183E-3</v>
      </c>
      <c r="AF301">
        <f>0.16*X301 + 0.28*Y301 + 0.28*Z301 + 0.28*AA301</f>
        <v>2.2769871601763858E-2</v>
      </c>
      <c r="AG301">
        <f t="shared" si="12"/>
        <v>8.0609598057344543E-3</v>
      </c>
      <c r="AH301">
        <f>IF(T301="IT_Admin", 0.25, IF(AND(T301="HR", AA301&gt;0.6), 0.25, IF(AND(T301="General", Z301&gt;0.7), 0.2, 0.1)))</f>
        <v>0.1</v>
      </c>
      <c r="AI301">
        <f>IF(V301&gt;0.7, 0.1,
 IF(F301&gt;0.5, 0.08,
 IF(E301&gt;0.5, 0.05,
 0)))</f>
        <v>0</v>
      </c>
      <c r="AJ301">
        <f t="shared" si="13"/>
        <v>1.2473633344543274E-2</v>
      </c>
      <c r="AK301">
        <f t="shared" si="14"/>
        <v>1.3720996678997602E-2</v>
      </c>
      <c r="AL301" t="str">
        <f>IF(MAX(X301, Y301, Z301, AA301)&gt;0.9,
 "Critical",
 IF(AK301&lt;=0.2,"Very Low",
 IF(AK301&lt;=0.4,"Low",
 IF(AK301&lt;=0.6,"Medium",
 IF(AK301&lt;=0.8,"High","Critical")))))</f>
        <v>Very Low</v>
      </c>
      <c r="AM301" t="str">
        <f>IF(MAX(X301:AA301)&gt;0.9,"CRITICAL ALERT",
 IF(AK301&gt;0.8,"CRITICAL ALERT",
 IF(AK301&gt;0.6,"ALERT",
 IF(AK301&gt;=0.4,"REVIEW","NO ACTION"))))</f>
        <v>NO ACTION</v>
      </c>
      <c r="AN301" t="str">
        <f>IF(AM301="NO ACTION","",
 IF(_xlfn.TEXTJOIN(", ", TRUE,
  IF(X301&gt;0.7,"Login anomaly",""),
  IF(Y301&gt;0.7,"File anomaly",""),
  IF(Z301&gt;0.7,"Network anomaly",""),
  IF(AA301&gt;0.7,"USB anomaly","")
 )="",
 "General anomaly detected",
 _xlfn.TEXTJOIN(", ", TRUE,
  IF(X301&gt;0.7,"Login anomaly",""),
  IF(Y301&gt;0.7,"File anomaly",""),
  IF(Z301&gt;0.7,"Network anomaly",""),
  IF(AA301&gt;0.7,"USB anomaly","")
 )))</f>
        <v/>
      </c>
    </row>
    <row r="302" spans="1:40" x14ac:dyDescent="0.3">
      <c r="A302" t="s">
        <v>325</v>
      </c>
      <c r="B302">
        <v>0.102457466918714</v>
      </c>
      <c r="C302">
        <v>0.910391615589762</v>
      </c>
      <c r="D302">
        <v>0.37861266369114799</v>
      </c>
      <c r="E302">
        <v>0</v>
      </c>
      <c r="F302">
        <v>0</v>
      </c>
      <c r="G302">
        <v>0.38898716015826101</v>
      </c>
      <c r="H302">
        <v>8</v>
      </c>
      <c r="I302">
        <v>16</v>
      </c>
      <c r="J302">
        <v>1.8367444301321499E-2</v>
      </c>
      <c r="K302">
        <v>8.1566068515497503E-4</v>
      </c>
      <c r="L302">
        <v>1.1197873400897101E-2</v>
      </c>
      <c r="M302">
        <v>1.1544011544011501E-3</v>
      </c>
      <c r="N302">
        <v>3.7494357494357401E-2</v>
      </c>
      <c r="O302">
        <v>263</v>
      </c>
      <c r="P302">
        <v>1.4414983164983099E-2</v>
      </c>
      <c r="Q302">
        <v>1.4586766716925499E-2</v>
      </c>
      <c r="R302">
        <v>0</v>
      </c>
      <c r="S302">
        <v>0</v>
      </c>
      <c r="T302" t="s">
        <v>49</v>
      </c>
      <c r="U302">
        <v>3.39622641509433E-3</v>
      </c>
      <c r="V302">
        <v>0</v>
      </c>
      <c r="W302">
        <v>0</v>
      </c>
      <c r="X302">
        <v>0.11358379910734399</v>
      </c>
      <c r="Y302">
        <v>2.0520732809020101E-2</v>
      </c>
      <c r="Z302">
        <v>2.3646732896732799E-2</v>
      </c>
      <c r="AA302">
        <v>0</v>
      </c>
      <c r="AB302">
        <v>7.3234997689723969E-2</v>
      </c>
      <c r="AC302">
        <v>1.038999995216727E-3</v>
      </c>
      <c r="AD302">
        <v>1.257400028407574E-2</v>
      </c>
      <c r="AE302">
        <v>7.8640002757310867E-3</v>
      </c>
      <c r="AF302">
        <f>0.16*X302 + 0.28*Y302 + 0.28*Z302 + 0.28*AA302</f>
        <v>3.0540298254785853E-2</v>
      </c>
      <c r="AG302">
        <f t="shared" si="12"/>
        <v>1.7731159785762431E-2</v>
      </c>
      <c r="AH302">
        <f>IF(T302="IT_Admin", 0.25, IF(AND(T302="HR", AA302&gt;0.6), 0.25, IF(AND(T302="General", Z302&gt;0.7), 0.2, 0.1)))</f>
        <v>0.1</v>
      </c>
      <c r="AI302">
        <f>IF(V302&gt;0.7, 0.1,
 IF(F302&gt;0.5, 0.08,
 IF(E302&gt;0.5, 0.05,
 0)))</f>
        <v>0</v>
      </c>
      <c r="AJ302">
        <f t="shared" si="13"/>
        <v>2.1573901326469455E-2</v>
      </c>
      <c r="AK302">
        <f t="shared" si="14"/>
        <v>2.3731291459116403E-2</v>
      </c>
      <c r="AL302" t="str">
        <f>IF(MAX(X302, Y302, Z302, AA302)&gt;0.9,
 "Critical",
 IF(AK302&lt;=0.2,"Very Low",
 IF(AK302&lt;=0.4,"Low",
 IF(AK302&lt;=0.6,"Medium",
 IF(AK302&lt;=0.8,"High","Critical")))))</f>
        <v>Very Low</v>
      </c>
      <c r="AM302" t="str">
        <f>IF(MAX(X302:AA302)&gt;0.9,"CRITICAL ALERT",
 IF(AK302&gt;0.8,"CRITICAL ALERT",
 IF(AK302&gt;0.6,"ALERT",
 IF(AK302&gt;=0.4,"REVIEW","NO ACTION"))))</f>
        <v>NO ACTION</v>
      </c>
      <c r="AN302" t="str">
        <f>IF(AM302="NO ACTION","",
 IF(_xlfn.TEXTJOIN(", ", TRUE,
  IF(X302&gt;0.7,"Login anomaly",""),
  IF(Y302&gt;0.7,"File anomaly",""),
  IF(Z302&gt;0.7,"Network anomaly",""),
  IF(AA302&gt;0.7,"USB anomaly","")
 )="",
 "General anomaly detected",
 _xlfn.TEXTJOIN(", ", TRUE,
  IF(X302&gt;0.7,"Login anomaly",""),
  IF(Y302&gt;0.7,"File anomaly",""),
  IF(Z302&gt;0.7,"Network anomaly",""),
  IF(AA302&gt;0.7,"USB anomaly","")
 )))</f>
        <v/>
      </c>
    </row>
    <row r="303" spans="1:40" x14ac:dyDescent="0.3">
      <c r="A303" t="s">
        <v>326</v>
      </c>
      <c r="B303">
        <v>0.12892249527410199</v>
      </c>
      <c r="C303">
        <v>0.18476582604220201</v>
      </c>
      <c r="D303">
        <v>0</v>
      </c>
      <c r="E303">
        <v>0</v>
      </c>
      <c r="F303">
        <v>0</v>
      </c>
      <c r="G303">
        <v>0.99368244815301698</v>
      </c>
      <c r="H303">
        <v>7</v>
      </c>
      <c r="I303">
        <v>7</v>
      </c>
      <c r="J303">
        <v>0.10323934926768701</v>
      </c>
      <c r="K303">
        <v>1.71288743882544E-2</v>
      </c>
      <c r="L303">
        <v>4.2282426534507901E-2</v>
      </c>
      <c r="M303">
        <v>2.3088023088023001E-3</v>
      </c>
      <c r="N303">
        <v>1.34834480615946E-2</v>
      </c>
      <c r="O303">
        <v>1143</v>
      </c>
      <c r="P303">
        <v>8.4385521885521897E-2</v>
      </c>
      <c r="Q303">
        <v>8.4540131140643002E-2</v>
      </c>
      <c r="R303">
        <v>0</v>
      </c>
      <c r="S303">
        <v>0</v>
      </c>
      <c r="T303" t="s">
        <v>24</v>
      </c>
      <c r="U303">
        <v>3.9622641509433898E-2</v>
      </c>
      <c r="V303">
        <v>0</v>
      </c>
      <c r="W303">
        <v>0</v>
      </c>
      <c r="X303">
        <v>0</v>
      </c>
      <c r="Y303">
        <v>4.58341175392699E-2</v>
      </c>
      <c r="Z303">
        <v>5.6024692355950999E-2</v>
      </c>
      <c r="AA303">
        <v>0</v>
      </c>
      <c r="AB303">
        <v>3.6727998405694962E-2</v>
      </c>
      <c r="AC303">
        <v>1.1000000085914509E-5</v>
      </c>
      <c r="AD303">
        <v>3.044999903067946E-3</v>
      </c>
      <c r="AE303">
        <v>1.226000022143126E-3</v>
      </c>
      <c r="AF303">
        <f>0.16*X303 + 0.28*Y303 + 0.28*Z303 + 0.28*AA303</f>
        <v>2.8520466770661855E-2</v>
      </c>
      <c r="AG303">
        <f t="shared" si="12"/>
        <v>7.0754397239943508E-3</v>
      </c>
      <c r="AH303">
        <f>IF(T303="IT_Admin", 0.25, IF(AND(T303="HR", AA303&gt;0.6), 0.25, IF(AND(T303="General", Z303&gt;0.7), 0.2, 0.1)))</f>
        <v>0.25</v>
      </c>
      <c r="AI303">
        <f>IF(V303&gt;0.7, 0.1,
 IF(F303&gt;0.5, 0.08,
 IF(E303&gt;0.5, 0.05,
 0)))</f>
        <v>0</v>
      </c>
      <c r="AJ303">
        <f t="shared" si="13"/>
        <v>1.3508947837994601E-2</v>
      </c>
      <c r="AK303">
        <f t="shared" si="14"/>
        <v>1.6886184797493251E-2</v>
      </c>
      <c r="AL303" t="str">
        <f>IF(MAX(X303, Y303, Z303, AA303)&gt;0.9,
 "Critical",
 IF(AK303&lt;=0.2,"Very Low",
 IF(AK303&lt;=0.4,"Low",
 IF(AK303&lt;=0.6,"Medium",
 IF(AK303&lt;=0.8,"High","Critical")))))</f>
        <v>Very Low</v>
      </c>
      <c r="AM303" t="str">
        <f>IF(MAX(X303:AA303)&gt;0.9,"CRITICAL ALERT",
 IF(AK303&gt;0.8,"CRITICAL ALERT",
 IF(AK303&gt;0.6,"ALERT",
 IF(AK303&gt;=0.4,"REVIEW","NO ACTION"))))</f>
        <v>NO ACTION</v>
      </c>
      <c r="AN303" t="str">
        <f>IF(AM303="NO ACTION","",
 IF(_xlfn.TEXTJOIN(", ", TRUE,
  IF(X303&gt;0.7,"Login anomaly",""),
  IF(Y303&gt;0.7,"File anomaly",""),
  IF(Z303&gt;0.7,"Network anomaly",""),
  IF(AA303&gt;0.7,"USB anomaly","")
 )="",
 "General anomaly detected",
 _xlfn.TEXTJOIN(", ", TRUE,
  IF(X303&gt;0.7,"Login anomaly",""),
  IF(Y303&gt;0.7,"File anomaly",""),
  IF(Z303&gt;0.7,"Network anomaly",""),
  IF(AA303&gt;0.7,"USB anomaly","")
 )))</f>
        <v/>
      </c>
    </row>
    <row r="304" spans="1:40" x14ac:dyDescent="0.3">
      <c r="A304" t="s">
        <v>327</v>
      </c>
      <c r="B304">
        <v>0.12892249527410199</v>
      </c>
      <c r="C304">
        <v>0.36953165208440503</v>
      </c>
      <c r="D304">
        <v>0</v>
      </c>
      <c r="E304">
        <v>0</v>
      </c>
      <c r="F304">
        <v>0</v>
      </c>
      <c r="G304">
        <v>0.99367712237594996</v>
      </c>
      <c r="H304">
        <v>8</v>
      </c>
      <c r="I304">
        <v>8</v>
      </c>
      <c r="J304">
        <v>0.101617289251467</v>
      </c>
      <c r="K304">
        <v>1.8760195758564399E-2</v>
      </c>
      <c r="L304">
        <v>4.7046803000490599E-2</v>
      </c>
      <c r="M304">
        <v>3.7518037518037501E-3</v>
      </c>
      <c r="N304">
        <v>2.2259530737282401E-2</v>
      </c>
      <c r="O304">
        <v>1027</v>
      </c>
      <c r="P304">
        <v>8.4595959595959599E-2</v>
      </c>
      <c r="Q304">
        <v>8.4750517199060196E-2</v>
      </c>
      <c r="R304">
        <v>0</v>
      </c>
      <c r="S304">
        <v>0</v>
      </c>
      <c r="T304" t="s">
        <v>24</v>
      </c>
      <c r="U304">
        <v>2.7897574123989199E-2</v>
      </c>
      <c r="V304">
        <v>0</v>
      </c>
      <c r="W304">
        <v>0</v>
      </c>
      <c r="X304">
        <v>0</v>
      </c>
      <c r="Y304">
        <v>5.0524718571723401E-2</v>
      </c>
      <c r="Z304">
        <v>5.9661388052488697E-2</v>
      </c>
      <c r="AA304">
        <v>0</v>
      </c>
      <c r="AB304">
        <v>2.4716999381780621E-2</v>
      </c>
      <c r="AC304">
        <v>2.800000038405415E-5</v>
      </c>
      <c r="AD304">
        <v>2.8389999642968182E-3</v>
      </c>
      <c r="AE304">
        <v>1.342999981716275E-3</v>
      </c>
      <c r="AF304">
        <f>0.16*X304 + 0.28*Y304 + 0.28*Z304 + 0.28*AA304</f>
        <v>3.0852109854779389E-2</v>
      </c>
      <c r="AG304">
        <f t="shared" si="12"/>
        <v>5.1335198860761001E-3</v>
      </c>
      <c r="AH304">
        <f>IF(T304="IT_Admin", 0.25, IF(AND(T304="HR", AA304&gt;0.6), 0.25, IF(AND(T304="General", Z304&gt;0.7), 0.2, 0.1)))</f>
        <v>0.25</v>
      </c>
      <c r="AI304">
        <f>IF(V304&gt;0.7, 0.1,
 IF(F304&gt;0.5, 0.08,
 IF(E304&gt;0.5, 0.05,
 0)))</f>
        <v>0</v>
      </c>
      <c r="AJ304">
        <f t="shared" si="13"/>
        <v>1.2849096876687085E-2</v>
      </c>
      <c r="AK304">
        <f t="shared" si="14"/>
        <v>1.6061371095858857E-2</v>
      </c>
      <c r="AL304" t="str">
        <f>IF(MAX(X304, Y304, Z304, AA304)&gt;0.9,
 "Critical",
 IF(AK304&lt;=0.2,"Very Low",
 IF(AK304&lt;=0.4,"Low",
 IF(AK304&lt;=0.6,"Medium",
 IF(AK304&lt;=0.8,"High","Critical")))))</f>
        <v>Very Low</v>
      </c>
      <c r="AM304" t="str">
        <f>IF(MAX(X304:AA304)&gt;0.9,"CRITICAL ALERT",
 IF(AK304&gt;0.8,"CRITICAL ALERT",
 IF(AK304&gt;0.6,"ALERT",
 IF(AK304&gt;=0.4,"REVIEW","NO ACTION"))))</f>
        <v>NO ACTION</v>
      </c>
      <c r="AN304" t="str">
        <f>IF(AM304="NO ACTION","",
 IF(_xlfn.TEXTJOIN(", ", TRUE,
  IF(X304&gt;0.7,"Login anomaly",""),
  IF(Y304&gt;0.7,"File anomaly",""),
  IF(Z304&gt;0.7,"Network anomaly",""),
  IF(AA304&gt;0.7,"USB anomaly","")
 )="",
 "General anomaly detected",
 _xlfn.TEXTJOIN(", ", TRUE,
  IF(X304&gt;0.7,"Login anomaly",""),
  IF(Y304&gt;0.7,"File anomaly",""),
  IF(Z304&gt;0.7,"Network anomaly",""),
  IF(AA304&gt;0.7,"USB anomaly","")
 )))</f>
        <v/>
      </c>
    </row>
    <row r="305" spans="1:40" x14ac:dyDescent="0.3">
      <c r="A305" t="s">
        <v>328</v>
      </c>
      <c r="B305">
        <v>0.12892249527410199</v>
      </c>
      <c r="C305">
        <v>0.18476582604220201</v>
      </c>
      <c r="D305">
        <v>0</v>
      </c>
      <c r="E305">
        <v>0</v>
      </c>
      <c r="F305">
        <v>0</v>
      </c>
      <c r="G305">
        <v>0.99367784496881895</v>
      </c>
      <c r="H305">
        <v>7</v>
      </c>
      <c r="I305">
        <v>7</v>
      </c>
      <c r="J305">
        <v>8.4633366728686599E-2</v>
      </c>
      <c r="K305">
        <v>1.6313213703099501E-3</v>
      </c>
      <c r="L305">
        <v>4.9096915417087003E-3</v>
      </c>
      <c r="M305">
        <v>0</v>
      </c>
      <c r="N305">
        <v>0</v>
      </c>
      <c r="O305">
        <v>402</v>
      </c>
      <c r="P305">
        <v>6.2920875420875405E-2</v>
      </c>
      <c r="Q305">
        <v>6.3080753182089097E-2</v>
      </c>
      <c r="R305">
        <v>0</v>
      </c>
      <c r="S305">
        <v>0</v>
      </c>
      <c r="T305" t="s">
        <v>49</v>
      </c>
      <c r="U305">
        <v>3.3962264150943298E-2</v>
      </c>
      <c r="V305">
        <v>0</v>
      </c>
      <c r="W305">
        <v>0</v>
      </c>
      <c r="X305">
        <v>0</v>
      </c>
      <c r="Y305">
        <v>1.9381519116591601E-2</v>
      </c>
      <c r="Z305">
        <v>3.7752525252525197E-2</v>
      </c>
      <c r="AA305">
        <v>0</v>
      </c>
      <c r="AB305">
        <v>3.6880001425743103E-2</v>
      </c>
      <c r="AC305">
        <v>8.2499999552965164E-4</v>
      </c>
      <c r="AD305">
        <v>5.9469998814165592E-3</v>
      </c>
      <c r="AE305">
        <v>2.17500003054738E-3</v>
      </c>
      <c r="AF305">
        <f>0.16*X305 + 0.28*Y305 + 0.28*Z305 + 0.28*AA305</f>
        <v>1.5997532423352705E-2</v>
      </c>
      <c r="AG305">
        <f t="shared" si="12"/>
        <v>8.405960202217103E-3</v>
      </c>
      <c r="AH305">
        <f>IF(T305="IT_Admin", 0.25, IF(AND(T305="HR", AA305&gt;0.6), 0.25, IF(AND(T305="General", Z305&gt;0.7), 0.2, 0.1)))</f>
        <v>0.1</v>
      </c>
      <c r="AI305">
        <f>IF(V305&gt;0.7, 0.1,
 IF(F305&gt;0.5, 0.08,
 IF(E305&gt;0.5, 0.05,
 0)))</f>
        <v>0</v>
      </c>
      <c r="AJ305">
        <f t="shared" si="13"/>
        <v>1.0683431868557783E-2</v>
      </c>
      <c r="AK305">
        <f t="shared" si="14"/>
        <v>1.1751775055413562E-2</v>
      </c>
      <c r="AL305" t="str">
        <f>IF(MAX(X305, Y305, Z305, AA305)&gt;0.9,
 "Critical",
 IF(AK305&lt;=0.2,"Very Low",
 IF(AK305&lt;=0.4,"Low",
 IF(AK305&lt;=0.6,"Medium",
 IF(AK305&lt;=0.8,"High","Critical")))))</f>
        <v>Very Low</v>
      </c>
      <c r="AM305" t="str">
        <f>IF(MAX(X305:AA305)&gt;0.9,"CRITICAL ALERT",
 IF(AK305&gt;0.8,"CRITICAL ALERT",
 IF(AK305&gt;0.6,"ALERT",
 IF(AK305&gt;=0.4,"REVIEW","NO ACTION"))))</f>
        <v>NO ACTION</v>
      </c>
      <c r="AN305" t="str">
        <f>IF(AM305="NO ACTION","",
 IF(_xlfn.TEXTJOIN(", ", TRUE,
  IF(X305&gt;0.7,"Login anomaly",""),
  IF(Y305&gt;0.7,"File anomaly",""),
  IF(Z305&gt;0.7,"Network anomaly",""),
  IF(AA305&gt;0.7,"USB anomaly","")
 )="",
 "General anomaly detected",
 _xlfn.TEXTJOIN(", ", TRUE,
  IF(X305&gt;0.7,"Login anomaly",""),
  IF(Y305&gt;0.7,"File anomaly",""),
  IF(Z305&gt;0.7,"Network anomaly",""),
  IF(AA305&gt;0.7,"USB anomaly","")
 )))</f>
        <v/>
      </c>
    </row>
    <row r="306" spans="1:40" x14ac:dyDescent="0.3">
      <c r="A306" t="s">
        <v>329</v>
      </c>
      <c r="B306">
        <v>0.13534971644612401</v>
      </c>
      <c r="C306">
        <v>4.3894643755882402E-2</v>
      </c>
      <c r="D306">
        <v>0.178967881753098</v>
      </c>
      <c r="E306">
        <v>0</v>
      </c>
      <c r="F306">
        <v>0.95303867403314901</v>
      </c>
      <c r="G306">
        <v>0.93987304680909201</v>
      </c>
      <c r="H306">
        <v>6</v>
      </c>
      <c r="I306">
        <v>15</v>
      </c>
      <c r="J306">
        <v>0.10991841992271301</v>
      </c>
      <c r="K306">
        <v>1.38662316476345E-2</v>
      </c>
      <c r="L306">
        <v>3.2153270094390701E-2</v>
      </c>
      <c r="M306">
        <v>4.3290043290043203E-3</v>
      </c>
      <c r="N306">
        <v>2.37485915268505E-2</v>
      </c>
      <c r="O306">
        <v>1231</v>
      </c>
      <c r="P306">
        <v>8.8874859708193005E-2</v>
      </c>
      <c r="Q306">
        <v>8.9028367053543195E-2</v>
      </c>
      <c r="R306">
        <v>0.69321533923303802</v>
      </c>
      <c r="S306">
        <v>1</v>
      </c>
      <c r="T306" t="s">
        <v>24</v>
      </c>
      <c r="U306">
        <v>1.8042452830188599E-2</v>
      </c>
      <c r="V306">
        <v>0</v>
      </c>
      <c r="W306">
        <v>1</v>
      </c>
      <c r="X306">
        <v>0.43490583413918898</v>
      </c>
      <c r="Y306">
        <v>4.5184896489793201E-2</v>
      </c>
      <c r="Z306">
        <v>6.2824352435655997E-2</v>
      </c>
      <c r="AA306">
        <v>0.69321533923303802</v>
      </c>
      <c r="AB306">
        <v>0.1204399988055229</v>
      </c>
      <c r="AC306">
        <v>1.3000000035390261E-4</v>
      </c>
      <c r="AD306">
        <v>1.6659999964758749E-3</v>
      </c>
      <c r="AE306">
        <v>0.45602899789810181</v>
      </c>
      <c r="AF306">
        <f>0.16*X306 + 0.28*Y306 + 0.28*Z306 + 0.28*AA306</f>
        <v>0.2939278181466467</v>
      </c>
      <c r="AG306">
        <f t="shared" si="12"/>
        <v>0.14746139921946452</v>
      </c>
      <c r="AH306">
        <f>IF(T306="IT_Admin", 0.25, IF(AND(T306="HR", AA306&gt;0.6), 0.25, IF(AND(T306="General", Z306&gt;0.7), 0.2, 0.1)))</f>
        <v>0.25</v>
      </c>
      <c r="AI306">
        <f>IF(V306&gt;0.7, 0.1,
 IF(F306&gt;0.5, 0.08,
 IF(E306&gt;0.5, 0.05,
 0)))</f>
        <v>0.08</v>
      </c>
      <c r="AJ306">
        <f t="shared" si="13"/>
        <v>0.19140132489761918</v>
      </c>
      <c r="AK306">
        <f t="shared" si="14"/>
        <v>0.25456376211383352</v>
      </c>
      <c r="AL306" t="str">
        <f>IF(MAX(X306, Y306, Z306, AA306)&gt;0.9,
 "Critical",
 IF(AK306&lt;=0.2,"Very Low",
 IF(AK306&lt;=0.4,"Low",
 IF(AK306&lt;=0.6,"Medium",
 IF(AK306&lt;=0.8,"High","Critical")))))</f>
        <v>Low</v>
      </c>
      <c r="AM306" t="str">
        <f>IF(MAX(X306:AA306)&gt;0.9,"CRITICAL ALERT",
 IF(AK306&gt;0.8,"CRITICAL ALERT",
 IF(AK306&gt;0.6,"ALERT",
 IF(AK306&gt;=0.4,"REVIEW","NO ACTION"))))</f>
        <v>NO ACTION</v>
      </c>
      <c r="AN306" t="str">
        <f>IF(AM306="NO ACTION","",
 IF(_xlfn.TEXTJOIN(", ", TRUE,
  IF(X306&gt;0.7,"Login anomaly",""),
  IF(Y306&gt;0.7,"File anomaly",""),
  IF(Z306&gt;0.7,"Network anomaly",""),
  IF(AA306&gt;0.7,"USB anomaly","")
 )="",
 "General anomaly detected",
 _xlfn.TEXTJOIN(", ", TRUE,
  IF(X306&gt;0.7,"Login anomaly",""),
  IF(Y306&gt;0.7,"File anomaly",""),
  IF(Z306&gt;0.7,"Network anomaly",""),
  IF(AA306&gt;0.7,"USB anomaly","")
 )))</f>
        <v/>
      </c>
    </row>
    <row r="307" spans="1:40" x14ac:dyDescent="0.3">
      <c r="A307" t="s">
        <v>330</v>
      </c>
      <c r="B307">
        <v>0.235538752362948</v>
      </c>
      <c r="C307">
        <v>0.73788457481606895</v>
      </c>
      <c r="D307">
        <v>0.34178138885450299</v>
      </c>
      <c r="E307">
        <v>0</v>
      </c>
      <c r="F307">
        <v>0</v>
      </c>
      <c r="G307">
        <v>0.47940038484257003</v>
      </c>
      <c r="H307">
        <v>8</v>
      </c>
      <c r="I307">
        <v>14</v>
      </c>
      <c r="J307">
        <v>7.14660560087782E-2</v>
      </c>
      <c r="K307">
        <v>0</v>
      </c>
      <c r="L307">
        <v>0</v>
      </c>
      <c r="M307">
        <v>2.88600288600288E-4</v>
      </c>
      <c r="N307">
        <v>2.4322686997337601E-3</v>
      </c>
      <c r="O307">
        <v>242</v>
      </c>
      <c r="P307">
        <v>5.2679573512906801E-2</v>
      </c>
      <c r="Q307">
        <v>5.2841965005785599E-2</v>
      </c>
      <c r="R307">
        <v>0</v>
      </c>
      <c r="S307">
        <v>0</v>
      </c>
      <c r="T307" t="s">
        <v>49</v>
      </c>
      <c r="U307">
        <v>0</v>
      </c>
      <c r="V307">
        <v>0</v>
      </c>
      <c r="W307">
        <v>0</v>
      </c>
      <c r="X307">
        <v>0.102534416656351</v>
      </c>
      <c r="Y307">
        <v>1.5022891811675701E-2</v>
      </c>
      <c r="Z307">
        <v>3.25806515876376E-2</v>
      </c>
      <c r="AA307">
        <v>0</v>
      </c>
      <c r="AB307">
        <v>3.2400000840425491E-2</v>
      </c>
      <c r="AC307">
        <v>1.469000009819865E-3</v>
      </c>
      <c r="AD307">
        <v>7.0150000974535942E-3</v>
      </c>
      <c r="AE307">
        <v>8.4199998527765274E-3</v>
      </c>
      <c r="AF307">
        <f>0.16*X307 + 0.28*Y307 + 0.28*Z307 + 0.28*AA307</f>
        <v>2.9734498816823884E-2</v>
      </c>
      <c r="AG307">
        <f t="shared" si="12"/>
        <v>9.9171201232820753E-3</v>
      </c>
      <c r="AH307">
        <f>IF(T307="IT_Admin", 0.25, IF(AND(T307="HR", AA307&gt;0.6), 0.25, IF(AND(T307="General", Z307&gt;0.7), 0.2, 0.1)))</f>
        <v>0.1</v>
      </c>
      <c r="AI307">
        <f>IF(V307&gt;0.7, 0.1,
 IF(F307&gt;0.5, 0.08,
 IF(E307&gt;0.5, 0.05,
 0)))</f>
        <v>0</v>
      </c>
      <c r="AJ307">
        <f t="shared" si="13"/>
        <v>1.5862333731344616E-2</v>
      </c>
      <c r="AK307">
        <f t="shared" si="14"/>
        <v>1.744856710447908E-2</v>
      </c>
      <c r="AL307" t="str">
        <f>IF(MAX(X307, Y307, Z307, AA307)&gt;0.9,
 "Critical",
 IF(AK307&lt;=0.2,"Very Low",
 IF(AK307&lt;=0.4,"Low",
 IF(AK307&lt;=0.6,"Medium",
 IF(AK307&lt;=0.8,"High","Critical")))))</f>
        <v>Very Low</v>
      </c>
      <c r="AM307" t="str">
        <f>IF(MAX(X307:AA307)&gt;0.9,"CRITICAL ALERT",
 IF(AK307&gt;0.8,"CRITICAL ALERT",
 IF(AK307&gt;0.6,"ALERT",
 IF(AK307&gt;=0.4,"REVIEW","NO ACTION"))))</f>
        <v>NO ACTION</v>
      </c>
      <c r="AN307" t="str">
        <f>IF(AM307="NO ACTION","",
 IF(_xlfn.TEXTJOIN(", ", TRUE,
  IF(X307&gt;0.7,"Login anomaly",""),
  IF(Y307&gt;0.7,"File anomaly",""),
  IF(Z307&gt;0.7,"Network anomaly",""),
  IF(AA307&gt;0.7,"USB anomaly","")
 )="",
 "General anomaly detected",
 _xlfn.TEXTJOIN(", ", TRUE,
  IF(X307&gt;0.7,"Login anomaly",""),
  IF(Y307&gt;0.7,"File anomaly",""),
  IF(Z307&gt;0.7,"Network anomaly",""),
  IF(AA307&gt;0.7,"USB anomaly","")
 )))</f>
        <v/>
      </c>
    </row>
    <row r="308" spans="1:40" x14ac:dyDescent="0.3">
      <c r="A308" t="s">
        <v>331</v>
      </c>
      <c r="B308">
        <v>0.14328922495274099</v>
      </c>
      <c r="C308">
        <v>0.346858038966954</v>
      </c>
      <c r="D308">
        <v>0.21622096785491601</v>
      </c>
      <c r="E308">
        <v>0</v>
      </c>
      <c r="F308">
        <v>0</v>
      </c>
      <c r="G308">
        <v>0.88047679818283098</v>
      </c>
      <c r="H308">
        <v>7</v>
      </c>
      <c r="I308">
        <v>15</v>
      </c>
      <c r="J308">
        <v>0.100424598063069</v>
      </c>
      <c r="K308">
        <v>8.9722675367047301E-3</v>
      </c>
      <c r="L308">
        <v>2.2767240232155799E-2</v>
      </c>
      <c r="M308">
        <v>2.8860028860028799E-3</v>
      </c>
      <c r="N308">
        <v>1.7325591733174599E-2</v>
      </c>
      <c r="O308">
        <v>1083</v>
      </c>
      <c r="P308">
        <v>7.9089506172839497E-2</v>
      </c>
      <c r="Q308">
        <v>7.9245415337143604E-2</v>
      </c>
      <c r="R308">
        <v>0</v>
      </c>
      <c r="S308">
        <v>0</v>
      </c>
      <c r="T308" t="s">
        <v>24</v>
      </c>
      <c r="U308">
        <v>1.6981132075471601E-2</v>
      </c>
      <c r="V308">
        <v>0</v>
      </c>
      <c r="W308">
        <v>0</v>
      </c>
      <c r="X308">
        <v>6.4866290356474995E-2</v>
      </c>
      <c r="Y308">
        <v>3.6666217248644203E-2</v>
      </c>
      <c r="Z308">
        <v>5.4383940396973501E-2</v>
      </c>
      <c r="AA308">
        <v>0</v>
      </c>
      <c r="AB308">
        <v>5.6579997763037682E-3</v>
      </c>
      <c r="AC308">
        <v>2.760000061243773E-4</v>
      </c>
      <c r="AD308">
        <v>3.438000101596117E-3</v>
      </c>
      <c r="AE308">
        <v>3.0380000825971361E-3</v>
      </c>
      <c r="AF308">
        <f>0.16*X308 + 0.28*Y308 + 0.28*Z308 + 0.28*AA308</f>
        <v>3.5872650597808961E-2</v>
      </c>
      <c r="AG308">
        <f t="shared" si="12"/>
        <v>2.7958400174975394E-3</v>
      </c>
      <c r="AH308">
        <f>IF(T308="IT_Admin", 0.25, IF(AND(T308="HR", AA308&gt;0.6), 0.25, IF(AND(T308="General", Z308&gt;0.7), 0.2, 0.1)))</f>
        <v>0.25</v>
      </c>
      <c r="AI308">
        <f>IF(V308&gt;0.7, 0.1,
 IF(F308&gt;0.5, 0.08,
 IF(E308&gt;0.5, 0.05,
 0)))</f>
        <v>0</v>
      </c>
      <c r="AJ308">
        <f t="shared" si="13"/>
        <v>1.2718883191590966E-2</v>
      </c>
      <c r="AK308">
        <f t="shared" si="14"/>
        <v>1.5898603989488707E-2</v>
      </c>
      <c r="AL308" t="str">
        <f>IF(MAX(X308, Y308, Z308, AA308)&gt;0.9,
 "Critical",
 IF(AK308&lt;=0.2,"Very Low",
 IF(AK308&lt;=0.4,"Low",
 IF(AK308&lt;=0.6,"Medium",
 IF(AK308&lt;=0.8,"High","Critical")))))</f>
        <v>Very Low</v>
      </c>
      <c r="AM308" t="str">
        <f>IF(MAX(X308:AA308)&gt;0.9,"CRITICAL ALERT",
 IF(AK308&gt;0.8,"CRITICAL ALERT",
 IF(AK308&gt;0.6,"ALERT",
 IF(AK308&gt;=0.4,"REVIEW","NO ACTION"))))</f>
        <v>NO ACTION</v>
      </c>
      <c r="AN308" t="str">
        <f>IF(AM308="NO ACTION","",
 IF(_xlfn.TEXTJOIN(", ", TRUE,
  IF(X308&gt;0.7,"Login anomaly",""),
  IF(Y308&gt;0.7,"File anomaly",""),
  IF(Z308&gt;0.7,"Network anomaly",""),
  IF(AA308&gt;0.7,"USB anomaly","")
 )="",
 "General anomaly detected",
 _xlfn.TEXTJOIN(", ", TRUE,
  IF(X308&gt;0.7,"Login anomaly",""),
  IF(Y308&gt;0.7,"File anomaly",""),
  IF(Z308&gt;0.7,"Network anomaly",""),
  IF(AA308&gt;0.7,"USB anomaly","")
 )))</f>
        <v/>
      </c>
    </row>
    <row r="309" spans="1:40" x14ac:dyDescent="0.3">
      <c r="A309" t="s">
        <v>332</v>
      </c>
      <c r="B309">
        <v>0.12892249527410199</v>
      </c>
      <c r="C309">
        <v>0.36953165208440503</v>
      </c>
      <c r="D309">
        <v>0</v>
      </c>
      <c r="E309">
        <v>0</v>
      </c>
      <c r="F309">
        <v>0</v>
      </c>
      <c r="G309">
        <v>0.993692671503971</v>
      </c>
      <c r="H309">
        <v>8</v>
      </c>
      <c r="I309">
        <v>8</v>
      </c>
      <c r="J309">
        <v>8.9976623252707402E-2</v>
      </c>
      <c r="K309">
        <v>1.2234910277324601E-2</v>
      </c>
      <c r="L309">
        <v>3.4641755365017603E-2</v>
      </c>
      <c r="M309">
        <v>3.1746031746031698E-3</v>
      </c>
      <c r="N309">
        <v>2.1265308520728901E-2</v>
      </c>
      <c r="O309">
        <v>1006</v>
      </c>
      <c r="P309">
        <v>7.29517396184063E-2</v>
      </c>
      <c r="Q309">
        <v>7.3109155299975401E-2</v>
      </c>
      <c r="R309">
        <v>0</v>
      </c>
      <c r="S309">
        <v>0</v>
      </c>
      <c r="T309" t="s">
        <v>49</v>
      </c>
      <c r="U309">
        <v>2.1226415094339601E-2</v>
      </c>
      <c r="V309">
        <v>0</v>
      </c>
      <c r="W309">
        <v>0</v>
      </c>
      <c r="X309">
        <v>0</v>
      </c>
      <c r="Y309">
        <v>4.1695794889268903E-2</v>
      </c>
      <c r="Z309">
        <v>5.2277167179335303E-2</v>
      </c>
      <c r="AA309">
        <v>0</v>
      </c>
      <c r="AB309">
        <v>2.4637000635266301E-2</v>
      </c>
      <c r="AC309">
        <v>1.0599999950500211E-4</v>
      </c>
      <c r="AD309">
        <v>4.1140001267194748E-3</v>
      </c>
      <c r="AE309">
        <v>1.6700000269338491E-3</v>
      </c>
      <c r="AF309">
        <f>0.16*X309 + 0.28*Y309 + 0.28*Z309 + 0.28*AA309</f>
        <v>2.631242937920918E-2</v>
      </c>
      <c r="AG309">
        <f t="shared" si="12"/>
        <v>5.5911201445269405E-3</v>
      </c>
      <c r="AH309">
        <f>IF(T309="IT_Admin", 0.25, IF(AND(T309="HR", AA309&gt;0.6), 0.25, IF(AND(T309="General", Z309&gt;0.7), 0.2, 0.1)))</f>
        <v>0.1</v>
      </c>
      <c r="AI309">
        <f>IF(V309&gt;0.7, 0.1,
 IF(F309&gt;0.5, 0.08,
 IF(E309&gt;0.5, 0.05,
 0)))</f>
        <v>0</v>
      </c>
      <c r="AJ309">
        <f t="shared" si="13"/>
        <v>1.1807512914931612E-2</v>
      </c>
      <c r="AK309">
        <f t="shared" si="14"/>
        <v>1.2988264206424774E-2</v>
      </c>
      <c r="AL309" t="str">
        <f>IF(MAX(X309, Y309, Z309, AA309)&gt;0.9,
 "Critical",
 IF(AK309&lt;=0.2,"Very Low",
 IF(AK309&lt;=0.4,"Low",
 IF(AK309&lt;=0.6,"Medium",
 IF(AK309&lt;=0.8,"High","Critical")))))</f>
        <v>Very Low</v>
      </c>
      <c r="AM309" t="str">
        <f>IF(MAX(X309:AA309)&gt;0.9,"CRITICAL ALERT",
 IF(AK309&gt;0.8,"CRITICAL ALERT",
 IF(AK309&gt;0.6,"ALERT",
 IF(AK309&gt;=0.4,"REVIEW","NO ACTION"))))</f>
        <v>NO ACTION</v>
      </c>
      <c r="AN309" t="str">
        <f>IF(AM309="NO ACTION","",
 IF(_xlfn.TEXTJOIN(", ", TRUE,
  IF(X309&gt;0.7,"Login anomaly",""),
  IF(Y309&gt;0.7,"File anomaly",""),
  IF(Z309&gt;0.7,"Network anomaly",""),
  IF(AA309&gt;0.7,"USB anomaly","")
 )="",
 "General anomaly detected",
 _xlfn.TEXTJOIN(", ", TRUE,
  IF(X309&gt;0.7,"Login anomaly",""),
  IF(Y309&gt;0.7,"File anomaly",""),
  IF(Z309&gt;0.7,"Network anomaly",""),
  IF(AA309&gt;0.7,"USB anomaly","")
 )))</f>
        <v/>
      </c>
    </row>
    <row r="310" spans="1:40" x14ac:dyDescent="0.3">
      <c r="A310" t="s">
        <v>333</v>
      </c>
      <c r="B310">
        <v>0.124763705103969</v>
      </c>
      <c r="C310">
        <v>0.55429747812660801</v>
      </c>
      <c r="D310">
        <v>0</v>
      </c>
      <c r="E310">
        <v>0</v>
      </c>
      <c r="F310">
        <v>0</v>
      </c>
      <c r="G310">
        <v>0.99558120778812498</v>
      </c>
      <c r="H310">
        <v>9</v>
      </c>
      <c r="I310">
        <v>9</v>
      </c>
      <c r="J310">
        <v>0.101331043366251</v>
      </c>
      <c r="K310">
        <v>2.2022838499184301E-2</v>
      </c>
      <c r="L310">
        <v>5.5384503011482802E-2</v>
      </c>
      <c r="M310">
        <v>6.3492063492063397E-3</v>
      </c>
      <c r="N310">
        <v>3.7776137541285497E-2</v>
      </c>
      <c r="O310">
        <v>1099</v>
      </c>
      <c r="P310">
        <v>8.7051066217732898E-2</v>
      </c>
      <c r="Q310">
        <v>8.7205021213927494E-2</v>
      </c>
      <c r="R310">
        <v>0</v>
      </c>
      <c r="S310">
        <v>0</v>
      </c>
      <c r="T310" t="s">
        <v>24</v>
      </c>
      <c r="U310">
        <v>1.9934372436423299E-2</v>
      </c>
      <c r="V310">
        <v>0</v>
      </c>
      <c r="W310">
        <v>0</v>
      </c>
      <c r="X310">
        <v>0</v>
      </c>
      <c r="Y310">
        <v>5.9291301441377398E-2</v>
      </c>
      <c r="Z310">
        <v>6.7341094747153898E-2</v>
      </c>
      <c r="AA310">
        <v>0</v>
      </c>
      <c r="AB310">
        <v>2.957100048661232E-2</v>
      </c>
      <c r="AC310">
        <v>2.680000034160912E-4</v>
      </c>
      <c r="AD310">
        <v>2.3439999204128981E-3</v>
      </c>
      <c r="AE310">
        <v>1.3220000546425581E-3</v>
      </c>
      <c r="AF310">
        <f>0.16*X310 + 0.28*Y310 + 0.28*Z310 + 0.28*AA310</f>
        <v>3.545707093278877E-2</v>
      </c>
      <c r="AG310">
        <f t="shared" si="12"/>
        <v>5.832880071830005E-3</v>
      </c>
      <c r="AH310">
        <f>IF(T310="IT_Admin", 0.25, IF(AND(T310="HR", AA310&gt;0.6), 0.25, IF(AND(T310="General", Z310&gt;0.7), 0.2, 0.1)))</f>
        <v>0.25</v>
      </c>
      <c r="AI310">
        <f>IF(V310&gt;0.7, 0.1,
 IF(F310&gt;0.5, 0.08,
 IF(E310&gt;0.5, 0.05,
 0)))</f>
        <v>0</v>
      </c>
      <c r="AJ310">
        <f t="shared" si="13"/>
        <v>1.4720137330117634E-2</v>
      </c>
      <c r="AK310">
        <f t="shared" si="14"/>
        <v>1.8400171662647041E-2</v>
      </c>
      <c r="AL310" t="str">
        <f>IF(MAX(X310, Y310, Z310, AA310)&gt;0.9,
 "Critical",
 IF(AK310&lt;=0.2,"Very Low",
 IF(AK310&lt;=0.4,"Low",
 IF(AK310&lt;=0.6,"Medium",
 IF(AK310&lt;=0.8,"High","Critical")))))</f>
        <v>Very Low</v>
      </c>
      <c r="AM310" t="str">
        <f>IF(MAX(X310:AA310)&gt;0.9,"CRITICAL ALERT",
 IF(AK310&gt;0.8,"CRITICAL ALERT",
 IF(AK310&gt;0.6,"ALERT",
 IF(AK310&gt;=0.4,"REVIEW","NO ACTION"))))</f>
        <v>NO ACTION</v>
      </c>
      <c r="AN310" t="str">
        <f>IF(AM310="NO ACTION","",
 IF(_xlfn.TEXTJOIN(", ", TRUE,
  IF(X310&gt;0.7,"Login anomaly",""),
  IF(Y310&gt;0.7,"File anomaly",""),
  IF(Z310&gt;0.7,"Network anomaly",""),
  IF(AA310&gt;0.7,"USB anomaly","")
 )="",
 "General anomaly detected",
 _xlfn.TEXTJOIN(", ", TRUE,
  IF(X310&gt;0.7,"Login anomaly",""),
  IF(Y310&gt;0.7,"File anomaly",""),
  IF(Z310&gt;0.7,"Network anomaly",""),
  IF(AA310&gt;0.7,"USB anomaly","")
 )))</f>
        <v/>
      </c>
    </row>
    <row r="311" spans="1:40" x14ac:dyDescent="0.3">
      <c r="A311" t="s">
        <v>334</v>
      </c>
      <c r="B311">
        <v>0.12892249527410199</v>
      </c>
      <c r="C311">
        <v>0.18476582604220201</v>
      </c>
      <c r="D311">
        <v>0</v>
      </c>
      <c r="E311">
        <v>0</v>
      </c>
      <c r="F311">
        <v>0</v>
      </c>
      <c r="G311">
        <v>0.99366850478692703</v>
      </c>
      <c r="H311">
        <v>7</v>
      </c>
      <c r="I311">
        <v>7</v>
      </c>
      <c r="J311">
        <v>8.4251705548399405E-2</v>
      </c>
      <c r="K311">
        <v>1.8760195758564399E-2</v>
      </c>
      <c r="L311">
        <v>5.67165016409076E-2</v>
      </c>
      <c r="M311">
        <v>2.0202020202020202E-3</v>
      </c>
      <c r="N311">
        <v>1.44494065442682E-2</v>
      </c>
      <c r="O311">
        <v>940</v>
      </c>
      <c r="P311">
        <v>7.0987654320987595E-2</v>
      </c>
      <c r="Q311">
        <v>7.1145552088081598E-2</v>
      </c>
      <c r="R311">
        <v>0</v>
      </c>
      <c r="S311">
        <v>0</v>
      </c>
      <c r="T311" t="s">
        <v>49</v>
      </c>
      <c r="U311">
        <v>4.88207547169811E-2</v>
      </c>
      <c r="V311">
        <v>0</v>
      </c>
      <c r="W311">
        <v>0</v>
      </c>
      <c r="X311">
        <v>0</v>
      </c>
      <c r="Y311">
        <v>4.9543413893414101E-2</v>
      </c>
      <c r="Z311">
        <v>4.8372355210299797E-2</v>
      </c>
      <c r="AA311">
        <v>0</v>
      </c>
      <c r="AB311">
        <v>3.6630000919103622E-2</v>
      </c>
      <c r="AC311">
        <v>1.080000001820736E-4</v>
      </c>
      <c r="AD311">
        <v>4.5139999128878117E-3</v>
      </c>
      <c r="AE311">
        <v>1.569999963976443E-3</v>
      </c>
      <c r="AF311">
        <f>0.16*X311 + 0.28*Y311 + 0.28*Z311 + 0.28*AA311</f>
        <v>2.7416415349039894E-2</v>
      </c>
      <c r="AG311">
        <f t="shared" si="12"/>
        <v>7.5945601126295526E-3</v>
      </c>
      <c r="AH311">
        <f>IF(T311="IT_Admin", 0.25, IF(AND(T311="HR", AA311&gt;0.6), 0.25, IF(AND(T311="General", Z311&gt;0.7), 0.2, 0.1)))</f>
        <v>0.1</v>
      </c>
      <c r="AI311">
        <f>IF(V311&gt;0.7, 0.1,
 IF(F311&gt;0.5, 0.08,
 IF(E311&gt;0.5, 0.05,
 0)))</f>
        <v>0</v>
      </c>
      <c r="AJ311">
        <f t="shared" si="13"/>
        <v>1.3541116683552654E-2</v>
      </c>
      <c r="AK311">
        <f t="shared" si="14"/>
        <v>1.4895228351907921E-2</v>
      </c>
      <c r="AL311" t="str">
        <f>IF(MAX(X311, Y311, Z311, AA311)&gt;0.9,
 "Critical",
 IF(AK311&lt;=0.2,"Very Low",
 IF(AK311&lt;=0.4,"Low",
 IF(AK311&lt;=0.6,"Medium",
 IF(AK311&lt;=0.8,"High","Critical")))))</f>
        <v>Very Low</v>
      </c>
      <c r="AM311" t="str">
        <f>IF(MAX(X311:AA311)&gt;0.9,"CRITICAL ALERT",
 IF(AK311&gt;0.8,"CRITICAL ALERT",
 IF(AK311&gt;0.6,"ALERT",
 IF(AK311&gt;=0.4,"REVIEW","NO ACTION"))))</f>
        <v>NO ACTION</v>
      </c>
      <c r="AN311" t="str">
        <f>IF(AM311="NO ACTION","",
 IF(_xlfn.TEXTJOIN(", ", TRUE,
  IF(X311&gt;0.7,"Login anomaly",""),
  IF(Y311&gt;0.7,"File anomaly",""),
  IF(Z311&gt;0.7,"Network anomaly",""),
  IF(AA311&gt;0.7,"USB anomaly","")
 )="",
 "General anomaly detected",
 _xlfn.TEXTJOIN(", ", TRUE,
  IF(X311&gt;0.7,"Login anomaly",""),
  IF(Y311&gt;0.7,"File anomaly",""),
  IF(Z311&gt;0.7,"Network anomaly",""),
  IF(AA311&gt;0.7,"USB anomaly","")
 )))</f>
        <v/>
      </c>
    </row>
    <row r="312" spans="1:40" x14ac:dyDescent="0.3">
      <c r="A312" t="s">
        <v>335</v>
      </c>
      <c r="B312">
        <v>0.26805293005670999</v>
      </c>
      <c r="C312">
        <v>0.70770753284888599</v>
      </c>
      <c r="D312">
        <v>0.374885853325998</v>
      </c>
      <c r="E312">
        <v>0</v>
      </c>
      <c r="F312">
        <v>0</v>
      </c>
      <c r="G312">
        <v>0.40345516167175199</v>
      </c>
      <c r="H312">
        <v>7</v>
      </c>
      <c r="I312">
        <v>15</v>
      </c>
      <c r="J312">
        <v>8.5492104384332801E-2</v>
      </c>
      <c r="K312">
        <v>1.1419249592169599E-2</v>
      </c>
      <c r="L312">
        <v>3.4023588630438702E-2</v>
      </c>
      <c r="M312">
        <v>2.3088023088023001E-3</v>
      </c>
      <c r="N312">
        <v>1.6274679379854599E-2</v>
      </c>
      <c r="O312">
        <v>848</v>
      </c>
      <c r="P312">
        <v>6.88832772166105E-2</v>
      </c>
      <c r="Q312">
        <v>6.9041691503909597E-2</v>
      </c>
      <c r="R312">
        <v>0.209439528023598</v>
      </c>
      <c r="S312">
        <v>1</v>
      </c>
      <c r="T312" t="s">
        <v>49</v>
      </c>
      <c r="U312">
        <v>2.6415094339622601E-2</v>
      </c>
      <c r="V312">
        <v>0</v>
      </c>
      <c r="W312">
        <v>0</v>
      </c>
      <c r="X312">
        <v>0.112465755997799</v>
      </c>
      <c r="Y312">
        <v>3.8992619006042298E-2</v>
      </c>
      <c r="Z312">
        <v>4.7839838081908198E-2</v>
      </c>
      <c r="AA312">
        <v>0.209439528023598</v>
      </c>
      <c r="AB312">
        <v>4.1019000113010413E-2</v>
      </c>
      <c r="AC312">
        <v>9.6999996458180249E-5</v>
      </c>
      <c r="AD312">
        <v>4.1459999047219753E-3</v>
      </c>
      <c r="AE312">
        <v>7.0391997694969177E-2</v>
      </c>
      <c r="AF312">
        <f>0.16*X312 + 0.28*Y312 + 0.28*Z312 + 0.28*AA312</f>
        <v>0.10095067679088143</v>
      </c>
      <c r="AG312">
        <f t="shared" si="12"/>
        <v>2.7460839345003481E-2</v>
      </c>
      <c r="AH312">
        <f>IF(T312="IT_Admin", 0.25, IF(AND(T312="HR", AA312&gt;0.6), 0.25, IF(AND(T312="General", Z312&gt;0.7), 0.2, 0.1)))</f>
        <v>0.1</v>
      </c>
      <c r="AI312">
        <f>IF(V312&gt;0.7, 0.1,
 IF(F312&gt;0.5, 0.08,
 IF(E312&gt;0.5, 0.05,
 0)))</f>
        <v>0</v>
      </c>
      <c r="AJ312">
        <f t="shared" si="13"/>
        <v>4.9507790578766864E-2</v>
      </c>
      <c r="AK312">
        <f t="shared" si="14"/>
        <v>5.4458569636643556E-2</v>
      </c>
      <c r="AL312" t="str">
        <f>IF(MAX(X312, Y312, Z312, AA312)&gt;0.9,
 "Critical",
 IF(AK312&lt;=0.2,"Very Low",
 IF(AK312&lt;=0.4,"Low",
 IF(AK312&lt;=0.6,"Medium",
 IF(AK312&lt;=0.8,"High","Critical")))))</f>
        <v>Very Low</v>
      </c>
      <c r="AM312" t="str">
        <f>IF(MAX(X312:AA312)&gt;0.9,"CRITICAL ALERT",
 IF(AK312&gt;0.8,"CRITICAL ALERT",
 IF(AK312&gt;0.6,"ALERT",
 IF(AK312&gt;=0.4,"REVIEW","NO ACTION"))))</f>
        <v>NO ACTION</v>
      </c>
      <c r="AN312" t="str">
        <f>IF(AM312="NO ACTION","",
 IF(_xlfn.TEXTJOIN(", ", TRUE,
  IF(X312&gt;0.7,"Login anomaly",""),
  IF(Y312&gt;0.7,"File anomaly",""),
  IF(Z312&gt;0.7,"Network anomaly",""),
  IF(AA312&gt;0.7,"USB anomaly","")
 )="",
 "General anomaly detected",
 _xlfn.TEXTJOIN(", ", TRUE,
  IF(X312&gt;0.7,"Login anomaly",""),
  IF(Y312&gt;0.7,"File anomaly",""),
  IF(Z312&gt;0.7,"Network anomaly",""),
  IF(AA312&gt;0.7,"USB anomaly","")
 )))</f>
        <v/>
      </c>
    </row>
    <row r="313" spans="1:40" x14ac:dyDescent="0.3">
      <c r="A313" t="s">
        <v>336</v>
      </c>
      <c r="B313">
        <v>0.12892249527410199</v>
      </c>
      <c r="C313">
        <v>0.36953165208440503</v>
      </c>
      <c r="D313">
        <v>0</v>
      </c>
      <c r="E313">
        <v>0</v>
      </c>
      <c r="F313">
        <v>0</v>
      </c>
      <c r="G313">
        <v>0.99365943223202402</v>
      </c>
      <c r="H313">
        <v>8</v>
      </c>
      <c r="I313">
        <v>8</v>
      </c>
      <c r="J313">
        <v>7.5664328991937396E-2</v>
      </c>
      <c r="K313">
        <v>1.4681892332789499E-2</v>
      </c>
      <c r="L313">
        <v>4.9408592881394098E-2</v>
      </c>
      <c r="M313">
        <v>2.3088023088023001E-3</v>
      </c>
      <c r="N313">
        <v>1.8381897451664801E-2</v>
      </c>
      <c r="O313">
        <v>883</v>
      </c>
      <c r="P313">
        <v>6.3061167227833906E-2</v>
      </c>
      <c r="Q313">
        <v>6.3221010554367199E-2</v>
      </c>
      <c r="R313">
        <v>0</v>
      </c>
      <c r="S313">
        <v>0</v>
      </c>
      <c r="T313" t="s">
        <v>49</v>
      </c>
      <c r="U313">
        <v>3.3962264150943298E-2</v>
      </c>
      <c r="V313">
        <v>0</v>
      </c>
      <c r="W313">
        <v>0</v>
      </c>
      <c r="X313">
        <v>0</v>
      </c>
      <c r="Y313">
        <v>4.5351731474584003E-2</v>
      </c>
      <c r="Z313">
        <v>4.5189459317366301E-2</v>
      </c>
      <c r="AA313">
        <v>0</v>
      </c>
      <c r="AB313">
        <v>2.465000003576279E-2</v>
      </c>
      <c r="AC313">
        <v>1.599999995960388E-5</v>
      </c>
      <c r="AD313">
        <v>5.4270001128315934E-3</v>
      </c>
      <c r="AE313">
        <v>1.747000031173229E-3</v>
      </c>
      <c r="AF313">
        <f>0.16*X313 + 0.28*Y313 + 0.28*Z313 + 0.28*AA313</f>
        <v>2.5351533421746088E-2</v>
      </c>
      <c r="AG313">
        <f t="shared" si="12"/>
        <v>5.9572000460320854E-3</v>
      </c>
      <c r="AH313">
        <f>IF(T313="IT_Admin", 0.25, IF(AND(T313="HR", AA313&gt;0.6), 0.25, IF(AND(T313="General", Z313&gt;0.7), 0.2, 0.1)))</f>
        <v>0.1</v>
      </c>
      <c r="AI313">
        <f>IF(V313&gt;0.7, 0.1,
 IF(F313&gt;0.5, 0.08,
 IF(E313&gt;0.5, 0.05,
 0)))</f>
        <v>0</v>
      </c>
      <c r="AJ313">
        <f t="shared" si="13"/>
        <v>1.1775500058746287E-2</v>
      </c>
      <c r="AK313">
        <f t="shared" si="14"/>
        <v>1.2953050064620917E-2</v>
      </c>
      <c r="AL313" t="str">
        <f>IF(MAX(X313, Y313, Z313, AA313)&gt;0.9,
 "Critical",
 IF(AK313&lt;=0.2,"Very Low",
 IF(AK313&lt;=0.4,"Low",
 IF(AK313&lt;=0.6,"Medium",
 IF(AK313&lt;=0.8,"High","Critical")))))</f>
        <v>Very Low</v>
      </c>
      <c r="AM313" t="str">
        <f>IF(MAX(X313:AA313)&gt;0.9,"CRITICAL ALERT",
 IF(AK313&gt;0.8,"CRITICAL ALERT",
 IF(AK313&gt;0.6,"ALERT",
 IF(AK313&gt;=0.4,"REVIEW","NO ACTION"))))</f>
        <v>NO ACTION</v>
      </c>
      <c r="AN313" t="str">
        <f>IF(AM313="NO ACTION","",
 IF(_xlfn.TEXTJOIN(", ", TRUE,
  IF(X313&gt;0.7,"Login anomaly",""),
  IF(Y313&gt;0.7,"File anomaly",""),
  IF(Z313&gt;0.7,"Network anomaly",""),
  IF(AA313&gt;0.7,"USB anomaly","")
 )="",
 "General anomaly detected",
 _xlfn.TEXTJOIN(", ", TRUE,
  IF(X313&gt;0.7,"Login anomaly",""),
  IF(Y313&gt;0.7,"File anomaly",""),
  IF(Z313&gt;0.7,"Network anomaly",""),
  IF(AA313&gt;0.7,"USB anomaly","")
 )))</f>
        <v/>
      </c>
    </row>
    <row r="314" spans="1:40" x14ac:dyDescent="0.3">
      <c r="A314" t="s">
        <v>337</v>
      </c>
      <c r="B314">
        <v>0.12892249527410199</v>
      </c>
      <c r="C314">
        <v>0.18476582604220201</v>
      </c>
      <c r="D314">
        <v>0</v>
      </c>
      <c r="E314">
        <v>0</v>
      </c>
      <c r="F314">
        <v>0</v>
      </c>
      <c r="G314">
        <v>0.99366818363454101</v>
      </c>
      <c r="H314">
        <v>7</v>
      </c>
      <c r="I314">
        <v>7</v>
      </c>
      <c r="J314">
        <v>8.8497686179094495E-2</v>
      </c>
      <c r="K314">
        <v>1.5497553017944501E-2</v>
      </c>
      <c r="L314">
        <v>4.4610882742283801E-2</v>
      </c>
      <c r="M314">
        <v>1.7316017316017301E-3</v>
      </c>
      <c r="N314">
        <v>1.1792580179676901E-2</v>
      </c>
      <c r="O314">
        <v>1051</v>
      </c>
      <c r="P314">
        <v>7.2565937149270496E-2</v>
      </c>
      <c r="Q314">
        <v>7.2723447526210599E-2</v>
      </c>
      <c r="R314">
        <v>0</v>
      </c>
      <c r="S314">
        <v>0</v>
      </c>
      <c r="T314" t="s">
        <v>49</v>
      </c>
      <c r="U314">
        <v>4.6091644204851699E-2</v>
      </c>
      <c r="V314">
        <v>0</v>
      </c>
      <c r="W314">
        <v>0</v>
      </c>
      <c r="X314">
        <v>0</v>
      </c>
      <c r="Y314">
        <v>4.3542752660863902E-2</v>
      </c>
      <c r="Z314">
        <v>4.8256594361433001E-2</v>
      </c>
      <c r="AA314">
        <v>0</v>
      </c>
      <c r="AB314">
        <v>3.6591999232769012E-2</v>
      </c>
      <c r="AC314">
        <v>5.0999999075429507E-5</v>
      </c>
      <c r="AD314">
        <v>4.3879998847842216E-3</v>
      </c>
      <c r="AE314">
        <v>1.438000006601214E-3</v>
      </c>
      <c r="AF314">
        <f>0.16*X314 + 0.28*Y314 + 0.28*Z314 + 0.28*AA314</f>
        <v>2.5703817166243134E-2</v>
      </c>
      <c r="AG314">
        <f t="shared" si="12"/>
        <v>7.5002798465720853E-3</v>
      </c>
      <c r="AH314">
        <f>IF(T314="IT_Admin", 0.25, IF(AND(T314="HR", AA314&gt;0.6), 0.25, IF(AND(T314="General", Z314&gt;0.7), 0.2, 0.1)))</f>
        <v>0.1</v>
      </c>
      <c r="AI314">
        <f>IF(V314&gt;0.7, 0.1,
 IF(F314&gt;0.5, 0.08,
 IF(E314&gt;0.5, 0.05,
 0)))</f>
        <v>0</v>
      </c>
      <c r="AJ314">
        <f t="shared" si="13"/>
        <v>1.2961341042473399E-2</v>
      </c>
      <c r="AK314">
        <f t="shared" si="14"/>
        <v>1.425747514672074E-2</v>
      </c>
      <c r="AL314" t="str">
        <f>IF(MAX(X314, Y314, Z314, AA314)&gt;0.9,
 "Critical",
 IF(AK314&lt;=0.2,"Very Low",
 IF(AK314&lt;=0.4,"Low",
 IF(AK314&lt;=0.6,"Medium",
 IF(AK314&lt;=0.8,"High","Critical")))))</f>
        <v>Very Low</v>
      </c>
      <c r="AM314" t="str">
        <f>IF(MAX(X314:AA314)&gt;0.9,"CRITICAL ALERT",
 IF(AK314&gt;0.8,"CRITICAL ALERT",
 IF(AK314&gt;0.6,"ALERT",
 IF(AK314&gt;=0.4,"REVIEW","NO ACTION"))))</f>
        <v>NO ACTION</v>
      </c>
      <c r="AN314" t="str">
        <f>IF(AM314="NO ACTION","",
 IF(_xlfn.TEXTJOIN(", ", TRUE,
  IF(X314&gt;0.7,"Login anomaly",""),
  IF(Y314&gt;0.7,"File anomaly",""),
  IF(Z314&gt;0.7,"Network anomaly",""),
  IF(AA314&gt;0.7,"USB anomaly","")
 )="",
 "General anomaly detected",
 _xlfn.TEXTJOIN(", ", TRUE,
  IF(X314&gt;0.7,"Login anomaly",""),
  IF(Y314&gt;0.7,"File anomaly",""),
  IF(Z314&gt;0.7,"Network anomaly",""),
  IF(AA314&gt;0.7,"USB anomaly","")
 )))</f>
        <v/>
      </c>
    </row>
    <row r="315" spans="1:40" x14ac:dyDescent="0.3">
      <c r="A315" t="s">
        <v>338</v>
      </c>
      <c r="B315">
        <v>0.12892249527410199</v>
      </c>
      <c r="C315">
        <v>0.36953165208440503</v>
      </c>
      <c r="D315">
        <v>0</v>
      </c>
      <c r="E315">
        <v>0</v>
      </c>
      <c r="F315">
        <v>0</v>
      </c>
      <c r="G315">
        <v>0.99366007453679595</v>
      </c>
      <c r="H315">
        <v>8</v>
      </c>
      <c r="I315">
        <v>8</v>
      </c>
      <c r="J315">
        <v>9.61309097848385E-2</v>
      </c>
      <c r="K315">
        <v>2.2838499184339299E-2</v>
      </c>
      <c r="L315">
        <v>6.0535038385048E-2</v>
      </c>
      <c r="M315">
        <v>2.59740259740259E-3</v>
      </c>
      <c r="N315">
        <v>1.6287771634306201E-2</v>
      </c>
      <c r="O315">
        <v>1095</v>
      </c>
      <c r="P315">
        <v>8.1755050505050497E-2</v>
      </c>
      <c r="Q315">
        <v>8.1910305410428097E-2</v>
      </c>
      <c r="R315">
        <v>0</v>
      </c>
      <c r="S315">
        <v>0</v>
      </c>
      <c r="T315" t="s">
        <v>24</v>
      </c>
      <c r="U315">
        <v>4.7547169811320698E-2</v>
      </c>
      <c r="V315">
        <v>0</v>
      </c>
      <c r="W315">
        <v>0</v>
      </c>
      <c r="X315">
        <v>0</v>
      </c>
      <c r="Y315">
        <v>5.4380032639783499E-2</v>
      </c>
      <c r="Z315">
        <v>5.5568138956752798E-2</v>
      </c>
      <c r="AA315">
        <v>0</v>
      </c>
      <c r="AB315">
        <v>2.480899915099144E-2</v>
      </c>
      <c r="AC315">
        <v>1.570000022184104E-4</v>
      </c>
      <c r="AD315">
        <v>3.2480000518262391E-3</v>
      </c>
      <c r="AE315">
        <v>1.274000038392842E-3</v>
      </c>
      <c r="AF315">
        <f>0.16*X315 + 0.28*Y315 + 0.28*Z315 + 0.28*AA315</f>
        <v>3.0785488047030164E-2</v>
      </c>
      <c r="AG315">
        <f t="shared" si="12"/>
        <v>5.2795598900411281E-3</v>
      </c>
      <c r="AH315">
        <f>IF(T315="IT_Admin", 0.25, IF(AND(T315="HR", AA315&gt;0.6), 0.25, IF(AND(T315="General", Z315&gt;0.7), 0.2, 0.1)))</f>
        <v>0.25</v>
      </c>
      <c r="AI315">
        <f>IF(V315&gt;0.7, 0.1,
 IF(F315&gt;0.5, 0.08,
 IF(E315&gt;0.5, 0.05,
 0)))</f>
        <v>0</v>
      </c>
      <c r="AJ315">
        <f t="shared" si="13"/>
        <v>1.2931338337137839E-2</v>
      </c>
      <c r="AK315">
        <f t="shared" si="14"/>
        <v>1.6164172921422297E-2</v>
      </c>
      <c r="AL315" t="str">
        <f>IF(MAX(X315, Y315, Z315, AA315)&gt;0.9,
 "Critical",
 IF(AK315&lt;=0.2,"Very Low",
 IF(AK315&lt;=0.4,"Low",
 IF(AK315&lt;=0.6,"Medium",
 IF(AK315&lt;=0.8,"High","Critical")))))</f>
        <v>Very Low</v>
      </c>
      <c r="AM315" t="str">
        <f>IF(MAX(X315:AA315)&gt;0.9,"CRITICAL ALERT",
 IF(AK315&gt;0.8,"CRITICAL ALERT",
 IF(AK315&gt;0.6,"ALERT",
 IF(AK315&gt;=0.4,"REVIEW","NO ACTION"))))</f>
        <v>NO ACTION</v>
      </c>
      <c r="AN315" t="str">
        <f>IF(AM315="NO ACTION","",
 IF(_xlfn.TEXTJOIN(", ", TRUE,
  IF(X315&gt;0.7,"Login anomaly",""),
  IF(Y315&gt;0.7,"File anomaly",""),
  IF(Z315&gt;0.7,"Network anomaly",""),
  IF(AA315&gt;0.7,"USB anomaly","")
 )="",
 "General anomaly detected",
 _xlfn.TEXTJOIN(", ", TRUE,
  IF(X315&gt;0.7,"Login anomaly",""),
  IF(Y315&gt;0.7,"File anomaly",""),
  IF(Z315&gt;0.7,"Network anomaly",""),
  IF(AA315&gt;0.7,"USB anomaly","")
 )))</f>
        <v/>
      </c>
    </row>
    <row r="316" spans="1:40" x14ac:dyDescent="0.3">
      <c r="A316" t="s">
        <v>339</v>
      </c>
      <c r="B316">
        <v>0.26956521739130401</v>
      </c>
      <c r="C316">
        <v>0.74318639094241601</v>
      </c>
      <c r="D316">
        <v>0.409375473194654</v>
      </c>
      <c r="E316">
        <v>0</v>
      </c>
      <c r="F316">
        <v>0</v>
      </c>
      <c r="G316">
        <v>0.40041980153934598</v>
      </c>
      <c r="H316">
        <v>7</v>
      </c>
      <c r="I316">
        <v>17</v>
      </c>
      <c r="J316">
        <v>0.124946328896522</v>
      </c>
      <c r="K316">
        <v>0.10685154975530101</v>
      </c>
      <c r="L316">
        <v>0.218025667702681</v>
      </c>
      <c r="M316">
        <v>2.4531024531024501E-2</v>
      </c>
      <c r="N316">
        <v>0.118420155386618</v>
      </c>
      <c r="O316">
        <v>510</v>
      </c>
      <c r="P316">
        <v>0.14972643097643001</v>
      </c>
      <c r="Q316">
        <v>0.14986500227918201</v>
      </c>
      <c r="R316">
        <v>0.57374631268436505</v>
      </c>
      <c r="S316">
        <v>1</v>
      </c>
      <c r="T316" t="s">
        <v>24</v>
      </c>
      <c r="U316">
        <v>2.5866608161474298E-2</v>
      </c>
      <c r="V316">
        <v>0</v>
      </c>
      <c r="W316">
        <v>0</v>
      </c>
      <c r="X316">
        <v>0.122812641958396</v>
      </c>
      <c r="Y316">
        <v>0.16952814624663001</v>
      </c>
      <c r="Z316">
        <v>0.137203920740506</v>
      </c>
      <c r="AA316">
        <v>0.57374631268436505</v>
      </c>
      <c r="AB316">
        <v>5.3819999098777771E-2</v>
      </c>
      <c r="AC316">
        <v>2.0363999530673031E-2</v>
      </c>
      <c r="AD316">
        <v>1.533000031486154E-3</v>
      </c>
      <c r="AE316">
        <v>0.32187101244926453</v>
      </c>
      <c r="AF316">
        <f>0.16*X316 + 0.28*Y316 + 0.28*Z316 + 0.28*AA316</f>
        <v>0.26618396902136365</v>
      </c>
      <c r="AG316">
        <f t="shared" si="12"/>
        <v>0.10486624321900309</v>
      </c>
      <c r="AH316">
        <f>IF(T316="IT_Admin", 0.25, IF(AND(T316="HR", AA316&gt;0.6), 0.25, IF(AND(T316="General", Z316&gt;0.7), 0.2, 0.1)))</f>
        <v>0.25</v>
      </c>
      <c r="AI316">
        <f>IF(V316&gt;0.7, 0.1,
 IF(F316&gt;0.5, 0.08,
 IF(E316&gt;0.5, 0.05,
 0)))</f>
        <v>0</v>
      </c>
      <c r="AJ316">
        <f t="shared" si="13"/>
        <v>0.15326156095971125</v>
      </c>
      <c r="AK316">
        <f t="shared" si="14"/>
        <v>0.19157695119963905</v>
      </c>
      <c r="AL316" t="str">
        <f>IF(MAX(X316, Y316, Z316, AA316)&gt;0.9,
 "Critical",
 IF(AK316&lt;=0.2,"Very Low",
 IF(AK316&lt;=0.4,"Low",
 IF(AK316&lt;=0.6,"Medium",
 IF(AK316&lt;=0.8,"High","Critical")))))</f>
        <v>Very Low</v>
      </c>
      <c r="AM316" t="str">
        <f>IF(MAX(X316:AA316)&gt;0.9,"CRITICAL ALERT",
 IF(AK316&gt;0.8,"CRITICAL ALERT",
 IF(AK316&gt;0.6,"ALERT",
 IF(AK316&gt;=0.4,"REVIEW","NO ACTION"))))</f>
        <v>NO ACTION</v>
      </c>
      <c r="AN316" t="str">
        <f>IF(AM316="NO ACTION","",
 IF(_xlfn.TEXTJOIN(", ", TRUE,
  IF(X316&gt;0.7,"Login anomaly",""),
  IF(Y316&gt;0.7,"File anomaly",""),
  IF(Z316&gt;0.7,"Network anomaly",""),
  IF(AA316&gt;0.7,"USB anomaly","")
 )="",
 "General anomaly detected",
 _xlfn.TEXTJOIN(", ", TRUE,
  IF(X316&gt;0.7,"Login anomaly",""),
  IF(Y316&gt;0.7,"File anomaly",""),
  IF(Z316&gt;0.7,"Network anomaly",""),
  IF(AA316&gt;0.7,"USB anomaly","")
 )))</f>
        <v/>
      </c>
    </row>
    <row r="317" spans="1:40" x14ac:dyDescent="0.3">
      <c r="A317" t="s">
        <v>340</v>
      </c>
      <c r="B317">
        <v>0.12892249527410199</v>
      </c>
      <c r="C317">
        <v>0.27848762186071102</v>
      </c>
      <c r="D317">
        <v>7.5124914167671697E-2</v>
      </c>
      <c r="E317">
        <v>0</v>
      </c>
      <c r="F317">
        <v>0</v>
      </c>
      <c r="G317">
        <v>0.99367929015455603</v>
      </c>
      <c r="H317">
        <v>7</v>
      </c>
      <c r="I317">
        <v>8</v>
      </c>
      <c r="J317">
        <v>8.8259147941414998E-2</v>
      </c>
      <c r="K317">
        <v>1.1419249592169599E-2</v>
      </c>
      <c r="L317">
        <v>3.2959778312074597E-2</v>
      </c>
      <c r="M317">
        <v>2.8860028860028799E-3</v>
      </c>
      <c r="N317">
        <v>1.97072768501339E-2</v>
      </c>
      <c r="O317">
        <v>1004</v>
      </c>
      <c r="P317">
        <v>7.1198092031425297E-2</v>
      </c>
      <c r="Q317">
        <v>7.1355938146498807E-2</v>
      </c>
      <c r="R317">
        <v>0</v>
      </c>
      <c r="S317">
        <v>0</v>
      </c>
      <c r="T317" t="s">
        <v>49</v>
      </c>
      <c r="U317">
        <v>2.16123499142367E-2</v>
      </c>
      <c r="V317">
        <v>0</v>
      </c>
      <c r="W317">
        <v>0</v>
      </c>
      <c r="X317">
        <v>2.25374742503015E-2</v>
      </c>
      <c r="Y317">
        <v>4.0043901799360501E-2</v>
      </c>
      <c r="Z317">
        <v>5.06017659589088E-2</v>
      </c>
      <c r="AA317">
        <v>0</v>
      </c>
      <c r="AB317">
        <v>1.830399967730045E-2</v>
      </c>
      <c r="AC317">
        <v>1.219999976456165E-4</v>
      </c>
      <c r="AD317">
        <v>4.3520000763237476E-3</v>
      </c>
      <c r="AE317">
        <v>1.860999967902899E-3</v>
      </c>
      <c r="AF317">
        <f>0.16*X317 + 0.28*Y317 + 0.28*Z317 + 0.28*AA317</f>
        <v>2.8986782852363648E-2</v>
      </c>
      <c r="AG317">
        <f t="shared" si="12"/>
        <v>4.7024399600923052E-3</v>
      </c>
      <c r="AH317">
        <f>IF(T317="IT_Admin", 0.25, IF(AND(T317="HR", AA317&gt;0.6), 0.25, IF(AND(T317="General", Z317&gt;0.7), 0.2, 0.1)))</f>
        <v>0.1</v>
      </c>
      <c r="AI317">
        <f>IF(V317&gt;0.7, 0.1,
 IF(F317&gt;0.5, 0.08,
 IF(E317&gt;0.5, 0.05,
 0)))</f>
        <v>0</v>
      </c>
      <c r="AJ317">
        <f t="shared" si="13"/>
        <v>1.1987742827773706E-2</v>
      </c>
      <c r="AK317">
        <f t="shared" si="14"/>
        <v>1.3186517110551079E-2</v>
      </c>
      <c r="AL317" t="str">
        <f>IF(MAX(X317, Y317, Z317, AA317)&gt;0.9,
 "Critical",
 IF(AK317&lt;=0.2,"Very Low",
 IF(AK317&lt;=0.4,"Low",
 IF(AK317&lt;=0.6,"Medium",
 IF(AK317&lt;=0.8,"High","Critical")))))</f>
        <v>Very Low</v>
      </c>
      <c r="AM317" t="str">
        <f>IF(MAX(X317:AA317)&gt;0.9,"CRITICAL ALERT",
 IF(AK317&gt;0.8,"CRITICAL ALERT",
 IF(AK317&gt;0.6,"ALERT",
 IF(AK317&gt;=0.4,"REVIEW","NO ACTION"))))</f>
        <v>NO ACTION</v>
      </c>
      <c r="AN317" t="str">
        <f>IF(AM317="NO ACTION","",
 IF(_xlfn.TEXTJOIN(", ", TRUE,
  IF(X317&gt;0.7,"Login anomaly",""),
  IF(Y317&gt;0.7,"File anomaly",""),
  IF(Z317&gt;0.7,"Network anomaly",""),
  IF(AA317&gt;0.7,"USB anomaly","")
 )="",
 "General anomaly detected",
 _xlfn.TEXTJOIN(", ", TRUE,
  IF(X317&gt;0.7,"Login anomaly",""),
  IF(Y317&gt;0.7,"File anomaly",""),
  IF(Z317&gt;0.7,"Network anomaly",""),
  IF(AA317&gt;0.7,"USB anomaly","")
 )))</f>
        <v/>
      </c>
    </row>
    <row r="318" spans="1:40" x14ac:dyDescent="0.3">
      <c r="A318" t="s">
        <v>341</v>
      </c>
      <c r="B318">
        <v>0.12892249527410199</v>
      </c>
      <c r="C318">
        <v>0.18476582604220201</v>
      </c>
      <c r="D318">
        <v>0</v>
      </c>
      <c r="E318">
        <v>0</v>
      </c>
      <c r="F318">
        <v>0</v>
      </c>
      <c r="G318">
        <v>0.99364449864607696</v>
      </c>
      <c r="H318">
        <v>7</v>
      </c>
      <c r="I318">
        <v>7</v>
      </c>
      <c r="J318">
        <v>0.12799961833881901</v>
      </c>
      <c r="K318">
        <v>7.34094616639478E-3</v>
      </c>
      <c r="L318">
        <v>1.46222230792965E-2</v>
      </c>
      <c r="M318">
        <v>1.1544011544011501E-3</v>
      </c>
      <c r="N318">
        <v>5.4400295471724001E-3</v>
      </c>
      <c r="O318">
        <v>500</v>
      </c>
      <c r="P318">
        <v>9.7818462401795703E-2</v>
      </c>
      <c r="Q318">
        <v>9.7969774536274007E-2</v>
      </c>
      <c r="R318">
        <v>0</v>
      </c>
      <c r="S318">
        <v>0</v>
      </c>
      <c r="T318" t="s">
        <v>24</v>
      </c>
      <c r="U318">
        <v>3.0566037735849001E-2</v>
      </c>
      <c r="V318">
        <v>0</v>
      </c>
      <c r="W318">
        <v>0</v>
      </c>
      <c r="X318">
        <v>0</v>
      </c>
      <c r="Y318">
        <v>3.4543044071563903E-2</v>
      </c>
      <c r="Z318">
        <v>6.0867089259946397E-2</v>
      </c>
      <c r="AA318">
        <v>0</v>
      </c>
      <c r="AB318">
        <v>3.6757998168468482E-2</v>
      </c>
      <c r="AC318">
        <v>3.3499998971819878E-4</v>
      </c>
      <c r="AD318">
        <v>1.9829999655485149E-3</v>
      </c>
      <c r="AE318">
        <v>1.954999985173345E-3</v>
      </c>
      <c r="AF318">
        <f>0.16*X318 + 0.28*Y318 + 0.28*Z318 + 0.28*AA318</f>
        <v>2.6714837332822886E-2</v>
      </c>
      <c r="AG318">
        <f t="shared" si="12"/>
        <v>7.0777196902781737E-3</v>
      </c>
      <c r="AH318">
        <f>IF(T318="IT_Admin", 0.25, IF(AND(T318="HR", AA318&gt;0.6), 0.25, IF(AND(T318="General", Z318&gt;0.7), 0.2, 0.1)))</f>
        <v>0.25</v>
      </c>
      <c r="AI318">
        <f>IF(V318&gt;0.7, 0.1,
 IF(F318&gt;0.5, 0.08,
 IF(E318&gt;0.5, 0.05,
 0)))</f>
        <v>0</v>
      </c>
      <c r="AJ318">
        <f t="shared" si="13"/>
        <v>1.2968854983041588E-2</v>
      </c>
      <c r="AK318">
        <f t="shared" si="14"/>
        <v>1.6211068728801986E-2</v>
      </c>
      <c r="AL318" t="str">
        <f>IF(MAX(X318, Y318, Z318, AA318)&gt;0.9,
 "Critical",
 IF(AK318&lt;=0.2,"Very Low",
 IF(AK318&lt;=0.4,"Low",
 IF(AK318&lt;=0.6,"Medium",
 IF(AK318&lt;=0.8,"High","Critical")))))</f>
        <v>Very Low</v>
      </c>
      <c r="AM318" t="str">
        <f>IF(MAX(X318:AA318)&gt;0.9,"CRITICAL ALERT",
 IF(AK318&gt;0.8,"CRITICAL ALERT",
 IF(AK318&gt;0.6,"ALERT",
 IF(AK318&gt;=0.4,"REVIEW","NO ACTION"))))</f>
        <v>NO ACTION</v>
      </c>
      <c r="AN318" t="str">
        <f>IF(AM318="NO ACTION","",
 IF(_xlfn.TEXTJOIN(", ", TRUE,
  IF(X318&gt;0.7,"Login anomaly",""),
  IF(Y318&gt;0.7,"File anomaly",""),
  IF(Z318&gt;0.7,"Network anomaly",""),
  IF(AA318&gt;0.7,"USB anomaly","")
 )="",
 "General anomaly detected",
 _xlfn.TEXTJOIN(", ", TRUE,
  IF(X318&gt;0.7,"Login anomaly",""),
  IF(Y318&gt;0.7,"File anomaly",""),
  IF(Z318&gt;0.7,"Network anomaly",""),
  IF(AA318&gt;0.7,"USB anomaly","")
 )))</f>
        <v/>
      </c>
    </row>
    <row r="319" spans="1:40" x14ac:dyDescent="0.3">
      <c r="A319" t="s">
        <v>342</v>
      </c>
      <c r="B319">
        <v>0.236672967863894</v>
      </c>
      <c r="C319">
        <v>0.76399202673005995</v>
      </c>
      <c r="D319">
        <v>0.36152762673758698</v>
      </c>
      <c r="E319">
        <v>0</v>
      </c>
      <c r="F319">
        <v>0</v>
      </c>
      <c r="G319">
        <v>0.47630307914977998</v>
      </c>
      <c r="H319">
        <v>8</v>
      </c>
      <c r="I319">
        <v>14</v>
      </c>
      <c r="J319">
        <v>9.9708983350031005E-2</v>
      </c>
      <c r="K319">
        <v>1.1419249592169599E-2</v>
      </c>
      <c r="L319">
        <v>2.9183956452934801E-2</v>
      </c>
      <c r="M319">
        <v>2.59740259740259E-3</v>
      </c>
      <c r="N319">
        <v>1.5704677184390701E-2</v>
      </c>
      <c r="O319">
        <v>954</v>
      </c>
      <c r="P319">
        <v>7.9475308641975301E-2</v>
      </c>
      <c r="Q319">
        <v>7.9631123110908503E-2</v>
      </c>
      <c r="R319">
        <v>0</v>
      </c>
      <c r="S319">
        <v>0</v>
      </c>
      <c r="T319" t="s">
        <v>24</v>
      </c>
      <c r="U319">
        <v>2.3773584905660301E-2</v>
      </c>
      <c r="V319">
        <v>0</v>
      </c>
      <c r="W319">
        <v>0</v>
      </c>
      <c r="X319">
        <v>0.10845828802127599</v>
      </c>
      <c r="Y319">
        <v>3.9245178051790799E-2</v>
      </c>
      <c r="Z319">
        <v>5.3967056058941497E-2</v>
      </c>
      <c r="AA319">
        <v>0</v>
      </c>
      <c r="AB319">
        <v>3.6809001117944717E-2</v>
      </c>
      <c r="AC319">
        <v>1.270000066142529E-4</v>
      </c>
      <c r="AD319">
        <v>3.2579998951405291E-3</v>
      </c>
      <c r="AE319">
        <v>7.4439998716115952E-3</v>
      </c>
      <c r="AF319">
        <f>0.16*X319 + 0.28*Y319 + 0.28*Z319 + 0.28*AA319</f>
        <v>4.3452751634409204E-2</v>
      </c>
      <c r="AG319">
        <f t="shared" si="12"/>
        <v>8.9215601154137413E-3</v>
      </c>
      <c r="AH319">
        <f>IF(T319="IT_Admin", 0.25, IF(AND(T319="HR", AA319&gt;0.6), 0.25, IF(AND(T319="General", Z319&gt;0.7), 0.2, 0.1)))</f>
        <v>0.25</v>
      </c>
      <c r="AI319">
        <f>IF(V319&gt;0.7, 0.1,
 IF(F319&gt;0.5, 0.08,
 IF(E319&gt;0.5, 0.05,
 0)))</f>
        <v>0</v>
      </c>
      <c r="AJ319">
        <f t="shared" si="13"/>
        <v>1.9280917571112381E-2</v>
      </c>
      <c r="AK319">
        <f t="shared" si="14"/>
        <v>2.4101146963890478E-2</v>
      </c>
      <c r="AL319" t="str">
        <f>IF(MAX(X319, Y319, Z319, AA319)&gt;0.9,
 "Critical",
 IF(AK319&lt;=0.2,"Very Low",
 IF(AK319&lt;=0.4,"Low",
 IF(AK319&lt;=0.6,"Medium",
 IF(AK319&lt;=0.8,"High","Critical")))))</f>
        <v>Very Low</v>
      </c>
      <c r="AM319" t="str">
        <f>IF(MAX(X319:AA319)&gt;0.9,"CRITICAL ALERT",
 IF(AK319&gt;0.8,"CRITICAL ALERT",
 IF(AK319&gt;0.6,"ALERT",
 IF(AK319&gt;=0.4,"REVIEW","NO ACTION"))))</f>
        <v>NO ACTION</v>
      </c>
      <c r="AN319" t="str">
        <f>IF(AM319="NO ACTION","",
 IF(_xlfn.TEXTJOIN(", ", TRUE,
  IF(X319&gt;0.7,"Login anomaly",""),
  IF(Y319&gt;0.7,"File anomaly",""),
  IF(Z319&gt;0.7,"Network anomaly",""),
  IF(AA319&gt;0.7,"USB anomaly","")
 )="",
 "General anomaly detected",
 _xlfn.TEXTJOIN(", ", TRUE,
  IF(X319&gt;0.7,"Login anomaly",""),
  IF(Y319&gt;0.7,"File anomaly",""),
  IF(Z319&gt;0.7,"Network anomaly",""),
  IF(AA319&gt;0.7,"USB anomaly","")
 )))</f>
        <v/>
      </c>
    </row>
    <row r="320" spans="1:40" x14ac:dyDescent="0.3">
      <c r="A320" t="s">
        <v>343</v>
      </c>
      <c r="B320">
        <v>0.12892249527410199</v>
      </c>
      <c r="C320">
        <v>0.36953165208440503</v>
      </c>
      <c r="D320">
        <v>0</v>
      </c>
      <c r="E320">
        <v>0</v>
      </c>
      <c r="F320">
        <v>0</v>
      </c>
      <c r="G320">
        <v>0.99367626596958802</v>
      </c>
      <c r="H320">
        <v>8</v>
      </c>
      <c r="I320">
        <v>8</v>
      </c>
      <c r="J320">
        <v>7.18000095415295E-2</v>
      </c>
      <c r="K320">
        <v>4.8939641109298502E-3</v>
      </c>
      <c r="L320">
        <v>1.73529958662909E-2</v>
      </c>
      <c r="M320">
        <v>2.88600288600288E-4</v>
      </c>
      <c r="N320">
        <v>2.4209932819204299E-3</v>
      </c>
      <c r="O320">
        <v>341</v>
      </c>
      <c r="P320">
        <v>5.5029461279461199E-2</v>
      </c>
      <c r="Q320">
        <v>5.51912759914443E-2</v>
      </c>
      <c r="R320">
        <v>0</v>
      </c>
      <c r="S320">
        <v>0</v>
      </c>
      <c r="T320" t="s">
        <v>49</v>
      </c>
      <c r="U320">
        <v>5.0943396226415097E-2</v>
      </c>
      <c r="V320">
        <v>0</v>
      </c>
      <c r="W320">
        <v>0</v>
      </c>
      <c r="X320">
        <v>0</v>
      </c>
      <c r="Y320">
        <v>2.3762797826027499E-2</v>
      </c>
      <c r="Z320">
        <v>3.3986074080444899E-2</v>
      </c>
      <c r="AA320">
        <v>0</v>
      </c>
      <c r="AB320">
        <v>2.4973999708890911E-2</v>
      </c>
      <c r="AC320">
        <v>5.4899998940527439E-4</v>
      </c>
      <c r="AD320">
        <v>7.0070000365376472E-3</v>
      </c>
      <c r="AE320">
        <v>2.4949999060481791E-3</v>
      </c>
      <c r="AF320">
        <f>0.16*X320 + 0.28*Y320 + 0.28*Z320 + 0.28*AA320</f>
        <v>1.6169684133812274E-2</v>
      </c>
      <c r="AG320">
        <f t="shared" si="12"/>
        <v>6.8101199343800541E-3</v>
      </c>
      <c r="AH320">
        <f>IF(T320="IT_Admin", 0.25, IF(AND(T320="HR", AA320&gt;0.6), 0.25, IF(AND(T320="General", Z320&gt;0.7), 0.2, 0.1)))</f>
        <v>0.1</v>
      </c>
      <c r="AI320">
        <f>IF(V320&gt;0.7, 0.1,
 IF(F320&gt;0.5, 0.08,
 IF(E320&gt;0.5, 0.05,
 0)))</f>
        <v>0</v>
      </c>
      <c r="AJ320">
        <f t="shared" si="13"/>
        <v>9.6179891942097182E-3</v>
      </c>
      <c r="AK320">
        <f t="shared" si="14"/>
        <v>1.0579788113630691E-2</v>
      </c>
      <c r="AL320" t="str">
        <f>IF(MAX(X320, Y320, Z320, AA320)&gt;0.9,
 "Critical",
 IF(AK320&lt;=0.2,"Very Low",
 IF(AK320&lt;=0.4,"Low",
 IF(AK320&lt;=0.6,"Medium",
 IF(AK320&lt;=0.8,"High","Critical")))))</f>
        <v>Very Low</v>
      </c>
      <c r="AM320" t="str">
        <f>IF(MAX(X320:AA320)&gt;0.9,"CRITICAL ALERT",
 IF(AK320&gt;0.8,"CRITICAL ALERT",
 IF(AK320&gt;0.6,"ALERT",
 IF(AK320&gt;=0.4,"REVIEW","NO ACTION"))))</f>
        <v>NO ACTION</v>
      </c>
      <c r="AN320" t="str">
        <f>IF(AM320="NO ACTION","",
 IF(_xlfn.TEXTJOIN(", ", TRUE,
  IF(X320&gt;0.7,"Login anomaly",""),
  IF(Y320&gt;0.7,"File anomaly",""),
  IF(Z320&gt;0.7,"Network anomaly",""),
  IF(AA320&gt;0.7,"USB anomaly","")
 )="",
 "General anomaly detected",
 _xlfn.TEXTJOIN(", ", TRUE,
  IF(X320&gt;0.7,"Login anomaly",""),
  IF(Y320&gt;0.7,"File anomaly",""),
  IF(Z320&gt;0.7,"Network anomaly",""),
  IF(AA320&gt;0.7,"USB anomaly","")
 )))</f>
        <v/>
      </c>
    </row>
    <row r="321" spans="1:40" x14ac:dyDescent="0.3">
      <c r="A321" t="s">
        <v>344</v>
      </c>
      <c r="B321">
        <v>0.12892249527410199</v>
      </c>
      <c r="C321">
        <v>9.7470667651248899E-2</v>
      </c>
      <c r="D321">
        <v>7.5018780494472401E-2</v>
      </c>
      <c r="E321">
        <v>0</v>
      </c>
      <c r="F321">
        <v>0.47246376811594198</v>
      </c>
      <c r="G321">
        <v>0.99367597157990095</v>
      </c>
      <c r="H321">
        <v>6</v>
      </c>
      <c r="I321">
        <v>7</v>
      </c>
      <c r="J321">
        <v>0.12618672773245501</v>
      </c>
      <c r="K321">
        <v>1.7944535073409401E-2</v>
      </c>
      <c r="L321">
        <v>3.6255756143282102E-2</v>
      </c>
      <c r="M321">
        <v>4.9062049062049001E-3</v>
      </c>
      <c r="N321">
        <v>2.3451659451659401E-2</v>
      </c>
      <c r="O321">
        <v>1417</v>
      </c>
      <c r="P321">
        <v>0.10286896745229999</v>
      </c>
      <c r="Q321">
        <v>0.103019039938286</v>
      </c>
      <c r="R321">
        <v>0</v>
      </c>
      <c r="S321">
        <v>0</v>
      </c>
      <c r="T321" t="s">
        <v>24</v>
      </c>
      <c r="U321">
        <v>2.0754716981132001E-2</v>
      </c>
      <c r="V321">
        <v>0</v>
      </c>
      <c r="W321">
        <v>0</v>
      </c>
      <c r="X321">
        <v>0.211491141394718</v>
      </c>
      <c r="Y321">
        <v>5.0400721453629997E-2</v>
      </c>
      <c r="Z321">
        <v>7.1102044252044194E-2</v>
      </c>
      <c r="AA321">
        <v>0</v>
      </c>
      <c r="AB321">
        <v>4.3005000799894333E-2</v>
      </c>
      <c r="AC321">
        <v>7.3000002885237336E-5</v>
      </c>
      <c r="AD321">
        <v>1.35399994906038E-3</v>
      </c>
      <c r="AE321">
        <v>6.6899997182190418E-4</v>
      </c>
      <c r="AF321">
        <f>0.16*X321 + 0.28*Y321 + 0.28*Z321 + 0.28*AA321</f>
        <v>6.7859357020743652E-2</v>
      </c>
      <c r="AG321">
        <f t="shared" si="12"/>
        <v>7.4676801066379996E-3</v>
      </c>
      <c r="AH321">
        <f>IF(T321="IT_Admin", 0.25, IF(AND(T321="HR", AA321&gt;0.6), 0.25, IF(AND(T321="General", Z321&gt;0.7), 0.2, 0.1)))</f>
        <v>0.25</v>
      </c>
      <c r="AI321">
        <f>IF(V321&gt;0.7, 0.1,
 IF(F321&gt;0.5, 0.08,
 IF(E321&gt;0.5, 0.05,
 0)))</f>
        <v>0</v>
      </c>
      <c r="AJ321">
        <f t="shared" si="13"/>
        <v>2.5585183180869695E-2</v>
      </c>
      <c r="AK321">
        <f t="shared" si="14"/>
        <v>3.1981478976087122E-2</v>
      </c>
      <c r="AL321" t="str">
        <f>IF(MAX(X321, Y321, Z321, AA321)&gt;0.9,
 "Critical",
 IF(AK321&lt;=0.2,"Very Low",
 IF(AK321&lt;=0.4,"Low",
 IF(AK321&lt;=0.6,"Medium",
 IF(AK321&lt;=0.8,"High","Critical")))))</f>
        <v>Very Low</v>
      </c>
      <c r="AM321" t="str">
        <f>IF(MAX(X321:AA321)&gt;0.9,"CRITICAL ALERT",
 IF(AK321&gt;0.8,"CRITICAL ALERT",
 IF(AK321&gt;0.6,"ALERT",
 IF(AK321&gt;=0.4,"REVIEW","NO ACTION"))))</f>
        <v>NO ACTION</v>
      </c>
      <c r="AN321" t="str">
        <f>IF(AM321="NO ACTION","",
 IF(_xlfn.TEXTJOIN(", ", TRUE,
  IF(X321&gt;0.7,"Login anomaly",""),
  IF(Y321&gt;0.7,"File anomaly",""),
  IF(Z321&gt;0.7,"Network anomaly",""),
  IF(AA321&gt;0.7,"USB anomaly","")
 )="",
 "General anomaly detected",
 _xlfn.TEXTJOIN(", ", TRUE,
  IF(X321&gt;0.7,"Login anomaly",""),
  IF(Y321&gt;0.7,"File anomaly",""),
  IF(Z321&gt;0.7,"Network anomaly",""),
  IF(AA321&gt;0.7,"USB anomaly","")
 )))</f>
        <v/>
      </c>
    </row>
    <row r="322" spans="1:40" x14ac:dyDescent="0.3">
      <c r="A322" t="s">
        <v>345</v>
      </c>
      <c r="B322">
        <v>0.12892249527410199</v>
      </c>
      <c r="C322">
        <v>0.27206098443315602</v>
      </c>
      <c r="D322">
        <v>7.5018780494472401E-2</v>
      </c>
      <c r="E322">
        <v>0</v>
      </c>
      <c r="F322">
        <v>0</v>
      </c>
      <c r="G322">
        <v>0.99366443685670502</v>
      </c>
      <c r="H322">
        <v>7</v>
      </c>
      <c r="I322">
        <v>8</v>
      </c>
      <c r="J322">
        <v>0.11216067935689999</v>
      </c>
      <c r="K322">
        <v>1.8760195758564399E-2</v>
      </c>
      <c r="L322">
        <v>4.2633669102736603E-2</v>
      </c>
      <c r="M322">
        <v>2.59740259740259E-3</v>
      </c>
      <c r="N322">
        <v>1.39648975811963E-2</v>
      </c>
      <c r="O322">
        <v>1264</v>
      </c>
      <c r="P322">
        <v>9.1785914702581295E-2</v>
      </c>
      <c r="Q322">
        <v>9.1938707528314401E-2</v>
      </c>
      <c r="R322">
        <v>0</v>
      </c>
      <c r="S322">
        <v>0</v>
      </c>
      <c r="T322" t="s">
        <v>24</v>
      </c>
      <c r="U322">
        <v>3.90566037735849E-2</v>
      </c>
      <c r="V322">
        <v>0</v>
      </c>
      <c r="W322">
        <v>0</v>
      </c>
      <c r="X322">
        <v>2.25056341483417E-2</v>
      </c>
      <c r="Y322">
        <v>4.7938439697107399E-2</v>
      </c>
      <c r="Z322">
        <v>6.06575078540273E-2</v>
      </c>
      <c r="AA322">
        <v>0</v>
      </c>
      <c r="AB322">
        <v>1.8810000270605091E-2</v>
      </c>
      <c r="AC322">
        <v>7.9999999798019417E-6</v>
      </c>
      <c r="AD322">
        <v>2.3380001075565811E-3</v>
      </c>
      <c r="AE322">
        <v>1.2959999730810521E-3</v>
      </c>
      <c r="AF322">
        <f>0.16*X322 + 0.28*Y322 + 0.28*Z322 + 0.28*AA322</f>
        <v>3.4007766778052395E-2</v>
      </c>
      <c r="AG322">
        <f t="shared" si="12"/>
        <v>4.0293600658696969E-3</v>
      </c>
      <c r="AH322">
        <f>IF(T322="IT_Admin", 0.25, IF(AND(T322="HR", AA322&gt;0.6), 0.25, IF(AND(T322="General", Z322&gt;0.7), 0.2, 0.1)))</f>
        <v>0.25</v>
      </c>
      <c r="AI322">
        <f>IF(V322&gt;0.7, 0.1,
 IF(F322&gt;0.5, 0.08,
 IF(E322&gt;0.5, 0.05,
 0)))</f>
        <v>0</v>
      </c>
      <c r="AJ322">
        <f t="shared" si="13"/>
        <v>1.3022882079524506E-2</v>
      </c>
      <c r="AK322">
        <f t="shared" si="14"/>
        <v>1.6278602599405632E-2</v>
      </c>
      <c r="AL322" t="str">
        <f>IF(MAX(X322, Y322, Z322, AA322)&gt;0.9,
 "Critical",
 IF(AK322&lt;=0.2,"Very Low",
 IF(AK322&lt;=0.4,"Low",
 IF(AK322&lt;=0.6,"Medium",
 IF(AK322&lt;=0.8,"High","Critical")))))</f>
        <v>Very Low</v>
      </c>
      <c r="AM322" t="str">
        <f>IF(MAX(X322:AA322)&gt;0.9,"CRITICAL ALERT",
 IF(AK322&gt;0.8,"CRITICAL ALERT",
 IF(AK322&gt;0.6,"ALERT",
 IF(AK322&gt;=0.4,"REVIEW","NO ACTION"))))</f>
        <v>NO ACTION</v>
      </c>
      <c r="AN322" t="str">
        <f>IF(AM322="NO ACTION","",
 IF(_xlfn.TEXTJOIN(", ", TRUE,
  IF(X322&gt;0.7,"Login anomaly",""),
  IF(Y322&gt;0.7,"File anomaly",""),
  IF(Z322&gt;0.7,"Network anomaly",""),
  IF(AA322&gt;0.7,"USB anomaly","")
 )="",
 "General anomaly detected",
 _xlfn.TEXTJOIN(", ", TRUE,
  IF(X322&gt;0.7,"Login anomaly",""),
  IF(Y322&gt;0.7,"File anomaly",""),
  IF(Z322&gt;0.7,"Network anomaly",""),
  IF(AA322&gt;0.7,"USB anomaly","")
 )))</f>
        <v/>
      </c>
    </row>
    <row r="323" spans="1:40" x14ac:dyDescent="0.3">
      <c r="A323" t="s">
        <v>346</v>
      </c>
      <c r="B323">
        <v>0.24158790170132299</v>
      </c>
      <c r="C323">
        <v>0.48447151276384698</v>
      </c>
      <c r="D323">
        <v>0.36568288767504897</v>
      </c>
      <c r="E323">
        <v>0</v>
      </c>
      <c r="F323">
        <v>0.28304821150855303</v>
      </c>
      <c r="G323">
        <v>0.4634653735525</v>
      </c>
      <c r="H323">
        <v>6</v>
      </c>
      <c r="I323">
        <v>14</v>
      </c>
      <c r="J323">
        <v>0.11764705882352899</v>
      </c>
      <c r="K323">
        <v>2.4469820554649199E-3</v>
      </c>
      <c r="L323">
        <v>5.3021092185551004E-3</v>
      </c>
      <c r="M323">
        <v>8.6580086580086504E-4</v>
      </c>
      <c r="N323">
        <v>4.4383243897610503E-3</v>
      </c>
      <c r="O323">
        <v>487</v>
      </c>
      <c r="P323">
        <v>8.7962962962962896E-2</v>
      </c>
      <c r="Q323">
        <v>8.8116694133735393E-2</v>
      </c>
      <c r="R323">
        <v>0.17699115044247701</v>
      </c>
      <c r="S323">
        <v>1</v>
      </c>
      <c r="T323" t="s">
        <v>24</v>
      </c>
      <c r="U323">
        <v>1.27358490566037E-2</v>
      </c>
      <c r="V323">
        <v>0</v>
      </c>
      <c r="W323">
        <v>4.8974883477001498E-2</v>
      </c>
      <c r="X323">
        <v>0.22292415090593601</v>
      </c>
      <c r="Y323">
        <v>2.75119636909117E-2</v>
      </c>
      <c r="Z323">
        <v>5.4553107533682199E-2</v>
      </c>
      <c r="AA323">
        <v>0.17699115044247701</v>
      </c>
      <c r="AB323">
        <v>3.009600006043911E-2</v>
      </c>
      <c r="AC323">
        <v>7.6099997386336327E-4</v>
      </c>
      <c r="AD323">
        <v>2.3910000454634428E-3</v>
      </c>
      <c r="AE323">
        <v>6.2118001282215118E-2</v>
      </c>
      <c r="AF323">
        <f>0.16*X323 + 0.28*Y323 + 0.28*Z323 + 0.28*AA323</f>
        <v>0.10820360621172961</v>
      </c>
      <c r="AG323">
        <f t="shared" ref="AG323:AG386" si="15">0.16*AB323 + 0.28*AC323 + 0.28*AD323 + 0.28*AE323</f>
        <v>2.3090960374102E-2</v>
      </c>
      <c r="AH323">
        <f>IF(T323="IT_Admin", 0.25, IF(AND(T323="HR", AA323&gt;0.6), 0.25, IF(AND(T323="General", Z323&gt;0.7), 0.2, 0.1)))</f>
        <v>0.25</v>
      </c>
      <c r="AI323">
        <f>IF(V323&gt;0.7, 0.1,
 IF(F323&gt;0.5, 0.08,
 IF(E323&gt;0.5, 0.05,
 0)))</f>
        <v>0</v>
      </c>
      <c r="AJ323">
        <f t="shared" ref="AJ323:AJ386" si="16">0.3*AF323+0.7*AG323</f>
        <v>4.8624754125390288E-2</v>
      </c>
      <c r="AK323">
        <f t="shared" ref="AK323:AK386" si="17">MIN(1,AJ323*(1+AH323+AI323))</f>
        <v>6.0780942656737863E-2</v>
      </c>
      <c r="AL323" t="str">
        <f>IF(MAX(X323, Y323, Z323, AA323)&gt;0.9,
 "Critical",
 IF(AK323&lt;=0.2,"Very Low",
 IF(AK323&lt;=0.4,"Low",
 IF(AK323&lt;=0.6,"Medium",
 IF(AK323&lt;=0.8,"High","Critical")))))</f>
        <v>Very Low</v>
      </c>
      <c r="AM323" t="str">
        <f>IF(MAX(X323:AA323)&gt;0.9,"CRITICAL ALERT",
 IF(AK323&gt;0.8,"CRITICAL ALERT",
 IF(AK323&gt;0.6,"ALERT",
 IF(AK323&gt;=0.4,"REVIEW","NO ACTION"))))</f>
        <v>NO ACTION</v>
      </c>
      <c r="AN323" t="str">
        <f>IF(AM323="NO ACTION","",
 IF(_xlfn.TEXTJOIN(", ", TRUE,
  IF(X323&gt;0.7,"Login anomaly",""),
  IF(Y323&gt;0.7,"File anomaly",""),
  IF(Z323&gt;0.7,"Network anomaly",""),
  IF(AA323&gt;0.7,"USB anomaly","")
 )="",
 "General anomaly detected",
 _xlfn.TEXTJOIN(", ", TRUE,
  IF(X323&gt;0.7,"Login anomaly",""),
  IF(Y323&gt;0.7,"File anomaly",""),
  IF(Z323&gt;0.7,"Network anomaly",""),
  IF(AA323&gt;0.7,"USB anomaly","")
 )))</f>
        <v/>
      </c>
    </row>
    <row r="324" spans="1:40" x14ac:dyDescent="0.3">
      <c r="A324" t="s">
        <v>347</v>
      </c>
      <c r="B324">
        <v>0.12892249527410199</v>
      </c>
      <c r="C324">
        <v>0.28277204681241402</v>
      </c>
      <c r="D324">
        <v>7.4993488433305694E-2</v>
      </c>
      <c r="E324">
        <v>0</v>
      </c>
      <c r="F324">
        <v>0</v>
      </c>
      <c r="G324">
        <v>0.99368052123870199</v>
      </c>
      <c r="H324">
        <v>7</v>
      </c>
      <c r="I324">
        <v>8</v>
      </c>
      <c r="J324">
        <v>8.4299413195935299E-2</v>
      </c>
      <c r="K324">
        <v>8.9722675367047301E-3</v>
      </c>
      <c r="L324">
        <v>2.7109975671472199E-2</v>
      </c>
      <c r="M324">
        <v>2.3088023088023001E-3</v>
      </c>
      <c r="N324">
        <v>1.65042882875839E-2</v>
      </c>
      <c r="O324">
        <v>801</v>
      </c>
      <c r="P324">
        <v>6.6954264870931507E-2</v>
      </c>
      <c r="Q324">
        <v>6.7113152635085299E-2</v>
      </c>
      <c r="R324">
        <v>0</v>
      </c>
      <c r="S324">
        <v>0</v>
      </c>
      <c r="T324" t="s">
        <v>49</v>
      </c>
      <c r="U324">
        <v>2.0754716981132001E-2</v>
      </c>
      <c r="V324">
        <v>0</v>
      </c>
      <c r="W324">
        <v>0</v>
      </c>
      <c r="X324">
        <v>2.2498046529991701E-2</v>
      </c>
      <c r="Y324">
        <v>3.5366156961198297E-2</v>
      </c>
      <c r="Z324">
        <v>4.6774274237592499E-2</v>
      </c>
      <c r="AA324">
        <v>0</v>
      </c>
      <c r="AB324">
        <v>1.8162000924348831E-2</v>
      </c>
      <c r="AC324">
        <v>2.160000003641471E-4</v>
      </c>
      <c r="AD324">
        <v>4.9220002256333828E-3</v>
      </c>
      <c r="AE324">
        <v>2.2489998955279589E-3</v>
      </c>
      <c r="AF324">
        <f>0.16*X324 + 0.28*Y324 + 0.28*Z324 + 0.28*AA324</f>
        <v>2.6599008180460099E-2</v>
      </c>
      <c r="AG324">
        <f t="shared" si="15"/>
        <v>4.97428018192295E-3</v>
      </c>
      <c r="AH324">
        <f>IF(T324="IT_Admin", 0.25, IF(AND(T324="HR", AA324&gt;0.6), 0.25, IF(AND(T324="General", Z324&gt;0.7), 0.2, 0.1)))</f>
        <v>0.1</v>
      </c>
      <c r="AI324">
        <f>IF(V324&gt;0.7, 0.1,
 IF(F324&gt;0.5, 0.08,
 IF(E324&gt;0.5, 0.05,
 0)))</f>
        <v>0</v>
      </c>
      <c r="AJ324">
        <f t="shared" si="16"/>
        <v>1.1461698581484095E-2</v>
      </c>
      <c r="AK324">
        <f t="shared" si="17"/>
        <v>1.2607868439632505E-2</v>
      </c>
      <c r="AL324" t="str">
        <f>IF(MAX(X324, Y324, Z324, AA324)&gt;0.9,
 "Critical",
 IF(AK324&lt;=0.2,"Very Low",
 IF(AK324&lt;=0.4,"Low",
 IF(AK324&lt;=0.6,"Medium",
 IF(AK324&lt;=0.8,"High","Critical")))))</f>
        <v>Very Low</v>
      </c>
      <c r="AM324" t="str">
        <f>IF(MAX(X324:AA324)&gt;0.9,"CRITICAL ALERT",
 IF(AK324&gt;0.8,"CRITICAL ALERT",
 IF(AK324&gt;0.6,"ALERT",
 IF(AK324&gt;=0.4,"REVIEW","NO ACTION"))))</f>
        <v>NO ACTION</v>
      </c>
      <c r="AN324" t="str">
        <f>IF(AM324="NO ACTION","",
 IF(_xlfn.TEXTJOIN(", ", TRUE,
  IF(X324&gt;0.7,"Login anomaly",""),
  IF(Y324&gt;0.7,"File anomaly",""),
  IF(Z324&gt;0.7,"Network anomaly",""),
  IF(AA324&gt;0.7,"USB anomaly","")
 )="",
 "General anomaly detected",
 _xlfn.TEXTJOIN(", ", TRUE,
  IF(X324&gt;0.7,"Login anomaly",""),
  IF(Y324&gt;0.7,"File anomaly",""),
  IF(Z324&gt;0.7,"Network anomaly",""),
  IF(AA324&gt;0.7,"USB anomaly","")
 )))</f>
        <v/>
      </c>
    </row>
    <row r="325" spans="1:40" x14ac:dyDescent="0.3">
      <c r="A325" t="s">
        <v>348</v>
      </c>
      <c r="B325">
        <v>0.23440453686200299</v>
      </c>
      <c r="C325">
        <v>0.77992497723583598</v>
      </c>
      <c r="D325">
        <v>0.37874952811054502</v>
      </c>
      <c r="E325">
        <v>0</v>
      </c>
      <c r="F325">
        <v>0</v>
      </c>
      <c r="G325">
        <v>0.48212470086924403</v>
      </c>
      <c r="H325">
        <v>8</v>
      </c>
      <c r="I325">
        <v>14</v>
      </c>
      <c r="J325">
        <v>8.9594962072420195E-2</v>
      </c>
      <c r="K325">
        <v>1.38662316476345E-2</v>
      </c>
      <c r="L325">
        <v>3.9427456531039899E-2</v>
      </c>
      <c r="M325">
        <v>3.1746031746031698E-3</v>
      </c>
      <c r="N325">
        <v>2.1355655025330999E-2</v>
      </c>
      <c r="O325">
        <v>991</v>
      </c>
      <c r="P325">
        <v>7.3372615039281705E-2</v>
      </c>
      <c r="Q325">
        <v>7.3529927416809804E-2</v>
      </c>
      <c r="R325">
        <v>0</v>
      </c>
      <c r="S325">
        <v>0</v>
      </c>
      <c r="T325" t="s">
        <v>49</v>
      </c>
      <c r="U325">
        <v>2.40566037735849E-2</v>
      </c>
      <c r="V325">
        <v>0</v>
      </c>
      <c r="W325">
        <v>0</v>
      </c>
      <c r="X325">
        <v>0.113624858433163</v>
      </c>
      <c r="Y325">
        <v>4.4039417187603298E-2</v>
      </c>
      <c r="Z325">
        <v>5.2565831033701403E-2</v>
      </c>
      <c r="AA325">
        <v>0</v>
      </c>
      <c r="AB325">
        <v>3.9434000849723823E-2</v>
      </c>
      <c r="AC325">
        <v>6.5000000176951289E-5</v>
      </c>
      <c r="AD325">
        <v>3.8320000749081369E-3</v>
      </c>
      <c r="AE325">
        <v>6.3390000723302356E-3</v>
      </c>
      <c r="AF325">
        <f>0.16*X325 + 0.28*Y325 + 0.28*Z325 + 0.28*AA325</f>
        <v>4.52294468512714E-2</v>
      </c>
      <c r="AG325">
        <f t="shared" si="15"/>
        <v>9.1755201772321035E-3</v>
      </c>
      <c r="AH325">
        <f>IF(T325="IT_Admin", 0.25, IF(AND(T325="HR", AA325&gt;0.6), 0.25, IF(AND(T325="General", Z325&gt;0.7), 0.2, 0.1)))</f>
        <v>0.1</v>
      </c>
      <c r="AI325">
        <f>IF(V325&gt;0.7, 0.1,
 IF(F325&gt;0.5, 0.08,
 IF(E325&gt;0.5, 0.05,
 0)))</f>
        <v>0</v>
      </c>
      <c r="AJ325">
        <f t="shared" si="16"/>
        <v>1.9991698179443892E-2</v>
      </c>
      <c r="AK325">
        <f t="shared" si="17"/>
        <v>2.1990867997388284E-2</v>
      </c>
      <c r="AL325" t="str">
        <f>IF(MAX(X325, Y325, Z325, AA325)&gt;0.9,
 "Critical",
 IF(AK325&lt;=0.2,"Very Low",
 IF(AK325&lt;=0.4,"Low",
 IF(AK325&lt;=0.6,"Medium",
 IF(AK325&lt;=0.8,"High","Critical")))))</f>
        <v>Very Low</v>
      </c>
      <c r="AM325" t="str">
        <f>IF(MAX(X325:AA325)&gt;0.9,"CRITICAL ALERT",
 IF(AK325&gt;0.8,"CRITICAL ALERT",
 IF(AK325&gt;0.6,"ALERT",
 IF(AK325&gt;=0.4,"REVIEW","NO ACTION"))))</f>
        <v>NO ACTION</v>
      </c>
      <c r="AN325" t="str">
        <f>IF(AM325="NO ACTION","",
 IF(_xlfn.TEXTJOIN(", ", TRUE,
  IF(X325&gt;0.7,"Login anomaly",""),
  IF(Y325&gt;0.7,"File anomaly",""),
  IF(Z325&gt;0.7,"Network anomaly",""),
  IF(AA325&gt;0.7,"USB anomaly","")
 )="",
 "General anomaly detected",
 _xlfn.TEXTJOIN(", ", TRUE,
  IF(X325&gt;0.7,"Login anomaly",""),
  IF(Y325&gt;0.7,"File anomaly",""),
  IF(Z325&gt;0.7,"Network anomaly",""),
  IF(AA325&gt;0.7,"USB anomaly","")
 )))</f>
        <v/>
      </c>
    </row>
    <row r="326" spans="1:40" x14ac:dyDescent="0.3">
      <c r="A326" t="s">
        <v>349</v>
      </c>
      <c r="B326">
        <v>0.12892249527410199</v>
      </c>
      <c r="C326">
        <v>0.27634540938485902</v>
      </c>
      <c r="D326">
        <v>7.5129964412319103E-2</v>
      </c>
      <c r="E326">
        <v>0</v>
      </c>
      <c r="F326">
        <v>0</v>
      </c>
      <c r="G326">
        <v>0.99369772965404901</v>
      </c>
      <c r="H326">
        <v>7</v>
      </c>
      <c r="I326">
        <v>8</v>
      </c>
      <c r="J326">
        <v>0.113687324078049</v>
      </c>
      <c r="K326">
        <v>6.5252854812398002E-3</v>
      </c>
      <c r="L326">
        <v>1.4630387357956E-2</v>
      </c>
      <c r="M326">
        <v>0</v>
      </c>
      <c r="N326">
        <v>0</v>
      </c>
      <c r="O326">
        <v>467</v>
      </c>
      <c r="P326">
        <v>8.6384680134680106E-2</v>
      </c>
      <c r="Q326">
        <v>8.6538798695606406E-2</v>
      </c>
      <c r="R326">
        <v>0</v>
      </c>
      <c r="S326">
        <v>0</v>
      </c>
      <c r="T326" t="s">
        <v>24</v>
      </c>
      <c r="U326">
        <v>0.135849056603773</v>
      </c>
      <c r="V326">
        <v>0</v>
      </c>
      <c r="W326">
        <v>0</v>
      </c>
      <c r="X326">
        <v>2.2538989323695701E-2</v>
      </c>
      <c r="Y326">
        <v>3.0052658494587901E-2</v>
      </c>
      <c r="Z326">
        <v>5.1830808080807998E-2</v>
      </c>
      <c r="AA326">
        <v>0</v>
      </c>
      <c r="AB326">
        <v>1.8462000414729118E-2</v>
      </c>
      <c r="AC326">
        <v>3.6859998945146799E-3</v>
      </c>
      <c r="AD326">
        <v>3.1459999736398458E-3</v>
      </c>
      <c r="AE326">
        <v>2.0759999752044682E-3</v>
      </c>
      <c r="AF326">
        <f>0.16*X326 + 0.28*Y326 + 0.28*Z326 + 0.28*AA326</f>
        <v>2.6533608932902165E-2</v>
      </c>
      <c r="AG326">
        <f t="shared" si="15"/>
        <v>5.4481600224971782E-3</v>
      </c>
      <c r="AH326">
        <f>IF(T326="IT_Admin", 0.25, IF(AND(T326="HR", AA326&gt;0.6), 0.25, IF(AND(T326="General", Z326&gt;0.7), 0.2, 0.1)))</f>
        <v>0.25</v>
      </c>
      <c r="AI326">
        <f>IF(V326&gt;0.7, 0.1,
 IF(F326&gt;0.5, 0.08,
 IF(E326&gt;0.5, 0.05,
 0)))</f>
        <v>0</v>
      </c>
      <c r="AJ326">
        <f t="shared" si="16"/>
        <v>1.1773794695618674E-2</v>
      </c>
      <c r="AK326">
        <f t="shared" si="17"/>
        <v>1.4717243369523344E-2</v>
      </c>
      <c r="AL326" t="str">
        <f>IF(MAX(X326, Y326, Z326, AA326)&gt;0.9,
 "Critical",
 IF(AK326&lt;=0.2,"Very Low",
 IF(AK326&lt;=0.4,"Low",
 IF(AK326&lt;=0.6,"Medium",
 IF(AK326&lt;=0.8,"High","Critical")))))</f>
        <v>Very Low</v>
      </c>
      <c r="AM326" t="str">
        <f>IF(MAX(X326:AA326)&gt;0.9,"CRITICAL ALERT",
 IF(AK326&gt;0.8,"CRITICAL ALERT",
 IF(AK326&gt;0.6,"ALERT",
 IF(AK326&gt;=0.4,"REVIEW","NO ACTION"))))</f>
        <v>NO ACTION</v>
      </c>
      <c r="AN326" t="str">
        <f>IF(AM326="NO ACTION","",
 IF(_xlfn.TEXTJOIN(", ", TRUE,
  IF(X326&gt;0.7,"Login anomaly",""),
  IF(Y326&gt;0.7,"File anomaly",""),
  IF(Z326&gt;0.7,"Network anomaly",""),
  IF(AA326&gt;0.7,"USB anomaly","")
 )="",
 "General anomaly detected",
 _xlfn.TEXTJOIN(", ", TRUE,
  IF(X326&gt;0.7,"Login anomaly",""),
  IF(Y326&gt;0.7,"File anomaly",""),
  IF(Z326&gt;0.7,"Network anomaly",""),
  IF(AA326&gt;0.7,"USB anomaly","")
 )))</f>
        <v/>
      </c>
    </row>
    <row r="327" spans="1:40" x14ac:dyDescent="0.3">
      <c r="A327" t="s">
        <v>350</v>
      </c>
      <c r="B327">
        <v>0.23440453686200299</v>
      </c>
      <c r="C327">
        <v>0.664150236879264</v>
      </c>
      <c r="D327">
        <v>0.367855804182462</v>
      </c>
      <c r="E327">
        <v>0</v>
      </c>
      <c r="F327">
        <v>0</v>
      </c>
      <c r="G327">
        <v>0.48241965931741898</v>
      </c>
      <c r="H327">
        <v>7</v>
      </c>
      <c r="I327">
        <v>14</v>
      </c>
      <c r="J327">
        <v>0.10405037927579699</v>
      </c>
      <c r="K327">
        <v>2.2838499184339299E-2</v>
      </c>
      <c r="L327">
        <v>5.5938141600090099E-2</v>
      </c>
      <c r="M327">
        <v>5.7720057720057698E-4</v>
      </c>
      <c r="N327">
        <v>3.3446476264408498E-3</v>
      </c>
      <c r="O327">
        <v>436</v>
      </c>
      <c r="P327">
        <v>8.6595117845117794E-2</v>
      </c>
      <c r="Q327">
        <v>8.6749184754023601E-2</v>
      </c>
      <c r="R327">
        <v>0.27581120943952803</v>
      </c>
      <c r="S327">
        <v>1</v>
      </c>
      <c r="T327" t="s">
        <v>24</v>
      </c>
      <c r="U327">
        <v>0.15849056603773501</v>
      </c>
      <c r="V327">
        <v>0</v>
      </c>
      <c r="W327">
        <v>0</v>
      </c>
      <c r="X327">
        <v>0.110356741254738</v>
      </c>
      <c r="Y327">
        <v>4.9782540943136798E-2</v>
      </c>
      <c r="Z327">
        <v>5.3294929757646999E-2</v>
      </c>
      <c r="AA327">
        <v>0.27581120943952803</v>
      </c>
      <c r="AB327">
        <v>2.3538000881671909E-2</v>
      </c>
      <c r="AC327">
        <v>5.0420002080500126E-3</v>
      </c>
      <c r="AD327">
        <v>2.55999993532896E-3</v>
      </c>
      <c r="AE327">
        <v>9.0723000466823578E-2</v>
      </c>
      <c r="AF327">
        <f>0.16*X327 + 0.28*Y327 + 0.28*Z327 + 0.28*AA327</f>
        <v>0.1237459090400454</v>
      </c>
      <c r="AG327">
        <f t="shared" si="15"/>
        <v>3.1297080311924221E-2</v>
      </c>
      <c r="AH327">
        <f>IF(T327="IT_Admin", 0.25, IF(AND(T327="HR", AA327&gt;0.6), 0.25, IF(AND(T327="General", Z327&gt;0.7), 0.2, 0.1)))</f>
        <v>0.25</v>
      </c>
      <c r="AI327">
        <f>IF(V327&gt;0.7, 0.1,
 IF(F327&gt;0.5, 0.08,
 IF(E327&gt;0.5, 0.05,
 0)))</f>
        <v>0</v>
      </c>
      <c r="AJ327">
        <f t="shared" si="16"/>
        <v>5.9031728930360572E-2</v>
      </c>
      <c r="AK327">
        <f t="shared" si="17"/>
        <v>7.3789661162950715E-2</v>
      </c>
      <c r="AL327" t="str">
        <f>IF(MAX(X327, Y327, Z327, AA327)&gt;0.9,
 "Critical",
 IF(AK327&lt;=0.2,"Very Low",
 IF(AK327&lt;=0.4,"Low",
 IF(AK327&lt;=0.6,"Medium",
 IF(AK327&lt;=0.8,"High","Critical")))))</f>
        <v>Very Low</v>
      </c>
      <c r="AM327" t="str">
        <f>IF(MAX(X327:AA327)&gt;0.9,"CRITICAL ALERT",
 IF(AK327&gt;0.8,"CRITICAL ALERT",
 IF(AK327&gt;0.6,"ALERT",
 IF(AK327&gt;=0.4,"REVIEW","NO ACTION"))))</f>
        <v>NO ACTION</v>
      </c>
      <c r="AN327" t="str">
        <f>IF(AM327="NO ACTION","",
 IF(_xlfn.TEXTJOIN(", ", TRUE,
  IF(X327&gt;0.7,"Login anomaly",""),
  IF(Y327&gt;0.7,"File anomaly",""),
  IF(Z327&gt;0.7,"Network anomaly",""),
  IF(AA327&gt;0.7,"USB anomaly","")
 )="",
 "General anomaly detected",
 _xlfn.TEXTJOIN(", ", TRUE,
  IF(X327&gt;0.7,"Login anomaly",""),
  IF(Y327&gt;0.7,"File anomaly",""),
  IF(Z327&gt;0.7,"Network anomaly",""),
  IF(AA327&gt;0.7,"USB anomaly","")
 )))</f>
        <v/>
      </c>
    </row>
    <row r="328" spans="1:40" x14ac:dyDescent="0.3">
      <c r="A328" t="s">
        <v>351</v>
      </c>
      <c r="B328">
        <v>0.92476370510396899</v>
      </c>
      <c r="C328">
        <v>0.95105380906865999</v>
      </c>
      <c r="D328">
        <v>0.99624448744082905</v>
      </c>
      <c r="E328">
        <v>0</v>
      </c>
      <c r="F328">
        <v>0.400816326530612</v>
      </c>
      <c r="G328">
        <v>1.20334841189317E-2</v>
      </c>
      <c r="H328">
        <v>0</v>
      </c>
      <c r="I328">
        <v>23</v>
      </c>
      <c r="J328">
        <v>7.8002003721196506E-2</v>
      </c>
      <c r="K328">
        <v>7.34094616639478E-3</v>
      </c>
      <c r="L328">
        <v>2.3966180266554199E-2</v>
      </c>
      <c r="M328">
        <v>1.44300144300144E-3</v>
      </c>
      <c r="N328">
        <v>1.11454263893288E-2</v>
      </c>
      <c r="O328">
        <v>908</v>
      </c>
      <c r="P328">
        <v>6.1202300785634101E-2</v>
      </c>
      <c r="Q328">
        <v>6.1362600371682001E-2</v>
      </c>
      <c r="R328">
        <v>0</v>
      </c>
      <c r="S328">
        <v>0</v>
      </c>
      <c r="T328" t="s">
        <v>49</v>
      </c>
      <c r="U328">
        <v>2.54716981132075E-2</v>
      </c>
      <c r="V328">
        <v>0</v>
      </c>
      <c r="W328">
        <v>0</v>
      </c>
      <c r="X328">
        <v>0.45919987684449298</v>
      </c>
      <c r="Y328">
        <v>3.0927118794314999E-2</v>
      </c>
      <c r="Z328">
        <v>4.1179551027112002E-2</v>
      </c>
      <c r="AA328">
        <v>0</v>
      </c>
      <c r="AB328">
        <v>0.94068801403045654</v>
      </c>
      <c r="AC328">
        <v>2.6100000832229853E-4</v>
      </c>
      <c r="AD328">
        <v>4.972000140696764E-3</v>
      </c>
      <c r="AE328">
        <v>1.7454000189900402E-2</v>
      </c>
      <c r="AF328">
        <f>0.16*X328 + 0.28*Y328 + 0.28*Z328 + 0.28*AA328</f>
        <v>9.366184784511844E-2</v>
      </c>
      <c r="AG328">
        <f t="shared" si="15"/>
        <v>0.15686244233977051</v>
      </c>
      <c r="AH328">
        <f>IF(T328="IT_Admin", 0.25, IF(AND(T328="HR", AA328&gt;0.6), 0.25, IF(AND(T328="General", Z328&gt;0.7), 0.2, 0.1)))</f>
        <v>0.1</v>
      </c>
      <c r="AI328">
        <f>IF(V328&gt;0.7, 0.1,
 IF(F328&gt;0.5, 0.08,
 IF(E328&gt;0.5, 0.05,
 0)))</f>
        <v>0</v>
      </c>
      <c r="AJ328">
        <f t="shared" si="16"/>
        <v>0.1379022639913749</v>
      </c>
      <c r="AK328">
        <f t="shared" si="17"/>
        <v>0.15169249039051239</v>
      </c>
      <c r="AL328" t="str">
        <f>IF(MAX(X328, Y328, Z328, AA328)&gt;0.9,
 "Critical",
 IF(AK328&lt;=0.2,"Very Low",
 IF(AK328&lt;=0.4,"Low",
 IF(AK328&lt;=0.6,"Medium",
 IF(AK328&lt;=0.8,"High","Critical")))))</f>
        <v>Very Low</v>
      </c>
      <c r="AM328" t="str">
        <f>IF(MAX(X328:AA328)&gt;0.9,"CRITICAL ALERT",
 IF(AK328&gt;0.8,"CRITICAL ALERT",
 IF(AK328&gt;0.6,"ALERT",
 IF(AK328&gt;=0.4,"REVIEW","NO ACTION"))))</f>
        <v>NO ACTION</v>
      </c>
      <c r="AN328" t="str">
        <f>IF(AM328="NO ACTION","",
 IF(_xlfn.TEXTJOIN(", ", TRUE,
  IF(X328&gt;0.7,"Login anomaly",""),
  IF(Y328&gt;0.7,"File anomaly",""),
  IF(Z328&gt;0.7,"Network anomaly",""),
  IF(AA328&gt;0.7,"USB anomaly","")
 )="",
 "General anomaly detected",
 _xlfn.TEXTJOIN(", ", TRUE,
  IF(X328&gt;0.7,"Login anomaly",""),
  IF(Y328&gt;0.7,"File anomaly",""),
  IF(Z328&gt;0.7,"Network anomaly",""),
  IF(AA328&gt;0.7,"USB anomaly","")
 )))</f>
        <v/>
      </c>
    </row>
    <row r="329" spans="1:40" x14ac:dyDescent="0.3">
      <c r="A329" t="s">
        <v>352</v>
      </c>
      <c r="B329">
        <v>0.12892249527410199</v>
      </c>
      <c r="C329">
        <v>0.36953165208440503</v>
      </c>
      <c r="D329">
        <v>0</v>
      </c>
      <c r="E329">
        <v>0</v>
      </c>
      <c r="F329">
        <v>0</v>
      </c>
      <c r="G329">
        <v>0.99367396437748901</v>
      </c>
      <c r="H329">
        <v>8</v>
      </c>
      <c r="I329">
        <v>8</v>
      </c>
      <c r="J329">
        <v>0.11149277229139801</v>
      </c>
      <c r="K329">
        <v>9.7879282218597003E-3</v>
      </c>
      <c r="L329">
        <v>2.2376621484286301E-2</v>
      </c>
      <c r="M329">
        <v>3.1746031746031698E-3</v>
      </c>
      <c r="N329">
        <v>1.7170238434115401E-2</v>
      </c>
      <c r="O329">
        <v>1227</v>
      </c>
      <c r="P329">
        <v>8.7717452300785606E-2</v>
      </c>
      <c r="Q329">
        <v>8.7871243732248597E-2</v>
      </c>
      <c r="R329">
        <v>0</v>
      </c>
      <c r="S329">
        <v>0</v>
      </c>
      <c r="T329" t="s">
        <v>24</v>
      </c>
      <c r="U329">
        <v>1.6981132075471601E-2</v>
      </c>
      <c r="V329">
        <v>0</v>
      </c>
      <c r="W329">
        <v>0</v>
      </c>
      <c r="X329">
        <v>0</v>
      </c>
      <c r="Y329">
        <v>3.86379367306574E-2</v>
      </c>
      <c r="Z329">
        <v>5.94985667541175E-2</v>
      </c>
      <c r="AA329">
        <v>0</v>
      </c>
      <c r="AB329">
        <v>2.4740999564528469E-2</v>
      </c>
      <c r="AC329">
        <v>2.6100000832229853E-4</v>
      </c>
      <c r="AD329">
        <v>2.6459998916834588E-3</v>
      </c>
      <c r="AE329">
        <v>1.230000052601099E-3</v>
      </c>
      <c r="AF329">
        <f>0.16*X329 + 0.28*Y329 + 0.28*Z329 + 0.28*AA329</f>
        <v>2.7478220975736975E-2</v>
      </c>
      <c r="AG329">
        <f t="shared" si="15"/>
        <v>5.1169199170544742E-3</v>
      </c>
      <c r="AH329">
        <f>IF(T329="IT_Admin", 0.25, IF(AND(T329="HR", AA329&gt;0.6), 0.25, IF(AND(T329="General", Z329&gt;0.7), 0.2, 0.1)))</f>
        <v>0.25</v>
      </c>
      <c r="AI329">
        <f>IF(V329&gt;0.7, 0.1,
 IF(F329&gt;0.5, 0.08,
 IF(E329&gt;0.5, 0.05,
 0)))</f>
        <v>0</v>
      </c>
      <c r="AJ329">
        <f t="shared" si="16"/>
        <v>1.1825310234659223E-2</v>
      </c>
      <c r="AK329">
        <f t="shared" si="17"/>
        <v>1.4781637793324028E-2</v>
      </c>
      <c r="AL329" t="str">
        <f>IF(MAX(X329, Y329, Z329, AA329)&gt;0.9,
 "Critical",
 IF(AK329&lt;=0.2,"Very Low",
 IF(AK329&lt;=0.4,"Low",
 IF(AK329&lt;=0.6,"Medium",
 IF(AK329&lt;=0.8,"High","Critical")))))</f>
        <v>Very Low</v>
      </c>
      <c r="AM329" t="str">
        <f>IF(MAX(X329:AA329)&gt;0.9,"CRITICAL ALERT",
 IF(AK329&gt;0.8,"CRITICAL ALERT",
 IF(AK329&gt;0.6,"ALERT",
 IF(AK329&gt;=0.4,"REVIEW","NO ACTION"))))</f>
        <v>NO ACTION</v>
      </c>
      <c r="AN329" t="str">
        <f>IF(AM329="NO ACTION","",
 IF(_xlfn.TEXTJOIN(", ", TRUE,
  IF(X329&gt;0.7,"Login anomaly",""),
  IF(Y329&gt;0.7,"File anomaly",""),
  IF(Z329&gt;0.7,"Network anomaly",""),
  IF(AA329&gt;0.7,"USB anomaly","")
 )="",
 "General anomaly detected",
 _xlfn.TEXTJOIN(", ", TRUE,
  IF(X329&gt;0.7,"Login anomaly",""),
  IF(Y329&gt;0.7,"File anomaly",""),
  IF(Z329&gt;0.7,"Network anomaly",""),
  IF(AA329&gt;0.7,"USB anomaly","")
 )))</f>
        <v/>
      </c>
    </row>
    <row r="330" spans="1:40" x14ac:dyDescent="0.3">
      <c r="A330" t="s">
        <v>353</v>
      </c>
      <c r="B330">
        <v>0.12892249527410199</v>
      </c>
      <c r="C330">
        <v>0.28009428121759899</v>
      </c>
      <c r="D330">
        <v>7.50946055673926E-2</v>
      </c>
      <c r="E330">
        <v>0</v>
      </c>
      <c r="F330">
        <v>0</v>
      </c>
      <c r="G330">
        <v>0.99369499985876897</v>
      </c>
      <c r="H330">
        <v>7</v>
      </c>
      <c r="I330">
        <v>8</v>
      </c>
      <c r="J330">
        <v>8.4871904966366096E-2</v>
      </c>
      <c r="K330">
        <v>1.1419249592169599E-2</v>
      </c>
      <c r="L330">
        <v>3.4271518368216597E-2</v>
      </c>
      <c r="M330">
        <v>1.44300144300144E-3</v>
      </c>
      <c r="N330">
        <v>1.02457955596969E-2</v>
      </c>
      <c r="O330">
        <v>920</v>
      </c>
      <c r="P330">
        <v>6.8006453423120103E-2</v>
      </c>
      <c r="Q330">
        <v>6.81650829271713E-2</v>
      </c>
      <c r="R330">
        <v>0</v>
      </c>
      <c r="S330">
        <v>0</v>
      </c>
      <c r="T330" t="s">
        <v>49</v>
      </c>
      <c r="U330">
        <v>3.9622641509433898E-2</v>
      </c>
      <c r="V330">
        <v>0</v>
      </c>
      <c r="W330">
        <v>0</v>
      </c>
      <c r="X330">
        <v>2.2528381670217701E-2</v>
      </c>
      <c r="Y330">
        <v>3.7183878845290598E-2</v>
      </c>
      <c r="Z330">
        <v>4.4902190277750803E-2</v>
      </c>
      <c r="AA330">
        <v>0</v>
      </c>
      <c r="AB330">
        <v>1.818099990487099E-2</v>
      </c>
      <c r="AC330">
        <v>8.9000001025851816E-5</v>
      </c>
      <c r="AD330">
        <v>5.0019999034702778E-3</v>
      </c>
      <c r="AE330">
        <v>1.833999995142221E-3</v>
      </c>
      <c r="AF330">
        <f>0.16*X330 + 0.28*Y330 + 0.28*Z330 + 0.28*AA330</f>
        <v>2.6588640421686426E-2</v>
      </c>
      <c r="AG330">
        <f t="shared" si="15"/>
        <v>4.8479599566780968E-3</v>
      </c>
      <c r="AH330">
        <f>IF(T330="IT_Admin", 0.25, IF(AND(T330="HR", AA330&gt;0.6), 0.25, IF(AND(T330="General", Z330&gt;0.7), 0.2, 0.1)))</f>
        <v>0.1</v>
      </c>
      <c r="AI330">
        <f>IF(V330&gt;0.7, 0.1,
 IF(F330&gt;0.5, 0.08,
 IF(E330&gt;0.5, 0.05,
 0)))</f>
        <v>0</v>
      </c>
      <c r="AJ330">
        <f t="shared" si="16"/>
        <v>1.1370164096180593E-2</v>
      </c>
      <c r="AK330">
        <f t="shared" si="17"/>
        <v>1.2507180505798654E-2</v>
      </c>
      <c r="AL330" t="str">
        <f>IF(MAX(X330, Y330, Z330, AA330)&gt;0.9,
 "Critical",
 IF(AK330&lt;=0.2,"Very Low",
 IF(AK330&lt;=0.4,"Low",
 IF(AK330&lt;=0.6,"Medium",
 IF(AK330&lt;=0.8,"High","Critical")))))</f>
        <v>Very Low</v>
      </c>
      <c r="AM330" t="str">
        <f>IF(MAX(X330:AA330)&gt;0.9,"CRITICAL ALERT",
 IF(AK330&gt;0.8,"CRITICAL ALERT",
 IF(AK330&gt;0.6,"ALERT",
 IF(AK330&gt;=0.4,"REVIEW","NO ACTION"))))</f>
        <v>NO ACTION</v>
      </c>
      <c r="AN330" t="str">
        <f>IF(AM330="NO ACTION","",
 IF(_xlfn.TEXTJOIN(", ", TRUE,
  IF(X330&gt;0.7,"Login anomaly",""),
  IF(Y330&gt;0.7,"File anomaly",""),
  IF(Z330&gt;0.7,"Network anomaly",""),
  IF(AA330&gt;0.7,"USB anomaly","")
 )="",
 "General anomaly detected",
 _xlfn.TEXTJOIN(", ", TRUE,
  IF(X330&gt;0.7,"Login anomaly",""),
  IF(Y330&gt;0.7,"File anomaly",""),
  IF(Z330&gt;0.7,"Network anomaly",""),
  IF(AA330&gt;0.7,"USB anomaly","")
 )))</f>
        <v/>
      </c>
    </row>
    <row r="331" spans="1:40" x14ac:dyDescent="0.3">
      <c r="A331" t="s">
        <v>354</v>
      </c>
      <c r="B331">
        <v>0.156143667296786</v>
      </c>
      <c r="C331">
        <v>0.41782775529447702</v>
      </c>
      <c r="D331">
        <v>0.52126246811557797</v>
      </c>
      <c r="E331">
        <v>0.54622968292033003</v>
      </c>
      <c r="F331">
        <v>0.13189448441247001</v>
      </c>
      <c r="G331">
        <v>0.79596955507127298</v>
      </c>
      <c r="H331">
        <v>0</v>
      </c>
      <c r="I331">
        <v>23</v>
      </c>
      <c r="J331">
        <v>0.104527455751156</v>
      </c>
      <c r="K331">
        <v>1.5497553017944501E-2</v>
      </c>
      <c r="L331">
        <v>3.77851739073988E-2</v>
      </c>
      <c r="M331">
        <v>3.7518037518037501E-3</v>
      </c>
      <c r="N331">
        <v>2.1641210439024599E-2</v>
      </c>
      <c r="O331">
        <v>1155</v>
      </c>
      <c r="P331">
        <v>8.5332491582491496E-2</v>
      </c>
      <c r="Q331">
        <v>8.5486868403520405E-2</v>
      </c>
      <c r="R331">
        <v>0.104719764011799</v>
      </c>
      <c r="S331">
        <v>1</v>
      </c>
      <c r="T331" t="s">
        <v>24</v>
      </c>
      <c r="U331">
        <v>2.3045822102425801E-2</v>
      </c>
      <c r="V331">
        <v>0</v>
      </c>
      <c r="W331">
        <v>0.16263439059847801</v>
      </c>
      <c r="X331">
        <v>0.37300543907576</v>
      </c>
      <c r="Y331">
        <v>4.6290441235638198E-2</v>
      </c>
      <c r="Z331">
        <v>5.9855979125104798E-2</v>
      </c>
      <c r="AA331">
        <v>0.104719764011799</v>
      </c>
      <c r="AB331">
        <v>0.33113700151443481</v>
      </c>
      <c r="AC331">
        <v>7.200000254670158E-5</v>
      </c>
      <c r="AD331">
        <v>1.9590000156313181E-3</v>
      </c>
      <c r="AE331">
        <v>5.3351998329162598E-2</v>
      </c>
      <c r="AF331">
        <f>0.16*X331 + 0.28*Y331 + 0.28*Z331 + 0.28*AA331</f>
        <v>0.11872340187643338</v>
      </c>
      <c r="AG331">
        <f t="shared" si="15"/>
        <v>6.8489159779564934E-2</v>
      </c>
      <c r="AH331">
        <f>IF(T331="IT_Admin", 0.25, IF(AND(T331="HR", AA331&gt;0.6), 0.25, IF(AND(T331="General", Z331&gt;0.7), 0.2, 0.1)))</f>
        <v>0.25</v>
      </c>
      <c r="AI331">
        <f>IF(V331&gt;0.7, 0.1,
 IF(F331&gt;0.5, 0.08,
 IF(E331&gt;0.5, 0.05,
 0)))</f>
        <v>0.05</v>
      </c>
      <c r="AJ331">
        <f t="shared" si="16"/>
        <v>8.3559432408625456E-2</v>
      </c>
      <c r="AK331">
        <f t="shared" si="17"/>
        <v>0.1086272621312131</v>
      </c>
      <c r="AL331" t="str">
        <f>IF(MAX(X331, Y331, Z331, AA331)&gt;0.9,
 "Critical",
 IF(AK331&lt;=0.2,"Very Low",
 IF(AK331&lt;=0.4,"Low",
 IF(AK331&lt;=0.6,"Medium",
 IF(AK331&lt;=0.8,"High","Critical")))))</f>
        <v>Very Low</v>
      </c>
      <c r="AM331" t="str">
        <f>IF(MAX(X331:AA331)&gt;0.9,"CRITICAL ALERT",
 IF(AK331&gt;0.8,"CRITICAL ALERT",
 IF(AK331&gt;0.6,"ALERT",
 IF(AK331&gt;=0.4,"REVIEW","NO ACTION"))))</f>
        <v>NO ACTION</v>
      </c>
      <c r="AN331" t="str">
        <f>IF(AM331="NO ACTION","",
 IF(_xlfn.TEXTJOIN(", ", TRUE,
  IF(X331&gt;0.7,"Login anomaly",""),
  IF(Y331&gt;0.7,"File anomaly",""),
  IF(Z331&gt;0.7,"Network anomaly",""),
  IF(AA331&gt;0.7,"USB anomaly","")
 )="",
 "General anomaly detected",
 _xlfn.TEXTJOIN(", ", TRUE,
  IF(X331&gt;0.7,"Login anomaly",""),
  IF(Y331&gt;0.7,"File anomaly",""),
  IF(Z331&gt;0.7,"Network anomaly",""),
  IF(AA331&gt;0.7,"USB anomaly","")
 )))</f>
        <v/>
      </c>
    </row>
    <row r="332" spans="1:40" x14ac:dyDescent="0.3">
      <c r="A332" t="s">
        <v>355</v>
      </c>
      <c r="B332">
        <v>0.24650283553875199</v>
      </c>
      <c r="C332">
        <v>0.69343515810351097</v>
      </c>
      <c r="D332">
        <v>0.38283964963095302</v>
      </c>
      <c r="E332">
        <v>0</v>
      </c>
      <c r="F332">
        <v>0</v>
      </c>
      <c r="G332">
        <v>0.45159906457445198</v>
      </c>
      <c r="H332">
        <v>7</v>
      </c>
      <c r="I332">
        <v>16</v>
      </c>
      <c r="J332">
        <v>0.110395496398072</v>
      </c>
      <c r="K332">
        <v>1.1419249592169599E-2</v>
      </c>
      <c r="L332">
        <v>2.6364980064208E-2</v>
      </c>
      <c r="M332">
        <v>2.0202020202020202E-3</v>
      </c>
      <c r="N332">
        <v>1.1034885291030101E-2</v>
      </c>
      <c r="O332">
        <v>1247</v>
      </c>
      <c r="P332">
        <v>8.7051066217732898E-2</v>
      </c>
      <c r="Q332">
        <v>8.7205021213927494E-2</v>
      </c>
      <c r="R332">
        <v>0.47050147492625299</v>
      </c>
      <c r="S332">
        <v>1</v>
      </c>
      <c r="T332" t="s">
        <v>24</v>
      </c>
      <c r="U332">
        <v>2.9716981132075399E-2</v>
      </c>
      <c r="V332">
        <v>0</v>
      </c>
      <c r="W332">
        <v>0</v>
      </c>
      <c r="X332">
        <v>0.114851894889286</v>
      </c>
      <c r="Y332">
        <v>3.8572054899027597E-2</v>
      </c>
      <c r="Z332">
        <v>5.6644593847051797E-2</v>
      </c>
      <c r="AA332">
        <v>0.47050147492625299</v>
      </c>
      <c r="AB332">
        <v>3.5532999783754349E-2</v>
      </c>
      <c r="AC332">
        <v>1.140000022132881E-4</v>
      </c>
      <c r="AD332">
        <v>2.3089998867362742E-3</v>
      </c>
      <c r="AE332">
        <v>0.21493600308895111</v>
      </c>
      <c r="AF332">
        <f>0.16*X332 + 0.28*Y332 + 0.28*Z332 + 0.28*AA332</f>
        <v>0.17677737781053884</v>
      </c>
      <c r="AG332">
        <f t="shared" si="15"/>
        <v>6.6545800799212892E-2</v>
      </c>
      <c r="AH332">
        <f>IF(T332="IT_Admin", 0.25, IF(AND(T332="HR", AA332&gt;0.6), 0.25, IF(AND(T332="General", Z332&gt;0.7), 0.2, 0.1)))</f>
        <v>0.25</v>
      </c>
      <c r="AI332">
        <f>IF(V332&gt;0.7, 0.1,
 IF(F332&gt;0.5, 0.08,
 IF(E332&gt;0.5, 0.05,
 0)))</f>
        <v>0</v>
      </c>
      <c r="AJ332">
        <f t="shared" si="16"/>
        <v>9.9615273902610685E-2</v>
      </c>
      <c r="AK332">
        <f t="shared" si="17"/>
        <v>0.12451909237826336</v>
      </c>
      <c r="AL332" t="str">
        <f>IF(MAX(X332, Y332, Z332, AA332)&gt;0.9,
 "Critical",
 IF(AK332&lt;=0.2,"Very Low",
 IF(AK332&lt;=0.4,"Low",
 IF(AK332&lt;=0.6,"Medium",
 IF(AK332&lt;=0.8,"High","Critical")))))</f>
        <v>Very Low</v>
      </c>
      <c r="AM332" t="str">
        <f>IF(MAX(X332:AA332)&gt;0.9,"CRITICAL ALERT",
 IF(AK332&gt;0.8,"CRITICAL ALERT",
 IF(AK332&gt;0.6,"ALERT",
 IF(AK332&gt;=0.4,"REVIEW","NO ACTION"))))</f>
        <v>NO ACTION</v>
      </c>
      <c r="AN332" t="str">
        <f>IF(AM332="NO ACTION","",
 IF(_xlfn.TEXTJOIN(", ", TRUE,
  IF(X332&gt;0.7,"Login anomaly",""),
  IF(Y332&gt;0.7,"File anomaly",""),
  IF(Z332&gt;0.7,"Network anomaly",""),
  IF(AA332&gt;0.7,"USB anomaly","")
 )="",
 "General anomaly detected",
 _xlfn.TEXTJOIN(", ", TRUE,
  IF(X332&gt;0.7,"Login anomaly",""),
  IF(Y332&gt;0.7,"File anomaly",""),
  IF(Z332&gt;0.7,"Network anomaly",""),
  IF(AA332&gt;0.7,"USB anomaly","")
 )))</f>
        <v/>
      </c>
    </row>
    <row r="333" spans="1:40" x14ac:dyDescent="0.3">
      <c r="A333" t="s">
        <v>356</v>
      </c>
      <c r="B333">
        <v>0.12892249527410199</v>
      </c>
      <c r="C333">
        <v>0.26563434700560101</v>
      </c>
      <c r="D333">
        <v>7.4546943629650697E-2</v>
      </c>
      <c r="E333">
        <v>0</v>
      </c>
      <c r="F333">
        <v>0</v>
      </c>
      <c r="G333">
        <v>0.99365873640185398</v>
      </c>
      <c r="H333">
        <v>7</v>
      </c>
      <c r="I333">
        <v>8</v>
      </c>
      <c r="J333">
        <v>8.4060874958255802E-2</v>
      </c>
      <c r="K333">
        <v>7.3409461663947795E-2</v>
      </c>
      <c r="L333">
        <v>0.22243653444906</v>
      </c>
      <c r="M333">
        <v>5.1948051948051896E-3</v>
      </c>
      <c r="N333">
        <v>3.7239726883190299E-2</v>
      </c>
      <c r="O333">
        <v>373</v>
      </c>
      <c r="P333">
        <v>9.5889450056116696E-2</v>
      </c>
      <c r="Q333">
        <v>9.6041235667449695E-2</v>
      </c>
      <c r="R333">
        <v>0</v>
      </c>
      <c r="S333">
        <v>0</v>
      </c>
      <c r="T333" t="s">
        <v>49</v>
      </c>
      <c r="U333">
        <v>8.0436941410129095E-2</v>
      </c>
      <c r="V333">
        <v>0</v>
      </c>
      <c r="W333">
        <v>0</v>
      </c>
      <c r="X333">
        <v>2.23640830888952E-2</v>
      </c>
      <c r="Y333">
        <v>0.139202360281138</v>
      </c>
      <c r="Z333">
        <v>7.2429560786946096E-2</v>
      </c>
      <c r="AA333">
        <v>0</v>
      </c>
      <c r="AB333">
        <v>1.932699978351593E-2</v>
      </c>
      <c r="AC333">
        <v>1.2988000176846979E-2</v>
      </c>
      <c r="AD333">
        <v>1.653000013902783E-3</v>
      </c>
      <c r="AE333">
        <v>2.465999918058515E-3</v>
      </c>
      <c r="AF333">
        <f>0.16*X333 + 0.28*Y333 + 0.28*Z333 + 0.28*AA333</f>
        <v>6.2835191193286788E-2</v>
      </c>
      <c r="AG333">
        <f t="shared" si="15"/>
        <v>7.882279995828868E-3</v>
      </c>
      <c r="AH333">
        <f>IF(T333="IT_Admin", 0.25, IF(AND(T333="HR", AA333&gt;0.6), 0.25, IF(AND(T333="General", Z333&gt;0.7), 0.2, 0.1)))</f>
        <v>0.1</v>
      </c>
      <c r="AI333">
        <f>IF(V333&gt;0.7, 0.1,
 IF(F333&gt;0.5, 0.08,
 IF(E333&gt;0.5, 0.05,
 0)))</f>
        <v>0</v>
      </c>
      <c r="AJ333">
        <f t="shared" si="16"/>
        <v>2.4368153355066244E-2</v>
      </c>
      <c r="AK333">
        <f t="shared" si="17"/>
        <v>2.6804968690572872E-2</v>
      </c>
      <c r="AL333" t="str">
        <f>IF(MAX(X333, Y333, Z333, AA333)&gt;0.9,
 "Critical",
 IF(AK333&lt;=0.2,"Very Low",
 IF(AK333&lt;=0.4,"Low",
 IF(AK333&lt;=0.6,"Medium",
 IF(AK333&lt;=0.8,"High","Critical")))))</f>
        <v>Very Low</v>
      </c>
      <c r="AM333" t="str">
        <f>IF(MAX(X333:AA333)&gt;0.9,"CRITICAL ALERT",
 IF(AK333&gt;0.8,"CRITICAL ALERT",
 IF(AK333&gt;0.6,"ALERT",
 IF(AK333&gt;=0.4,"REVIEW","NO ACTION"))))</f>
        <v>NO ACTION</v>
      </c>
      <c r="AN333" t="str">
        <f>IF(AM333="NO ACTION","",
 IF(_xlfn.TEXTJOIN(", ", TRUE,
  IF(X333&gt;0.7,"Login anomaly",""),
  IF(Y333&gt;0.7,"File anomaly",""),
  IF(Z333&gt;0.7,"Network anomaly",""),
  IF(AA333&gt;0.7,"USB anomaly","")
 )="",
 "General anomaly detected",
 _xlfn.TEXTJOIN(", ", TRUE,
  IF(X333&gt;0.7,"Login anomaly",""),
  IF(Y333&gt;0.7,"File anomaly",""),
  IF(Z333&gt;0.7,"Network anomaly",""),
  IF(AA333&gt;0.7,"USB anomaly","")
 )))</f>
        <v/>
      </c>
    </row>
    <row r="334" spans="1:40" x14ac:dyDescent="0.3">
      <c r="A334" t="s">
        <v>357</v>
      </c>
      <c r="B334">
        <v>0.12892249527410199</v>
      </c>
      <c r="C334">
        <v>0.27902317497967399</v>
      </c>
      <c r="D334">
        <v>7.51173381640724E-2</v>
      </c>
      <c r="E334">
        <v>0</v>
      </c>
      <c r="F334">
        <v>0</v>
      </c>
      <c r="G334">
        <v>0.99368972760709895</v>
      </c>
      <c r="H334">
        <v>7</v>
      </c>
      <c r="I334">
        <v>8</v>
      </c>
      <c r="J334">
        <v>0.10352559515290299</v>
      </c>
      <c r="K334">
        <v>2.0391517128874301E-2</v>
      </c>
      <c r="L334">
        <v>5.0197363521263097E-2</v>
      </c>
      <c r="M334">
        <v>3.7518037518037501E-3</v>
      </c>
      <c r="N334">
        <v>2.1850160057056599E-2</v>
      </c>
      <c r="O334">
        <v>1141</v>
      </c>
      <c r="P334">
        <v>8.6700336700336694E-2</v>
      </c>
      <c r="Q334">
        <v>8.6854377783232198E-2</v>
      </c>
      <c r="R334">
        <v>0</v>
      </c>
      <c r="S334">
        <v>0</v>
      </c>
      <c r="T334" t="s">
        <v>24</v>
      </c>
      <c r="U334">
        <v>3.03234501347708E-2</v>
      </c>
      <c r="V334">
        <v>0</v>
      </c>
      <c r="W334">
        <v>0</v>
      </c>
      <c r="X334">
        <v>2.2535201449221699E-2</v>
      </c>
      <c r="Y334">
        <v>5.2358848808329098E-2</v>
      </c>
      <c r="Z334">
        <v>6.0760266043024598E-2</v>
      </c>
      <c r="AA334">
        <v>0</v>
      </c>
      <c r="AB334">
        <v>1.8263999372720718E-2</v>
      </c>
      <c r="AC334">
        <v>3.600000127335079E-5</v>
      </c>
      <c r="AD334">
        <v>2.6469998992979531E-3</v>
      </c>
      <c r="AE334">
        <v>1.387999975122511E-3</v>
      </c>
      <c r="AF334">
        <f>0.16*X334 + 0.28*Y334 + 0.28*Z334 + 0.28*AA334</f>
        <v>3.5278984390254509E-2</v>
      </c>
      <c r="AG334">
        <f t="shared" si="15"/>
        <v>4.0621198648295833E-3</v>
      </c>
      <c r="AH334">
        <f>IF(T334="IT_Admin", 0.25, IF(AND(T334="HR", AA334&gt;0.6), 0.25, IF(AND(T334="General", Z334&gt;0.7), 0.2, 0.1)))</f>
        <v>0.25</v>
      </c>
      <c r="AI334">
        <f>IF(V334&gt;0.7, 0.1,
 IF(F334&gt;0.5, 0.08,
 IF(E334&gt;0.5, 0.05,
 0)))</f>
        <v>0</v>
      </c>
      <c r="AJ334">
        <f t="shared" si="16"/>
        <v>1.3427179222457061E-2</v>
      </c>
      <c r="AK334">
        <f t="shared" si="17"/>
        <v>1.6783974028071327E-2</v>
      </c>
      <c r="AL334" t="str">
        <f>IF(MAX(X334, Y334, Z334, AA334)&gt;0.9,
 "Critical",
 IF(AK334&lt;=0.2,"Very Low",
 IF(AK334&lt;=0.4,"Low",
 IF(AK334&lt;=0.6,"Medium",
 IF(AK334&lt;=0.8,"High","Critical")))))</f>
        <v>Very Low</v>
      </c>
      <c r="AM334" t="str">
        <f>IF(MAX(X334:AA334)&gt;0.9,"CRITICAL ALERT",
 IF(AK334&gt;0.8,"CRITICAL ALERT",
 IF(AK334&gt;0.6,"ALERT",
 IF(AK334&gt;=0.4,"REVIEW","NO ACTION"))))</f>
        <v>NO ACTION</v>
      </c>
      <c r="AN334" t="str">
        <f>IF(AM334="NO ACTION","",
 IF(_xlfn.TEXTJOIN(", ", TRUE,
  IF(X334&gt;0.7,"Login anomaly",""),
  IF(Y334&gt;0.7,"File anomaly",""),
  IF(Z334&gt;0.7,"Network anomaly",""),
  IF(AA334&gt;0.7,"USB anomaly","")
 )="",
 "General anomaly detected",
 _xlfn.TEXTJOIN(", ", TRUE,
  IF(X334&gt;0.7,"Login anomaly",""),
  IF(Y334&gt;0.7,"File anomaly",""),
  IF(Z334&gt;0.7,"Network anomaly",""),
  IF(AA334&gt;0.7,"USB anomaly","")
 )))</f>
        <v/>
      </c>
    </row>
    <row r="335" spans="1:40" x14ac:dyDescent="0.3">
      <c r="A335" t="s">
        <v>358</v>
      </c>
      <c r="B335">
        <v>0.12892249527410199</v>
      </c>
      <c r="C335">
        <v>0.36953165208440503</v>
      </c>
      <c r="D335">
        <v>0</v>
      </c>
      <c r="E335">
        <v>0</v>
      </c>
      <c r="F335">
        <v>0</v>
      </c>
      <c r="G335">
        <v>0.99368375952526</v>
      </c>
      <c r="H335">
        <v>8</v>
      </c>
      <c r="I335">
        <v>8</v>
      </c>
      <c r="J335">
        <v>0.120938886503506</v>
      </c>
      <c r="K335">
        <v>2.1207177814029299E-2</v>
      </c>
      <c r="L335">
        <v>4.4703321372085499E-2</v>
      </c>
      <c r="M335">
        <v>4.6176046176046098E-3</v>
      </c>
      <c r="N335">
        <v>2.3028030587085701E-2</v>
      </c>
      <c r="O335">
        <v>1283</v>
      </c>
      <c r="P335">
        <v>0.100273569023569</v>
      </c>
      <c r="Q335">
        <v>0.100424278551141</v>
      </c>
      <c r="R335">
        <v>0</v>
      </c>
      <c r="S335">
        <v>0</v>
      </c>
      <c r="T335" t="s">
        <v>24</v>
      </c>
      <c r="U335">
        <v>2.59711431742508E-2</v>
      </c>
      <c r="V335">
        <v>0</v>
      </c>
      <c r="W335">
        <v>0</v>
      </c>
      <c r="X335">
        <v>0</v>
      </c>
      <c r="Y335">
        <v>5.3447847162869697E-2</v>
      </c>
      <c r="Z335">
        <v>6.9375353648975693E-2</v>
      </c>
      <c r="AA335">
        <v>0</v>
      </c>
      <c r="AB335">
        <v>2.479599975049496E-2</v>
      </c>
      <c r="AC335">
        <v>4.9999998736893758E-5</v>
      </c>
      <c r="AD335">
        <v>1.5200000489130621E-3</v>
      </c>
      <c r="AE335">
        <v>1.191999996080995E-3</v>
      </c>
      <c r="AF335">
        <f>0.16*X335 + 0.28*Y335 + 0.28*Z335 + 0.28*AA335</f>
        <v>3.4390496227316714E-2</v>
      </c>
      <c r="AG335">
        <f t="shared" si="15"/>
        <v>4.7407199723238595E-3</v>
      </c>
      <c r="AH335">
        <f>IF(T335="IT_Admin", 0.25, IF(AND(T335="HR", AA335&gt;0.6), 0.25, IF(AND(T335="General", Z335&gt;0.7), 0.2, 0.1)))</f>
        <v>0.25</v>
      </c>
      <c r="AI335">
        <f>IF(V335&gt;0.7, 0.1,
 IF(F335&gt;0.5, 0.08,
 IF(E335&gt;0.5, 0.05,
 0)))</f>
        <v>0</v>
      </c>
      <c r="AJ335">
        <f t="shared" si="16"/>
        <v>1.3635652848821716E-2</v>
      </c>
      <c r="AK335">
        <f t="shared" si="17"/>
        <v>1.7044566061027146E-2</v>
      </c>
      <c r="AL335" t="str">
        <f>IF(MAX(X335, Y335, Z335, AA335)&gt;0.9,
 "Critical",
 IF(AK335&lt;=0.2,"Very Low",
 IF(AK335&lt;=0.4,"Low",
 IF(AK335&lt;=0.6,"Medium",
 IF(AK335&lt;=0.8,"High","Critical")))))</f>
        <v>Very Low</v>
      </c>
      <c r="AM335" t="str">
        <f>IF(MAX(X335:AA335)&gt;0.9,"CRITICAL ALERT",
 IF(AK335&gt;0.8,"CRITICAL ALERT",
 IF(AK335&gt;0.6,"ALERT",
 IF(AK335&gt;=0.4,"REVIEW","NO ACTION"))))</f>
        <v>NO ACTION</v>
      </c>
      <c r="AN335" t="str">
        <f>IF(AM335="NO ACTION","",
 IF(_xlfn.TEXTJOIN(", ", TRUE,
  IF(X335&gt;0.7,"Login anomaly",""),
  IF(Y335&gt;0.7,"File anomaly",""),
  IF(Z335&gt;0.7,"Network anomaly",""),
  IF(AA335&gt;0.7,"USB anomaly","")
 )="",
 "General anomaly detected",
 _xlfn.TEXTJOIN(", ", TRUE,
  IF(X335&gt;0.7,"Login anomaly",""),
  IF(Y335&gt;0.7,"File anomaly",""),
  IF(Z335&gt;0.7,"Network anomaly",""),
  IF(AA335&gt;0.7,"USB anomaly","")
 )))</f>
        <v/>
      </c>
    </row>
    <row r="336" spans="1:40" x14ac:dyDescent="0.3">
      <c r="A336" t="s">
        <v>359</v>
      </c>
      <c r="B336">
        <v>0.28657844990548198</v>
      </c>
      <c r="C336">
        <v>0.69711515731146001</v>
      </c>
      <c r="D336">
        <v>0.54965028711736796</v>
      </c>
      <c r="E336">
        <v>0.17935258092738399</v>
      </c>
      <c r="F336">
        <v>5.9055118110236199E-2</v>
      </c>
      <c r="G336">
        <v>0.36798545643963998</v>
      </c>
      <c r="H336">
        <v>0</v>
      </c>
      <c r="I336">
        <v>23</v>
      </c>
      <c r="J336">
        <v>8.7352702638232901E-2</v>
      </c>
      <c r="K336">
        <v>2.77324632952691E-2</v>
      </c>
      <c r="L336">
        <v>8.0873530117590506E-2</v>
      </c>
      <c r="M336">
        <v>5.1948051948051896E-3</v>
      </c>
      <c r="N336">
        <v>3.5840194663723998E-2</v>
      </c>
      <c r="O336">
        <v>1003</v>
      </c>
      <c r="P336">
        <v>7.8668630751963994E-2</v>
      </c>
      <c r="Q336">
        <v>7.8824643220309201E-2</v>
      </c>
      <c r="R336">
        <v>8.2595870206489605E-2</v>
      </c>
      <c r="S336">
        <v>1</v>
      </c>
      <c r="T336" t="s">
        <v>49</v>
      </c>
      <c r="U336">
        <v>3.0387288977159799E-2</v>
      </c>
      <c r="V336">
        <v>0</v>
      </c>
      <c r="W336">
        <v>0.155857702356685</v>
      </c>
      <c r="X336">
        <v>0.24232290765751999</v>
      </c>
      <c r="Y336">
        <v>6.8659363985559094E-2</v>
      </c>
      <c r="Z336">
        <v>6.1537256316668003E-2</v>
      </c>
      <c r="AA336">
        <v>8.2595870206489605E-2</v>
      </c>
      <c r="AB336">
        <v>0.19022299349308011</v>
      </c>
      <c r="AC336">
        <v>7.9700001515448093E-4</v>
      </c>
      <c r="AD336">
        <v>2.3880000226199631E-3</v>
      </c>
      <c r="AE336">
        <v>5.6579001247882843E-2</v>
      </c>
      <c r="AF336">
        <f>0.16*X336 + 0.28*Y336 + 0.28*Z336 + 0.28*AA336</f>
        <v>9.8353562567643882E-2</v>
      </c>
      <c r="AG336">
        <f t="shared" si="15"/>
        <v>4.7169599318876862E-2</v>
      </c>
      <c r="AH336">
        <f>IF(T336="IT_Admin", 0.25, IF(AND(T336="HR", AA336&gt;0.6), 0.25, IF(AND(T336="General", Z336&gt;0.7), 0.2, 0.1)))</f>
        <v>0.1</v>
      </c>
      <c r="AI336">
        <f>IF(V336&gt;0.7, 0.1,
 IF(F336&gt;0.5, 0.08,
 IF(E336&gt;0.5, 0.05,
 0)))</f>
        <v>0</v>
      </c>
      <c r="AJ336">
        <f t="shared" si="16"/>
        <v>6.2524788293506967E-2</v>
      </c>
      <c r="AK336">
        <f t="shared" si="17"/>
        <v>6.8777267122857672E-2</v>
      </c>
      <c r="AL336" t="str">
        <f>IF(MAX(X336, Y336, Z336, AA336)&gt;0.9,
 "Critical",
 IF(AK336&lt;=0.2,"Very Low",
 IF(AK336&lt;=0.4,"Low",
 IF(AK336&lt;=0.6,"Medium",
 IF(AK336&lt;=0.8,"High","Critical")))))</f>
        <v>Very Low</v>
      </c>
      <c r="AM336" t="str">
        <f>IF(MAX(X336:AA336)&gt;0.9,"CRITICAL ALERT",
 IF(AK336&gt;0.8,"CRITICAL ALERT",
 IF(AK336&gt;0.6,"ALERT",
 IF(AK336&gt;=0.4,"REVIEW","NO ACTION"))))</f>
        <v>NO ACTION</v>
      </c>
      <c r="AN336" t="str">
        <f>IF(AM336="NO ACTION","",
 IF(_xlfn.TEXTJOIN(", ", TRUE,
  IF(X336&gt;0.7,"Login anomaly",""),
  IF(Y336&gt;0.7,"File anomaly",""),
  IF(Z336&gt;0.7,"Network anomaly",""),
  IF(AA336&gt;0.7,"USB anomaly","")
 )="",
 "General anomaly detected",
 _xlfn.TEXTJOIN(", ", TRUE,
  IF(X336&gt;0.7,"Login anomaly",""),
  IF(Y336&gt;0.7,"File anomaly",""),
  IF(Z336&gt;0.7,"Network anomaly",""),
  IF(AA336&gt;0.7,"USB anomaly","")
 )))</f>
        <v/>
      </c>
    </row>
    <row r="337" spans="1:40" x14ac:dyDescent="0.3">
      <c r="A337" t="s">
        <v>360</v>
      </c>
      <c r="B337">
        <v>0.14366729678638901</v>
      </c>
      <c r="C337">
        <v>0.26223274789843798</v>
      </c>
      <c r="D337">
        <v>0.220553118821947</v>
      </c>
      <c r="E337">
        <v>0</v>
      </c>
      <c r="F337">
        <v>0</v>
      </c>
      <c r="G337">
        <v>0.87736308037736299</v>
      </c>
      <c r="H337">
        <v>7</v>
      </c>
      <c r="I337">
        <v>15</v>
      </c>
      <c r="J337">
        <v>9.1694098563999807E-2</v>
      </c>
      <c r="K337">
        <v>7.34094616639478E-3</v>
      </c>
      <c r="L337">
        <v>2.0396749163024901E-2</v>
      </c>
      <c r="M337">
        <v>2.88600288600288E-4</v>
      </c>
      <c r="N337">
        <v>1.8970938535027701E-3</v>
      </c>
      <c r="O337">
        <v>431</v>
      </c>
      <c r="P337">
        <v>7.0707070707070704E-2</v>
      </c>
      <c r="Q337">
        <v>7.0865037343525297E-2</v>
      </c>
      <c r="R337">
        <v>0.29498525073746301</v>
      </c>
      <c r="S337">
        <v>1</v>
      </c>
      <c r="T337" t="s">
        <v>49</v>
      </c>
      <c r="U337">
        <v>7.6415094339622597E-2</v>
      </c>
      <c r="V337">
        <v>0</v>
      </c>
      <c r="W337">
        <v>0</v>
      </c>
      <c r="X337">
        <v>6.6165935646584295E-2</v>
      </c>
      <c r="Y337">
        <v>2.9106322450363199E-2</v>
      </c>
      <c r="Z337">
        <v>4.3183079965643502E-2</v>
      </c>
      <c r="AA337">
        <v>0.29498525073746301</v>
      </c>
      <c r="AB337">
        <v>1.003899984061718E-2</v>
      </c>
      <c r="AC337">
        <v>7.7300000702962279E-4</v>
      </c>
      <c r="AD337">
        <v>4.3689999729394913E-3</v>
      </c>
      <c r="AE337">
        <v>0.1024079993367195</v>
      </c>
      <c r="AF337">
        <f>0.16*X337 + 0.28*Y337 + 0.28*Z337 + 0.28*AA337</f>
        <v>0.11342345258642501</v>
      </c>
      <c r="AG337">
        <f t="shared" si="15"/>
        <v>3.1720239783171567E-2</v>
      </c>
      <c r="AH337">
        <f>IF(T337="IT_Admin", 0.25, IF(AND(T337="HR", AA337&gt;0.6), 0.25, IF(AND(T337="General", Z337&gt;0.7), 0.2, 0.1)))</f>
        <v>0.1</v>
      </c>
      <c r="AI337">
        <f>IF(V337&gt;0.7, 0.1,
 IF(F337&gt;0.5, 0.08,
 IF(E337&gt;0.5, 0.05,
 0)))</f>
        <v>0</v>
      </c>
      <c r="AJ337">
        <f t="shared" si="16"/>
        <v>5.6231203624147595E-2</v>
      </c>
      <c r="AK337">
        <f t="shared" si="17"/>
        <v>6.1854323986562362E-2</v>
      </c>
      <c r="AL337" t="str">
        <f>IF(MAX(X337, Y337, Z337, AA337)&gt;0.9,
 "Critical",
 IF(AK337&lt;=0.2,"Very Low",
 IF(AK337&lt;=0.4,"Low",
 IF(AK337&lt;=0.6,"Medium",
 IF(AK337&lt;=0.8,"High","Critical")))))</f>
        <v>Very Low</v>
      </c>
      <c r="AM337" t="str">
        <f>IF(MAX(X337:AA337)&gt;0.9,"CRITICAL ALERT",
 IF(AK337&gt;0.8,"CRITICAL ALERT",
 IF(AK337&gt;0.6,"ALERT",
 IF(AK337&gt;=0.4,"REVIEW","NO ACTION"))))</f>
        <v>NO ACTION</v>
      </c>
      <c r="AN337" t="str">
        <f>IF(AM337="NO ACTION","",
 IF(_xlfn.TEXTJOIN(", ", TRUE,
  IF(X337&gt;0.7,"Login anomaly",""),
  IF(Y337&gt;0.7,"File anomaly",""),
  IF(Z337&gt;0.7,"Network anomaly",""),
  IF(AA337&gt;0.7,"USB anomaly","")
 )="",
 "General anomaly detected",
 _xlfn.TEXTJOIN(", ", TRUE,
  IF(X337&gt;0.7,"Login anomaly",""),
  IF(Y337&gt;0.7,"File anomaly",""),
  IF(Z337&gt;0.7,"Network anomaly",""),
  IF(AA337&gt;0.7,"USB anomaly","")
 )))</f>
        <v/>
      </c>
    </row>
    <row r="338" spans="1:40" x14ac:dyDescent="0.3">
      <c r="A338" t="s">
        <v>361</v>
      </c>
      <c r="B338">
        <v>0.23100189035916799</v>
      </c>
      <c r="C338">
        <v>0.66966345731393395</v>
      </c>
      <c r="D338">
        <v>0.36645288138146698</v>
      </c>
      <c r="E338">
        <v>0</v>
      </c>
      <c r="F338">
        <v>0</v>
      </c>
      <c r="G338">
        <v>0.49169407799815001</v>
      </c>
      <c r="H338">
        <v>7</v>
      </c>
      <c r="I338">
        <v>14</v>
      </c>
      <c r="J338">
        <v>0.109059682267067</v>
      </c>
      <c r="K338">
        <v>1.5497553017944501E-2</v>
      </c>
      <c r="L338">
        <v>3.62183508950885E-2</v>
      </c>
      <c r="M338">
        <v>1.7316017316017301E-3</v>
      </c>
      <c r="N338">
        <v>9.5740720795282098E-3</v>
      </c>
      <c r="O338">
        <v>1140</v>
      </c>
      <c r="P338">
        <v>8.7682379349046005E-2</v>
      </c>
      <c r="Q338">
        <v>8.7836179389179106E-2</v>
      </c>
      <c r="R338">
        <v>0.58997050147492602</v>
      </c>
      <c r="S338">
        <v>1</v>
      </c>
      <c r="T338" t="s">
        <v>24</v>
      </c>
      <c r="U338">
        <v>4.6091644204851699E-2</v>
      </c>
      <c r="V338">
        <v>0</v>
      </c>
      <c r="W338">
        <v>0</v>
      </c>
      <c r="X338">
        <v>0.10993586441444</v>
      </c>
      <c r="Y338">
        <v>4.27933335248162E-2</v>
      </c>
      <c r="Z338">
        <v>5.6439056441238901E-2</v>
      </c>
      <c r="AA338">
        <v>0.58997050147492602</v>
      </c>
      <c r="AB338">
        <v>2.2746000438928601E-2</v>
      </c>
      <c r="AC338">
        <v>6.7000000854022801E-5</v>
      </c>
      <c r="AD338">
        <v>2.2730000782758002E-3</v>
      </c>
      <c r="AE338">
        <v>0.3386479914188385</v>
      </c>
      <c r="AF338">
        <f>0.16*X338 + 0.28*Y338 + 0.28*Z338 + 0.28*AA338</f>
        <v>0.21056654790978513</v>
      </c>
      <c r="AG338">
        <f t="shared" si="15"/>
        <v>9.9115997689659716E-2</v>
      </c>
      <c r="AH338">
        <f>IF(T338="IT_Admin", 0.25, IF(AND(T338="HR", AA338&gt;0.6), 0.25, IF(AND(T338="General", Z338&gt;0.7), 0.2, 0.1)))</f>
        <v>0.25</v>
      </c>
      <c r="AI338">
        <f>IF(V338&gt;0.7, 0.1,
 IF(F338&gt;0.5, 0.08,
 IF(E338&gt;0.5, 0.05,
 0)))</f>
        <v>0</v>
      </c>
      <c r="AJ338">
        <f t="shared" si="16"/>
        <v>0.13255116275569734</v>
      </c>
      <c r="AK338">
        <f t="shared" si="17"/>
        <v>0.16568895344462167</v>
      </c>
      <c r="AL338" t="str">
        <f>IF(MAX(X338, Y338, Z338, AA338)&gt;0.9,
 "Critical",
 IF(AK338&lt;=0.2,"Very Low",
 IF(AK338&lt;=0.4,"Low",
 IF(AK338&lt;=0.6,"Medium",
 IF(AK338&lt;=0.8,"High","Critical")))))</f>
        <v>Very Low</v>
      </c>
      <c r="AM338" t="str">
        <f>IF(MAX(X338:AA338)&gt;0.9,"CRITICAL ALERT",
 IF(AK338&gt;0.8,"CRITICAL ALERT",
 IF(AK338&gt;0.6,"ALERT",
 IF(AK338&gt;=0.4,"REVIEW","NO ACTION"))))</f>
        <v>NO ACTION</v>
      </c>
      <c r="AN338" t="str">
        <f>IF(AM338="NO ACTION","",
 IF(_xlfn.TEXTJOIN(", ", TRUE,
  IF(X338&gt;0.7,"Login anomaly",""),
  IF(Y338&gt;0.7,"File anomaly",""),
  IF(Z338&gt;0.7,"Network anomaly",""),
  IF(AA338&gt;0.7,"USB anomaly","")
 )="",
 "General anomaly detected",
 _xlfn.TEXTJOIN(", ", TRUE,
  IF(X338&gt;0.7,"Login anomaly",""),
  IF(Y338&gt;0.7,"File anomaly",""),
  IF(Z338&gt;0.7,"Network anomaly",""),
  IF(AA338&gt;0.7,"USB anomaly","")
 )))</f>
        <v/>
      </c>
    </row>
    <row r="339" spans="1:40" x14ac:dyDescent="0.3">
      <c r="A339" t="s">
        <v>362</v>
      </c>
      <c r="B339">
        <v>0.235538752362948</v>
      </c>
      <c r="C339">
        <v>0.59614237014892502</v>
      </c>
      <c r="D339">
        <v>0.38230540109108502</v>
      </c>
      <c r="E339">
        <v>0</v>
      </c>
      <c r="F339">
        <v>0</v>
      </c>
      <c r="G339">
        <v>0.47935476478702799</v>
      </c>
      <c r="H339">
        <v>7</v>
      </c>
      <c r="I339">
        <v>14</v>
      </c>
      <c r="J339">
        <v>8.3631506130432701E-2</v>
      </c>
      <c r="K339">
        <v>7.34094616639478E-3</v>
      </c>
      <c r="L339">
        <v>2.2357528803839E-2</v>
      </c>
      <c r="M339">
        <v>1.44300144300144E-3</v>
      </c>
      <c r="N339">
        <v>1.03973260969847E-2</v>
      </c>
      <c r="O339">
        <v>871</v>
      </c>
      <c r="P339">
        <v>6.5340909090909102E-2</v>
      </c>
      <c r="Q339">
        <v>6.5500192853886793E-2</v>
      </c>
      <c r="R339">
        <v>9.5870206489675494E-2</v>
      </c>
      <c r="S339">
        <v>1</v>
      </c>
      <c r="T339" t="s">
        <v>49</v>
      </c>
      <c r="U339">
        <v>2.54716981132075E-2</v>
      </c>
      <c r="V339">
        <v>0</v>
      </c>
      <c r="W339">
        <v>0</v>
      </c>
      <c r="X339">
        <v>0.11469162032732499</v>
      </c>
      <c r="Y339">
        <v>3.1024263457101499E-2</v>
      </c>
      <c r="Z339">
        <v>4.3363475893339297E-2</v>
      </c>
      <c r="AA339">
        <v>9.5870206489675494E-2</v>
      </c>
      <c r="AB339">
        <v>2.1330999210476879E-2</v>
      </c>
      <c r="AC339">
        <v>2.7700001373887062E-4</v>
      </c>
      <c r="AD339">
        <v>4.8340000212192544E-3</v>
      </c>
      <c r="AE339">
        <v>6.0573998838663101E-2</v>
      </c>
      <c r="AF339">
        <f>0.16*X339 + 0.28*Y339 + 0.28*Z339 + 0.28*AA339</f>
        <v>6.6022884087604566E-2</v>
      </c>
      <c r="AG339">
        <f t="shared" si="15"/>
        <v>2.1804759558290247E-2</v>
      </c>
      <c r="AH339">
        <f>IF(T339="IT_Admin", 0.25, IF(AND(T339="HR", AA339&gt;0.6), 0.25, IF(AND(T339="General", Z339&gt;0.7), 0.2, 0.1)))</f>
        <v>0.1</v>
      </c>
      <c r="AI339">
        <f>IF(V339&gt;0.7, 0.1,
 IF(F339&gt;0.5, 0.08,
 IF(E339&gt;0.5, 0.05,
 0)))</f>
        <v>0</v>
      </c>
      <c r="AJ339">
        <f t="shared" si="16"/>
        <v>3.5070196917084538E-2</v>
      </c>
      <c r="AK339">
        <f t="shared" si="17"/>
        <v>3.8577216608792993E-2</v>
      </c>
      <c r="AL339" t="str">
        <f>IF(MAX(X339, Y339, Z339, AA339)&gt;0.9,
 "Critical",
 IF(AK339&lt;=0.2,"Very Low",
 IF(AK339&lt;=0.4,"Low",
 IF(AK339&lt;=0.6,"Medium",
 IF(AK339&lt;=0.8,"High","Critical")))))</f>
        <v>Very Low</v>
      </c>
      <c r="AM339" t="str">
        <f>IF(MAX(X339:AA339)&gt;0.9,"CRITICAL ALERT",
 IF(AK339&gt;0.8,"CRITICAL ALERT",
 IF(AK339&gt;0.6,"ALERT",
 IF(AK339&gt;=0.4,"REVIEW","NO ACTION"))))</f>
        <v>NO ACTION</v>
      </c>
      <c r="AN339" t="str">
        <f>IF(AM339="NO ACTION","",
 IF(_xlfn.TEXTJOIN(", ", TRUE,
  IF(X339&gt;0.7,"Login anomaly",""),
  IF(Y339&gt;0.7,"File anomaly",""),
  IF(Z339&gt;0.7,"Network anomaly",""),
  IF(AA339&gt;0.7,"USB anomaly","")
 )="",
 "General anomaly detected",
 _xlfn.TEXTJOIN(", ", TRUE,
  IF(X339&gt;0.7,"Login anomaly",""),
  IF(Y339&gt;0.7,"File anomaly",""),
  IF(Z339&gt;0.7,"Network anomaly",""),
  IF(AA339&gt;0.7,"USB anomaly","")
 )))</f>
        <v/>
      </c>
    </row>
    <row r="340" spans="1:40" x14ac:dyDescent="0.3">
      <c r="A340" t="s">
        <v>363</v>
      </c>
      <c r="B340">
        <v>0.12892249527410199</v>
      </c>
      <c r="C340">
        <v>0.36953165208440503</v>
      </c>
      <c r="D340">
        <v>0</v>
      </c>
      <c r="E340">
        <v>0</v>
      </c>
      <c r="F340">
        <v>0</v>
      </c>
      <c r="G340">
        <v>0.99367752381643304</v>
      </c>
      <c r="H340">
        <v>8</v>
      </c>
      <c r="I340">
        <v>8</v>
      </c>
      <c r="J340">
        <v>0.123992175945804</v>
      </c>
      <c r="K340">
        <v>2.2022838499184301E-2</v>
      </c>
      <c r="L340">
        <v>4.5281723084273001E-2</v>
      </c>
      <c r="M340">
        <v>3.1746031746031698E-3</v>
      </c>
      <c r="N340">
        <v>1.5442664521005499E-2</v>
      </c>
      <c r="O340">
        <v>1310</v>
      </c>
      <c r="P340">
        <v>0.102167508417508</v>
      </c>
      <c r="Q340">
        <v>0.102317753076896</v>
      </c>
      <c r="R340">
        <v>0</v>
      </c>
      <c r="S340">
        <v>0</v>
      </c>
      <c r="T340" t="s">
        <v>24</v>
      </c>
      <c r="U340">
        <v>3.8207547169811298E-2</v>
      </c>
      <c r="V340">
        <v>0</v>
      </c>
      <c r="W340">
        <v>0</v>
      </c>
      <c r="X340">
        <v>0</v>
      </c>
      <c r="Y340">
        <v>5.2072096087599003E-2</v>
      </c>
      <c r="Z340">
        <v>6.7477570858907196E-2</v>
      </c>
      <c r="AA340">
        <v>0</v>
      </c>
      <c r="AB340">
        <v>2.4837000295519829E-2</v>
      </c>
      <c r="AC340">
        <v>2.400000084890053E-5</v>
      </c>
      <c r="AD340">
        <v>1.4990000054240231E-3</v>
      </c>
      <c r="AE340">
        <v>1.158999977633357E-3</v>
      </c>
      <c r="AF340">
        <f>0.16*X340 + 0.28*Y340 + 0.28*Z340 + 0.28*AA340</f>
        <v>3.3473906745021736E-2</v>
      </c>
      <c r="AG340">
        <f t="shared" si="15"/>
        <v>4.7248800427769312E-3</v>
      </c>
      <c r="AH340">
        <f>IF(T340="IT_Admin", 0.25, IF(AND(T340="HR", AA340&gt;0.6), 0.25, IF(AND(T340="General", Z340&gt;0.7), 0.2, 0.1)))</f>
        <v>0.25</v>
      </c>
      <c r="AI340">
        <f>IF(V340&gt;0.7, 0.1,
 IF(F340&gt;0.5, 0.08,
 IF(E340&gt;0.5, 0.05,
 0)))</f>
        <v>0</v>
      </c>
      <c r="AJ340">
        <f t="shared" si="16"/>
        <v>1.3349588053450372E-2</v>
      </c>
      <c r="AK340">
        <f t="shared" si="17"/>
        <v>1.6686985066812966E-2</v>
      </c>
      <c r="AL340" t="str">
        <f>IF(MAX(X340, Y340, Z340, AA340)&gt;0.9,
 "Critical",
 IF(AK340&lt;=0.2,"Very Low",
 IF(AK340&lt;=0.4,"Low",
 IF(AK340&lt;=0.6,"Medium",
 IF(AK340&lt;=0.8,"High","Critical")))))</f>
        <v>Very Low</v>
      </c>
      <c r="AM340" t="str">
        <f>IF(MAX(X340:AA340)&gt;0.9,"CRITICAL ALERT",
 IF(AK340&gt;0.8,"CRITICAL ALERT",
 IF(AK340&gt;0.6,"ALERT",
 IF(AK340&gt;=0.4,"REVIEW","NO ACTION"))))</f>
        <v>NO ACTION</v>
      </c>
      <c r="AN340" t="str">
        <f>IF(AM340="NO ACTION","",
 IF(_xlfn.TEXTJOIN(", ", TRUE,
  IF(X340&gt;0.7,"Login anomaly",""),
  IF(Y340&gt;0.7,"File anomaly",""),
  IF(Z340&gt;0.7,"Network anomaly",""),
  IF(AA340&gt;0.7,"USB anomaly","")
 )="",
 "General anomaly detected",
 _xlfn.TEXTJOIN(", ", TRUE,
  IF(X340&gt;0.7,"Login anomaly",""),
  IF(Y340&gt;0.7,"File anomaly",""),
  IF(Z340&gt;0.7,"Network anomaly",""),
  IF(AA340&gt;0.7,"USB anomaly","")
 )))</f>
        <v/>
      </c>
    </row>
    <row r="341" spans="1:40" x14ac:dyDescent="0.3">
      <c r="A341" t="s">
        <v>364</v>
      </c>
      <c r="B341">
        <v>0.12892249527410199</v>
      </c>
      <c r="C341">
        <v>0.18476582604220201</v>
      </c>
      <c r="D341">
        <v>0</v>
      </c>
      <c r="E341">
        <v>0</v>
      </c>
      <c r="F341">
        <v>0</v>
      </c>
      <c r="G341">
        <v>0.99367064580283404</v>
      </c>
      <c r="H341">
        <v>7</v>
      </c>
      <c r="I341">
        <v>7</v>
      </c>
      <c r="J341">
        <v>9.9184199227136102E-2</v>
      </c>
      <c r="K341">
        <v>2.2838499184339299E-2</v>
      </c>
      <c r="L341">
        <v>5.8675996899134802E-2</v>
      </c>
      <c r="M341">
        <v>8.6580086580086504E-4</v>
      </c>
      <c r="N341">
        <v>5.2625237845967199E-3</v>
      </c>
      <c r="O341">
        <v>1092</v>
      </c>
      <c r="P341">
        <v>8.3157968574635199E-2</v>
      </c>
      <c r="Q341">
        <v>8.3312879133209394E-2</v>
      </c>
      <c r="R341">
        <v>0</v>
      </c>
      <c r="S341">
        <v>0</v>
      </c>
      <c r="T341" t="s">
        <v>24</v>
      </c>
      <c r="U341">
        <v>0.118867924528301</v>
      </c>
      <c r="V341">
        <v>0</v>
      </c>
      <c r="W341">
        <v>0</v>
      </c>
      <c r="X341">
        <v>0</v>
      </c>
      <c r="Y341">
        <v>5.0753595430373603E-2</v>
      </c>
      <c r="Z341">
        <v>5.1999790658619802E-2</v>
      </c>
      <c r="AA341">
        <v>0</v>
      </c>
      <c r="AB341">
        <v>3.6873999983072281E-2</v>
      </c>
      <c r="AC341">
        <v>2.4399999529123311E-3</v>
      </c>
      <c r="AD341">
        <v>3.3609999809414148E-3</v>
      </c>
      <c r="AE341">
        <v>1.184000051580369E-3</v>
      </c>
      <c r="AF341">
        <f>0.16*X341 + 0.28*Y341 + 0.28*Z341 + 0.28*AA341</f>
        <v>2.8770948104918155E-2</v>
      </c>
      <c r="AG341">
        <f t="shared" si="15"/>
        <v>7.855639993213117E-3</v>
      </c>
      <c r="AH341">
        <f>IF(T341="IT_Admin", 0.25, IF(AND(T341="HR", AA341&gt;0.6), 0.25, IF(AND(T341="General", Z341&gt;0.7), 0.2, 0.1)))</f>
        <v>0.25</v>
      </c>
      <c r="AI341">
        <f>IF(V341&gt;0.7, 0.1,
 IF(F341&gt;0.5, 0.08,
 IF(E341&gt;0.5, 0.05,
 0)))</f>
        <v>0</v>
      </c>
      <c r="AJ341">
        <f t="shared" si="16"/>
        <v>1.4130232426724627E-2</v>
      </c>
      <c r="AK341">
        <f t="shared" si="17"/>
        <v>1.7662790533405782E-2</v>
      </c>
      <c r="AL341" t="str">
        <f>IF(MAX(X341, Y341, Z341, AA341)&gt;0.9,
 "Critical",
 IF(AK341&lt;=0.2,"Very Low",
 IF(AK341&lt;=0.4,"Low",
 IF(AK341&lt;=0.6,"Medium",
 IF(AK341&lt;=0.8,"High","Critical")))))</f>
        <v>Very Low</v>
      </c>
      <c r="AM341" t="str">
        <f>IF(MAX(X341:AA341)&gt;0.9,"CRITICAL ALERT",
 IF(AK341&gt;0.8,"CRITICAL ALERT",
 IF(AK341&gt;0.6,"ALERT",
 IF(AK341&gt;=0.4,"REVIEW","NO ACTION"))))</f>
        <v>NO ACTION</v>
      </c>
      <c r="AN341" t="str">
        <f>IF(AM341="NO ACTION","",
 IF(_xlfn.TEXTJOIN(", ", TRUE,
  IF(X341&gt;0.7,"Login anomaly",""),
  IF(Y341&gt;0.7,"File anomaly",""),
  IF(Z341&gt;0.7,"Network anomaly",""),
  IF(AA341&gt;0.7,"USB anomaly","")
 )="",
 "General anomaly detected",
 _xlfn.TEXTJOIN(", ", TRUE,
  IF(X341&gt;0.7,"Login anomaly",""),
  IF(Y341&gt;0.7,"File anomaly",""),
  IF(Z341&gt;0.7,"Network anomaly",""),
  IF(AA341&gt;0.7,"USB anomaly","")
 )))</f>
        <v/>
      </c>
    </row>
    <row r="342" spans="1:40" x14ac:dyDescent="0.3">
      <c r="A342" t="s">
        <v>365</v>
      </c>
      <c r="B342">
        <v>0.12892249527410199</v>
      </c>
      <c r="C342">
        <v>0.27955872809863702</v>
      </c>
      <c r="D342">
        <v>7.5107235637207503E-2</v>
      </c>
      <c r="E342">
        <v>0</v>
      </c>
      <c r="F342">
        <v>0</v>
      </c>
      <c r="G342">
        <v>0.99367415171637996</v>
      </c>
      <c r="H342">
        <v>7</v>
      </c>
      <c r="I342">
        <v>8</v>
      </c>
      <c r="J342">
        <v>0.100090644530318</v>
      </c>
      <c r="K342">
        <v>2.6916802610114102E-2</v>
      </c>
      <c r="L342">
        <v>6.8529068316474706E-2</v>
      </c>
      <c r="M342">
        <v>2.8860028860028799E-3</v>
      </c>
      <c r="N342">
        <v>1.7383261320493799E-2</v>
      </c>
      <c r="O342">
        <v>1154</v>
      </c>
      <c r="P342">
        <v>8.6560044893378194E-2</v>
      </c>
      <c r="Q342">
        <v>8.6714120410954096E-2</v>
      </c>
      <c r="R342">
        <v>0</v>
      </c>
      <c r="S342">
        <v>0</v>
      </c>
      <c r="T342" t="s">
        <v>24</v>
      </c>
      <c r="U342">
        <v>5.0943396226415097E-2</v>
      </c>
      <c r="V342">
        <v>0</v>
      </c>
      <c r="W342">
        <v>0</v>
      </c>
      <c r="X342">
        <v>2.2532170691162201E-2</v>
      </c>
      <c r="Y342">
        <v>5.9497641460449099E-2</v>
      </c>
      <c r="Z342">
        <v>5.8889331464224398E-2</v>
      </c>
      <c r="AA342">
        <v>0</v>
      </c>
      <c r="AB342">
        <v>1.830399967730045E-2</v>
      </c>
      <c r="AC342">
        <v>3.3599999733269209E-4</v>
      </c>
      <c r="AD342">
        <v>2.7459999546408649E-3</v>
      </c>
      <c r="AE342">
        <v>1.3530000578612089E-3</v>
      </c>
      <c r="AF342">
        <f>0.16*X342 + 0.28*Y342 + 0.28*Z342 + 0.28*AA342</f>
        <v>3.6753499729494529E-2</v>
      </c>
      <c r="AG342">
        <f t="shared" si="15"/>
        <v>4.1704399511218061E-3</v>
      </c>
      <c r="AH342">
        <f>IF(T342="IT_Admin", 0.25, IF(AND(T342="HR", AA342&gt;0.6), 0.25, IF(AND(T342="General", Z342&gt;0.7), 0.2, 0.1)))</f>
        <v>0.25</v>
      </c>
      <c r="AI342">
        <f>IF(V342&gt;0.7, 0.1,
 IF(F342&gt;0.5, 0.08,
 IF(E342&gt;0.5, 0.05,
 0)))</f>
        <v>0</v>
      </c>
      <c r="AJ342">
        <f t="shared" si="16"/>
        <v>1.3945357884633622E-2</v>
      </c>
      <c r="AK342">
        <f t="shared" si="17"/>
        <v>1.7431697355792027E-2</v>
      </c>
      <c r="AL342" t="str">
        <f>IF(MAX(X342, Y342, Z342, AA342)&gt;0.9,
 "Critical",
 IF(AK342&lt;=0.2,"Very Low",
 IF(AK342&lt;=0.4,"Low",
 IF(AK342&lt;=0.6,"Medium",
 IF(AK342&lt;=0.8,"High","Critical")))))</f>
        <v>Very Low</v>
      </c>
      <c r="AM342" t="str">
        <f>IF(MAX(X342:AA342)&gt;0.9,"CRITICAL ALERT",
 IF(AK342&gt;0.8,"CRITICAL ALERT",
 IF(AK342&gt;0.6,"ALERT",
 IF(AK342&gt;=0.4,"REVIEW","NO ACTION"))))</f>
        <v>NO ACTION</v>
      </c>
      <c r="AN342" t="str">
        <f>IF(AM342="NO ACTION","",
 IF(_xlfn.TEXTJOIN(", ", TRUE,
  IF(X342&gt;0.7,"Login anomaly",""),
  IF(Y342&gt;0.7,"File anomaly",""),
  IF(Z342&gt;0.7,"Network anomaly",""),
  IF(AA342&gt;0.7,"USB anomaly","")
 )="",
 "General anomaly detected",
 _xlfn.TEXTJOIN(", ", TRUE,
  IF(X342&gt;0.7,"Login anomaly",""),
  IF(Y342&gt;0.7,"File anomaly",""),
  IF(Z342&gt;0.7,"Network anomaly",""),
  IF(AA342&gt;0.7,"USB anomaly","")
 )))</f>
        <v/>
      </c>
    </row>
    <row r="343" spans="1:40" x14ac:dyDescent="0.3">
      <c r="A343" t="s">
        <v>366</v>
      </c>
      <c r="B343">
        <v>0.26918714555765599</v>
      </c>
      <c r="C343">
        <v>0.684356104279219</v>
      </c>
      <c r="D343">
        <v>0.42784353046485202</v>
      </c>
      <c r="E343">
        <v>0</v>
      </c>
      <c r="F343">
        <v>0</v>
      </c>
      <c r="G343">
        <v>0.40121244727134803</v>
      </c>
      <c r="H343">
        <v>7</v>
      </c>
      <c r="I343">
        <v>17</v>
      </c>
      <c r="J343">
        <v>0.110920280520967</v>
      </c>
      <c r="K343">
        <v>2.36541598694942E-2</v>
      </c>
      <c r="L343">
        <v>5.4355342559719598E-2</v>
      </c>
      <c r="M343">
        <v>5.4834054834054799E-3</v>
      </c>
      <c r="N343">
        <v>2.9810428007852899E-2</v>
      </c>
      <c r="O343">
        <v>1094</v>
      </c>
      <c r="P343">
        <v>9.4381313131313094E-2</v>
      </c>
      <c r="Q343">
        <v>9.4533468915459801E-2</v>
      </c>
      <c r="R343">
        <v>0.67846607669616499</v>
      </c>
      <c r="S343">
        <v>1</v>
      </c>
      <c r="T343" t="s">
        <v>24</v>
      </c>
      <c r="U343">
        <v>2.4622641509433899E-2</v>
      </c>
      <c r="V343">
        <v>0</v>
      </c>
      <c r="W343">
        <v>0</v>
      </c>
      <c r="X343">
        <v>0.12835305913945499</v>
      </c>
      <c r="Y343">
        <v>5.8304855786409197E-2</v>
      </c>
      <c r="Z343">
        <v>6.8552959081929002E-2</v>
      </c>
      <c r="AA343">
        <v>0.67846607669616499</v>
      </c>
      <c r="AB343">
        <v>5.0220001488924033E-2</v>
      </c>
      <c r="AC343">
        <v>2.5000001187436283E-4</v>
      </c>
      <c r="AD343">
        <v>1.3589999871328471E-3</v>
      </c>
      <c r="AE343">
        <v>0.44943299889564509</v>
      </c>
      <c r="AF343">
        <f>0.16*X343 + 0.28*Y343 + 0.28*Z343 + 0.28*AA343</f>
        <v>0.24602717910037372</v>
      </c>
      <c r="AG343">
        <f t="shared" si="15"/>
        <v>0.1343269599287305</v>
      </c>
      <c r="AH343">
        <f>IF(T343="IT_Admin", 0.25, IF(AND(T343="HR", AA343&gt;0.6), 0.25, IF(AND(T343="General", Z343&gt;0.7), 0.2, 0.1)))</f>
        <v>0.25</v>
      </c>
      <c r="AI343">
        <f>IF(V343&gt;0.7, 0.1,
 IF(F343&gt;0.5, 0.08,
 IF(E343&gt;0.5, 0.05,
 0)))</f>
        <v>0</v>
      </c>
      <c r="AJ343">
        <f t="shared" si="16"/>
        <v>0.16783702568022346</v>
      </c>
      <c r="AK343">
        <f t="shared" si="17"/>
        <v>0.20979628210027934</v>
      </c>
      <c r="AL343" t="str">
        <f>IF(MAX(X343, Y343, Z343, AA343)&gt;0.9,
 "Critical",
 IF(AK343&lt;=0.2,"Very Low",
 IF(AK343&lt;=0.4,"Low",
 IF(AK343&lt;=0.6,"Medium",
 IF(AK343&lt;=0.8,"High","Critical")))))</f>
        <v>Low</v>
      </c>
      <c r="AM343" t="str">
        <f>IF(MAX(X343:AA343)&gt;0.9,"CRITICAL ALERT",
 IF(AK343&gt;0.8,"CRITICAL ALERT",
 IF(AK343&gt;0.6,"ALERT",
 IF(AK343&gt;=0.4,"REVIEW","NO ACTION"))))</f>
        <v>NO ACTION</v>
      </c>
      <c r="AN343" t="str">
        <f>IF(AM343="NO ACTION","",
 IF(_xlfn.TEXTJOIN(", ", TRUE,
  IF(X343&gt;0.7,"Login anomaly",""),
  IF(Y343&gt;0.7,"File anomaly",""),
  IF(Z343&gt;0.7,"Network anomaly",""),
  IF(AA343&gt;0.7,"USB anomaly","")
 )="",
 "General anomaly detected",
 _xlfn.TEXTJOIN(", ", TRUE,
  IF(X343&gt;0.7,"Login anomaly",""),
  IF(Y343&gt;0.7,"File anomaly",""),
  IF(Z343&gt;0.7,"Network anomaly",""),
  IF(AA343&gt;0.7,"USB anomaly","")
 )))</f>
        <v/>
      </c>
    </row>
    <row r="344" spans="1:40" x14ac:dyDescent="0.3">
      <c r="A344" t="s">
        <v>367</v>
      </c>
      <c r="B344">
        <v>0.12892249527410199</v>
      </c>
      <c r="C344">
        <v>0.18476582604220201</v>
      </c>
      <c r="D344">
        <v>0</v>
      </c>
      <c r="E344">
        <v>0</v>
      </c>
      <c r="F344">
        <v>0</v>
      </c>
      <c r="G344">
        <v>0.993688657099146</v>
      </c>
      <c r="H344">
        <v>7</v>
      </c>
      <c r="I344">
        <v>7</v>
      </c>
      <c r="J344">
        <v>8.3536090835360899E-2</v>
      </c>
      <c r="K344">
        <v>1.4681892332789499E-2</v>
      </c>
      <c r="L344">
        <v>4.4765985919304099E-2</v>
      </c>
      <c r="M344">
        <v>2.3088023088023001E-3</v>
      </c>
      <c r="N344">
        <v>1.66546690464685E-2</v>
      </c>
      <c r="O344">
        <v>998</v>
      </c>
      <c r="P344">
        <v>6.8848204264870899E-2</v>
      </c>
      <c r="Q344">
        <v>6.9006627160840106E-2</v>
      </c>
      <c r="R344">
        <v>0</v>
      </c>
      <c r="S344">
        <v>0</v>
      </c>
      <c r="T344" t="s">
        <v>49</v>
      </c>
      <c r="U344">
        <v>3.3962264150943298E-2</v>
      </c>
      <c r="V344">
        <v>0</v>
      </c>
      <c r="W344">
        <v>0</v>
      </c>
      <c r="X344">
        <v>0</v>
      </c>
      <c r="Y344">
        <v>4.4086611840664799E-2</v>
      </c>
      <c r="Z344">
        <v>4.7970790177509999E-2</v>
      </c>
      <c r="AA344">
        <v>0</v>
      </c>
      <c r="AB344">
        <v>3.6625999957323067E-2</v>
      </c>
      <c r="AC344">
        <v>9.0000003183376975E-6</v>
      </c>
      <c r="AD344">
        <v>4.7249998897314072E-3</v>
      </c>
      <c r="AE344">
        <v>1.5620000194758179E-3</v>
      </c>
      <c r="AF344">
        <f>0.16*X344 + 0.28*Y344 + 0.28*Z344 + 0.28*AA344</f>
        <v>2.5776072565088945E-2</v>
      </c>
      <c r="AG344">
        <f t="shared" si="15"/>
        <v>7.6230399678388489E-3</v>
      </c>
      <c r="AH344">
        <f>IF(T344="IT_Admin", 0.25, IF(AND(T344="HR", AA344&gt;0.6), 0.25, IF(AND(T344="General", Z344&gt;0.7), 0.2, 0.1)))</f>
        <v>0.1</v>
      </c>
      <c r="AI344">
        <f>IF(V344&gt;0.7, 0.1,
 IF(F344&gt;0.5, 0.08,
 IF(E344&gt;0.5, 0.05,
 0)))</f>
        <v>0</v>
      </c>
      <c r="AJ344">
        <f t="shared" si="16"/>
        <v>1.3068949747013878E-2</v>
      </c>
      <c r="AK344">
        <f t="shared" si="17"/>
        <v>1.4375844721715266E-2</v>
      </c>
      <c r="AL344" t="str">
        <f>IF(MAX(X344, Y344, Z344, AA344)&gt;0.9,
 "Critical",
 IF(AK344&lt;=0.2,"Very Low",
 IF(AK344&lt;=0.4,"Low",
 IF(AK344&lt;=0.6,"Medium",
 IF(AK344&lt;=0.8,"High","Critical")))))</f>
        <v>Very Low</v>
      </c>
      <c r="AM344" t="str">
        <f>IF(MAX(X344:AA344)&gt;0.9,"CRITICAL ALERT",
 IF(AK344&gt;0.8,"CRITICAL ALERT",
 IF(AK344&gt;0.6,"ALERT",
 IF(AK344&gt;=0.4,"REVIEW","NO ACTION"))))</f>
        <v>NO ACTION</v>
      </c>
      <c r="AN344" t="str">
        <f>IF(AM344="NO ACTION","",
 IF(_xlfn.TEXTJOIN(", ", TRUE,
  IF(X344&gt;0.7,"Login anomaly",""),
  IF(Y344&gt;0.7,"File anomaly",""),
  IF(Z344&gt;0.7,"Network anomaly",""),
  IF(AA344&gt;0.7,"USB anomaly","")
 )="",
 "General anomaly detected",
 _xlfn.TEXTJOIN(", ", TRUE,
  IF(X344&gt;0.7,"Login anomaly",""),
  IF(Y344&gt;0.7,"File anomaly",""),
  IF(Z344&gt;0.7,"Network anomaly",""),
  IF(AA344&gt;0.7,"USB anomaly","")
 )))</f>
        <v/>
      </c>
    </row>
    <row r="345" spans="1:40" x14ac:dyDescent="0.3">
      <c r="A345" t="s">
        <v>368</v>
      </c>
      <c r="B345">
        <v>0.23591682419659701</v>
      </c>
      <c r="C345">
        <v>0.57253869025179305</v>
      </c>
      <c r="D345">
        <v>0.36350657477513798</v>
      </c>
      <c r="E345">
        <v>0</v>
      </c>
      <c r="F345">
        <v>0</v>
      </c>
      <c r="G345">
        <v>0.47841962537564098</v>
      </c>
      <c r="H345">
        <v>7</v>
      </c>
      <c r="I345">
        <v>14</v>
      </c>
      <c r="J345">
        <v>9.0930776203425406E-2</v>
      </c>
      <c r="K345">
        <v>1.2234910277324601E-2</v>
      </c>
      <c r="L345">
        <v>3.4279204288460603E-2</v>
      </c>
      <c r="M345">
        <v>1.44300144300144E-3</v>
      </c>
      <c r="N345">
        <v>9.5648871159075208E-3</v>
      </c>
      <c r="O345">
        <v>1058</v>
      </c>
      <c r="P345">
        <v>7.2811447811447799E-2</v>
      </c>
      <c r="Q345">
        <v>7.2968897927697299E-2</v>
      </c>
      <c r="R345">
        <v>0.36578171091445399</v>
      </c>
      <c r="S345">
        <v>1</v>
      </c>
      <c r="T345" t="s">
        <v>49</v>
      </c>
      <c r="U345">
        <v>4.2452830188679201E-2</v>
      </c>
      <c r="V345">
        <v>0</v>
      </c>
      <c r="W345">
        <v>0</v>
      </c>
      <c r="X345">
        <v>0.109051972432541</v>
      </c>
      <c r="Y345">
        <v>3.8195223519687599E-2</v>
      </c>
      <c r="Z345">
        <v>4.7512823533231698E-2</v>
      </c>
      <c r="AA345">
        <v>0.36578171091445399</v>
      </c>
      <c r="AB345">
        <v>1.8798999488353729E-2</v>
      </c>
      <c r="AC345">
        <v>7.8999997640494257E-5</v>
      </c>
      <c r="AD345">
        <v>3.8540000095963478E-3</v>
      </c>
      <c r="AE345">
        <v>0.13902699947357181</v>
      </c>
      <c r="AF345">
        <f>0.16*X345 + 0.28*Y345 + 0.28*Z345 + 0.28*AA345</f>
        <v>0.1438654478200711</v>
      </c>
      <c r="AG345">
        <f t="shared" si="15"/>
        <v>4.3036639772763022E-2</v>
      </c>
      <c r="AH345">
        <f>IF(T345="IT_Admin", 0.25, IF(AND(T345="HR", AA345&gt;0.6), 0.25, IF(AND(T345="General", Z345&gt;0.7), 0.2, 0.1)))</f>
        <v>0.1</v>
      </c>
      <c r="AI345">
        <f>IF(V345&gt;0.7, 0.1,
 IF(F345&gt;0.5, 0.08,
 IF(E345&gt;0.5, 0.05,
 0)))</f>
        <v>0</v>
      </c>
      <c r="AJ345">
        <f t="shared" si="16"/>
        <v>7.3285282186955444E-2</v>
      </c>
      <c r="AK345">
        <f t="shared" si="17"/>
        <v>8.0613810405650993E-2</v>
      </c>
      <c r="AL345" t="str">
        <f>IF(MAX(X345, Y345, Z345, AA345)&gt;0.9,
 "Critical",
 IF(AK345&lt;=0.2,"Very Low",
 IF(AK345&lt;=0.4,"Low",
 IF(AK345&lt;=0.6,"Medium",
 IF(AK345&lt;=0.8,"High","Critical")))))</f>
        <v>Very Low</v>
      </c>
      <c r="AM345" t="str">
        <f>IF(MAX(X345:AA345)&gt;0.9,"CRITICAL ALERT",
 IF(AK345&gt;0.8,"CRITICAL ALERT",
 IF(AK345&gt;0.6,"ALERT",
 IF(AK345&gt;=0.4,"REVIEW","NO ACTION"))))</f>
        <v>NO ACTION</v>
      </c>
      <c r="AN345" t="str">
        <f>IF(AM345="NO ACTION","",
 IF(_xlfn.TEXTJOIN(", ", TRUE,
  IF(X345&gt;0.7,"Login anomaly",""),
  IF(Y345&gt;0.7,"File anomaly",""),
  IF(Z345&gt;0.7,"Network anomaly",""),
  IF(AA345&gt;0.7,"USB anomaly","")
 )="",
 "General anomaly detected",
 _xlfn.TEXTJOIN(", ", TRUE,
  IF(X345&gt;0.7,"Login anomaly",""),
  IF(Y345&gt;0.7,"File anomaly",""),
  IF(Z345&gt;0.7,"Network anomaly",""),
  IF(AA345&gt;0.7,"USB anomaly","")
 )))</f>
        <v/>
      </c>
    </row>
    <row r="346" spans="1:40" x14ac:dyDescent="0.3">
      <c r="A346" t="s">
        <v>369</v>
      </c>
      <c r="B346">
        <v>0.12892249527410199</v>
      </c>
      <c r="C346">
        <v>0.46111123542706201</v>
      </c>
      <c r="D346">
        <v>7.5129964412319103E-2</v>
      </c>
      <c r="E346">
        <v>0</v>
      </c>
      <c r="F346">
        <v>0</v>
      </c>
      <c r="G346">
        <v>0.99364757635644196</v>
      </c>
      <c r="H346">
        <v>8</v>
      </c>
      <c r="I346">
        <v>9</v>
      </c>
      <c r="J346">
        <v>9.1264729736176706E-2</v>
      </c>
      <c r="K346">
        <v>9.7879282218597003E-3</v>
      </c>
      <c r="L346">
        <v>2.7323278162772999E-2</v>
      </c>
      <c r="M346">
        <v>2.8860028860028799E-3</v>
      </c>
      <c r="N346">
        <v>1.9059957537538301E-2</v>
      </c>
      <c r="O346">
        <v>1043</v>
      </c>
      <c r="P346">
        <v>7.2706228956228899E-2</v>
      </c>
      <c r="Q346">
        <v>7.2863704898488701E-2</v>
      </c>
      <c r="R346">
        <v>0</v>
      </c>
      <c r="S346">
        <v>0</v>
      </c>
      <c r="T346" t="s">
        <v>49</v>
      </c>
      <c r="U346">
        <v>1.8524871355060001E-2</v>
      </c>
      <c r="V346">
        <v>0</v>
      </c>
      <c r="W346">
        <v>0</v>
      </c>
      <c r="X346">
        <v>2.2538989323695701E-2</v>
      </c>
      <c r="Y346">
        <v>3.7632572289883301E-2</v>
      </c>
      <c r="Z346">
        <v>5.12477203887527E-2</v>
      </c>
      <c r="AA346">
        <v>0</v>
      </c>
      <c r="AB346">
        <v>1.330299954861403E-2</v>
      </c>
      <c r="AC346">
        <v>2.1100000594742599E-4</v>
      </c>
      <c r="AD346">
        <v>4.1729998774826527E-3</v>
      </c>
      <c r="AE346">
        <v>2.0989999175071721E-3</v>
      </c>
      <c r="AF346">
        <f>0.16*X346 + 0.28*Y346 + 0.28*Z346 + 0.28*AA346</f>
        <v>2.8492720241809395E-2</v>
      </c>
      <c r="AG346">
        <f t="shared" si="15"/>
        <v>3.9437198720406758E-3</v>
      </c>
      <c r="AH346">
        <f>IF(T346="IT_Admin", 0.25, IF(AND(T346="HR", AA346&gt;0.6), 0.25, IF(AND(T346="General", Z346&gt;0.7), 0.2, 0.1)))</f>
        <v>0.1</v>
      </c>
      <c r="AI346">
        <f>IF(V346&gt;0.7, 0.1,
 IF(F346&gt;0.5, 0.08,
 IF(E346&gt;0.5, 0.05,
 0)))</f>
        <v>0</v>
      </c>
      <c r="AJ346">
        <f t="shared" si="16"/>
        <v>1.1308419982971291E-2</v>
      </c>
      <c r="AK346">
        <f t="shared" si="17"/>
        <v>1.2439261981268421E-2</v>
      </c>
      <c r="AL346" t="str">
        <f>IF(MAX(X346, Y346, Z346, AA346)&gt;0.9,
 "Critical",
 IF(AK346&lt;=0.2,"Very Low",
 IF(AK346&lt;=0.4,"Low",
 IF(AK346&lt;=0.6,"Medium",
 IF(AK346&lt;=0.8,"High","Critical")))))</f>
        <v>Very Low</v>
      </c>
      <c r="AM346" t="str">
        <f>IF(MAX(X346:AA346)&gt;0.9,"CRITICAL ALERT",
 IF(AK346&gt;0.8,"CRITICAL ALERT",
 IF(AK346&gt;0.6,"ALERT",
 IF(AK346&gt;=0.4,"REVIEW","NO ACTION"))))</f>
        <v>NO ACTION</v>
      </c>
      <c r="AN346" t="str">
        <f>IF(AM346="NO ACTION","",
 IF(_xlfn.TEXTJOIN(", ", TRUE,
  IF(X346&gt;0.7,"Login anomaly",""),
  IF(Y346&gt;0.7,"File anomaly",""),
  IF(Z346&gt;0.7,"Network anomaly",""),
  IF(AA346&gt;0.7,"USB anomaly","")
 )="",
 "General anomaly detected",
 _xlfn.TEXTJOIN(", ", TRUE,
  IF(X346&gt;0.7,"Login anomaly",""),
  IF(Y346&gt;0.7,"File anomaly",""),
  IF(Z346&gt;0.7,"Network anomaly",""),
  IF(AA346&gt;0.7,"USB anomaly","")
 )))</f>
        <v/>
      </c>
    </row>
    <row r="347" spans="1:40" x14ac:dyDescent="0.3">
      <c r="A347" t="s">
        <v>370</v>
      </c>
      <c r="B347">
        <v>0.134593572778827</v>
      </c>
      <c r="C347">
        <v>0.582012352032938</v>
      </c>
      <c r="D347">
        <v>0.14119759915423599</v>
      </c>
      <c r="E347">
        <v>0</v>
      </c>
      <c r="F347">
        <v>0</v>
      </c>
      <c r="G347">
        <v>0.94592216462081402</v>
      </c>
      <c r="H347">
        <v>9</v>
      </c>
      <c r="I347">
        <v>17</v>
      </c>
      <c r="J347">
        <v>0.107342206955775</v>
      </c>
      <c r="K347">
        <v>2.0391517128874301E-2</v>
      </c>
      <c r="L347">
        <v>4.8416525791018697E-2</v>
      </c>
      <c r="M347">
        <v>2.8860028860028799E-3</v>
      </c>
      <c r="N347">
        <v>1.6211529293569199E-2</v>
      </c>
      <c r="O347">
        <v>1241</v>
      </c>
      <c r="P347">
        <v>8.9085297418630693E-2</v>
      </c>
      <c r="Q347">
        <v>8.9238753111960403E-2</v>
      </c>
      <c r="R347">
        <v>0.10176991150442399</v>
      </c>
      <c r="S347">
        <v>1</v>
      </c>
      <c r="T347" t="s">
        <v>24</v>
      </c>
      <c r="U347">
        <v>3.8593481989708397E-2</v>
      </c>
      <c r="V347">
        <v>0</v>
      </c>
      <c r="W347">
        <v>0</v>
      </c>
      <c r="X347">
        <v>4.2359279746270698E-2</v>
      </c>
      <c r="Y347">
        <v>5.0540163074735099E-2</v>
      </c>
      <c r="Z347">
        <v>5.9935790168606097E-2</v>
      </c>
      <c r="AA347">
        <v>0.10176991150442399</v>
      </c>
      <c r="AB347">
        <v>2.621899917721748E-2</v>
      </c>
      <c r="AC347">
        <v>3.5000000934815027E-5</v>
      </c>
      <c r="AD347">
        <v>2.3499999660998579E-3</v>
      </c>
      <c r="AE347">
        <v>6.5182998776435852E-2</v>
      </c>
      <c r="AF347">
        <f>0.16*X347 + 0.28*Y347 + 0.28*Z347 + 0.28*AA347</f>
        <v>6.6206326888777561E-2</v>
      </c>
      <c r="AG347">
        <f t="shared" si="15"/>
        <v>2.3114079516526546E-2</v>
      </c>
      <c r="AH347">
        <f>IF(T347="IT_Admin", 0.25, IF(AND(T347="HR", AA347&gt;0.6), 0.25, IF(AND(T347="General", Z347&gt;0.7), 0.2, 0.1)))</f>
        <v>0.25</v>
      </c>
      <c r="AI347">
        <f>IF(V347&gt;0.7, 0.1,
 IF(F347&gt;0.5, 0.08,
 IF(E347&gt;0.5, 0.05,
 0)))</f>
        <v>0</v>
      </c>
      <c r="AJ347">
        <f t="shared" si="16"/>
        <v>3.6041753728201849E-2</v>
      </c>
      <c r="AK347">
        <f t="shared" si="17"/>
        <v>4.5052192160252309E-2</v>
      </c>
      <c r="AL347" t="str">
        <f>IF(MAX(X347, Y347, Z347, AA347)&gt;0.9,
 "Critical",
 IF(AK347&lt;=0.2,"Very Low",
 IF(AK347&lt;=0.4,"Low",
 IF(AK347&lt;=0.6,"Medium",
 IF(AK347&lt;=0.8,"High","Critical")))))</f>
        <v>Very Low</v>
      </c>
      <c r="AM347" t="str">
        <f>IF(MAX(X347:AA347)&gt;0.9,"CRITICAL ALERT",
 IF(AK347&gt;0.8,"CRITICAL ALERT",
 IF(AK347&gt;0.6,"ALERT",
 IF(AK347&gt;=0.4,"REVIEW","NO ACTION"))))</f>
        <v>NO ACTION</v>
      </c>
      <c r="AN347" t="str">
        <f>IF(AM347="NO ACTION","",
 IF(_xlfn.TEXTJOIN(", ", TRUE,
  IF(X347&gt;0.7,"Login anomaly",""),
  IF(Y347&gt;0.7,"File anomaly",""),
  IF(Z347&gt;0.7,"Network anomaly",""),
  IF(AA347&gt;0.7,"USB anomaly","")
 )="",
 "General anomaly detected",
 _xlfn.TEXTJOIN(", ", TRUE,
  IF(X347&gt;0.7,"Login anomaly",""),
  IF(Y347&gt;0.7,"File anomaly",""),
  IF(Z347&gt;0.7,"Network anomaly",""),
  IF(AA347&gt;0.7,"USB anomaly","")
 )))</f>
        <v/>
      </c>
    </row>
    <row r="348" spans="1:40" x14ac:dyDescent="0.3">
      <c r="A348" t="s">
        <v>371</v>
      </c>
      <c r="B348">
        <v>0.12892249527410199</v>
      </c>
      <c r="C348">
        <v>0.18476582604220201</v>
      </c>
      <c r="D348">
        <v>0</v>
      </c>
      <c r="E348">
        <v>0</v>
      </c>
      <c r="F348">
        <v>0</v>
      </c>
      <c r="G348">
        <v>0.99369026286107598</v>
      </c>
      <c r="H348">
        <v>7</v>
      </c>
      <c r="I348">
        <v>7</v>
      </c>
      <c r="J348">
        <v>9.6751109202805205E-2</v>
      </c>
      <c r="K348">
        <v>1.0603588907014599E-2</v>
      </c>
      <c r="L348">
        <v>2.7925832829586099E-2</v>
      </c>
      <c r="M348">
        <v>2.0202020202020202E-3</v>
      </c>
      <c r="N348">
        <v>1.2587259709738801E-2</v>
      </c>
      <c r="O348">
        <v>1112</v>
      </c>
      <c r="P348">
        <v>7.6669472502805799E-2</v>
      </c>
      <c r="Q348">
        <v>7.6825975665345894E-2</v>
      </c>
      <c r="R348">
        <v>0</v>
      </c>
      <c r="S348">
        <v>0</v>
      </c>
      <c r="T348" t="s">
        <v>24</v>
      </c>
      <c r="U348">
        <v>2.75943396226415E-2</v>
      </c>
      <c r="V348">
        <v>0</v>
      </c>
      <c r="W348">
        <v>0</v>
      </c>
      <c r="X348">
        <v>0</v>
      </c>
      <c r="Y348">
        <v>3.7089316168275703E-2</v>
      </c>
      <c r="Z348">
        <v>5.1036587385579001E-2</v>
      </c>
      <c r="AA348">
        <v>0</v>
      </c>
      <c r="AB348">
        <v>3.6687001585960388E-2</v>
      </c>
      <c r="AC348">
        <v>1.4200000441633159E-4</v>
      </c>
      <c r="AD348">
        <v>3.8890000432729721E-3</v>
      </c>
      <c r="AE348">
        <v>1.2379999971017239E-3</v>
      </c>
      <c r="AF348">
        <f>0.16*X348 + 0.28*Y348 + 0.28*Z348 + 0.28*AA348</f>
        <v>2.4675252995079319E-2</v>
      </c>
      <c r="AG348">
        <f t="shared" si="15"/>
        <v>7.3452402662951503E-3</v>
      </c>
      <c r="AH348">
        <f>IF(T348="IT_Admin", 0.25, IF(AND(T348="HR", AA348&gt;0.6), 0.25, IF(AND(T348="General", Z348&gt;0.7), 0.2, 0.1)))</f>
        <v>0.25</v>
      </c>
      <c r="AI348">
        <f>IF(V348&gt;0.7, 0.1,
 IF(F348&gt;0.5, 0.08,
 IF(E348&gt;0.5, 0.05,
 0)))</f>
        <v>0</v>
      </c>
      <c r="AJ348">
        <f t="shared" si="16"/>
        <v>1.2544244084930399E-2</v>
      </c>
      <c r="AK348">
        <f t="shared" si="17"/>
        <v>1.5680305106163001E-2</v>
      </c>
      <c r="AL348" t="str">
        <f>IF(MAX(X348, Y348, Z348, AA348)&gt;0.9,
 "Critical",
 IF(AK348&lt;=0.2,"Very Low",
 IF(AK348&lt;=0.4,"Low",
 IF(AK348&lt;=0.6,"Medium",
 IF(AK348&lt;=0.8,"High","Critical")))))</f>
        <v>Very Low</v>
      </c>
      <c r="AM348" t="str">
        <f>IF(MAX(X348:AA348)&gt;0.9,"CRITICAL ALERT",
 IF(AK348&gt;0.8,"CRITICAL ALERT",
 IF(AK348&gt;0.6,"ALERT",
 IF(AK348&gt;=0.4,"REVIEW","NO ACTION"))))</f>
        <v>NO ACTION</v>
      </c>
      <c r="AN348" t="str">
        <f>IF(AM348="NO ACTION","",
 IF(_xlfn.TEXTJOIN(", ", TRUE,
  IF(X348&gt;0.7,"Login anomaly",""),
  IF(Y348&gt;0.7,"File anomaly",""),
  IF(Z348&gt;0.7,"Network anomaly",""),
  IF(AA348&gt;0.7,"USB anomaly","")
 )="",
 "General anomaly detected",
 _xlfn.TEXTJOIN(", ", TRUE,
  IF(X348&gt;0.7,"Login anomaly",""),
  IF(Y348&gt;0.7,"File anomaly",""),
  IF(Z348&gt;0.7,"Network anomaly",""),
  IF(AA348&gt;0.7,"USB anomaly","")
 )))</f>
        <v/>
      </c>
    </row>
    <row r="349" spans="1:40" x14ac:dyDescent="0.3">
      <c r="A349" t="s">
        <v>372</v>
      </c>
      <c r="B349">
        <v>0.12892249527410199</v>
      </c>
      <c r="C349">
        <v>0.18476582604220201</v>
      </c>
      <c r="D349">
        <v>0</v>
      </c>
      <c r="E349">
        <v>0</v>
      </c>
      <c r="F349">
        <v>0</v>
      </c>
      <c r="G349">
        <v>0.99367859432438599</v>
      </c>
      <c r="H349">
        <v>7</v>
      </c>
      <c r="I349">
        <v>7</v>
      </c>
      <c r="J349">
        <v>9.8707122751777093E-2</v>
      </c>
      <c r="K349">
        <v>2.1207177814029299E-2</v>
      </c>
      <c r="L349">
        <v>5.4747558478831802E-2</v>
      </c>
      <c r="M349">
        <v>3.1746031746031698E-3</v>
      </c>
      <c r="N349">
        <v>1.93889577688999E-2</v>
      </c>
      <c r="O349">
        <v>833</v>
      </c>
      <c r="P349">
        <v>8.3228114478114401E-2</v>
      </c>
      <c r="Q349">
        <v>8.3383007819348501E-2</v>
      </c>
      <c r="R349">
        <v>0</v>
      </c>
      <c r="S349">
        <v>0</v>
      </c>
      <c r="T349" t="s">
        <v>24</v>
      </c>
      <c r="U349">
        <v>3.6792452830188602E-2</v>
      </c>
      <c r="V349">
        <v>0</v>
      </c>
      <c r="W349">
        <v>0</v>
      </c>
      <c r="X349">
        <v>0</v>
      </c>
      <c r="Y349">
        <v>5.2931891120441298E-2</v>
      </c>
      <c r="Z349">
        <v>5.7692451794428598E-2</v>
      </c>
      <c r="AA349">
        <v>0</v>
      </c>
      <c r="AB349">
        <v>3.663099929690361E-2</v>
      </c>
      <c r="AC349">
        <v>5.199999941396527E-5</v>
      </c>
      <c r="AD349">
        <v>3.03000002168119E-3</v>
      </c>
      <c r="AE349">
        <v>1.419999985955656E-3</v>
      </c>
      <c r="AF349">
        <f>0.16*X349 + 0.28*Y349 + 0.28*Z349 + 0.28*AA349</f>
        <v>3.0974816016163573E-2</v>
      </c>
      <c r="AG349">
        <f t="shared" si="15"/>
        <v>7.1215198894788046E-3</v>
      </c>
      <c r="AH349">
        <f>IF(T349="IT_Admin", 0.25, IF(AND(T349="HR", AA349&gt;0.6), 0.25, IF(AND(T349="General", Z349&gt;0.7), 0.2, 0.1)))</f>
        <v>0.25</v>
      </c>
      <c r="AI349">
        <f>IF(V349&gt;0.7, 0.1,
 IF(F349&gt;0.5, 0.08,
 IF(E349&gt;0.5, 0.05,
 0)))</f>
        <v>0</v>
      </c>
      <c r="AJ349">
        <f t="shared" si="16"/>
        <v>1.4277508727484234E-2</v>
      </c>
      <c r="AK349">
        <f t="shared" si="17"/>
        <v>1.7846885909355292E-2</v>
      </c>
      <c r="AL349" t="str">
        <f>IF(MAX(X349, Y349, Z349, AA349)&gt;0.9,
 "Critical",
 IF(AK349&lt;=0.2,"Very Low",
 IF(AK349&lt;=0.4,"Low",
 IF(AK349&lt;=0.6,"Medium",
 IF(AK349&lt;=0.8,"High","Critical")))))</f>
        <v>Very Low</v>
      </c>
      <c r="AM349" t="str">
        <f>IF(MAX(X349:AA349)&gt;0.9,"CRITICAL ALERT",
 IF(AK349&gt;0.8,"CRITICAL ALERT",
 IF(AK349&gt;0.6,"ALERT",
 IF(AK349&gt;=0.4,"REVIEW","NO ACTION"))))</f>
        <v>NO ACTION</v>
      </c>
      <c r="AN349" t="str">
        <f>IF(AM349="NO ACTION","",
 IF(_xlfn.TEXTJOIN(", ", TRUE,
  IF(X349&gt;0.7,"Login anomaly",""),
  IF(Y349&gt;0.7,"File anomaly",""),
  IF(Z349&gt;0.7,"Network anomaly",""),
  IF(AA349&gt;0.7,"USB anomaly","")
 )="",
 "General anomaly detected",
 _xlfn.TEXTJOIN(", ", TRUE,
  IF(X349&gt;0.7,"Login anomaly",""),
  IF(Y349&gt;0.7,"File anomaly",""),
  IF(Z349&gt;0.7,"Network anomaly",""),
  IF(AA349&gt;0.7,"USB anomaly","")
 )))</f>
        <v/>
      </c>
    </row>
    <row r="350" spans="1:40" x14ac:dyDescent="0.3">
      <c r="A350" t="s">
        <v>373</v>
      </c>
      <c r="B350">
        <v>0.28052930056710701</v>
      </c>
      <c r="C350">
        <v>0.556774231826905</v>
      </c>
      <c r="D350">
        <v>0.54758029810152598</v>
      </c>
      <c r="E350">
        <v>0.54959785522788196</v>
      </c>
      <c r="F350">
        <v>0.31501340482573698</v>
      </c>
      <c r="G350">
        <v>0.37883077337787202</v>
      </c>
      <c r="H350">
        <v>0</v>
      </c>
      <c r="I350">
        <v>23</v>
      </c>
      <c r="J350">
        <v>9.9518152759887402E-2</v>
      </c>
      <c r="K350">
        <v>6.5252854812398002E-3</v>
      </c>
      <c r="L350">
        <v>1.6708448116116201E-2</v>
      </c>
      <c r="M350">
        <v>7.2150072150072098E-3</v>
      </c>
      <c r="N350">
        <v>4.37075544679561E-2</v>
      </c>
      <c r="O350">
        <v>433</v>
      </c>
      <c r="P350">
        <v>7.9475308641975301E-2</v>
      </c>
      <c r="Q350">
        <v>7.9631123110908503E-2</v>
      </c>
      <c r="R350">
        <v>0.43067846607669602</v>
      </c>
      <c r="S350">
        <v>1</v>
      </c>
      <c r="T350" t="s">
        <v>24</v>
      </c>
      <c r="U350">
        <v>5.22496371552975E-3</v>
      </c>
      <c r="V350">
        <v>0</v>
      </c>
      <c r="W350">
        <v>0.17176294428292299</v>
      </c>
      <c r="X350">
        <v>0.455158807929117</v>
      </c>
      <c r="Y350">
        <v>4.1370120950422397E-2</v>
      </c>
      <c r="Z350">
        <v>6.5168206972367596E-2</v>
      </c>
      <c r="AA350">
        <v>0.43067846607669602</v>
      </c>
      <c r="AB350">
        <v>0.39708301424980158</v>
      </c>
      <c r="AC350">
        <v>5.7199998991563916E-4</v>
      </c>
      <c r="AD350">
        <v>1.9440000178292389E-3</v>
      </c>
      <c r="AE350">
        <v>0.16094900667667389</v>
      </c>
      <c r="AF350">
        <f>0.16*X350 + 0.28*Y350 + 0.28*Z350 + 0.28*AA350</f>
        <v>0.22324611158851482</v>
      </c>
      <c r="AG350">
        <f t="shared" si="15"/>
        <v>0.10930348415160551</v>
      </c>
      <c r="AH350">
        <f>IF(T350="IT_Admin", 0.25, IF(AND(T350="HR", AA350&gt;0.6), 0.25, IF(AND(T350="General", Z350&gt;0.7), 0.2, 0.1)))</f>
        <v>0.25</v>
      </c>
      <c r="AI350">
        <f>IF(V350&gt;0.7, 0.1,
 IF(F350&gt;0.5, 0.08,
 IF(E350&gt;0.5, 0.05,
 0)))</f>
        <v>0.05</v>
      </c>
      <c r="AJ350">
        <f t="shared" si="16"/>
        <v>0.1434862723826783</v>
      </c>
      <c r="AK350">
        <f t="shared" si="17"/>
        <v>0.18653215409748181</v>
      </c>
      <c r="AL350" t="str">
        <f>IF(MAX(X350, Y350, Z350, AA350)&gt;0.9,
 "Critical",
 IF(AK350&lt;=0.2,"Very Low",
 IF(AK350&lt;=0.4,"Low",
 IF(AK350&lt;=0.6,"Medium",
 IF(AK350&lt;=0.8,"High","Critical")))))</f>
        <v>Very Low</v>
      </c>
      <c r="AM350" t="str">
        <f>IF(MAX(X350:AA350)&gt;0.9,"CRITICAL ALERT",
 IF(AK350&gt;0.8,"CRITICAL ALERT",
 IF(AK350&gt;0.6,"ALERT",
 IF(AK350&gt;=0.4,"REVIEW","NO ACTION"))))</f>
        <v>NO ACTION</v>
      </c>
      <c r="AN350" t="str">
        <f>IF(AM350="NO ACTION","",
 IF(_xlfn.TEXTJOIN(", ", TRUE,
  IF(X350&gt;0.7,"Login anomaly",""),
  IF(Y350&gt;0.7,"File anomaly",""),
  IF(Z350&gt;0.7,"Network anomaly",""),
  IF(AA350&gt;0.7,"USB anomaly","")
 )="",
 "General anomaly detected",
 _xlfn.TEXTJOIN(", ", TRUE,
  IF(X350&gt;0.7,"Login anomaly",""),
  IF(Y350&gt;0.7,"File anomaly",""),
  IF(Z350&gt;0.7,"Network anomaly",""),
  IF(AA350&gt;0.7,"USB anomaly","")
 )))</f>
        <v/>
      </c>
    </row>
    <row r="351" spans="1:40" x14ac:dyDescent="0.3">
      <c r="A351" t="s">
        <v>374</v>
      </c>
      <c r="B351">
        <v>0.12892249527410199</v>
      </c>
      <c r="C351">
        <v>0.18476582604220201</v>
      </c>
      <c r="D351">
        <v>0</v>
      </c>
      <c r="E351">
        <v>0</v>
      </c>
      <c r="F351">
        <v>0</v>
      </c>
      <c r="G351">
        <v>0.99368100296728101</v>
      </c>
      <c r="H351">
        <v>7</v>
      </c>
      <c r="I351">
        <v>7</v>
      </c>
      <c r="J351">
        <v>9.4461142121082003E-2</v>
      </c>
      <c r="K351">
        <v>1.1419249592169599E-2</v>
      </c>
      <c r="L351">
        <v>3.0801203410024399E-2</v>
      </c>
      <c r="M351">
        <v>2.0202020202020202E-3</v>
      </c>
      <c r="N351">
        <v>1.28916367707299E-2</v>
      </c>
      <c r="O351">
        <v>1084</v>
      </c>
      <c r="P351">
        <v>7.5336700336700299E-2</v>
      </c>
      <c r="Q351">
        <v>7.5493530628703606E-2</v>
      </c>
      <c r="R351">
        <v>0</v>
      </c>
      <c r="S351">
        <v>0</v>
      </c>
      <c r="T351" t="s">
        <v>49</v>
      </c>
      <c r="U351">
        <v>2.9716981132075399E-2</v>
      </c>
      <c r="V351">
        <v>0</v>
      </c>
      <c r="W351">
        <v>0</v>
      </c>
      <c r="X351">
        <v>0</v>
      </c>
      <c r="Y351">
        <v>3.8160321160447597E-2</v>
      </c>
      <c r="Z351">
        <v>5.0358674910312103E-2</v>
      </c>
      <c r="AA351">
        <v>0</v>
      </c>
      <c r="AB351">
        <v>3.6600001156330109E-2</v>
      </c>
      <c r="AC351">
        <v>9.899999713525176E-5</v>
      </c>
      <c r="AD351">
        <v>4.0400000289082527E-3</v>
      </c>
      <c r="AE351">
        <v>1.475000055506825E-3</v>
      </c>
      <c r="AF351">
        <f>0.16*X351 + 0.28*Y351 + 0.28*Z351 + 0.28*AA351</f>
        <v>2.4785318899812718E-2</v>
      </c>
      <c r="AG351">
        <f t="shared" si="15"/>
        <v>7.4279202078469091E-3</v>
      </c>
      <c r="AH351">
        <f>IF(T351="IT_Admin", 0.25, IF(AND(T351="HR", AA351&gt;0.6), 0.25, IF(AND(T351="General", Z351&gt;0.7), 0.2, 0.1)))</f>
        <v>0.1</v>
      </c>
      <c r="AI351">
        <f>IF(V351&gt;0.7, 0.1,
 IF(F351&gt;0.5, 0.08,
 IF(E351&gt;0.5, 0.05,
 0)))</f>
        <v>0</v>
      </c>
      <c r="AJ351">
        <f t="shared" si="16"/>
        <v>1.2635139815436652E-2</v>
      </c>
      <c r="AK351">
        <f t="shared" si="17"/>
        <v>1.3898653796980319E-2</v>
      </c>
      <c r="AL351" t="str">
        <f>IF(MAX(X351, Y351, Z351, AA351)&gt;0.9,
 "Critical",
 IF(AK351&lt;=0.2,"Very Low",
 IF(AK351&lt;=0.4,"Low",
 IF(AK351&lt;=0.6,"Medium",
 IF(AK351&lt;=0.8,"High","Critical")))))</f>
        <v>Very Low</v>
      </c>
      <c r="AM351" t="str">
        <f>IF(MAX(X351:AA351)&gt;0.9,"CRITICAL ALERT",
 IF(AK351&gt;0.8,"CRITICAL ALERT",
 IF(AK351&gt;0.6,"ALERT",
 IF(AK351&gt;=0.4,"REVIEW","NO ACTION"))))</f>
        <v>NO ACTION</v>
      </c>
      <c r="AN351" t="str">
        <f>IF(AM351="NO ACTION","",
 IF(_xlfn.TEXTJOIN(", ", TRUE,
  IF(X351&gt;0.7,"Login anomaly",""),
  IF(Y351&gt;0.7,"File anomaly",""),
  IF(Z351&gt;0.7,"Network anomaly",""),
  IF(AA351&gt;0.7,"USB anomaly","")
 )="",
 "General anomaly detected",
 _xlfn.TEXTJOIN(", ", TRUE,
  IF(X351&gt;0.7,"Login anomaly",""),
  IF(Y351&gt;0.7,"File anomaly",""),
  IF(Z351&gt;0.7,"Network anomaly",""),
  IF(AA351&gt;0.7,"USB anomaly","")
 )))</f>
        <v/>
      </c>
    </row>
    <row r="352" spans="1:40" x14ac:dyDescent="0.3">
      <c r="A352" t="s">
        <v>375</v>
      </c>
      <c r="B352">
        <v>0.12892249527410199</v>
      </c>
      <c r="C352">
        <v>0.28009428121759899</v>
      </c>
      <c r="D352">
        <v>7.50946055673926E-2</v>
      </c>
      <c r="E352">
        <v>0</v>
      </c>
      <c r="F352">
        <v>0</v>
      </c>
      <c r="G352">
        <v>0.993688657099146</v>
      </c>
      <c r="H352">
        <v>7</v>
      </c>
      <c r="I352">
        <v>8</v>
      </c>
      <c r="J352">
        <v>0.121893039454224</v>
      </c>
      <c r="K352">
        <v>1.38662316476345E-2</v>
      </c>
      <c r="L352">
        <v>2.9000742440604702E-2</v>
      </c>
      <c r="M352">
        <v>1.1544011544011501E-3</v>
      </c>
      <c r="N352">
        <v>5.7120310245310198E-3</v>
      </c>
      <c r="O352">
        <v>962</v>
      </c>
      <c r="P352">
        <v>9.6134960718293999E-2</v>
      </c>
      <c r="Q352">
        <v>9.6286686068936395E-2</v>
      </c>
      <c r="R352">
        <v>0</v>
      </c>
      <c r="S352">
        <v>0</v>
      </c>
      <c r="T352" t="s">
        <v>24</v>
      </c>
      <c r="U352">
        <v>5.77358490566037E-2</v>
      </c>
      <c r="V352">
        <v>0</v>
      </c>
      <c r="W352">
        <v>0</v>
      </c>
      <c r="X352">
        <v>2.2528381670217701E-2</v>
      </c>
      <c r="Y352">
        <v>4.0592588418506499E-2</v>
      </c>
      <c r="Z352">
        <v>5.9965788840788799E-2</v>
      </c>
      <c r="AA352">
        <v>0</v>
      </c>
      <c r="AB352">
        <v>1.815699972212315E-2</v>
      </c>
      <c r="AC352">
        <v>2.4799999664537609E-4</v>
      </c>
      <c r="AD352">
        <v>2.1210000850260262E-3</v>
      </c>
      <c r="AE352">
        <v>1.5439999988302591E-3</v>
      </c>
      <c r="AF352">
        <f>0.16*X352 + 0.28*Y352 + 0.28*Z352 + 0.28*AA352</f>
        <v>3.1760886699837516E-2</v>
      </c>
      <c r="AG352">
        <f t="shared" si="15"/>
        <v>4.0007599780801694E-3</v>
      </c>
      <c r="AH352">
        <f>IF(T352="IT_Admin", 0.25, IF(AND(T352="HR", AA352&gt;0.6), 0.25, IF(AND(T352="General", Z352&gt;0.7), 0.2, 0.1)))</f>
        <v>0.25</v>
      </c>
      <c r="AI352">
        <f>IF(V352&gt;0.7, 0.1,
 IF(F352&gt;0.5, 0.08,
 IF(E352&gt;0.5, 0.05,
 0)))</f>
        <v>0</v>
      </c>
      <c r="AJ352">
        <f t="shared" si="16"/>
        <v>1.2328797994607373E-2</v>
      </c>
      <c r="AK352">
        <f t="shared" si="17"/>
        <v>1.5410997493259216E-2</v>
      </c>
      <c r="AL352" t="str">
        <f>IF(MAX(X352, Y352, Z352, AA352)&gt;0.9,
 "Critical",
 IF(AK352&lt;=0.2,"Very Low",
 IF(AK352&lt;=0.4,"Low",
 IF(AK352&lt;=0.6,"Medium",
 IF(AK352&lt;=0.8,"High","Critical")))))</f>
        <v>Very Low</v>
      </c>
      <c r="AM352" t="str">
        <f>IF(MAX(X352:AA352)&gt;0.9,"CRITICAL ALERT",
 IF(AK352&gt;0.8,"CRITICAL ALERT",
 IF(AK352&gt;0.6,"ALERT",
 IF(AK352&gt;=0.4,"REVIEW","NO ACTION"))))</f>
        <v>NO ACTION</v>
      </c>
      <c r="AN352" t="str">
        <f>IF(AM352="NO ACTION","",
 IF(_xlfn.TEXTJOIN(", ", TRUE,
  IF(X352&gt;0.7,"Login anomaly",""),
  IF(Y352&gt;0.7,"File anomaly",""),
  IF(Z352&gt;0.7,"Network anomaly",""),
  IF(AA352&gt;0.7,"USB anomaly","")
 )="",
 "General anomaly detected",
 _xlfn.TEXTJOIN(", ", TRUE,
  IF(X352&gt;0.7,"Login anomaly",""),
  IF(Y352&gt;0.7,"File anomaly",""),
  IF(Z352&gt;0.7,"Network anomaly",""),
  IF(AA352&gt;0.7,"USB anomaly","")
 )))</f>
        <v/>
      </c>
    </row>
    <row r="353" spans="1:40" x14ac:dyDescent="0.3">
      <c r="A353" t="s">
        <v>376</v>
      </c>
      <c r="B353">
        <v>0.12892249527410199</v>
      </c>
      <c r="C353">
        <v>0.27420319690900702</v>
      </c>
      <c r="D353">
        <v>7.50946055673926E-2</v>
      </c>
      <c r="E353">
        <v>0</v>
      </c>
      <c r="F353">
        <v>0</v>
      </c>
      <c r="G353">
        <v>0.99368884443803795</v>
      </c>
      <c r="H353">
        <v>7</v>
      </c>
      <c r="I353">
        <v>8</v>
      </c>
      <c r="J353">
        <v>0.10867802108678</v>
      </c>
      <c r="K353">
        <v>1.38662316476345E-2</v>
      </c>
      <c r="L353">
        <v>3.2519448378426699E-2</v>
      </c>
      <c r="M353">
        <v>2.8860028860028799E-3</v>
      </c>
      <c r="N353">
        <v>1.6012701952255098E-2</v>
      </c>
      <c r="O353">
        <v>1118</v>
      </c>
      <c r="P353">
        <v>8.72615039281706E-2</v>
      </c>
      <c r="Q353">
        <v>8.7415407272344703E-2</v>
      </c>
      <c r="R353">
        <v>0</v>
      </c>
      <c r="S353">
        <v>0</v>
      </c>
      <c r="T353" t="s">
        <v>24</v>
      </c>
      <c r="U353">
        <v>2.6243567753001702E-2</v>
      </c>
      <c r="V353">
        <v>0</v>
      </c>
      <c r="W353">
        <v>0</v>
      </c>
      <c r="X353">
        <v>2.2528381670217701E-2</v>
      </c>
      <c r="Y353">
        <v>4.2799138992245897E-2</v>
      </c>
      <c r="Z353">
        <v>5.8761983137804397E-2</v>
      </c>
      <c r="AA353">
        <v>0</v>
      </c>
      <c r="AB353">
        <v>1.855899952352047E-2</v>
      </c>
      <c r="AC353">
        <v>6.3999999838415533E-5</v>
      </c>
      <c r="AD353">
        <v>2.7079998981207609E-3</v>
      </c>
      <c r="AE353">
        <v>1.3980000512674451E-3</v>
      </c>
      <c r="AF353">
        <f>0.16*X353 + 0.28*Y353 + 0.28*Z353 + 0.28*AA353</f>
        <v>3.2041655263648917E-2</v>
      </c>
      <c r="AG353">
        <f t="shared" si="15"/>
        <v>4.1370399095467291E-3</v>
      </c>
      <c r="AH353">
        <f>IF(T353="IT_Admin", 0.25, IF(AND(T353="HR", AA353&gt;0.6), 0.25, IF(AND(T353="General", Z353&gt;0.7), 0.2, 0.1)))</f>
        <v>0.25</v>
      </c>
      <c r="AI353">
        <f>IF(V353&gt;0.7, 0.1,
 IF(F353&gt;0.5, 0.08,
 IF(E353&gt;0.5, 0.05,
 0)))</f>
        <v>0</v>
      </c>
      <c r="AJ353">
        <f t="shared" si="16"/>
        <v>1.2508424515777385E-2</v>
      </c>
      <c r="AK353">
        <f t="shared" si="17"/>
        <v>1.5635530644721733E-2</v>
      </c>
      <c r="AL353" t="str">
        <f>IF(MAX(X353, Y353, Z353, AA353)&gt;0.9,
 "Critical",
 IF(AK353&lt;=0.2,"Very Low",
 IF(AK353&lt;=0.4,"Low",
 IF(AK353&lt;=0.6,"Medium",
 IF(AK353&lt;=0.8,"High","Critical")))))</f>
        <v>Very Low</v>
      </c>
      <c r="AM353" t="str">
        <f>IF(MAX(X353:AA353)&gt;0.9,"CRITICAL ALERT",
 IF(AK353&gt;0.8,"CRITICAL ALERT",
 IF(AK353&gt;0.6,"ALERT",
 IF(AK353&gt;=0.4,"REVIEW","NO ACTION"))))</f>
        <v>NO ACTION</v>
      </c>
      <c r="AN353" t="str">
        <f>IF(AM353="NO ACTION","",
 IF(_xlfn.TEXTJOIN(", ", TRUE,
  IF(X353&gt;0.7,"Login anomaly",""),
  IF(Y353&gt;0.7,"File anomaly",""),
  IF(Z353&gt;0.7,"Network anomaly",""),
  IF(AA353&gt;0.7,"USB anomaly","")
 )="",
 "General anomaly detected",
 _xlfn.TEXTJOIN(", ", TRUE,
  IF(X353&gt;0.7,"Login anomaly",""),
  IF(Y353&gt;0.7,"File anomaly",""),
  IF(Z353&gt;0.7,"Network anomaly",""),
  IF(AA353&gt;0.7,"USB anomaly","")
 )))</f>
        <v/>
      </c>
    </row>
    <row r="354" spans="1:40" x14ac:dyDescent="0.3">
      <c r="A354" t="s">
        <v>377</v>
      </c>
      <c r="B354">
        <v>4.6502835538752299E-2</v>
      </c>
      <c r="C354">
        <v>0.36953165208440503</v>
      </c>
      <c r="D354">
        <v>0</v>
      </c>
      <c r="E354">
        <v>0</v>
      </c>
      <c r="F354">
        <v>0</v>
      </c>
      <c r="G354">
        <v>0.97504778146562499</v>
      </c>
      <c r="H354">
        <v>8</v>
      </c>
      <c r="I354">
        <v>8</v>
      </c>
      <c r="J354">
        <v>1.84151519488574E-2</v>
      </c>
      <c r="K354">
        <v>2.4469820554649199E-3</v>
      </c>
      <c r="L354">
        <v>3.3507703015472297E-2</v>
      </c>
      <c r="M354">
        <v>1.1544011544011501E-3</v>
      </c>
      <c r="N354">
        <v>3.73984639969294E-2</v>
      </c>
      <c r="O354">
        <v>224</v>
      </c>
      <c r="P354">
        <v>1.51515151515151E-2</v>
      </c>
      <c r="Q354">
        <v>1.5323117921385699E-2</v>
      </c>
      <c r="R354">
        <v>0</v>
      </c>
      <c r="S354">
        <v>0</v>
      </c>
      <c r="T354" t="s">
        <v>49</v>
      </c>
      <c r="U354">
        <v>1.0188679245283E-2</v>
      </c>
      <c r="V354">
        <v>0</v>
      </c>
      <c r="W354">
        <v>0</v>
      </c>
      <c r="X354">
        <v>0</v>
      </c>
      <c r="Y354">
        <v>3.1656421096586403E-2</v>
      </c>
      <c r="Z354">
        <v>2.4050294689680798E-2</v>
      </c>
      <c r="AA354">
        <v>0</v>
      </c>
      <c r="AB354">
        <v>3.7682000547647483E-2</v>
      </c>
      <c r="AC354">
        <v>5.2900001173838973E-4</v>
      </c>
      <c r="AD354">
        <v>1.284599956125021E-2</v>
      </c>
      <c r="AE354">
        <v>2.773999935016036E-3</v>
      </c>
      <c r="AF354">
        <f>0.16*X354 + 0.28*Y354 + 0.28*Z354 + 0.28*AA354</f>
        <v>1.5597880420154817E-2</v>
      </c>
      <c r="AG354">
        <f t="shared" si="15"/>
        <v>1.0550839949864896E-2</v>
      </c>
      <c r="AH354">
        <f>IF(T354="IT_Admin", 0.25, IF(AND(T354="HR", AA354&gt;0.6), 0.25, IF(AND(T354="General", Z354&gt;0.7), 0.2, 0.1)))</f>
        <v>0.1</v>
      </c>
      <c r="AI354">
        <f>IF(V354&gt;0.7, 0.1,
 IF(F354&gt;0.5, 0.08,
 IF(E354&gt;0.5, 0.05,
 0)))</f>
        <v>0</v>
      </c>
      <c r="AJ354">
        <f t="shared" si="16"/>
        <v>1.2064952090951871E-2</v>
      </c>
      <c r="AK354">
        <f t="shared" si="17"/>
        <v>1.3271447300047059E-2</v>
      </c>
      <c r="AL354" t="str">
        <f>IF(MAX(X354, Y354, Z354, AA354)&gt;0.9,
 "Critical",
 IF(AK354&lt;=0.2,"Very Low",
 IF(AK354&lt;=0.4,"Low",
 IF(AK354&lt;=0.6,"Medium",
 IF(AK354&lt;=0.8,"High","Critical")))))</f>
        <v>Very Low</v>
      </c>
      <c r="AM354" t="str">
        <f>IF(MAX(X354:AA354)&gt;0.9,"CRITICAL ALERT",
 IF(AK354&gt;0.8,"CRITICAL ALERT",
 IF(AK354&gt;0.6,"ALERT",
 IF(AK354&gt;=0.4,"REVIEW","NO ACTION"))))</f>
        <v>NO ACTION</v>
      </c>
      <c r="AN354" t="str">
        <f>IF(AM354="NO ACTION","",
 IF(_xlfn.TEXTJOIN(", ", TRUE,
  IF(X354&gt;0.7,"Login anomaly",""),
  IF(Y354&gt;0.7,"File anomaly",""),
  IF(Z354&gt;0.7,"Network anomaly",""),
  IF(AA354&gt;0.7,"USB anomaly","")
 )="",
 "General anomaly detected",
 _xlfn.TEXTJOIN(", ", TRUE,
  IF(X354&gt;0.7,"Login anomaly",""),
  IF(Y354&gt;0.7,"File anomaly",""),
  IF(Z354&gt;0.7,"Network anomaly",""),
  IF(AA354&gt;0.7,"USB anomaly","")
 )))</f>
        <v/>
      </c>
    </row>
    <row r="355" spans="1:40" x14ac:dyDescent="0.3">
      <c r="A355" t="s">
        <v>378</v>
      </c>
      <c r="B355">
        <v>0.25444234404536797</v>
      </c>
      <c r="C355">
        <v>0.769903094926224</v>
      </c>
      <c r="D355">
        <v>0.35538413801743302</v>
      </c>
      <c r="E355">
        <v>0</v>
      </c>
      <c r="F355">
        <v>0</v>
      </c>
      <c r="G355">
        <v>0.43285070277686699</v>
      </c>
      <c r="H355">
        <v>8</v>
      </c>
      <c r="I355">
        <v>16</v>
      </c>
      <c r="J355">
        <v>9.72281856781642E-2</v>
      </c>
      <c r="K355">
        <v>1.0603588907014599E-2</v>
      </c>
      <c r="L355">
        <v>2.7789142507365899E-2</v>
      </c>
      <c r="M355">
        <v>2.59740259740259E-3</v>
      </c>
      <c r="N355">
        <v>1.6104404650660101E-2</v>
      </c>
      <c r="O355">
        <v>1085</v>
      </c>
      <c r="P355">
        <v>7.7300785634118893E-2</v>
      </c>
      <c r="Q355">
        <v>7.7457133840597395E-2</v>
      </c>
      <c r="R355">
        <v>0.19469026548672499</v>
      </c>
      <c r="S355">
        <v>1</v>
      </c>
      <c r="T355" t="s">
        <v>24</v>
      </c>
      <c r="U355">
        <v>2.2075471698113198E-2</v>
      </c>
      <c r="V355">
        <v>0</v>
      </c>
      <c r="W355">
        <v>0</v>
      </c>
      <c r="X355">
        <v>0.10661524140523</v>
      </c>
      <c r="Y355">
        <v>3.8171529784513797E-2</v>
      </c>
      <c r="Z355">
        <v>5.28222332407354E-2</v>
      </c>
      <c r="AA355">
        <v>0.19469026548672499</v>
      </c>
      <c r="AB355">
        <v>4.7334998846054077E-2</v>
      </c>
      <c r="AC355">
        <v>1.6300000424962491E-4</v>
      </c>
      <c r="AD355">
        <v>3.216000040993094E-3</v>
      </c>
      <c r="AE355">
        <v>6.692100316286087E-2</v>
      </c>
      <c r="AF355">
        <f>0.16*X355 + 0.28*Y355 + 0.28*Z355 + 0.28*AA355</f>
        <v>9.7049966608189583E-2</v>
      </c>
      <c r="AG355">
        <f t="shared" si="15"/>
        <v>2.7257600713637659E-2</v>
      </c>
      <c r="AH355">
        <f>IF(T355="IT_Admin", 0.25, IF(AND(T355="HR", AA355&gt;0.6), 0.25, IF(AND(T355="General", Z355&gt;0.7), 0.2, 0.1)))</f>
        <v>0.25</v>
      </c>
      <c r="AI355">
        <f>IF(V355&gt;0.7, 0.1,
 IF(F355&gt;0.5, 0.08,
 IF(E355&gt;0.5, 0.05,
 0)))</f>
        <v>0</v>
      </c>
      <c r="AJ355">
        <f t="shared" si="16"/>
        <v>4.8195310482003234E-2</v>
      </c>
      <c r="AK355">
        <f t="shared" si="17"/>
        <v>6.0244138102504043E-2</v>
      </c>
      <c r="AL355" t="str">
        <f>IF(MAX(X355, Y355, Z355, AA355)&gt;0.9,
 "Critical",
 IF(AK355&lt;=0.2,"Very Low",
 IF(AK355&lt;=0.4,"Low",
 IF(AK355&lt;=0.6,"Medium",
 IF(AK355&lt;=0.8,"High","Critical")))))</f>
        <v>Very Low</v>
      </c>
      <c r="AM355" t="str">
        <f>IF(MAX(X355:AA355)&gt;0.9,"CRITICAL ALERT",
 IF(AK355&gt;0.8,"CRITICAL ALERT",
 IF(AK355&gt;0.6,"ALERT",
 IF(AK355&gt;=0.4,"REVIEW","NO ACTION"))))</f>
        <v>NO ACTION</v>
      </c>
      <c r="AN355" t="str">
        <f>IF(AM355="NO ACTION","",
 IF(_xlfn.TEXTJOIN(", ", TRUE,
  IF(X355&gt;0.7,"Login anomaly",""),
  IF(Y355&gt;0.7,"File anomaly",""),
  IF(Z355&gt;0.7,"Network anomaly",""),
  IF(AA355&gt;0.7,"USB anomaly","")
 )="",
 "General anomaly detected",
 _xlfn.TEXTJOIN(", ", TRUE,
  IF(X355&gt;0.7,"Login anomaly",""),
  IF(Y355&gt;0.7,"File anomaly",""),
  IF(Z355&gt;0.7,"Network anomaly",""),
  IF(AA355&gt;0.7,"USB anomaly","")
 )))</f>
        <v/>
      </c>
    </row>
    <row r="356" spans="1:40" x14ac:dyDescent="0.3">
      <c r="A356" t="s">
        <v>379</v>
      </c>
      <c r="B356">
        <v>0.236672967863894</v>
      </c>
      <c r="C356">
        <v>0.60268852780432802</v>
      </c>
      <c r="D356">
        <v>0.38129617951945799</v>
      </c>
      <c r="E356">
        <v>0</v>
      </c>
      <c r="F356">
        <v>0</v>
      </c>
      <c r="G356">
        <v>0.47635332630829902</v>
      </c>
      <c r="H356">
        <v>7</v>
      </c>
      <c r="I356">
        <v>13</v>
      </c>
      <c r="J356">
        <v>8.2486522589571107E-2</v>
      </c>
      <c r="K356">
        <v>8.1566068515497494E-3</v>
      </c>
      <c r="L356">
        <v>2.5185528410322299E-2</v>
      </c>
      <c r="M356">
        <v>1.7316017316017301E-3</v>
      </c>
      <c r="N356">
        <v>1.26494804695496E-2</v>
      </c>
      <c r="O356">
        <v>371</v>
      </c>
      <c r="P356">
        <v>6.4990179573512899E-2</v>
      </c>
      <c r="Q356">
        <v>6.5149549423191497E-2</v>
      </c>
      <c r="R356">
        <v>0</v>
      </c>
      <c r="S356">
        <v>0</v>
      </c>
      <c r="T356" t="s">
        <v>49</v>
      </c>
      <c r="U356">
        <v>2.4258760107816701E-2</v>
      </c>
      <c r="V356">
        <v>0</v>
      </c>
      <c r="W356">
        <v>0</v>
      </c>
      <c r="X356">
        <v>0.114388853855837</v>
      </c>
      <c r="Y356">
        <v>3.2884912863940199E-2</v>
      </c>
      <c r="Z356">
        <v>4.4053899931927598E-2</v>
      </c>
      <c r="AA356">
        <v>0</v>
      </c>
      <c r="AB356">
        <v>2.0717000588774681E-2</v>
      </c>
      <c r="AC356">
        <v>2.3200000578071919E-4</v>
      </c>
      <c r="AD356">
        <v>4.954999778419733E-3</v>
      </c>
      <c r="AE356">
        <v>8.6190002039074898E-3</v>
      </c>
      <c r="AF356">
        <f>0.16*X356 + 0.28*Y356 + 0.28*Z356 + 0.28*AA356</f>
        <v>3.9845084199776906E-2</v>
      </c>
      <c r="AG356">
        <f t="shared" si="15"/>
        <v>7.1804000908741727E-3</v>
      </c>
      <c r="AH356">
        <f>IF(T356="IT_Admin", 0.25, IF(AND(T356="HR", AA356&gt;0.6), 0.25, IF(AND(T356="General", Z356&gt;0.7), 0.2, 0.1)))</f>
        <v>0.1</v>
      </c>
      <c r="AI356">
        <f>IF(V356&gt;0.7, 0.1,
 IF(F356&gt;0.5, 0.08,
 IF(E356&gt;0.5, 0.05,
 0)))</f>
        <v>0</v>
      </c>
      <c r="AJ356">
        <f t="shared" si="16"/>
        <v>1.697980532354499E-2</v>
      </c>
      <c r="AK356">
        <f t="shared" si="17"/>
        <v>1.8677785855899489E-2</v>
      </c>
      <c r="AL356" t="str">
        <f>IF(MAX(X356, Y356, Z356, AA356)&gt;0.9,
 "Critical",
 IF(AK356&lt;=0.2,"Very Low",
 IF(AK356&lt;=0.4,"Low",
 IF(AK356&lt;=0.6,"Medium",
 IF(AK356&lt;=0.8,"High","Critical")))))</f>
        <v>Very Low</v>
      </c>
      <c r="AM356" t="str">
        <f>IF(MAX(X356:AA356)&gt;0.9,"CRITICAL ALERT",
 IF(AK356&gt;0.8,"CRITICAL ALERT",
 IF(AK356&gt;0.6,"ALERT",
 IF(AK356&gt;=0.4,"REVIEW","NO ACTION"))))</f>
        <v>NO ACTION</v>
      </c>
      <c r="AN356" t="str">
        <f>IF(AM356="NO ACTION","",
 IF(_xlfn.TEXTJOIN(", ", TRUE,
  IF(X356&gt;0.7,"Login anomaly",""),
  IF(Y356&gt;0.7,"File anomaly",""),
  IF(Z356&gt;0.7,"Network anomaly",""),
  IF(AA356&gt;0.7,"USB anomaly","")
 )="",
 "General anomaly detected",
 _xlfn.TEXTJOIN(", ", TRUE,
  IF(X356&gt;0.7,"Login anomaly",""),
  IF(Y356&gt;0.7,"File anomaly",""),
  IF(Z356&gt;0.7,"Network anomaly",""),
  IF(AA356&gt;0.7,"USB anomaly","")
 )))</f>
        <v/>
      </c>
    </row>
    <row r="357" spans="1:40" x14ac:dyDescent="0.3">
      <c r="A357" t="s">
        <v>380</v>
      </c>
      <c r="B357">
        <v>0.12892249527410199</v>
      </c>
      <c r="C357">
        <v>0.36953165208440503</v>
      </c>
      <c r="D357">
        <v>0</v>
      </c>
      <c r="E357">
        <v>0</v>
      </c>
      <c r="F357">
        <v>0</v>
      </c>
      <c r="G357">
        <v>0.99366360721304103</v>
      </c>
      <c r="H357">
        <v>8</v>
      </c>
      <c r="I357">
        <v>8</v>
      </c>
      <c r="J357">
        <v>0.12518486713420099</v>
      </c>
      <c r="K357">
        <v>1.7944535073409401E-2</v>
      </c>
      <c r="L357">
        <v>3.6545360889957197E-2</v>
      </c>
      <c r="M357">
        <v>1.44300144300144E-3</v>
      </c>
      <c r="N357">
        <v>6.9526433162796697E-3</v>
      </c>
      <c r="O357">
        <v>1377</v>
      </c>
      <c r="P357">
        <v>0.10044893378226701</v>
      </c>
      <c r="Q357">
        <v>0.10059960026648899</v>
      </c>
      <c r="R357">
        <v>0</v>
      </c>
      <c r="S357">
        <v>0</v>
      </c>
      <c r="T357" t="s">
        <v>24</v>
      </c>
      <c r="U357">
        <v>6.2264150943396199E-2</v>
      </c>
      <c r="V357">
        <v>0</v>
      </c>
      <c r="W357">
        <v>0</v>
      </c>
      <c r="X357">
        <v>0</v>
      </c>
      <c r="Y357">
        <v>4.5395446866702799E-2</v>
      </c>
      <c r="Z357">
        <v>6.3050417595872099E-2</v>
      </c>
      <c r="AA357">
        <v>0</v>
      </c>
      <c r="AB357">
        <v>2.4907000362873081E-2</v>
      </c>
      <c r="AC357">
        <v>2.789999998640269E-4</v>
      </c>
      <c r="AD357">
        <v>1.7689999658614399E-3</v>
      </c>
      <c r="AE357">
        <v>1.0880000190809369E-3</v>
      </c>
      <c r="AF357">
        <f>0.16*X357 + 0.28*Y357 + 0.28*Z357 + 0.28*AA357</f>
        <v>3.0364842049520974E-2</v>
      </c>
      <c r="AG357">
        <f t="shared" si="15"/>
        <v>4.8632000538054859E-3</v>
      </c>
      <c r="AH357">
        <f>IF(T357="IT_Admin", 0.25, IF(AND(T357="HR", AA357&gt;0.6), 0.25, IF(AND(T357="General", Z357&gt;0.7), 0.2, 0.1)))</f>
        <v>0.25</v>
      </c>
      <c r="AI357">
        <f>IF(V357&gt;0.7, 0.1,
 IF(F357&gt;0.5, 0.08,
 IF(E357&gt;0.5, 0.05,
 0)))</f>
        <v>0</v>
      </c>
      <c r="AJ357">
        <f t="shared" si="16"/>
        <v>1.2513692652520132E-2</v>
      </c>
      <c r="AK357">
        <f t="shared" si="17"/>
        <v>1.5642115815650164E-2</v>
      </c>
      <c r="AL357" t="str">
        <f>IF(MAX(X357, Y357, Z357, AA357)&gt;0.9,
 "Critical",
 IF(AK357&lt;=0.2,"Very Low",
 IF(AK357&lt;=0.4,"Low",
 IF(AK357&lt;=0.6,"Medium",
 IF(AK357&lt;=0.8,"High","Critical")))))</f>
        <v>Very Low</v>
      </c>
      <c r="AM357" t="str">
        <f>IF(MAX(X357:AA357)&gt;0.9,"CRITICAL ALERT",
 IF(AK357&gt;0.8,"CRITICAL ALERT",
 IF(AK357&gt;0.6,"ALERT",
 IF(AK357&gt;=0.4,"REVIEW","NO ACTION"))))</f>
        <v>NO ACTION</v>
      </c>
      <c r="AN357" t="str">
        <f>IF(AM357="NO ACTION","",
 IF(_xlfn.TEXTJOIN(", ", TRUE,
  IF(X357&gt;0.7,"Login anomaly",""),
  IF(Y357&gt;0.7,"File anomaly",""),
  IF(Z357&gt;0.7,"Network anomaly",""),
  IF(AA357&gt;0.7,"USB anomaly","")
 )="",
 "General anomaly detected",
 _xlfn.TEXTJOIN(", ", TRUE,
  IF(X357&gt;0.7,"Login anomaly",""),
  IF(Y357&gt;0.7,"File anomaly",""),
  IF(Z357&gt;0.7,"Network anomaly",""),
  IF(AA357&gt;0.7,"USB anomaly","")
 )))</f>
        <v/>
      </c>
    </row>
    <row r="358" spans="1:40" x14ac:dyDescent="0.3">
      <c r="A358" t="s">
        <v>381</v>
      </c>
      <c r="B358">
        <v>0.25141776937618099</v>
      </c>
      <c r="C358">
        <v>0.68382688382734502</v>
      </c>
      <c r="D358">
        <v>0.365803402534008</v>
      </c>
      <c r="E358">
        <v>0</v>
      </c>
      <c r="F358">
        <v>0</v>
      </c>
      <c r="G358">
        <v>0.43984951692687702</v>
      </c>
      <c r="H358">
        <v>7</v>
      </c>
      <c r="I358">
        <v>16</v>
      </c>
      <c r="J358">
        <v>9.6274032727446196E-2</v>
      </c>
      <c r="K358">
        <v>1.6313213703099499E-2</v>
      </c>
      <c r="L358">
        <v>4.3175191560552502E-2</v>
      </c>
      <c r="M358">
        <v>1.7316017316017301E-3</v>
      </c>
      <c r="N358">
        <v>1.08424118310425E-2</v>
      </c>
      <c r="O358">
        <v>1050</v>
      </c>
      <c r="P358">
        <v>7.8633557800224393E-2</v>
      </c>
      <c r="Q358">
        <v>7.8789578877239697E-2</v>
      </c>
      <c r="R358">
        <v>0</v>
      </c>
      <c r="S358">
        <v>0</v>
      </c>
      <c r="T358" t="s">
        <v>24</v>
      </c>
      <c r="U358">
        <v>4.8517520215633402E-2</v>
      </c>
      <c r="V358">
        <v>0</v>
      </c>
      <c r="W358">
        <v>0</v>
      </c>
      <c r="X358">
        <v>0.10974102076020199</v>
      </c>
      <c r="Y358">
        <v>4.40951258750783E-2</v>
      </c>
      <c r="Z358">
        <v>5.1517099412551698E-2</v>
      </c>
      <c r="AA358">
        <v>0</v>
      </c>
      <c r="AB358">
        <v>3.6203000694513321E-2</v>
      </c>
      <c r="AC358">
        <v>6.8000001192558557E-5</v>
      </c>
      <c r="AD358">
        <v>3.4169999416917558E-3</v>
      </c>
      <c r="AE358">
        <v>8.5599999874830246E-3</v>
      </c>
      <c r="AF358">
        <f>0.16*X358 + 0.28*Y358 + 0.28*Z358 + 0.28*AA358</f>
        <v>4.4329986402168724E-2</v>
      </c>
      <c r="AG358">
        <f t="shared" si="15"/>
        <v>9.1650800916249879E-3</v>
      </c>
      <c r="AH358">
        <f>IF(T358="IT_Admin", 0.25, IF(AND(T358="HR", AA358&gt;0.6), 0.25, IF(AND(T358="General", Z358&gt;0.7), 0.2, 0.1)))</f>
        <v>0.25</v>
      </c>
      <c r="AI358">
        <f>IF(V358&gt;0.7, 0.1,
 IF(F358&gt;0.5, 0.08,
 IF(E358&gt;0.5, 0.05,
 0)))</f>
        <v>0</v>
      </c>
      <c r="AJ358">
        <f t="shared" si="16"/>
        <v>1.9714551984788109E-2</v>
      </c>
      <c r="AK358">
        <f t="shared" si="17"/>
        <v>2.4643189980985136E-2</v>
      </c>
      <c r="AL358" t="str">
        <f>IF(MAX(X358, Y358, Z358, AA358)&gt;0.9,
 "Critical",
 IF(AK358&lt;=0.2,"Very Low",
 IF(AK358&lt;=0.4,"Low",
 IF(AK358&lt;=0.6,"Medium",
 IF(AK358&lt;=0.8,"High","Critical")))))</f>
        <v>Very Low</v>
      </c>
      <c r="AM358" t="str">
        <f>IF(MAX(X358:AA358)&gt;0.9,"CRITICAL ALERT",
 IF(AK358&gt;0.8,"CRITICAL ALERT",
 IF(AK358&gt;0.6,"ALERT",
 IF(AK358&gt;=0.4,"REVIEW","NO ACTION"))))</f>
        <v>NO ACTION</v>
      </c>
      <c r="AN358" t="str">
        <f>IF(AM358="NO ACTION","",
 IF(_xlfn.TEXTJOIN(", ", TRUE,
  IF(X358&gt;0.7,"Login anomaly",""),
  IF(Y358&gt;0.7,"File anomaly",""),
  IF(Z358&gt;0.7,"Network anomaly",""),
  IF(AA358&gt;0.7,"USB anomaly","")
 )="",
 "General anomaly detected",
 _xlfn.TEXTJOIN(", ", TRUE,
  IF(X358&gt;0.7,"Login anomaly",""),
  IF(Y358&gt;0.7,"File anomaly",""),
  IF(Z358&gt;0.7,"Network anomaly",""),
  IF(AA358&gt;0.7,"USB anomaly","")
 )))</f>
        <v/>
      </c>
    </row>
    <row r="359" spans="1:40" x14ac:dyDescent="0.3">
      <c r="A359" t="s">
        <v>382</v>
      </c>
      <c r="B359">
        <v>0.23478260869565201</v>
      </c>
      <c r="C359">
        <v>0.599823777663406</v>
      </c>
      <c r="D359">
        <v>0.38245625118659898</v>
      </c>
      <c r="E359">
        <v>0</v>
      </c>
      <c r="F359">
        <v>0</v>
      </c>
      <c r="G359">
        <v>0.48136119829840202</v>
      </c>
      <c r="H359">
        <v>7</v>
      </c>
      <c r="I359">
        <v>13</v>
      </c>
      <c r="J359">
        <v>9.8754830399313001E-2</v>
      </c>
      <c r="K359">
        <v>8.9722675367047301E-3</v>
      </c>
      <c r="L359">
        <v>2.31512659710114E-2</v>
      </c>
      <c r="M359">
        <v>1.44300144300144E-3</v>
      </c>
      <c r="N359">
        <v>8.8089153149394101E-3</v>
      </c>
      <c r="O359">
        <v>1085</v>
      </c>
      <c r="P359">
        <v>7.7160493827160503E-2</v>
      </c>
      <c r="Q359">
        <v>7.7316876468319307E-2</v>
      </c>
      <c r="R359">
        <v>0</v>
      </c>
      <c r="S359">
        <v>0</v>
      </c>
      <c r="T359" t="s">
        <v>24</v>
      </c>
      <c r="U359">
        <v>3.1132075471698099E-2</v>
      </c>
      <c r="V359">
        <v>0</v>
      </c>
      <c r="W359">
        <v>0</v>
      </c>
      <c r="X359">
        <v>0.114736875355979</v>
      </c>
      <c r="Y359">
        <v>3.3969273659850099E-2</v>
      </c>
      <c r="Z359">
        <v>4.9819862422272002E-2</v>
      </c>
      <c r="AA359">
        <v>0</v>
      </c>
      <c r="AB359">
        <v>2.037799917161465E-2</v>
      </c>
      <c r="AC359">
        <v>2.010000025620684E-4</v>
      </c>
      <c r="AD359">
        <v>3.695999970659614E-3</v>
      </c>
      <c r="AE359">
        <v>6.7030000500380993E-3</v>
      </c>
      <c r="AF359">
        <f>0.16*X359 + 0.28*Y359 + 0.28*Z359 + 0.28*AA359</f>
        <v>4.1818858159950831E-2</v>
      </c>
      <c r="AG359">
        <f t="shared" si="15"/>
        <v>6.2284798739710824E-3</v>
      </c>
      <c r="AH359">
        <f>IF(T359="IT_Admin", 0.25, IF(AND(T359="HR", AA359&gt;0.6), 0.25, IF(AND(T359="General", Z359&gt;0.7), 0.2, 0.1)))</f>
        <v>0.25</v>
      </c>
      <c r="AI359">
        <f>IF(V359&gt;0.7, 0.1,
 IF(F359&gt;0.5, 0.08,
 IF(E359&gt;0.5, 0.05,
 0)))</f>
        <v>0</v>
      </c>
      <c r="AJ359">
        <f t="shared" si="16"/>
        <v>1.6905593359765006E-2</v>
      </c>
      <c r="AK359">
        <f t="shared" si="17"/>
        <v>2.1131991699706257E-2</v>
      </c>
      <c r="AL359" t="str">
        <f>IF(MAX(X359, Y359, Z359, AA359)&gt;0.9,
 "Critical",
 IF(AK359&lt;=0.2,"Very Low",
 IF(AK359&lt;=0.4,"Low",
 IF(AK359&lt;=0.6,"Medium",
 IF(AK359&lt;=0.8,"High","Critical")))))</f>
        <v>Very Low</v>
      </c>
      <c r="AM359" t="str">
        <f>IF(MAX(X359:AA359)&gt;0.9,"CRITICAL ALERT",
 IF(AK359&gt;0.8,"CRITICAL ALERT",
 IF(AK359&gt;0.6,"ALERT",
 IF(AK359&gt;=0.4,"REVIEW","NO ACTION"))))</f>
        <v>NO ACTION</v>
      </c>
      <c r="AN359" t="str">
        <f>IF(AM359="NO ACTION","",
 IF(_xlfn.TEXTJOIN(", ", TRUE,
  IF(X359&gt;0.7,"Login anomaly",""),
  IF(Y359&gt;0.7,"File anomaly",""),
  IF(Z359&gt;0.7,"Network anomaly",""),
  IF(AA359&gt;0.7,"USB anomaly","")
 )="",
 "General anomaly detected",
 _xlfn.TEXTJOIN(", ", TRUE,
  IF(X359&gt;0.7,"Login anomaly",""),
  IF(Y359&gt;0.7,"File anomaly",""),
  IF(Z359&gt;0.7,"Network anomaly",""),
  IF(AA359&gt;0.7,"USB anomaly","")
 )))</f>
        <v/>
      </c>
    </row>
    <row r="360" spans="1:40" x14ac:dyDescent="0.3">
      <c r="A360" t="s">
        <v>383</v>
      </c>
      <c r="B360">
        <v>0.12892249527410199</v>
      </c>
      <c r="C360">
        <v>0.36953165208440503</v>
      </c>
      <c r="D360">
        <v>0</v>
      </c>
      <c r="E360">
        <v>0</v>
      </c>
      <c r="F360">
        <v>0</v>
      </c>
      <c r="G360">
        <v>0.99368632874434804</v>
      </c>
      <c r="H360">
        <v>8</v>
      </c>
      <c r="I360">
        <v>8</v>
      </c>
      <c r="J360">
        <v>9.7085062735556504E-2</v>
      </c>
      <c r="K360">
        <v>1.38662316476345E-2</v>
      </c>
      <c r="L360">
        <v>3.6393088552915703E-2</v>
      </c>
      <c r="M360">
        <v>4.3290043290043203E-3</v>
      </c>
      <c r="N360">
        <v>2.6880145997792999E-2</v>
      </c>
      <c r="O360">
        <v>1110</v>
      </c>
      <c r="P360">
        <v>7.94402356902357E-2</v>
      </c>
      <c r="Q360">
        <v>7.9596058767838901E-2</v>
      </c>
      <c r="R360">
        <v>0</v>
      </c>
      <c r="S360">
        <v>0</v>
      </c>
      <c r="T360" t="s">
        <v>24</v>
      </c>
      <c r="U360">
        <v>1.8042452830188599E-2</v>
      </c>
      <c r="V360">
        <v>0</v>
      </c>
      <c r="W360">
        <v>0</v>
      </c>
      <c r="X360">
        <v>0</v>
      </c>
      <c r="Y360">
        <v>4.56776006229071E-2</v>
      </c>
      <c r="Z360">
        <v>5.8416199813258601E-2</v>
      </c>
      <c r="AA360">
        <v>0</v>
      </c>
      <c r="AB360">
        <v>2.4714000523090359E-2</v>
      </c>
      <c r="AC360">
        <v>1.2399999832268799E-4</v>
      </c>
      <c r="AD360">
        <v>3.2659999560564761E-3</v>
      </c>
      <c r="AE360">
        <v>1.3030000263825059E-3</v>
      </c>
      <c r="AF360">
        <f>0.16*X360 + 0.28*Y360 + 0.28*Z360 + 0.28*AA360</f>
        <v>2.9146264122126397E-2</v>
      </c>
      <c r="AG360">
        <f t="shared" si="15"/>
        <v>5.2682800783077242E-3</v>
      </c>
      <c r="AH360">
        <f>IF(T360="IT_Admin", 0.25, IF(AND(T360="HR", AA360&gt;0.6), 0.25, IF(AND(T360="General", Z360&gt;0.7), 0.2, 0.1)))</f>
        <v>0.25</v>
      </c>
      <c r="AI360">
        <f>IF(V360&gt;0.7, 0.1,
 IF(F360&gt;0.5, 0.08,
 IF(E360&gt;0.5, 0.05,
 0)))</f>
        <v>0</v>
      </c>
      <c r="AJ360">
        <f t="shared" si="16"/>
        <v>1.2431675291453326E-2</v>
      </c>
      <c r="AK360">
        <f t="shared" si="17"/>
        <v>1.5539594114316657E-2</v>
      </c>
      <c r="AL360" t="str">
        <f>IF(MAX(X360, Y360, Z360, AA360)&gt;0.9,
 "Critical",
 IF(AK360&lt;=0.2,"Very Low",
 IF(AK360&lt;=0.4,"Low",
 IF(AK360&lt;=0.6,"Medium",
 IF(AK360&lt;=0.8,"High","Critical")))))</f>
        <v>Very Low</v>
      </c>
      <c r="AM360" t="str">
        <f>IF(MAX(X360:AA360)&gt;0.9,"CRITICAL ALERT",
 IF(AK360&gt;0.8,"CRITICAL ALERT",
 IF(AK360&gt;0.6,"ALERT",
 IF(AK360&gt;=0.4,"REVIEW","NO ACTION"))))</f>
        <v>NO ACTION</v>
      </c>
      <c r="AN360" t="str">
        <f>IF(AM360="NO ACTION","",
 IF(_xlfn.TEXTJOIN(", ", TRUE,
  IF(X360&gt;0.7,"Login anomaly",""),
  IF(Y360&gt;0.7,"File anomaly",""),
  IF(Z360&gt;0.7,"Network anomaly",""),
  IF(AA360&gt;0.7,"USB anomaly","")
 )="",
 "General anomaly detected",
 _xlfn.TEXTJOIN(", ", TRUE,
  IF(X360&gt;0.7,"Login anomaly",""),
  IF(Y360&gt;0.7,"File anomaly",""),
  IF(Z360&gt;0.7,"Network anomaly",""),
  IF(AA360&gt;0.7,"USB anomaly","")
 )))</f>
        <v/>
      </c>
    </row>
    <row r="361" spans="1:40" x14ac:dyDescent="0.3">
      <c r="A361" t="s">
        <v>384</v>
      </c>
      <c r="B361">
        <v>0.235538752362948</v>
      </c>
      <c r="C361">
        <v>0.66008843753514201</v>
      </c>
      <c r="D361">
        <v>0.36878324534118401</v>
      </c>
      <c r="E361">
        <v>0</v>
      </c>
      <c r="F361">
        <v>0</v>
      </c>
      <c r="G361">
        <v>0.47941247371608797</v>
      </c>
      <c r="H361">
        <v>7</v>
      </c>
      <c r="I361">
        <v>15</v>
      </c>
      <c r="J361">
        <v>9.2218882686894696E-2</v>
      </c>
      <c r="K361">
        <v>3.2626427406199001E-3</v>
      </c>
      <c r="L361">
        <v>9.0137680626416698E-3</v>
      </c>
      <c r="M361">
        <v>5.7720057720057698E-4</v>
      </c>
      <c r="N361">
        <v>3.7726520698656901E-3</v>
      </c>
      <c r="O361">
        <v>423</v>
      </c>
      <c r="P361">
        <v>6.9479517396184007E-2</v>
      </c>
      <c r="Q361">
        <v>6.9637785336091704E-2</v>
      </c>
      <c r="R361">
        <v>0</v>
      </c>
      <c r="S361">
        <v>0</v>
      </c>
      <c r="T361" t="s">
        <v>49</v>
      </c>
      <c r="U361">
        <v>2.26415094339622E-2</v>
      </c>
      <c r="V361">
        <v>0</v>
      </c>
      <c r="W361">
        <v>0</v>
      </c>
      <c r="X361">
        <v>0.110634973602355</v>
      </c>
      <c r="Y361">
        <v>2.4082456189659401E-2</v>
      </c>
      <c r="Z361">
        <v>4.31967712656567E-2</v>
      </c>
      <c r="AA361">
        <v>0</v>
      </c>
      <c r="AB361">
        <v>2.649600058794022E-2</v>
      </c>
      <c r="AC361">
        <v>6.4300000667572021E-4</v>
      </c>
      <c r="AD361">
        <v>4.6109999530017376E-3</v>
      </c>
      <c r="AE361">
        <v>9.2749996110796928E-3</v>
      </c>
      <c r="AF361">
        <f>0.16*X361 + 0.28*Y361 + 0.28*Z361 + 0.28*AA361</f>
        <v>3.6539779463865309E-2</v>
      </c>
      <c r="AG361">
        <f t="shared" si="15"/>
        <v>8.3074799738824395E-3</v>
      </c>
      <c r="AH361">
        <f>IF(T361="IT_Admin", 0.25, IF(AND(T361="HR", AA361&gt;0.6), 0.25, IF(AND(T361="General", Z361&gt;0.7), 0.2, 0.1)))</f>
        <v>0.1</v>
      </c>
      <c r="AI361">
        <f>IF(V361&gt;0.7, 0.1,
 IF(F361&gt;0.5, 0.08,
 IF(E361&gt;0.5, 0.05,
 0)))</f>
        <v>0</v>
      </c>
      <c r="AJ361">
        <f t="shared" si="16"/>
        <v>1.6777169820877298E-2</v>
      </c>
      <c r="AK361">
        <f t="shared" si="17"/>
        <v>1.8454886802965028E-2</v>
      </c>
      <c r="AL361" t="str">
        <f>IF(MAX(X361, Y361, Z361, AA361)&gt;0.9,
 "Critical",
 IF(AK361&lt;=0.2,"Very Low",
 IF(AK361&lt;=0.4,"Low",
 IF(AK361&lt;=0.6,"Medium",
 IF(AK361&lt;=0.8,"High","Critical")))))</f>
        <v>Very Low</v>
      </c>
      <c r="AM361" t="str">
        <f>IF(MAX(X361:AA361)&gt;0.9,"CRITICAL ALERT",
 IF(AK361&gt;0.8,"CRITICAL ALERT",
 IF(AK361&gt;0.6,"ALERT",
 IF(AK361&gt;=0.4,"REVIEW","NO ACTION"))))</f>
        <v>NO ACTION</v>
      </c>
      <c r="AN361" t="str">
        <f>IF(AM361="NO ACTION","",
 IF(_xlfn.TEXTJOIN(", ", TRUE,
  IF(X361&gt;0.7,"Login anomaly",""),
  IF(Y361&gt;0.7,"File anomaly",""),
  IF(Z361&gt;0.7,"Network anomaly",""),
  IF(AA361&gt;0.7,"USB anomaly","")
 )="",
 "General anomaly detected",
 _xlfn.TEXTJOIN(", ", TRUE,
  IF(X361&gt;0.7,"Login anomaly",""),
  IF(Y361&gt;0.7,"File anomaly",""),
  IF(Z361&gt;0.7,"Network anomaly",""),
  IF(AA361&gt;0.7,"USB anomaly","")
 )))</f>
        <v/>
      </c>
    </row>
    <row r="362" spans="1:40" x14ac:dyDescent="0.3">
      <c r="A362" t="s">
        <v>385</v>
      </c>
      <c r="B362">
        <v>0.23440453686200299</v>
      </c>
      <c r="C362">
        <v>0.422237288359264</v>
      </c>
      <c r="D362">
        <v>0.39636132958100501</v>
      </c>
      <c r="E362">
        <v>0</v>
      </c>
      <c r="F362">
        <v>0.55288461538461497</v>
      </c>
      <c r="G362">
        <v>0.48233196976674397</v>
      </c>
      <c r="H362">
        <v>6</v>
      </c>
      <c r="I362">
        <v>17</v>
      </c>
      <c r="J362">
        <v>0.13191164543676301</v>
      </c>
      <c r="K362">
        <v>2.1207177814029299E-2</v>
      </c>
      <c r="L362">
        <v>4.0991493243717397E-2</v>
      </c>
      <c r="M362">
        <v>4.3290043290043203E-3</v>
      </c>
      <c r="N362">
        <v>1.97962086048728E-2</v>
      </c>
      <c r="O362">
        <v>1088</v>
      </c>
      <c r="P362">
        <v>0.108200056116722</v>
      </c>
      <c r="Q362">
        <v>0.108348820084855</v>
      </c>
      <c r="R362">
        <v>0.474926253687315</v>
      </c>
      <c r="S362">
        <v>1</v>
      </c>
      <c r="T362" t="s">
        <v>24</v>
      </c>
      <c r="U362">
        <v>2.75943396226415E-2</v>
      </c>
      <c r="V362">
        <v>0</v>
      </c>
      <c r="W362">
        <v>0.73959262405323101</v>
      </c>
      <c r="X362">
        <v>0.34006224502814703</v>
      </c>
      <c r="Y362">
        <v>5.2816938290673202E-2</v>
      </c>
      <c r="Z362">
        <v>7.2838517111982803E-2</v>
      </c>
      <c r="AA362">
        <v>0.474926253687315</v>
      </c>
      <c r="AB362">
        <v>6.958799809217453E-2</v>
      </c>
      <c r="AC362">
        <v>7.7999997301958501E-5</v>
      </c>
      <c r="AD362">
        <v>5.7899998500943184E-4</v>
      </c>
      <c r="AE362">
        <v>0.20261600613594061</v>
      </c>
      <c r="AF362">
        <f>0.16*X362 + 0.28*Y362 + 0.28*Z362 + 0.28*AA362</f>
        <v>0.22257283774969544</v>
      </c>
      <c r="AG362">
        <f t="shared" si="15"/>
        <v>6.8050521407858486E-2</v>
      </c>
      <c r="AH362">
        <f>IF(T362="IT_Admin", 0.25, IF(AND(T362="HR", AA362&gt;0.6), 0.25, IF(AND(T362="General", Z362&gt;0.7), 0.2, 0.1)))</f>
        <v>0.25</v>
      </c>
      <c r="AI362">
        <f>IF(V362&gt;0.7, 0.1,
 IF(F362&gt;0.5, 0.08,
 IF(E362&gt;0.5, 0.05,
 0)))</f>
        <v>0.08</v>
      </c>
      <c r="AJ362">
        <f t="shared" si="16"/>
        <v>0.11440721631040957</v>
      </c>
      <c r="AK362">
        <f t="shared" si="17"/>
        <v>0.15216159769284474</v>
      </c>
      <c r="AL362" t="str">
        <f>IF(MAX(X362, Y362, Z362, AA362)&gt;0.9,
 "Critical",
 IF(AK362&lt;=0.2,"Very Low",
 IF(AK362&lt;=0.4,"Low",
 IF(AK362&lt;=0.6,"Medium",
 IF(AK362&lt;=0.8,"High","Critical")))))</f>
        <v>Very Low</v>
      </c>
      <c r="AM362" t="str">
        <f>IF(MAX(X362:AA362)&gt;0.9,"CRITICAL ALERT",
 IF(AK362&gt;0.8,"CRITICAL ALERT",
 IF(AK362&gt;0.6,"ALERT",
 IF(AK362&gt;=0.4,"REVIEW","NO ACTION"))))</f>
        <v>NO ACTION</v>
      </c>
      <c r="AN362" t="str">
        <f>IF(AM362="NO ACTION","",
 IF(_xlfn.TEXTJOIN(", ", TRUE,
  IF(X362&gt;0.7,"Login anomaly",""),
  IF(Y362&gt;0.7,"File anomaly",""),
  IF(Z362&gt;0.7,"Network anomaly",""),
  IF(AA362&gt;0.7,"USB anomaly","")
 )="",
 "General anomaly detected",
 _xlfn.TEXTJOIN(", ", TRUE,
  IF(X362&gt;0.7,"Login anomaly",""),
  IF(Y362&gt;0.7,"File anomaly",""),
  IF(Z362&gt;0.7,"Network anomaly",""),
  IF(AA362&gt;0.7,"USB anomaly","")
 )))</f>
        <v/>
      </c>
    </row>
    <row r="363" spans="1:40" x14ac:dyDescent="0.3">
      <c r="A363" t="s">
        <v>386</v>
      </c>
      <c r="B363">
        <v>0.12892249527410199</v>
      </c>
      <c r="C363">
        <v>0.36953165208440503</v>
      </c>
      <c r="D363">
        <v>0</v>
      </c>
      <c r="E363">
        <v>0</v>
      </c>
      <c r="F363">
        <v>0</v>
      </c>
      <c r="G363">
        <v>0.99367104724331601</v>
      </c>
      <c r="H363">
        <v>8</v>
      </c>
      <c r="I363">
        <v>8</v>
      </c>
      <c r="J363">
        <v>0.109966127570249</v>
      </c>
      <c r="K363">
        <v>3.7520391517128798E-2</v>
      </c>
      <c r="L363">
        <v>8.6965302516058399E-2</v>
      </c>
      <c r="M363">
        <v>2.0202020202020202E-3</v>
      </c>
      <c r="N363">
        <v>1.1077878350605599E-2</v>
      </c>
      <c r="O363">
        <v>1241</v>
      </c>
      <c r="P363">
        <v>9.7958754208754203E-2</v>
      </c>
      <c r="Q363">
        <v>9.8110031908552095E-2</v>
      </c>
      <c r="R363">
        <v>0</v>
      </c>
      <c r="S363">
        <v>0</v>
      </c>
      <c r="T363" t="s">
        <v>24</v>
      </c>
      <c r="U363">
        <v>9.7641509433962201E-2</v>
      </c>
      <c r="V363">
        <v>0</v>
      </c>
      <c r="W363">
        <v>0</v>
      </c>
      <c r="X363">
        <v>0</v>
      </c>
      <c r="Y363">
        <v>6.8799240277260795E-2</v>
      </c>
      <c r="Z363">
        <v>6.3206403865494698E-2</v>
      </c>
      <c r="AA363">
        <v>0</v>
      </c>
      <c r="AB363">
        <v>2.5032000616192821E-2</v>
      </c>
      <c r="AC363">
        <v>2.1440000273287301E-3</v>
      </c>
      <c r="AD363">
        <v>1.8960000015795231E-3</v>
      </c>
      <c r="AE363">
        <v>1.2199999764561651E-3</v>
      </c>
      <c r="AF363">
        <f>0.16*X363 + 0.28*Y363 + 0.28*Z363 + 0.28*AA363</f>
        <v>3.6961580359971546E-2</v>
      </c>
      <c r="AG363">
        <f t="shared" si="15"/>
        <v>5.4779201000928887E-3</v>
      </c>
      <c r="AH363">
        <f>IF(T363="IT_Admin", 0.25, IF(AND(T363="HR", AA363&gt;0.6), 0.25, IF(AND(T363="General", Z363&gt;0.7), 0.2, 0.1)))</f>
        <v>0.25</v>
      </c>
      <c r="AI363">
        <f>IF(V363&gt;0.7, 0.1,
 IF(F363&gt;0.5, 0.08,
 IF(E363&gt;0.5, 0.05,
 0)))</f>
        <v>0</v>
      </c>
      <c r="AJ363">
        <f t="shared" si="16"/>
        <v>1.4923018178056486E-2</v>
      </c>
      <c r="AK363">
        <f t="shared" si="17"/>
        <v>1.8653772722570607E-2</v>
      </c>
      <c r="AL363" t="str">
        <f>IF(MAX(X363, Y363, Z363, AA363)&gt;0.9,
 "Critical",
 IF(AK363&lt;=0.2,"Very Low",
 IF(AK363&lt;=0.4,"Low",
 IF(AK363&lt;=0.6,"Medium",
 IF(AK363&lt;=0.8,"High","Critical")))))</f>
        <v>Very Low</v>
      </c>
      <c r="AM363" t="str">
        <f>IF(MAX(X363:AA363)&gt;0.9,"CRITICAL ALERT",
 IF(AK363&gt;0.8,"CRITICAL ALERT",
 IF(AK363&gt;0.6,"ALERT",
 IF(AK363&gt;=0.4,"REVIEW","NO ACTION"))))</f>
        <v>NO ACTION</v>
      </c>
      <c r="AN363" t="str">
        <f>IF(AM363="NO ACTION","",
 IF(_xlfn.TEXTJOIN(", ", TRUE,
  IF(X363&gt;0.7,"Login anomaly",""),
  IF(Y363&gt;0.7,"File anomaly",""),
  IF(Z363&gt;0.7,"Network anomaly",""),
  IF(AA363&gt;0.7,"USB anomaly","")
 )="",
 "General anomaly detected",
 _xlfn.TEXTJOIN(", ", TRUE,
  IF(X363&gt;0.7,"Login anomaly",""),
  IF(Y363&gt;0.7,"File anomaly",""),
  IF(Z363&gt;0.7,"Network anomaly",""),
  IF(AA363&gt;0.7,"USB anomaly","")
 )))</f>
        <v/>
      </c>
    </row>
    <row r="364" spans="1:40" x14ac:dyDescent="0.3">
      <c r="A364" t="s">
        <v>387</v>
      </c>
      <c r="B364">
        <v>0.12892249527410199</v>
      </c>
      <c r="C364">
        <v>8.5152945915101905E-2</v>
      </c>
      <c r="D364">
        <v>7.4902366299490403E-2</v>
      </c>
      <c r="E364">
        <v>0</v>
      </c>
      <c r="F364">
        <v>0.53913043478260803</v>
      </c>
      <c r="G364">
        <v>0.99365905755424</v>
      </c>
      <c r="H364">
        <v>6</v>
      </c>
      <c r="I364">
        <v>7</v>
      </c>
      <c r="J364">
        <v>9.3459281522828105E-2</v>
      </c>
      <c r="K364">
        <v>1.4681892332789499E-2</v>
      </c>
      <c r="L364">
        <v>4.0024985373878802E-2</v>
      </c>
      <c r="M364">
        <v>2.0202020202020202E-3</v>
      </c>
      <c r="N364">
        <v>1.30294801374231E-2</v>
      </c>
      <c r="O364">
        <v>1037</v>
      </c>
      <c r="P364">
        <v>7.6003086419752994E-2</v>
      </c>
      <c r="Q364">
        <v>7.6159753147024695E-2</v>
      </c>
      <c r="R364">
        <v>0</v>
      </c>
      <c r="S364">
        <v>0</v>
      </c>
      <c r="T364" t="s">
        <v>49</v>
      </c>
      <c r="U364">
        <v>3.8207547169811298E-2</v>
      </c>
      <c r="V364">
        <v>0</v>
      </c>
      <c r="W364">
        <v>0</v>
      </c>
      <c r="X364">
        <v>0.23812288380289001</v>
      </c>
      <c r="Y364">
        <v>4.2613193032731901E-2</v>
      </c>
      <c r="Z364">
        <v>5.0813643906820999E-2</v>
      </c>
      <c r="AA364">
        <v>0</v>
      </c>
      <c r="AB364">
        <v>4.9178000539541238E-2</v>
      </c>
      <c r="AC364">
        <v>2.2000000171829018E-5</v>
      </c>
      <c r="AD364">
        <v>3.9869998581707478E-3</v>
      </c>
      <c r="AE364">
        <v>6.4799998654052615E-4</v>
      </c>
      <c r="AF364">
        <f>0.16*X364 + 0.28*Y364 + 0.28*Z364 + 0.28*AA364</f>
        <v>6.4259175751537223E-2</v>
      </c>
      <c r="AG364">
        <f t="shared" si="15"/>
        <v>9.1724400428938677E-3</v>
      </c>
      <c r="AH364">
        <f>IF(T364="IT_Admin", 0.25, IF(AND(T364="HR", AA364&gt;0.6), 0.25, IF(AND(T364="General", Z364&gt;0.7), 0.2, 0.1)))</f>
        <v>0.1</v>
      </c>
      <c r="AI364">
        <f>IF(V364&gt;0.7, 0.1,
 IF(F364&gt;0.5, 0.08,
 IF(E364&gt;0.5, 0.05,
 0)))</f>
        <v>0.08</v>
      </c>
      <c r="AJ364">
        <f t="shared" si="16"/>
        <v>2.5698460755486874E-2</v>
      </c>
      <c r="AK364">
        <f t="shared" si="17"/>
        <v>3.0324183691474514E-2</v>
      </c>
      <c r="AL364" t="str">
        <f>IF(MAX(X364, Y364, Z364, AA364)&gt;0.9,
 "Critical",
 IF(AK364&lt;=0.2,"Very Low",
 IF(AK364&lt;=0.4,"Low",
 IF(AK364&lt;=0.6,"Medium",
 IF(AK364&lt;=0.8,"High","Critical")))))</f>
        <v>Very Low</v>
      </c>
      <c r="AM364" t="str">
        <f>IF(MAX(X364:AA364)&gt;0.9,"CRITICAL ALERT",
 IF(AK364&gt;0.8,"CRITICAL ALERT",
 IF(AK364&gt;0.6,"ALERT",
 IF(AK364&gt;=0.4,"REVIEW","NO ACTION"))))</f>
        <v>NO ACTION</v>
      </c>
      <c r="AN364" t="str">
        <f>IF(AM364="NO ACTION","",
 IF(_xlfn.TEXTJOIN(", ", TRUE,
  IF(X364&gt;0.7,"Login anomaly",""),
  IF(Y364&gt;0.7,"File anomaly",""),
  IF(Z364&gt;0.7,"Network anomaly",""),
  IF(AA364&gt;0.7,"USB anomaly","")
 )="",
 "General anomaly detected",
 _xlfn.TEXTJOIN(", ", TRUE,
  IF(X364&gt;0.7,"Login anomaly",""),
  IF(Y364&gt;0.7,"File anomaly",""),
  IF(Z364&gt;0.7,"Network anomaly",""),
  IF(AA364&gt;0.7,"USB anomaly","")
 )))</f>
        <v/>
      </c>
    </row>
    <row r="365" spans="1:40" x14ac:dyDescent="0.3">
      <c r="A365" t="s">
        <v>388</v>
      </c>
      <c r="B365">
        <v>0.12892249527410199</v>
      </c>
      <c r="C365">
        <v>0.36953165208440503</v>
      </c>
      <c r="D365">
        <v>0</v>
      </c>
      <c r="E365">
        <v>0</v>
      </c>
      <c r="F365">
        <v>0</v>
      </c>
      <c r="G365">
        <v>0.99368303693239202</v>
      </c>
      <c r="H365">
        <v>8</v>
      </c>
      <c r="I365">
        <v>8</v>
      </c>
      <c r="J365">
        <v>0.121368255331329</v>
      </c>
      <c r="K365">
        <v>1.4681892332789499E-2</v>
      </c>
      <c r="L365">
        <v>3.0839180570536699E-2</v>
      </c>
      <c r="M365">
        <v>4.6176046176046098E-3</v>
      </c>
      <c r="N365">
        <v>2.29467232998029E-2</v>
      </c>
      <c r="O365">
        <v>1362</v>
      </c>
      <c r="P365">
        <v>9.7783389450056102E-2</v>
      </c>
      <c r="Q365">
        <v>9.7934710193204502E-2</v>
      </c>
      <c r="R365">
        <v>0</v>
      </c>
      <c r="S365">
        <v>0</v>
      </c>
      <c r="T365" t="s">
        <v>24</v>
      </c>
      <c r="U365">
        <v>1.7980022197558201E-2</v>
      </c>
      <c r="V365">
        <v>0</v>
      </c>
      <c r="W365">
        <v>0</v>
      </c>
      <c r="X365">
        <v>0</v>
      </c>
      <c r="Y365">
        <v>4.6577258341475102E-2</v>
      </c>
      <c r="Z365">
        <v>6.7848722989954799E-2</v>
      </c>
      <c r="AA365">
        <v>0</v>
      </c>
      <c r="AB365">
        <v>2.4793000891804699E-2</v>
      </c>
      <c r="AC365">
        <v>1.2899999273940921E-4</v>
      </c>
      <c r="AD365">
        <v>1.703000045381486E-3</v>
      </c>
      <c r="AE365">
        <v>1.154000055976212E-3</v>
      </c>
      <c r="AF365">
        <f>0.16*X365 + 0.28*Y365 + 0.28*Z365 + 0.28*AA365</f>
        <v>3.2039274772800372E-2</v>
      </c>
      <c r="AG365">
        <f t="shared" si="15"/>
        <v>4.8029601690359417E-3</v>
      </c>
      <c r="AH365">
        <f>IF(T365="IT_Admin", 0.25, IF(AND(T365="HR", AA365&gt;0.6), 0.25, IF(AND(T365="General", Z365&gt;0.7), 0.2, 0.1)))</f>
        <v>0.25</v>
      </c>
      <c r="AI365">
        <f>IF(V365&gt;0.7, 0.1,
 IF(F365&gt;0.5, 0.08,
 IF(E365&gt;0.5, 0.05,
 0)))</f>
        <v>0</v>
      </c>
      <c r="AJ365">
        <f t="shared" si="16"/>
        <v>1.2973854550165271E-2</v>
      </c>
      <c r="AK365">
        <f t="shared" si="17"/>
        <v>1.6217318187706588E-2</v>
      </c>
      <c r="AL365" t="str">
        <f>IF(MAX(X365, Y365, Z365, AA365)&gt;0.9,
 "Critical",
 IF(AK365&lt;=0.2,"Very Low",
 IF(AK365&lt;=0.4,"Low",
 IF(AK365&lt;=0.6,"Medium",
 IF(AK365&lt;=0.8,"High","Critical")))))</f>
        <v>Very Low</v>
      </c>
      <c r="AM365" t="str">
        <f>IF(MAX(X365:AA365)&gt;0.9,"CRITICAL ALERT",
 IF(AK365&gt;0.8,"CRITICAL ALERT",
 IF(AK365&gt;0.6,"ALERT",
 IF(AK365&gt;=0.4,"REVIEW","NO ACTION"))))</f>
        <v>NO ACTION</v>
      </c>
      <c r="AN365" t="str">
        <f>IF(AM365="NO ACTION","",
 IF(_xlfn.TEXTJOIN(", ", TRUE,
  IF(X365&gt;0.7,"Login anomaly",""),
  IF(Y365&gt;0.7,"File anomaly",""),
  IF(Z365&gt;0.7,"Network anomaly",""),
  IF(AA365&gt;0.7,"USB anomaly","")
 )="",
 "General anomaly detected",
 _xlfn.TEXTJOIN(", ", TRUE,
  IF(X365&gt;0.7,"Login anomaly",""),
  IF(Y365&gt;0.7,"File anomaly",""),
  IF(Z365&gt;0.7,"Network anomaly",""),
  IF(AA365&gt;0.7,"USB anomaly","")
 )))</f>
        <v/>
      </c>
    </row>
    <row r="366" spans="1:40" x14ac:dyDescent="0.3">
      <c r="A366" t="s">
        <v>389</v>
      </c>
      <c r="B366">
        <v>0.13837429111531099</v>
      </c>
      <c r="C366">
        <v>0.241693675147097</v>
      </c>
      <c r="D366">
        <v>0.36226280338338002</v>
      </c>
      <c r="E366">
        <v>0.123123123123123</v>
      </c>
      <c r="F366">
        <v>4.59459459459459E-2</v>
      </c>
      <c r="G366">
        <v>0.91629178848955295</v>
      </c>
      <c r="H366">
        <v>0</v>
      </c>
      <c r="I366">
        <v>23</v>
      </c>
      <c r="J366">
        <v>0.131577691904012</v>
      </c>
      <c r="K366">
        <v>5.7096247960848204E-3</v>
      </c>
      <c r="L366">
        <v>1.10641311561524E-2</v>
      </c>
      <c r="M366">
        <v>0</v>
      </c>
      <c r="N366">
        <v>0</v>
      </c>
      <c r="O366">
        <v>491</v>
      </c>
      <c r="P366">
        <v>9.9186307519640804E-2</v>
      </c>
      <c r="Q366">
        <v>9.93372839159858E-2</v>
      </c>
      <c r="R366">
        <v>0</v>
      </c>
      <c r="S366">
        <v>0</v>
      </c>
      <c r="T366" t="s">
        <v>24</v>
      </c>
      <c r="U366">
        <v>0.118867924528301</v>
      </c>
      <c r="V366">
        <v>0</v>
      </c>
      <c r="W366">
        <v>0</v>
      </c>
      <c r="X366">
        <v>0.16399415633032899</v>
      </c>
      <c r="Y366">
        <v>3.1847603958878597E-2</v>
      </c>
      <c r="Z366">
        <v>5.9511784511784502E-2</v>
      </c>
      <c r="AA366">
        <v>0</v>
      </c>
      <c r="AB366">
        <v>0.12552399933338171</v>
      </c>
      <c r="AC366">
        <v>2.5210001040250059E-3</v>
      </c>
      <c r="AD366">
        <v>1.595000037923455E-3</v>
      </c>
      <c r="AE366">
        <v>1.489899959415197E-2</v>
      </c>
      <c r="AF366">
        <f>0.16*X366 + 0.28*Y366 + 0.28*Z366 + 0.28*AA366</f>
        <v>5.1819693784638313E-2</v>
      </c>
      <c r="AG366">
        <f t="shared" si="15"/>
        <v>2.5408039819449196E-2</v>
      </c>
      <c r="AH366">
        <f>IF(T366="IT_Admin", 0.25, IF(AND(T366="HR", AA366&gt;0.6), 0.25, IF(AND(T366="General", Z366&gt;0.7), 0.2, 0.1)))</f>
        <v>0.25</v>
      </c>
      <c r="AI366">
        <f>IF(V366&gt;0.7, 0.1,
 IF(F366&gt;0.5, 0.08,
 IF(E366&gt;0.5, 0.05,
 0)))</f>
        <v>0</v>
      </c>
      <c r="AJ366">
        <f t="shared" si="16"/>
        <v>3.333153600900593E-2</v>
      </c>
      <c r="AK366">
        <f t="shared" si="17"/>
        <v>4.1664420011257412E-2</v>
      </c>
      <c r="AL366" t="str">
        <f>IF(MAX(X366, Y366, Z366, AA366)&gt;0.9,
 "Critical",
 IF(AK366&lt;=0.2,"Very Low",
 IF(AK366&lt;=0.4,"Low",
 IF(AK366&lt;=0.6,"Medium",
 IF(AK366&lt;=0.8,"High","Critical")))))</f>
        <v>Very Low</v>
      </c>
      <c r="AM366" t="str">
        <f>IF(MAX(X366:AA366)&gt;0.9,"CRITICAL ALERT",
 IF(AK366&gt;0.8,"CRITICAL ALERT",
 IF(AK366&gt;0.6,"ALERT",
 IF(AK366&gt;=0.4,"REVIEW","NO ACTION"))))</f>
        <v>NO ACTION</v>
      </c>
      <c r="AN366" t="str">
        <f>IF(AM366="NO ACTION","",
 IF(_xlfn.TEXTJOIN(", ", TRUE,
  IF(X366&gt;0.7,"Login anomaly",""),
  IF(Y366&gt;0.7,"File anomaly",""),
  IF(Z366&gt;0.7,"Network anomaly",""),
  IF(AA366&gt;0.7,"USB anomaly","")
 )="",
 "General anomaly detected",
 _xlfn.TEXTJOIN(", ", TRUE,
  IF(X366&gt;0.7,"Login anomaly",""),
  IF(Y366&gt;0.7,"File anomaly",""),
  IF(Z366&gt;0.7,"Network anomaly",""),
  IF(AA366&gt;0.7,"USB anomaly","")
 )))</f>
        <v/>
      </c>
    </row>
    <row r="367" spans="1:40" x14ac:dyDescent="0.3">
      <c r="A367" t="s">
        <v>390</v>
      </c>
      <c r="B367">
        <v>0.12892249527410199</v>
      </c>
      <c r="C367">
        <v>0.27206098443315602</v>
      </c>
      <c r="D367">
        <v>7.5018780494472401E-2</v>
      </c>
      <c r="E367">
        <v>0</v>
      </c>
      <c r="F367">
        <v>0</v>
      </c>
      <c r="G367">
        <v>0.993658120859781</v>
      </c>
      <c r="H367">
        <v>7</v>
      </c>
      <c r="I367">
        <v>8</v>
      </c>
      <c r="J367">
        <v>9.7323600973236002E-2</v>
      </c>
      <c r="K367">
        <v>7.34094616639478E-3</v>
      </c>
      <c r="L367">
        <v>1.9219821827456698E-2</v>
      </c>
      <c r="M367">
        <v>0</v>
      </c>
      <c r="N367">
        <v>0</v>
      </c>
      <c r="O367">
        <v>417</v>
      </c>
      <c r="P367">
        <v>7.4705387205387205E-2</v>
      </c>
      <c r="Q367">
        <v>7.4862372453451995E-2</v>
      </c>
      <c r="R367">
        <v>0.28318584070796399</v>
      </c>
      <c r="S367">
        <v>1</v>
      </c>
      <c r="T367" t="s">
        <v>24</v>
      </c>
      <c r="U367">
        <v>0.152830188679245</v>
      </c>
      <c r="V367">
        <v>0</v>
      </c>
      <c r="W367">
        <v>0</v>
      </c>
      <c r="X367">
        <v>2.25056341483417E-2</v>
      </c>
      <c r="Y367">
        <v>2.90746311083755E-2</v>
      </c>
      <c r="Z367">
        <v>4.48232323232323E-2</v>
      </c>
      <c r="AA367">
        <v>0.28318584070796399</v>
      </c>
      <c r="AB367">
        <v>2.067000046372414E-2</v>
      </c>
      <c r="AC367">
        <v>4.7269999049603939E-3</v>
      </c>
      <c r="AD367">
        <v>4.1510001756250858E-3</v>
      </c>
      <c r="AE367">
        <v>0.1050129979848862</v>
      </c>
      <c r="AF367">
        <f>0.16*X367 + 0.28*Y367 + 0.28*Z367 + 0.28*AA367</f>
        <v>0.10358433862281477</v>
      </c>
      <c r="AG367">
        <f t="shared" si="15"/>
        <v>3.5196679532527933E-2</v>
      </c>
      <c r="AH367">
        <f>IF(T367="IT_Admin", 0.25, IF(AND(T367="HR", AA367&gt;0.6), 0.25, IF(AND(T367="General", Z367&gt;0.7), 0.2, 0.1)))</f>
        <v>0.25</v>
      </c>
      <c r="AI367">
        <f>IF(V367&gt;0.7, 0.1,
 IF(F367&gt;0.5, 0.08,
 IF(E367&gt;0.5, 0.05,
 0)))</f>
        <v>0</v>
      </c>
      <c r="AJ367">
        <f t="shared" si="16"/>
        <v>5.571297725961398E-2</v>
      </c>
      <c r="AK367">
        <f t="shared" si="17"/>
        <v>6.9641221574517478E-2</v>
      </c>
      <c r="AL367" t="str">
        <f>IF(MAX(X367, Y367, Z367, AA367)&gt;0.9,
 "Critical",
 IF(AK367&lt;=0.2,"Very Low",
 IF(AK367&lt;=0.4,"Low",
 IF(AK367&lt;=0.6,"Medium",
 IF(AK367&lt;=0.8,"High","Critical")))))</f>
        <v>Very Low</v>
      </c>
      <c r="AM367" t="str">
        <f>IF(MAX(X367:AA367)&gt;0.9,"CRITICAL ALERT",
 IF(AK367&gt;0.8,"CRITICAL ALERT",
 IF(AK367&gt;0.6,"ALERT",
 IF(AK367&gt;=0.4,"REVIEW","NO ACTION"))))</f>
        <v>NO ACTION</v>
      </c>
      <c r="AN367" t="str">
        <f>IF(AM367="NO ACTION","",
 IF(_xlfn.TEXTJOIN(", ", TRUE,
  IF(X367&gt;0.7,"Login anomaly",""),
  IF(Y367&gt;0.7,"File anomaly",""),
  IF(Z367&gt;0.7,"Network anomaly",""),
  IF(AA367&gt;0.7,"USB anomaly","")
 )="",
 "General anomaly detected",
 _xlfn.TEXTJOIN(", ", TRUE,
  IF(X367&gt;0.7,"Login anomaly",""),
  IF(Y367&gt;0.7,"File anomaly",""),
  IF(Z367&gt;0.7,"Network anomaly",""),
  IF(AA367&gt;0.7,"USB anomaly","")
 )))</f>
        <v/>
      </c>
    </row>
    <row r="368" spans="1:40" x14ac:dyDescent="0.3">
      <c r="A368" t="s">
        <v>391</v>
      </c>
      <c r="B368">
        <v>0.26691871455576499</v>
      </c>
      <c r="C368">
        <v>0.84107485882873101</v>
      </c>
      <c r="D368">
        <v>0.39924500536987401</v>
      </c>
      <c r="E368">
        <v>0</v>
      </c>
      <c r="F368">
        <v>0</v>
      </c>
      <c r="G368">
        <v>0.40589872329666399</v>
      </c>
      <c r="H368">
        <v>8</v>
      </c>
      <c r="I368">
        <v>16</v>
      </c>
      <c r="J368">
        <v>8.9594962072420195E-2</v>
      </c>
      <c r="K368">
        <v>1.4681892332789499E-2</v>
      </c>
      <c r="L368">
        <v>4.1746718679924598E-2</v>
      </c>
      <c r="M368">
        <v>2.0202020202020202E-3</v>
      </c>
      <c r="N368">
        <v>1.3589962288847001E-2</v>
      </c>
      <c r="O368">
        <v>1048</v>
      </c>
      <c r="P368">
        <v>7.3162177328844002E-2</v>
      </c>
      <c r="Q368">
        <v>7.3319541358392595E-2</v>
      </c>
      <c r="R368">
        <v>0</v>
      </c>
      <c r="S368">
        <v>0</v>
      </c>
      <c r="T368" t="s">
        <v>49</v>
      </c>
      <c r="U368">
        <v>3.8207547169811298E-2</v>
      </c>
      <c r="V368">
        <v>0</v>
      </c>
      <c r="W368">
        <v>0</v>
      </c>
      <c r="X368">
        <v>0.11977350161096199</v>
      </c>
      <c r="Y368">
        <v>4.2869340441100398E-2</v>
      </c>
      <c r="Z368">
        <v>4.9333291312845202E-2</v>
      </c>
      <c r="AA368">
        <v>0</v>
      </c>
      <c r="AB368">
        <v>6.4841002225875854E-2</v>
      </c>
      <c r="AC368">
        <v>2.2000000171829018E-5</v>
      </c>
      <c r="AD368">
        <v>4.0190001018345356E-3</v>
      </c>
      <c r="AE368">
        <v>6.9380002096295357E-3</v>
      </c>
      <c r="AF368">
        <f>0.16*X368 + 0.28*Y368 + 0.28*Z368 + 0.28*AA368</f>
        <v>4.498049714885869E-2</v>
      </c>
      <c r="AG368">
        <f t="shared" si="15"/>
        <v>1.3448680443398189E-2</v>
      </c>
      <c r="AH368">
        <f>IF(T368="IT_Admin", 0.25, IF(AND(T368="HR", AA368&gt;0.6), 0.25, IF(AND(T368="General", Z368&gt;0.7), 0.2, 0.1)))</f>
        <v>0.1</v>
      </c>
      <c r="AI368">
        <f>IF(V368&gt;0.7, 0.1,
 IF(F368&gt;0.5, 0.08,
 IF(E368&gt;0.5, 0.05,
 0)))</f>
        <v>0</v>
      </c>
      <c r="AJ368">
        <f t="shared" si="16"/>
        <v>2.2908225455036339E-2</v>
      </c>
      <c r="AK368">
        <f t="shared" si="17"/>
        <v>2.5199048000539976E-2</v>
      </c>
      <c r="AL368" t="str">
        <f>IF(MAX(X368, Y368, Z368, AA368)&gt;0.9,
 "Critical",
 IF(AK368&lt;=0.2,"Very Low",
 IF(AK368&lt;=0.4,"Low",
 IF(AK368&lt;=0.6,"Medium",
 IF(AK368&lt;=0.8,"High","Critical")))))</f>
        <v>Very Low</v>
      </c>
      <c r="AM368" t="str">
        <f>IF(MAX(X368:AA368)&gt;0.9,"CRITICAL ALERT",
 IF(AK368&gt;0.8,"CRITICAL ALERT",
 IF(AK368&gt;0.6,"ALERT",
 IF(AK368&gt;=0.4,"REVIEW","NO ACTION"))))</f>
        <v>NO ACTION</v>
      </c>
      <c r="AN368" t="str">
        <f>IF(AM368="NO ACTION","",
 IF(_xlfn.TEXTJOIN(", ", TRUE,
  IF(X368&gt;0.7,"Login anomaly",""),
  IF(Y368&gt;0.7,"File anomaly",""),
  IF(Z368&gt;0.7,"Network anomaly",""),
  IF(AA368&gt;0.7,"USB anomaly","")
 )="",
 "General anomaly detected",
 _xlfn.TEXTJOIN(", ", TRUE,
  IF(X368&gt;0.7,"Login anomaly",""),
  IF(Y368&gt;0.7,"File anomaly",""),
  IF(Z368&gt;0.7,"Network anomaly",""),
  IF(AA368&gt;0.7,"USB anomaly","")
 )))</f>
        <v/>
      </c>
    </row>
    <row r="369" spans="1:40" x14ac:dyDescent="0.3">
      <c r="A369" t="s">
        <v>392</v>
      </c>
      <c r="B369">
        <v>0.23478260869565201</v>
      </c>
      <c r="C369">
        <v>0.58859001544004097</v>
      </c>
      <c r="D369">
        <v>0.37195437605989401</v>
      </c>
      <c r="E369">
        <v>0</v>
      </c>
      <c r="F369">
        <v>0</v>
      </c>
      <c r="G369">
        <v>0.48134316916029002</v>
      </c>
      <c r="H369">
        <v>7</v>
      </c>
      <c r="I369">
        <v>13</v>
      </c>
      <c r="J369">
        <v>9.6798816850341099E-2</v>
      </c>
      <c r="K369">
        <v>1.1419249592169599E-2</v>
      </c>
      <c r="L369">
        <v>3.00591881852991E-2</v>
      </c>
      <c r="M369">
        <v>3.7518037518037501E-3</v>
      </c>
      <c r="N369">
        <v>2.33648466686814E-2</v>
      </c>
      <c r="O369">
        <v>1088</v>
      </c>
      <c r="P369">
        <v>7.7897025813692497E-2</v>
      </c>
      <c r="Q369">
        <v>7.8053227672779502E-2</v>
      </c>
      <c r="R369">
        <v>0</v>
      </c>
      <c r="S369">
        <v>0</v>
      </c>
      <c r="T369" t="s">
        <v>24</v>
      </c>
      <c r="U369">
        <v>1.6981132075471601E-2</v>
      </c>
      <c r="V369">
        <v>0</v>
      </c>
      <c r="W369">
        <v>0</v>
      </c>
      <c r="X369">
        <v>0.11158631281796801</v>
      </c>
      <c r="Y369">
        <v>4.1398811463322201E-2</v>
      </c>
      <c r="Z369">
        <v>5.6084154155688001E-2</v>
      </c>
      <c r="AA369">
        <v>0</v>
      </c>
      <c r="AB369">
        <v>1.902000047266483E-2</v>
      </c>
      <c r="AC369">
        <v>1.8200000340584671E-4</v>
      </c>
      <c r="AD369">
        <v>3.2840000931173559E-3</v>
      </c>
      <c r="AE369">
        <v>6.6049997694790363E-3</v>
      </c>
      <c r="AF369">
        <f>0.16*X369 + 0.28*Y369 + 0.28*Z369 + 0.28*AA369</f>
        <v>4.5149040424197741E-2</v>
      </c>
      <c r="AG369">
        <f t="shared" si="15"/>
        <v>5.8630800381069999E-3</v>
      </c>
      <c r="AH369">
        <f>IF(T369="IT_Admin", 0.25, IF(AND(T369="HR", AA369&gt;0.6), 0.25, IF(AND(T369="General", Z369&gt;0.7), 0.2, 0.1)))</f>
        <v>0.25</v>
      </c>
      <c r="AI369">
        <f>IF(V369&gt;0.7, 0.1,
 IF(F369&gt;0.5, 0.08,
 IF(E369&gt;0.5, 0.05,
 0)))</f>
        <v>0</v>
      </c>
      <c r="AJ369">
        <f t="shared" si="16"/>
        <v>1.7648868153934221E-2</v>
      </c>
      <c r="AK369">
        <f t="shared" si="17"/>
        <v>2.2061085192417777E-2</v>
      </c>
      <c r="AL369" t="str">
        <f>IF(MAX(X369, Y369, Z369, AA369)&gt;0.9,
 "Critical",
 IF(AK369&lt;=0.2,"Very Low",
 IF(AK369&lt;=0.4,"Low",
 IF(AK369&lt;=0.6,"Medium",
 IF(AK369&lt;=0.8,"High","Critical")))))</f>
        <v>Very Low</v>
      </c>
      <c r="AM369" t="str">
        <f>IF(MAX(X369:AA369)&gt;0.9,"CRITICAL ALERT",
 IF(AK369&gt;0.8,"CRITICAL ALERT",
 IF(AK369&gt;0.6,"ALERT",
 IF(AK369&gt;=0.4,"REVIEW","NO ACTION"))))</f>
        <v>NO ACTION</v>
      </c>
      <c r="AN369" t="str">
        <f>IF(AM369="NO ACTION","",
 IF(_xlfn.TEXTJOIN(", ", TRUE,
  IF(X369&gt;0.7,"Login anomaly",""),
  IF(Y369&gt;0.7,"File anomaly",""),
  IF(Z369&gt;0.7,"Network anomaly",""),
  IF(AA369&gt;0.7,"USB anomaly","")
 )="",
 "General anomaly detected",
 _xlfn.TEXTJOIN(", ", TRUE,
  IF(X369&gt;0.7,"Login anomaly",""),
  IF(Y369&gt;0.7,"File anomaly",""),
  IF(Z369&gt;0.7,"Network anomaly",""),
  IF(AA369&gt;0.7,"USB anomaly","")
 )))</f>
        <v/>
      </c>
    </row>
    <row r="370" spans="1:40" x14ac:dyDescent="0.3">
      <c r="A370" t="s">
        <v>393</v>
      </c>
      <c r="B370">
        <v>0.193194706994328</v>
      </c>
      <c r="C370">
        <v>0.92849312193635103</v>
      </c>
      <c r="D370">
        <v>0.38069271048551001</v>
      </c>
      <c r="E370">
        <v>0</v>
      </c>
      <c r="F370">
        <v>1.55339805825242E-2</v>
      </c>
      <c r="G370">
        <v>0.441277622460994</v>
      </c>
      <c r="H370">
        <v>1</v>
      </c>
      <c r="I370">
        <v>21</v>
      </c>
      <c r="J370">
        <v>3.6639473307571203E-2</v>
      </c>
      <c r="K370">
        <v>8.9722675367047301E-3</v>
      </c>
      <c r="L370">
        <v>6.2146024437061798E-2</v>
      </c>
      <c r="M370">
        <v>1.44300144300144E-3</v>
      </c>
      <c r="N370">
        <v>2.36461827664932E-2</v>
      </c>
      <c r="O370">
        <v>476</v>
      </c>
      <c r="P370">
        <v>3.1495510662177303E-2</v>
      </c>
      <c r="Q370">
        <v>3.1663101791787898E-2</v>
      </c>
      <c r="R370">
        <v>2.6548672566371601E-2</v>
      </c>
      <c r="S370">
        <v>1</v>
      </c>
      <c r="T370" t="s">
        <v>49</v>
      </c>
      <c r="U370">
        <v>3.1132075471698099E-2</v>
      </c>
      <c r="V370">
        <v>0</v>
      </c>
      <c r="W370">
        <v>3.1503618249603398E-2</v>
      </c>
      <c r="X370">
        <v>0.120421405378662</v>
      </c>
      <c r="Y370">
        <v>4.5494761709993101E-2</v>
      </c>
      <c r="Z370">
        <v>2.83557795039036E-2</v>
      </c>
      <c r="AA370">
        <v>2.6548672566371601E-2</v>
      </c>
      <c r="AB370">
        <v>0.1294109970331192</v>
      </c>
      <c r="AC370">
        <v>2.0199999562464649E-4</v>
      </c>
      <c r="AD370">
        <v>9.3019995838403702E-3</v>
      </c>
      <c r="AE370">
        <v>6.7188002169132233E-2</v>
      </c>
      <c r="AF370">
        <f>0.16*X370 + 0.28*Y370 + 0.28*Z370 + 0.28*AA370</f>
        <v>4.7379204719061055E-2</v>
      </c>
      <c r="AG370">
        <f t="shared" si="15"/>
        <v>4.2179520014906303E-2</v>
      </c>
      <c r="AH370">
        <f>IF(T370="IT_Admin", 0.25, IF(AND(T370="HR", AA370&gt;0.6), 0.25, IF(AND(T370="General", Z370&gt;0.7), 0.2, 0.1)))</f>
        <v>0.1</v>
      </c>
      <c r="AI370">
        <f>IF(V370&gt;0.7, 0.1,
 IF(F370&gt;0.5, 0.08,
 IF(E370&gt;0.5, 0.05,
 0)))</f>
        <v>0</v>
      </c>
      <c r="AJ370">
        <f t="shared" si="16"/>
        <v>4.3739425426152723E-2</v>
      </c>
      <c r="AK370">
        <f t="shared" si="17"/>
        <v>4.8113367968768E-2</v>
      </c>
      <c r="AL370" t="str">
        <f>IF(MAX(X370, Y370, Z370, AA370)&gt;0.9,
 "Critical",
 IF(AK370&lt;=0.2,"Very Low",
 IF(AK370&lt;=0.4,"Low",
 IF(AK370&lt;=0.6,"Medium",
 IF(AK370&lt;=0.8,"High","Critical")))))</f>
        <v>Very Low</v>
      </c>
      <c r="AM370" t="str">
        <f>IF(MAX(X370:AA370)&gt;0.9,"CRITICAL ALERT",
 IF(AK370&gt;0.8,"CRITICAL ALERT",
 IF(AK370&gt;0.6,"ALERT",
 IF(AK370&gt;=0.4,"REVIEW","NO ACTION"))))</f>
        <v>NO ACTION</v>
      </c>
      <c r="AN370" t="str">
        <f>IF(AM370="NO ACTION","",
 IF(_xlfn.TEXTJOIN(", ", TRUE,
  IF(X370&gt;0.7,"Login anomaly",""),
  IF(Y370&gt;0.7,"File anomaly",""),
  IF(Z370&gt;0.7,"Network anomaly",""),
  IF(AA370&gt;0.7,"USB anomaly","")
 )="",
 "General anomaly detected",
 _xlfn.TEXTJOIN(", ", TRUE,
  IF(X370&gt;0.7,"Login anomaly",""),
  IF(Y370&gt;0.7,"File anomaly",""),
  IF(Z370&gt;0.7,"Network anomaly",""),
  IF(AA370&gt;0.7,"USB anomaly","")
 )))</f>
        <v/>
      </c>
    </row>
    <row r="371" spans="1:40" x14ac:dyDescent="0.3">
      <c r="A371" t="s">
        <v>394</v>
      </c>
      <c r="B371">
        <v>0.12892249527410199</v>
      </c>
      <c r="C371">
        <v>0.18476582604220201</v>
      </c>
      <c r="D371">
        <v>0</v>
      </c>
      <c r="E371">
        <v>0</v>
      </c>
      <c r="F371">
        <v>0</v>
      </c>
      <c r="G371">
        <v>0.99367653359657604</v>
      </c>
      <c r="H371">
        <v>7</v>
      </c>
      <c r="I371">
        <v>7</v>
      </c>
      <c r="J371">
        <v>0.106960545775487</v>
      </c>
      <c r="K371">
        <v>1.38662316476345E-2</v>
      </c>
      <c r="L371">
        <v>3.3040454226946202E-2</v>
      </c>
      <c r="M371">
        <v>2.59740259740259E-3</v>
      </c>
      <c r="N371">
        <v>1.4642322519492001E-2</v>
      </c>
      <c r="O371">
        <v>1165</v>
      </c>
      <c r="P371">
        <v>8.5858585858585801E-2</v>
      </c>
      <c r="Q371">
        <v>8.6012833549563406E-2</v>
      </c>
      <c r="R371">
        <v>0</v>
      </c>
      <c r="S371">
        <v>0</v>
      </c>
      <c r="T371" t="s">
        <v>24</v>
      </c>
      <c r="U371">
        <v>2.8867924528301801E-2</v>
      </c>
      <c r="V371">
        <v>0</v>
      </c>
      <c r="W371">
        <v>0</v>
      </c>
      <c r="X371">
        <v>0</v>
      </c>
      <c r="Y371">
        <v>4.23050330244183E-2</v>
      </c>
      <c r="Z371">
        <v>5.7372080522948302E-2</v>
      </c>
      <c r="AA371">
        <v>0</v>
      </c>
      <c r="AB371">
        <v>3.6704998463392258E-2</v>
      </c>
      <c r="AC371">
        <v>5.2999999752501033E-5</v>
      </c>
      <c r="AD371">
        <v>2.8760000132024288E-3</v>
      </c>
      <c r="AE371">
        <v>1.213000039570034E-3</v>
      </c>
      <c r="AF371">
        <f>0.16*X371 + 0.28*Y371 + 0.28*Z371 + 0.28*AA371</f>
        <v>2.7909591793262651E-2</v>
      </c>
      <c r="AG371">
        <f t="shared" si="15"/>
        <v>7.0325597688497511E-3</v>
      </c>
      <c r="AH371">
        <f>IF(T371="IT_Admin", 0.25, IF(AND(T371="HR", AA371&gt;0.6), 0.25, IF(AND(T371="General", Z371&gt;0.7), 0.2, 0.1)))</f>
        <v>0.25</v>
      </c>
      <c r="AI371">
        <f>IF(V371&gt;0.7, 0.1,
 IF(F371&gt;0.5, 0.08,
 IF(E371&gt;0.5, 0.05,
 0)))</f>
        <v>0</v>
      </c>
      <c r="AJ371">
        <f t="shared" si="16"/>
        <v>1.329566937617362E-2</v>
      </c>
      <c r="AK371">
        <f t="shared" si="17"/>
        <v>1.6619586720217024E-2</v>
      </c>
      <c r="AL371" t="str">
        <f>IF(MAX(X371, Y371, Z371, AA371)&gt;0.9,
 "Critical",
 IF(AK371&lt;=0.2,"Very Low",
 IF(AK371&lt;=0.4,"Low",
 IF(AK371&lt;=0.6,"Medium",
 IF(AK371&lt;=0.8,"High","Critical")))))</f>
        <v>Very Low</v>
      </c>
      <c r="AM371" t="str">
        <f>IF(MAX(X371:AA371)&gt;0.9,"CRITICAL ALERT",
 IF(AK371&gt;0.8,"CRITICAL ALERT",
 IF(AK371&gt;0.6,"ALERT",
 IF(AK371&gt;=0.4,"REVIEW","NO ACTION"))))</f>
        <v>NO ACTION</v>
      </c>
      <c r="AN371" t="str">
        <f>IF(AM371="NO ACTION","",
 IF(_xlfn.TEXTJOIN(", ", TRUE,
  IF(X371&gt;0.7,"Login anomaly",""),
  IF(Y371&gt;0.7,"File anomaly",""),
  IF(Z371&gt;0.7,"Network anomaly",""),
  IF(AA371&gt;0.7,"USB anomaly","")
 )="",
 "General anomaly detected",
 _xlfn.TEXTJOIN(", ", TRUE,
  IF(X371&gt;0.7,"Login anomaly",""),
  IF(Y371&gt;0.7,"File anomaly",""),
  IF(Z371&gt;0.7,"Network anomaly",""),
  IF(AA371&gt;0.7,"USB anomaly","")
 )))</f>
        <v/>
      </c>
    </row>
    <row r="372" spans="1:40" x14ac:dyDescent="0.3">
      <c r="A372" t="s">
        <v>395</v>
      </c>
      <c r="B372">
        <v>0.12892249527410199</v>
      </c>
      <c r="C372">
        <v>0.36953165208440503</v>
      </c>
      <c r="D372">
        <v>0</v>
      </c>
      <c r="E372">
        <v>0</v>
      </c>
      <c r="F372">
        <v>0</v>
      </c>
      <c r="G372">
        <v>0.99367003026076095</v>
      </c>
      <c r="H372">
        <v>8</v>
      </c>
      <c r="I372">
        <v>8</v>
      </c>
      <c r="J372">
        <v>9.3697819760507603E-2</v>
      </c>
      <c r="K372">
        <v>7.34094616639478E-3</v>
      </c>
      <c r="L372">
        <v>1.9961673761883701E-2</v>
      </c>
      <c r="M372">
        <v>1.7316017316017301E-3</v>
      </c>
      <c r="N372">
        <v>1.11397659391564E-2</v>
      </c>
      <c r="O372">
        <v>1085</v>
      </c>
      <c r="P372">
        <v>7.2881593714927001E-2</v>
      </c>
      <c r="Q372">
        <v>7.3039026613836294E-2</v>
      </c>
      <c r="R372">
        <v>0</v>
      </c>
      <c r="S372">
        <v>0</v>
      </c>
      <c r="T372" t="s">
        <v>49</v>
      </c>
      <c r="U372">
        <v>2.1832884097034998E-2</v>
      </c>
      <c r="V372">
        <v>0</v>
      </c>
      <c r="W372">
        <v>0</v>
      </c>
      <c r="X372">
        <v>0</v>
      </c>
      <c r="Y372">
        <v>3.2062330614790302E-2</v>
      </c>
      <c r="Z372">
        <v>4.8184862604618801E-2</v>
      </c>
      <c r="AA372">
        <v>0</v>
      </c>
      <c r="AB372">
        <v>2.4616999551653859E-2</v>
      </c>
      <c r="AC372">
        <v>3.3499998971819878E-4</v>
      </c>
      <c r="AD372">
        <v>4.3730000033974648E-3</v>
      </c>
      <c r="AE372">
        <v>1.57199997920543E-3</v>
      </c>
      <c r="AF372">
        <f>0.16*X372 + 0.28*Y372 + 0.28*Z372 + 0.28*AA372</f>
        <v>2.246921410143455E-2</v>
      </c>
      <c r="AG372">
        <f t="shared" si="15"/>
        <v>5.6971199205145245E-3</v>
      </c>
      <c r="AH372">
        <f>IF(T372="IT_Admin", 0.25, IF(AND(T372="HR", AA372&gt;0.6), 0.25, IF(AND(T372="General", Z372&gt;0.7), 0.2, 0.1)))</f>
        <v>0.1</v>
      </c>
      <c r="AI372">
        <f>IF(V372&gt;0.7, 0.1,
 IF(F372&gt;0.5, 0.08,
 IF(E372&gt;0.5, 0.05,
 0)))</f>
        <v>0</v>
      </c>
      <c r="AJ372">
        <f t="shared" si="16"/>
        <v>1.0728748174790532E-2</v>
      </c>
      <c r="AK372">
        <f t="shared" si="17"/>
        <v>1.1801622992269587E-2</v>
      </c>
      <c r="AL372" t="str">
        <f>IF(MAX(X372, Y372, Z372, AA372)&gt;0.9,
 "Critical",
 IF(AK372&lt;=0.2,"Very Low",
 IF(AK372&lt;=0.4,"Low",
 IF(AK372&lt;=0.6,"Medium",
 IF(AK372&lt;=0.8,"High","Critical")))))</f>
        <v>Very Low</v>
      </c>
      <c r="AM372" t="str">
        <f>IF(MAX(X372:AA372)&gt;0.9,"CRITICAL ALERT",
 IF(AK372&gt;0.8,"CRITICAL ALERT",
 IF(AK372&gt;0.6,"ALERT",
 IF(AK372&gt;=0.4,"REVIEW","NO ACTION"))))</f>
        <v>NO ACTION</v>
      </c>
      <c r="AN372" t="str">
        <f>IF(AM372="NO ACTION","",
 IF(_xlfn.TEXTJOIN(", ", TRUE,
  IF(X372&gt;0.7,"Login anomaly",""),
  IF(Y372&gt;0.7,"File anomaly",""),
  IF(Z372&gt;0.7,"Network anomaly",""),
  IF(AA372&gt;0.7,"USB anomaly","")
 )="",
 "General anomaly detected",
 _xlfn.TEXTJOIN(", ", TRUE,
  IF(X372&gt;0.7,"Login anomaly",""),
  IF(Y372&gt;0.7,"File anomaly",""),
  IF(Z372&gt;0.7,"Network anomaly",""),
  IF(AA372&gt;0.7,"USB anomaly","")
 )))</f>
        <v/>
      </c>
    </row>
    <row r="373" spans="1:40" x14ac:dyDescent="0.3">
      <c r="A373" t="s">
        <v>396</v>
      </c>
      <c r="B373">
        <v>0.248393194706994</v>
      </c>
      <c r="C373">
        <v>0.57498230585296595</v>
      </c>
      <c r="D373">
        <v>0.35506394607167802</v>
      </c>
      <c r="E373">
        <v>0</v>
      </c>
      <c r="F373">
        <v>0</v>
      </c>
      <c r="G373">
        <v>0.44697036331677098</v>
      </c>
      <c r="H373">
        <v>7</v>
      </c>
      <c r="I373">
        <v>15</v>
      </c>
      <c r="J373">
        <v>8.9690377367491997E-2</v>
      </c>
      <c r="K373">
        <v>1.4681892332789499E-2</v>
      </c>
      <c r="L373">
        <v>4.1702425079203201E-2</v>
      </c>
      <c r="M373">
        <v>2.59740259740259E-3</v>
      </c>
      <c r="N373">
        <v>1.7454269868062901E-2</v>
      </c>
      <c r="O373">
        <v>982</v>
      </c>
      <c r="P373">
        <v>7.3512906846240095E-2</v>
      </c>
      <c r="Q373">
        <v>7.3670184789087906E-2</v>
      </c>
      <c r="R373">
        <v>0.47640117994100201</v>
      </c>
      <c r="S373">
        <v>1</v>
      </c>
      <c r="T373" t="s">
        <v>49</v>
      </c>
      <c r="U373">
        <v>3.0566037735849001E-2</v>
      </c>
      <c r="V373">
        <v>0</v>
      </c>
      <c r="W373">
        <v>0</v>
      </c>
      <c r="X373">
        <v>0.10651918382150299</v>
      </c>
      <c r="Y373">
        <v>4.4025568973518801E-2</v>
      </c>
      <c r="Z373">
        <v>5.10894520549693E-2</v>
      </c>
      <c r="AA373">
        <v>0.47640117994100201</v>
      </c>
      <c r="AB373">
        <v>2.4384999647736549E-2</v>
      </c>
      <c r="AC373">
        <v>4.1999999666586518E-5</v>
      </c>
      <c r="AD373">
        <v>3.5220000427216291E-3</v>
      </c>
      <c r="AE373">
        <v>0.22214999794960019</v>
      </c>
      <c r="AF373">
        <f>0.16*X373 + 0.28*Y373 + 0.28*Z373 + 0.28*AA373</f>
        <v>0.17706760568289773</v>
      </c>
      <c r="AG373">
        <f t="shared" si="15"/>
        <v>6.7101519381394609E-2</v>
      </c>
      <c r="AH373">
        <f>IF(T373="IT_Admin", 0.25, IF(AND(T373="HR", AA373&gt;0.6), 0.25, IF(AND(T373="General", Z373&gt;0.7), 0.2, 0.1)))</f>
        <v>0.1</v>
      </c>
      <c r="AI373">
        <f>IF(V373&gt;0.7, 0.1,
 IF(F373&gt;0.5, 0.08,
 IF(E373&gt;0.5, 0.05,
 0)))</f>
        <v>0</v>
      </c>
      <c r="AJ373">
        <f t="shared" si="16"/>
        <v>0.10009134527184554</v>
      </c>
      <c r="AK373">
        <f t="shared" si="17"/>
        <v>0.11010047979903011</v>
      </c>
      <c r="AL373" t="str">
        <f>IF(MAX(X373, Y373, Z373, AA373)&gt;0.9,
 "Critical",
 IF(AK373&lt;=0.2,"Very Low",
 IF(AK373&lt;=0.4,"Low",
 IF(AK373&lt;=0.6,"Medium",
 IF(AK373&lt;=0.8,"High","Critical")))))</f>
        <v>Very Low</v>
      </c>
      <c r="AM373" t="str">
        <f>IF(MAX(X373:AA373)&gt;0.9,"CRITICAL ALERT",
 IF(AK373&gt;0.8,"CRITICAL ALERT",
 IF(AK373&gt;0.6,"ALERT",
 IF(AK373&gt;=0.4,"REVIEW","NO ACTION"))))</f>
        <v>NO ACTION</v>
      </c>
      <c r="AN373" t="str">
        <f>IF(AM373="NO ACTION","",
 IF(_xlfn.TEXTJOIN(", ", TRUE,
  IF(X373&gt;0.7,"Login anomaly",""),
  IF(Y373&gt;0.7,"File anomaly",""),
  IF(Z373&gt;0.7,"Network anomaly",""),
  IF(AA373&gt;0.7,"USB anomaly","")
 )="",
 "General anomaly detected",
 _xlfn.TEXTJOIN(", ", TRUE,
  IF(X373&gt;0.7,"Login anomaly",""),
  IF(Y373&gt;0.7,"File anomaly",""),
  IF(Z373&gt;0.7,"Network anomaly",""),
  IF(AA373&gt;0.7,"USB anomaly","")
 )))</f>
        <v/>
      </c>
    </row>
    <row r="374" spans="1:40" x14ac:dyDescent="0.3">
      <c r="A374" t="s">
        <v>397</v>
      </c>
      <c r="B374">
        <v>0.2351606805293</v>
      </c>
      <c r="C374">
        <v>0.58676431656852801</v>
      </c>
      <c r="D374">
        <v>0.36962543206006399</v>
      </c>
      <c r="E374">
        <v>0</v>
      </c>
      <c r="F374">
        <v>0</v>
      </c>
      <c r="G374">
        <v>0.48035034438333202</v>
      </c>
      <c r="H374">
        <v>7</v>
      </c>
      <c r="I374">
        <v>13</v>
      </c>
      <c r="J374">
        <v>8.0530509040599205E-2</v>
      </c>
      <c r="K374">
        <v>9.7879282218597003E-3</v>
      </c>
      <c r="L374">
        <v>3.0954546672296902E-2</v>
      </c>
      <c r="M374">
        <v>5.7720057720057698E-4</v>
      </c>
      <c r="N374">
        <v>4.3186058543412302E-3</v>
      </c>
      <c r="O374">
        <v>987</v>
      </c>
      <c r="P374">
        <v>6.3692480359147E-2</v>
      </c>
      <c r="Q374">
        <v>6.3852168729618797E-2</v>
      </c>
      <c r="R374">
        <v>0</v>
      </c>
      <c r="S374">
        <v>0</v>
      </c>
      <c r="T374" t="s">
        <v>49</v>
      </c>
      <c r="U374">
        <v>6.7924528301886694E-2</v>
      </c>
      <c r="V374">
        <v>0</v>
      </c>
      <c r="W374">
        <v>0</v>
      </c>
      <c r="X374">
        <v>0.110887629618019</v>
      </c>
      <c r="Y374">
        <v>3.2878956900570598E-2</v>
      </c>
      <c r="Z374">
        <v>3.9942930557224698E-2</v>
      </c>
      <c r="AA374">
        <v>0</v>
      </c>
      <c r="AB374">
        <v>1.903500035405159E-2</v>
      </c>
      <c r="AC374">
        <v>4.8099999548867339E-4</v>
      </c>
      <c r="AD374">
        <v>5.5169998668134212E-3</v>
      </c>
      <c r="AE374">
        <v>5.8720000088214874E-3</v>
      </c>
      <c r="AF374">
        <f>0.16*X374 + 0.28*Y374 + 0.28*Z374 + 0.28*AA374</f>
        <v>3.8132149227065724E-2</v>
      </c>
      <c r="AG374">
        <f t="shared" si="15"/>
        <v>6.369200020562858E-3</v>
      </c>
      <c r="AH374">
        <f>IF(T374="IT_Admin", 0.25, IF(AND(T374="HR", AA374&gt;0.6), 0.25, IF(AND(T374="General", Z374&gt;0.7), 0.2, 0.1)))</f>
        <v>0.1</v>
      </c>
      <c r="AI374">
        <f>IF(V374&gt;0.7, 0.1,
 IF(F374&gt;0.5, 0.08,
 IF(E374&gt;0.5, 0.05,
 0)))</f>
        <v>0</v>
      </c>
      <c r="AJ374">
        <f t="shared" si="16"/>
        <v>1.5898084782513717E-2</v>
      </c>
      <c r="AK374">
        <f t="shared" si="17"/>
        <v>1.7487893260765091E-2</v>
      </c>
      <c r="AL374" t="str">
        <f>IF(MAX(X374, Y374, Z374, AA374)&gt;0.9,
 "Critical",
 IF(AK374&lt;=0.2,"Very Low",
 IF(AK374&lt;=0.4,"Low",
 IF(AK374&lt;=0.6,"Medium",
 IF(AK374&lt;=0.8,"High","Critical")))))</f>
        <v>Very Low</v>
      </c>
      <c r="AM374" t="str">
        <f>IF(MAX(X374:AA374)&gt;0.9,"CRITICAL ALERT",
 IF(AK374&gt;0.8,"CRITICAL ALERT",
 IF(AK374&gt;0.6,"ALERT",
 IF(AK374&gt;=0.4,"REVIEW","NO ACTION"))))</f>
        <v>NO ACTION</v>
      </c>
      <c r="AN374" t="str">
        <f>IF(AM374="NO ACTION","",
 IF(_xlfn.TEXTJOIN(", ", TRUE,
  IF(X374&gt;0.7,"Login anomaly",""),
  IF(Y374&gt;0.7,"File anomaly",""),
  IF(Z374&gt;0.7,"Network anomaly",""),
  IF(AA374&gt;0.7,"USB anomaly","")
 )="",
 "General anomaly detected",
 _xlfn.TEXTJOIN(", ", TRUE,
  IF(X374&gt;0.7,"Login anomaly",""),
  IF(Y374&gt;0.7,"File anomaly",""),
  IF(Z374&gt;0.7,"Network anomaly",""),
  IF(AA374&gt;0.7,"USB anomaly","")
 )))</f>
        <v/>
      </c>
    </row>
    <row r="375" spans="1:40" x14ac:dyDescent="0.3">
      <c r="A375" t="s">
        <v>398</v>
      </c>
      <c r="B375">
        <v>0.14366729678638901</v>
      </c>
      <c r="C375">
        <v>0.57065695230742797</v>
      </c>
      <c r="D375">
        <v>0.437022749558858</v>
      </c>
      <c r="E375">
        <v>0.23726851851851799</v>
      </c>
      <c r="F375">
        <v>9.8958333333333301E-2</v>
      </c>
      <c r="G375">
        <v>0.87736351305264004</v>
      </c>
      <c r="H375">
        <v>0</v>
      </c>
      <c r="I375">
        <v>23</v>
      </c>
      <c r="J375">
        <v>0.11254234053718799</v>
      </c>
      <c r="K375">
        <v>1.38662316476345E-2</v>
      </c>
      <c r="L375">
        <v>3.1405203319774998E-2</v>
      </c>
      <c r="M375">
        <v>3.7518037518037501E-3</v>
      </c>
      <c r="N375">
        <v>2.01032563976726E-2</v>
      </c>
      <c r="O375">
        <v>1246</v>
      </c>
      <c r="P375">
        <v>9.0523288439955094E-2</v>
      </c>
      <c r="Q375">
        <v>9.0676391177811205E-2</v>
      </c>
      <c r="R375">
        <v>0.45870206489675502</v>
      </c>
      <c r="S375">
        <v>1</v>
      </c>
      <c r="T375" t="s">
        <v>24</v>
      </c>
      <c r="U375">
        <v>2.0619946091644199E-2</v>
      </c>
      <c r="V375">
        <v>0</v>
      </c>
      <c r="W375">
        <v>0.101418762823185</v>
      </c>
      <c r="X375">
        <v>0.24187071375654601</v>
      </c>
      <c r="Y375">
        <v>4.4242046686626901E-2</v>
      </c>
      <c r="Z375">
        <v>6.2355275623042099E-2</v>
      </c>
      <c r="AA375">
        <v>0.45870206489675502</v>
      </c>
      <c r="AB375">
        <v>0.15054500102996829</v>
      </c>
      <c r="AC375">
        <v>1.100000008591451E-4</v>
      </c>
      <c r="AD375">
        <v>1.667000004090369E-3</v>
      </c>
      <c r="AE375">
        <v>0.19405399262905121</v>
      </c>
      <c r="AF375">
        <f>0.16*X375 + 0.28*Y375 + 0.28*Z375 + 0.28*AA375</f>
        <v>0.19698314261884609</v>
      </c>
      <c r="AG375">
        <f t="shared" si="15"/>
        <v>7.8919878102315141E-2</v>
      </c>
      <c r="AH375">
        <f>IF(T375="IT_Admin", 0.25, IF(AND(T375="HR", AA375&gt;0.6), 0.25, IF(AND(T375="General", Z375&gt;0.7), 0.2, 0.1)))</f>
        <v>0.25</v>
      </c>
      <c r="AI375">
        <f>IF(V375&gt;0.7, 0.1,
 IF(F375&gt;0.5, 0.08,
 IF(E375&gt;0.5, 0.05,
 0)))</f>
        <v>0</v>
      </c>
      <c r="AJ375">
        <f t="shared" si="16"/>
        <v>0.11433885745727443</v>
      </c>
      <c r="AK375">
        <f t="shared" si="17"/>
        <v>0.14292357182159304</v>
      </c>
      <c r="AL375" t="str">
        <f>IF(MAX(X375, Y375, Z375, AA375)&gt;0.9,
 "Critical",
 IF(AK375&lt;=0.2,"Very Low",
 IF(AK375&lt;=0.4,"Low",
 IF(AK375&lt;=0.6,"Medium",
 IF(AK375&lt;=0.8,"High","Critical")))))</f>
        <v>Very Low</v>
      </c>
      <c r="AM375" t="str">
        <f>IF(MAX(X375:AA375)&gt;0.9,"CRITICAL ALERT",
 IF(AK375&gt;0.8,"CRITICAL ALERT",
 IF(AK375&gt;0.6,"ALERT",
 IF(AK375&gt;=0.4,"REVIEW","NO ACTION"))))</f>
        <v>NO ACTION</v>
      </c>
      <c r="AN375" t="str">
        <f>IF(AM375="NO ACTION","",
 IF(_xlfn.TEXTJOIN(", ", TRUE,
  IF(X375&gt;0.7,"Login anomaly",""),
  IF(Y375&gt;0.7,"File anomaly",""),
  IF(Z375&gt;0.7,"Network anomaly",""),
  IF(AA375&gt;0.7,"USB anomaly","")
 )="",
 "General anomaly detected",
 _xlfn.TEXTJOIN(", ", TRUE,
  IF(X375&gt;0.7,"Login anomaly",""),
  IF(Y375&gt;0.7,"File anomaly",""),
  IF(Z375&gt;0.7,"Network anomaly",""),
  IF(AA375&gt;0.7,"USB anomaly","")
 )))</f>
        <v/>
      </c>
    </row>
    <row r="376" spans="1:40" x14ac:dyDescent="0.3">
      <c r="A376" t="s">
        <v>399</v>
      </c>
      <c r="B376">
        <v>0.26389413988657801</v>
      </c>
      <c r="C376">
        <v>0.76090883630770301</v>
      </c>
      <c r="D376">
        <v>0.39342063530932597</v>
      </c>
      <c r="E376">
        <v>0.12978790756568501</v>
      </c>
      <c r="F376">
        <v>1.9943019943019901E-2</v>
      </c>
      <c r="G376">
        <v>0.41193372696376301</v>
      </c>
      <c r="H376">
        <v>1</v>
      </c>
      <c r="I376">
        <v>23</v>
      </c>
      <c r="J376">
        <v>7.8860741376842694E-2</v>
      </c>
      <c r="K376">
        <v>3.1810766721044E-2</v>
      </c>
      <c r="L376">
        <v>0.102725967688568</v>
      </c>
      <c r="M376">
        <v>2.8860028860028799E-3</v>
      </c>
      <c r="N376">
        <v>2.2048853170686701E-2</v>
      </c>
      <c r="O376">
        <v>882</v>
      </c>
      <c r="P376">
        <v>7.3056958473625103E-2</v>
      </c>
      <c r="Q376">
        <v>7.3214348329183998E-2</v>
      </c>
      <c r="R376">
        <v>0.40265486725663702</v>
      </c>
      <c r="S376">
        <v>1</v>
      </c>
      <c r="T376" t="s">
        <v>49</v>
      </c>
      <c r="U376">
        <v>6.0205831903945101E-2</v>
      </c>
      <c r="V376">
        <v>0</v>
      </c>
      <c r="W376">
        <v>6.6855246028995494E-2</v>
      </c>
      <c r="X376">
        <v>0.16493977083971101</v>
      </c>
      <c r="Y376">
        <v>7.3749788070858496E-2</v>
      </c>
      <c r="Z376">
        <v>5.2653716352449698E-2</v>
      </c>
      <c r="AA376">
        <v>0.40265486725663702</v>
      </c>
      <c r="AB376">
        <v>0.13355900347232821</v>
      </c>
      <c r="AC376">
        <v>1.6179999802261591E-3</v>
      </c>
      <c r="AD376">
        <v>3.216000040993094E-3</v>
      </c>
      <c r="AE376">
        <v>0.1524350047111511</v>
      </c>
      <c r="AF376">
        <f>0.16*X376 + 0.28*Y376 + 0.28*Z376 + 0.28*AA376</f>
        <v>0.17452670740473844</v>
      </c>
      <c r="AG376">
        <f t="shared" si="15"/>
        <v>6.5404761880636209E-2</v>
      </c>
      <c r="AH376">
        <f>IF(T376="IT_Admin", 0.25, IF(AND(T376="HR", AA376&gt;0.6), 0.25, IF(AND(T376="General", Z376&gt;0.7), 0.2, 0.1)))</f>
        <v>0.1</v>
      </c>
      <c r="AI376">
        <f>IF(V376&gt;0.7, 0.1,
 IF(F376&gt;0.5, 0.08,
 IF(E376&gt;0.5, 0.05,
 0)))</f>
        <v>0</v>
      </c>
      <c r="AJ376">
        <f t="shared" si="16"/>
        <v>9.8141345537866881E-2</v>
      </c>
      <c r="AK376">
        <f t="shared" si="17"/>
        <v>0.10795548009165358</v>
      </c>
      <c r="AL376" t="str">
        <f>IF(MAX(X376, Y376, Z376, AA376)&gt;0.9,
 "Critical",
 IF(AK376&lt;=0.2,"Very Low",
 IF(AK376&lt;=0.4,"Low",
 IF(AK376&lt;=0.6,"Medium",
 IF(AK376&lt;=0.8,"High","Critical")))))</f>
        <v>Very Low</v>
      </c>
      <c r="AM376" t="str">
        <f>IF(MAX(X376:AA376)&gt;0.9,"CRITICAL ALERT",
 IF(AK376&gt;0.8,"CRITICAL ALERT",
 IF(AK376&gt;0.6,"ALERT",
 IF(AK376&gt;=0.4,"REVIEW","NO ACTION"))))</f>
        <v>NO ACTION</v>
      </c>
      <c r="AN376" t="str">
        <f>IF(AM376="NO ACTION","",
 IF(_xlfn.TEXTJOIN(", ", TRUE,
  IF(X376&gt;0.7,"Login anomaly",""),
  IF(Y376&gt;0.7,"File anomaly",""),
  IF(Z376&gt;0.7,"Network anomaly",""),
  IF(AA376&gt;0.7,"USB anomaly","")
 )="",
 "General anomaly detected",
 _xlfn.TEXTJOIN(", ", TRUE,
  IF(X376&gt;0.7,"Login anomaly",""),
  IF(Y376&gt;0.7,"File anomaly",""),
  IF(Z376&gt;0.7,"Network anomaly",""),
  IF(AA376&gt;0.7,"USB anomaly","")
 )))</f>
        <v/>
      </c>
    </row>
    <row r="377" spans="1:40" x14ac:dyDescent="0.3">
      <c r="A377" t="s">
        <v>400</v>
      </c>
      <c r="B377">
        <v>0.14026465028355301</v>
      </c>
      <c r="C377">
        <v>0.26359924515354199</v>
      </c>
      <c r="D377">
        <v>0.24727677271053</v>
      </c>
      <c r="E377">
        <v>0</v>
      </c>
      <c r="F377">
        <v>0</v>
      </c>
      <c r="G377">
        <v>0.90203740091123097</v>
      </c>
      <c r="H377">
        <v>7</v>
      </c>
      <c r="I377">
        <v>16</v>
      </c>
      <c r="J377">
        <v>0.108248652258957</v>
      </c>
      <c r="K377">
        <v>1.6313213703099499E-2</v>
      </c>
      <c r="L377">
        <v>3.8409592140280398E-2</v>
      </c>
      <c r="M377">
        <v>2.59740259740259E-3</v>
      </c>
      <c r="N377">
        <v>1.44684690858833E-2</v>
      </c>
      <c r="O377">
        <v>1233</v>
      </c>
      <c r="P377">
        <v>8.7857744107744107E-2</v>
      </c>
      <c r="Q377">
        <v>8.8011501104526796E-2</v>
      </c>
      <c r="R377">
        <v>0.58554572271386396</v>
      </c>
      <c r="S377">
        <v>1</v>
      </c>
      <c r="T377" t="s">
        <v>24</v>
      </c>
      <c r="U377">
        <v>3.3962264150943298E-2</v>
      </c>
      <c r="V377">
        <v>0</v>
      </c>
      <c r="W377">
        <v>0</v>
      </c>
      <c r="X377">
        <v>7.4183031813158995E-2</v>
      </c>
      <c r="Y377">
        <v>4.5195067247696598E-2</v>
      </c>
      <c r="Z377">
        <v>5.8502034098999803E-2</v>
      </c>
      <c r="AA377">
        <v>0.58554572271386396</v>
      </c>
      <c r="AB377">
        <v>1.351399999111891E-2</v>
      </c>
      <c r="AC377">
        <v>2.4999999368446879E-5</v>
      </c>
      <c r="AD377">
        <v>2.2120000794529911E-3</v>
      </c>
      <c r="AE377">
        <v>0.33771198987960821</v>
      </c>
      <c r="AF377">
        <f>0.16*X377 + 0.28*Y377 + 0.28*Z377 + 0.28*AA377</f>
        <v>0.20485727582706234</v>
      </c>
      <c r="AG377">
        <f t="shared" si="15"/>
        <v>9.7347957186939338E-2</v>
      </c>
      <c r="AH377">
        <f>IF(T377="IT_Admin", 0.25, IF(AND(T377="HR", AA377&gt;0.6), 0.25, IF(AND(T377="General", Z377&gt;0.7), 0.2, 0.1)))</f>
        <v>0.25</v>
      </c>
      <c r="AI377">
        <f>IF(V377&gt;0.7, 0.1,
 IF(F377&gt;0.5, 0.08,
 IF(E377&gt;0.5, 0.05,
 0)))</f>
        <v>0</v>
      </c>
      <c r="AJ377">
        <f t="shared" si="16"/>
        <v>0.12960075277897623</v>
      </c>
      <c r="AK377">
        <f t="shared" si="17"/>
        <v>0.16200094097372028</v>
      </c>
      <c r="AL377" t="str">
        <f>IF(MAX(X377, Y377, Z377, AA377)&gt;0.9,
 "Critical",
 IF(AK377&lt;=0.2,"Very Low",
 IF(AK377&lt;=0.4,"Low",
 IF(AK377&lt;=0.6,"Medium",
 IF(AK377&lt;=0.8,"High","Critical")))))</f>
        <v>Very Low</v>
      </c>
      <c r="AM377" t="str">
        <f>IF(MAX(X377:AA377)&gt;0.9,"CRITICAL ALERT",
 IF(AK377&gt;0.8,"CRITICAL ALERT",
 IF(AK377&gt;0.6,"ALERT",
 IF(AK377&gt;=0.4,"REVIEW","NO ACTION"))))</f>
        <v>NO ACTION</v>
      </c>
      <c r="AN377" t="str">
        <f>IF(AM377="NO ACTION","",
 IF(_xlfn.TEXTJOIN(", ", TRUE,
  IF(X377&gt;0.7,"Login anomaly",""),
  IF(Y377&gt;0.7,"File anomaly",""),
  IF(Z377&gt;0.7,"Network anomaly",""),
  IF(AA377&gt;0.7,"USB anomaly","")
 )="",
 "General anomaly detected",
 _xlfn.TEXTJOIN(", ", TRUE,
  IF(X377&gt;0.7,"Login anomaly",""),
  IF(Y377&gt;0.7,"File anomaly",""),
  IF(Z377&gt;0.7,"Network anomaly",""),
  IF(AA377&gt;0.7,"USB anomaly","")
 )))</f>
        <v/>
      </c>
    </row>
    <row r="378" spans="1:40" x14ac:dyDescent="0.3">
      <c r="A378" t="s">
        <v>401</v>
      </c>
      <c r="B378">
        <v>0.12892249527410199</v>
      </c>
      <c r="C378">
        <v>0.18476582604220201</v>
      </c>
      <c r="D378">
        <v>0</v>
      </c>
      <c r="E378">
        <v>0</v>
      </c>
      <c r="F378">
        <v>0</v>
      </c>
      <c r="G378">
        <v>0.99366906680360201</v>
      </c>
      <c r="H378">
        <v>7</v>
      </c>
      <c r="I378">
        <v>7</v>
      </c>
      <c r="J378">
        <v>6.8078813033729299E-2</v>
      </c>
      <c r="K378">
        <v>1.5497553017944501E-2</v>
      </c>
      <c r="L378">
        <v>5.7944303003245698E-2</v>
      </c>
      <c r="M378">
        <v>2.88600288600288E-4</v>
      </c>
      <c r="N378">
        <v>2.5528630277233599E-3</v>
      </c>
      <c r="O378">
        <v>808</v>
      </c>
      <c r="P378">
        <v>5.6853254769921403E-2</v>
      </c>
      <c r="Q378">
        <v>5.7014621831059903E-2</v>
      </c>
      <c r="R378">
        <v>0</v>
      </c>
      <c r="S378">
        <v>0</v>
      </c>
      <c r="T378" t="s">
        <v>49</v>
      </c>
      <c r="U378">
        <v>0.16132075471698101</v>
      </c>
      <c r="V378">
        <v>0</v>
      </c>
      <c r="W378">
        <v>0</v>
      </c>
      <c r="X378">
        <v>0</v>
      </c>
      <c r="Y378">
        <v>4.33537730166857E-2</v>
      </c>
      <c r="Z378">
        <v>3.5133098073042199E-2</v>
      </c>
      <c r="AA378">
        <v>0</v>
      </c>
      <c r="AB378">
        <v>3.6768998950719833E-2</v>
      </c>
      <c r="AC378">
        <v>5.3840000182390213E-3</v>
      </c>
      <c r="AD378">
        <v>6.7690000869333744E-3</v>
      </c>
      <c r="AE378">
        <v>1.4919999521225691E-3</v>
      </c>
      <c r="AF378">
        <f>0.16*X378 + 0.28*Y378 + 0.28*Z378 + 0.28*AA378</f>
        <v>2.1976323905123815E-2</v>
      </c>
      <c r="AG378">
        <f t="shared" si="15"/>
        <v>9.7036398481577628E-3</v>
      </c>
      <c r="AH378">
        <f>IF(T378="IT_Admin", 0.25, IF(AND(T378="HR", AA378&gt;0.6), 0.25, IF(AND(T378="General", Z378&gt;0.7), 0.2, 0.1)))</f>
        <v>0.1</v>
      </c>
      <c r="AI378">
        <f>IF(V378&gt;0.7, 0.1,
 IF(F378&gt;0.5, 0.08,
 IF(E378&gt;0.5, 0.05,
 0)))</f>
        <v>0</v>
      </c>
      <c r="AJ378">
        <f t="shared" si="16"/>
        <v>1.3385445065247577E-2</v>
      </c>
      <c r="AK378">
        <f t="shared" si="17"/>
        <v>1.4723989571772336E-2</v>
      </c>
      <c r="AL378" t="str">
        <f>IF(MAX(X378, Y378, Z378, AA378)&gt;0.9,
 "Critical",
 IF(AK378&lt;=0.2,"Very Low",
 IF(AK378&lt;=0.4,"Low",
 IF(AK378&lt;=0.6,"Medium",
 IF(AK378&lt;=0.8,"High","Critical")))))</f>
        <v>Very Low</v>
      </c>
      <c r="AM378" t="str">
        <f>IF(MAX(X378:AA378)&gt;0.9,"CRITICAL ALERT",
 IF(AK378&gt;0.8,"CRITICAL ALERT",
 IF(AK378&gt;0.6,"ALERT",
 IF(AK378&gt;=0.4,"REVIEW","NO ACTION"))))</f>
        <v>NO ACTION</v>
      </c>
      <c r="AN378" t="str">
        <f>IF(AM378="NO ACTION","",
 IF(_xlfn.TEXTJOIN(", ", TRUE,
  IF(X378&gt;0.7,"Login anomaly",""),
  IF(Y378&gt;0.7,"File anomaly",""),
  IF(Z378&gt;0.7,"Network anomaly",""),
  IF(AA378&gt;0.7,"USB anomaly","")
 )="",
 "General anomaly detected",
 _xlfn.TEXTJOIN(", ", TRUE,
  IF(X378&gt;0.7,"Login anomaly",""),
  IF(Y378&gt;0.7,"File anomaly",""),
  IF(Z378&gt;0.7,"Network anomaly",""),
  IF(AA378&gt;0.7,"USB anomaly","")
 )))</f>
        <v/>
      </c>
    </row>
    <row r="379" spans="1:40" x14ac:dyDescent="0.3">
      <c r="A379" t="s">
        <v>402</v>
      </c>
      <c r="B379">
        <v>0.12892249527410199</v>
      </c>
      <c r="C379">
        <v>0.36953165208440503</v>
      </c>
      <c r="D379">
        <v>0</v>
      </c>
      <c r="E379">
        <v>0</v>
      </c>
      <c r="F379">
        <v>0</v>
      </c>
      <c r="G379">
        <v>0.99364955679615596</v>
      </c>
      <c r="H379">
        <v>8</v>
      </c>
      <c r="I379">
        <v>8</v>
      </c>
      <c r="J379">
        <v>0.12804732598635499</v>
      </c>
      <c r="K379">
        <v>4.0783034257748704E-3</v>
      </c>
      <c r="L379">
        <v>8.1204362706394397E-3</v>
      </c>
      <c r="M379">
        <v>5.7720057720057698E-4</v>
      </c>
      <c r="N379">
        <v>2.71900323964288E-3</v>
      </c>
      <c r="O379">
        <v>504</v>
      </c>
      <c r="P379">
        <v>9.61700336700336E-2</v>
      </c>
      <c r="Q379">
        <v>9.6321750412005996E-2</v>
      </c>
      <c r="R379">
        <v>0</v>
      </c>
      <c r="S379">
        <v>0</v>
      </c>
      <c r="T379" t="s">
        <v>24</v>
      </c>
      <c r="U379">
        <v>2.83018867924528E-2</v>
      </c>
      <c r="V379">
        <v>0</v>
      </c>
      <c r="W379">
        <v>0</v>
      </c>
      <c r="X379">
        <v>0</v>
      </c>
      <c r="Y379">
        <v>3.0485384304483699E-2</v>
      </c>
      <c r="Z379">
        <v>5.8789621497877302E-2</v>
      </c>
      <c r="AA379">
        <v>0</v>
      </c>
      <c r="AB379">
        <v>2.4865999817848209E-2</v>
      </c>
      <c r="AC379">
        <v>5.4099998669698834E-4</v>
      </c>
      <c r="AD379">
        <v>2.1540001034736629E-3</v>
      </c>
      <c r="AE379">
        <v>2.3000000510364771E-3</v>
      </c>
      <c r="AF379">
        <f>0.16*X379 + 0.28*Y379 + 0.28*Z379 + 0.28*AA379</f>
        <v>2.4997001624661085E-2</v>
      </c>
      <c r="AG379">
        <f t="shared" si="15"/>
        <v>5.3771600103937091E-3</v>
      </c>
      <c r="AH379">
        <f>IF(T379="IT_Admin", 0.25, IF(AND(T379="HR", AA379&gt;0.6), 0.25, IF(AND(T379="General", Z379&gt;0.7), 0.2, 0.1)))</f>
        <v>0.25</v>
      </c>
      <c r="AI379">
        <f>IF(V379&gt;0.7, 0.1,
 IF(F379&gt;0.5, 0.08,
 IF(E379&gt;0.5, 0.05,
 0)))</f>
        <v>0</v>
      </c>
      <c r="AJ379">
        <f t="shared" si="16"/>
        <v>1.126311249467392E-2</v>
      </c>
      <c r="AK379">
        <f t="shared" si="17"/>
        <v>1.40788906183424E-2</v>
      </c>
      <c r="AL379" t="str">
        <f>IF(MAX(X379, Y379, Z379, AA379)&gt;0.9,
 "Critical",
 IF(AK379&lt;=0.2,"Very Low",
 IF(AK379&lt;=0.4,"Low",
 IF(AK379&lt;=0.6,"Medium",
 IF(AK379&lt;=0.8,"High","Critical")))))</f>
        <v>Very Low</v>
      </c>
      <c r="AM379" t="str">
        <f>IF(MAX(X379:AA379)&gt;0.9,"CRITICAL ALERT",
 IF(AK379&gt;0.8,"CRITICAL ALERT",
 IF(AK379&gt;0.6,"ALERT",
 IF(AK379&gt;=0.4,"REVIEW","NO ACTION"))))</f>
        <v>NO ACTION</v>
      </c>
      <c r="AN379" t="str">
        <f>IF(AM379="NO ACTION","",
 IF(_xlfn.TEXTJOIN(", ", TRUE,
  IF(X379&gt;0.7,"Login anomaly",""),
  IF(Y379&gt;0.7,"File anomaly",""),
  IF(Z379&gt;0.7,"Network anomaly",""),
  IF(AA379&gt;0.7,"USB anomaly","")
 )="",
 "General anomaly detected",
 _xlfn.TEXTJOIN(", ", TRUE,
  IF(X379&gt;0.7,"Login anomaly",""),
  IF(Y379&gt;0.7,"File anomaly",""),
  IF(Z379&gt;0.7,"Network anomaly",""),
  IF(AA379&gt;0.7,"USB anomaly","")
 )))</f>
        <v/>
      </c>
    </row>
    <row r="380" spans="1:40" x14ac:dyDescent="0.3">
      <c r="A380" t="s">
        <v>403</v>
      </c>
      <c r="B380">
        <v>0.13497164461247599</v>
      </c>
      <c r="C380">
        <v>0.40126428702794098</v>
      </c>
      <c r="D380">
        <v>0.14308212755253799</v>
      </c>
      <c r="E380">
        <v>0</v>
      </c>
      <c r="F380">
        <v>0</v>
      </c>
      <c r="G380">
        <v>0.94290046917710102</v>
      </c>
      <c r="H380">
        <v>8</v>
      </c>
      <c r="I380">
        <v>16</v>
      </c>
      <c r="J380">
        <v>9.1503267973856203E-2</v>
      </c>
      <c r="K380">
        <v>2.36541598694942E-2</v>
      </c>
      <c r="L380">
        <v>6.5859567428053406E-2</v>
      </c>
      <c r="M380">
        <v>2.8860028860028799E-3</v>
      </c>
      <c r="N380">
        <v>1.9010399665625798E-2</v>
      </c>
      <c r="O380">
        <v>1060</v>
      </c>
      <c r="P380">
        <v>7.8843995510662193E-2</v>
      </c>
      <c r="Q380">
        <v>7.8999964935656905E-2</v>
      </c>
      <c r="R380">
        <v>0.39085545722713799</v>
      </c>
      <c r="S380">
        <v>1</v>
      </c>
      <c r="T380" t="s">
        <v>49</v>
      </c>
      <c r="U380">
        <v>4.4768439108061699E-2</v>
      </c>
      <c r="V380">
        <v>0</v>
      </c>
      <c r="W380">
        <v>0</v>
      </c>
      <c r="X380">
        <v>4.2924638265761601E-2</v>
      </c>
      <c r="Y380">
        <v>5.6933557208485697E-2</v>
      </c>
      <c r="Z380">
        <v>5.4910557172647603E-2</v>
      </c>
      <c r="AA380">
        <v>0.39085545722713799</v>
      </c>
      <c r="AB380">
        <v>1.4709999784827231E-2</v>
      </c>
      <c r="AC380">
        <v>2.680000034160912E-4</v>
      </c>
      <c r="AD380">
        <v>3.1250000465661292E-3</v>
      </c>
      <c r="AE380">
        <v>0.1636999994516373</v>
      </c>
      <c r="AF380">
        <f>0.16*X380 + 0.28*Y380 + 0.28*Z380 + 0.28*AA380</f>
        <v>0.14762382217283782</v>
      </c>
      <c r="AG380">
        <f t="shared" si="15"/>
        <v>4.9139639826025823E-2</v>
      </c>
      <c r="AH380">
        <f>IF(T380="IT_Admin", 0.25, IF(AND(T380="HR", AA380&gt;0.6), 0.25, IF(AND(T380="General", Z380&gt;0.7), 0.2, 0.1)))</f>
        <v>0.1</v>
      </c>
      <c r="AI380">
        <f>IF(V380&gt;0.7, 0.1,
 IF(F380&gt;0.5, 0.08,
 IF(E380&gt;0.5, 0.05,
 0)))</f>
        <v>0</v>
      </c>
      <c r="AJ380">
        <f t="shared" si="16"/>
        <v>7.868489453006941E-2</v>
      </c>
      <c r="AK380">
        <f t="shared" si="17"/>
        <v>8.6553383983076354E-2</v>
      </c>
      <c r="AL380" t="str">
        <f>IF(MAX(X380, Y380, Z380, AA380)&gt;0.9,
 "Critical",
 IF(AK380&lt;=0.2,"Very Low",
 IF(AK380&lt;=0.4,"Low",
 IF(AK380&lt;=0.6,"Medium",
 IF(AK380&lt;=0.8,"High","Critical")))))</f>
        <v>Very Low</v>
      </c>
      <c r="AM380" t="str">
        <f>IF(MAX(X380:AA380)&gt;0.9,"CRITICAL ALERT",
 IF(AK380&gt;0.8,"CRITICAL ALERT",
 IF(AK380&gt;0.6,"ALERT",
 IF(AK380&gt;=0.4,"REVIEW","NO ACTION"))))</f>
        <v>NO ACTION</v>
      </c>
      <c r="AN380" t="str">
        <f>IF(AM380="NO ACTION","",
 IF(_xlfn.TEXTJOIN(", ", TRUE,
  IF(X380&gt;0.7,"Login anomaly",""),
  IF(Y380&gt;0.7,"File anomaly",""),
  IF(Z380&gt;0.7,"Network anomaly",""),
  IF(AA380&gt;0.7,"USB anomaly","")
 )="",
 "General anomaly detected",
 _xlfn.TEXTJOIN(", ", TRUE,
  IF(X380&gt;0.7,"Login anomaly",""),
  IF(Y380&gt;0.7,"File anomaly",""),
  IF(Z380&gt;0.7,"Network anomaly",""),
  IF(AA380&gt;0.7,"USB anomaly","")
 )))</f>
        <v/>
      </c>
    </row>
    <row r="381" spans="1:40" x14ac:dyDescent="0.3">
      <c r="A381" t="s">
        <v>404</v>
      </c>
      <c r="B381">
        <v>0.12892249527410199</v>
      </c>
      <c r="C381">
        <v>0.36953165208440503</v>
      </c>
      <c r="D381">
        <v>0</v>
      </c>
      <c r="E381">
        <v>0</v>
      </c>
      <c r="F381">
        <v>0</v>
      </c>
      <c r="G381">
        <v>0.99366893299010794</v>
      </c>
      <c r="H381">
        <v>8</v>
      </c>
      <c r="I381">
        <v>8</v>
      </c>
      <c r="J381">
        <v>0.12900147893707301</v>
      </c>
      <c r="K381">
        <v>1.4681892332789499E-2</v>
      </c>
      <c r="L381">
        <v>2.9017745025580601E-2</v>
      </c>
      <c r="M381">
        <v>1.0678210678210599E-2</v>
      </c>
      <c r="N381">
        <v>4.99301936732722E-2</v>
      </c>
      <c r="O381">
        <v>519</v>
      </c>
      <c r="P381">
        <v>0.106341189674523</v>
      </c>
      <c r="Q381">
        <v>0.10649040990217</v>
      </c>
      <c r="R381">
        <v>0</v>
      </c>
      <c r="S381">
        <v>0</v>
      </c>
      <c r="T381" t="s">
        <v>24</v>
      </c>
      <c r="U381">
        <v>8.0436941410128998E-3</v>
      </c>
      <c r="V381">
        <v>0</v>
      </c>
      <c r="W381">
        <v>0</v>
      </c>
      <c r="X381">
        <v>0</v>
      </c>
      <c r="Y381">
        <v>5.5288226402186703E-2</v>
      </c>
      <c r="Z381">
        <v>8.3776791274022697E-2</v>
      </c>
      <c r="AA381">
        <v>0</v>
      </c>
      <c r="AB381">
        <v>2.4755999445915219E-2</v>
      </c>
      <c r="AC381">
        <v>5.7799997739493847E-4</v>
      </c>
      <c r="AD381">
        <v>8.9000002481043339E-4</v>
      </c>
      <c r="AE381">
        <v>2.0600000862032179E-3</v>
      </c>
      <c r="AF381">
        <f>0.16*X381 + 0.28*Y381 + 0.28*Z381 + 0.28*AA381</f>
        <v>3.893820494933864E-2</v>
      </c>
      <c r="AG381">
        <f t="shared" si="15"/>
        <v>4.9487999361008403E-3</v>
      </c>
      <c r="AH381">
        <f>IF(T381="IT_Admin", 0.25, IF(AND(T381="HR", AA381&gt;0.6), 0.25, IF(AND(T381="General", Z381&gt;0.7), 0.2, 0.1)))</f>
        <v>0.25</v>
      </c>
      <c r="AI381">
        <f>IF(V381&gt;0.7, 0.1,
 IF(F381&gt;0.5, 0.08,
 IF(E381&gt;0.5, 0.05,
 0)))</f>
        <v>0</v>
      </c>
      <c r="AJ381">
        <f t="shared" si="16"/>
        <v>1.514562144007218E-2</v>
      </c>
      <c r="AK381">
        <f t="shared" si="17"/>
        <v>1.8932026800090224E-2</v>
      </c>
      <c r="AL381" t="str">
        <f>IF(MAX(X381, Y381, Z381, AA381)&gt;0.9,
 "Critical",
 IF(AK381&lt;=0.2,"Very Low",
 IF(AK381&lt;=0.4,"Low",
 IF(AK381&lt;=0.6,"Medium",
 IF(AK381&lt;=0.8,"High","Critical")))))</f>
        <v>Very Low</v>
      </c>
      <c r="AM381" t="str">
        <f>IF(MAX(X381:AA381)&gt;0.9,"CRITICAL ALERT",
 IF(AK381&gt;0.8,"CRITICAL ALERT",
 IF(AK381&gt;0.6,"ALERT",
 IF(AK381&gt;=0.4,"REVIEW","NO ACTION"))))</f>
        <v>NO ACTION</v>
      </c>
      <c r="AN381" t="str">
        <f>IF(AM381="NO ACTION","",
 IF(_xlfn.TEXTJOIN(", ", TRUE,
  IF(X381&gt;0.7,"Login anomaly",""),
  IF(Y381&gt;0.7,"File anomaly",""),
  IF(Z381&gt;0.7,"Network anomaly",""),
  IF(AA381&gt;0.7,"USB anomaly","")
 )="",
 "General anomaly detected",
 _xlfn.TEXTJOIN(", ", TRUE,
  IF(X381&gt;0.7,"Login anomaly",""),
  IF(Y381&gt;0.7,"File anomaly",""),
  IF(Z381&gt;0.7,"Network anomaly",""),
  IF(AA381&gt;0.7,"USB anomaly","")
 )))</f>
        <v/>
      </c>
    </row>
    <row r="382" spans="1:40" x14ac:dyDescent="0.3">
      <c r="A382" t="s">
        <v>405</v>
      </c>
      <c r="B382">
        <v>0.12892249527410199</v>
      </c>
      <c r="C382">
        <v>0.27420319690900702</v>
      </c>
      <c r="D382">
        <v>7.50946055673926E-2</v>
      </c>
      <c r="E382">
        <v>0</v>
      </c>
      <c r="F382">
        <v>0</v>
      </c>
      <c r="G382">
        <v>0.99367696179975795</v>
      </c>
      <c r="H382">
        <v>7</v>
      </c>
      <c r="I382">
        <v>8</v>
      </c>
      <c r="J382">
        <v>0.109298220504746</v>
      </c>
      <c r="K382">
        <v>1.71288743882544E-2</v>
      </c>
      <c r="L382">
        <v>3.9943633777590401E-2</v>
      </c>
      <c r="M382">
        <v>2.3088023088023001E-3</v>
      </c>
      <c r="N382">
        <v>1.2737630159232899E-2</v>
      </c>
      <c r="O382">
        <v>997</v>
      </c>
      <c r="P382">
        <v>8.8839786756453404E-2</v>
      </c>
      <c r="Q382">
        <v>8.8993302710473704E-2</v>
      </c>
      <c r="R382">
        <v>0</v>
      </c>
      <c r="S382">
        <v>0</v>
      </c>
      <c r="T382" t="s">
        <v>24</v>
      </c>
      <c r="U382">
        <v>3.9622641509433898E-2</v>
      </c>
      <c r="V382">
        <v>0</v>
      </c>
      <c r="W382">
        <v>0</v>
      </c>
      <c r="X382">
        <v>2.2528381670217701E-2</v>
      </c>
      <c r="Y382">
        <v>4.5652750037514497E-2</v>
      </c>
      <c r="Z382">
        <v>5.8398924117565199E-2</v>
      </c>
      <c r="AA382">
        <v>0</v>
      </c>
      <c r="AB382">
        <v>1.8555000424385071E-2</v>
      </c>
      <c r="AC382">
        <v>1.200000042445026E-5</v>
      </c>
      <c r="AD382">
        <v>2.6279999874532218E-3</v>
      </c>
      <c r="AE382">
        <v>1.521999947726727E-3</v>
      </c>
      <c r="AF382">
        <f>0.16*X382 + 0.28*Y382 + 0.28*Z382 + 0.28*AA382</f>
        <v>3.2739009830657154E-2</v>
      </c>
      <c r="AG382">
        <f t="shared" si="15"/>
        <v>4.1341600498708431E-3</v>
      </c>
      <c r="AH382">
        <f>IF(T382="IT_Admin", 0.25, IF(AND(T382="HR", AA382&gt;0.6), 0.25, IF(AND(T382="General", Z382&gt;0.7), 0.2, 0.1)))</f>
        <v>0.25</v>
      </c>
      <c r="AI382">
        <f>IF(V382&gt;0.7, 0.1,
 IF(F382&gt;0.5, 0.08,
 IF(E382&gt;0.5, 0.05,
 0)))</f>
        <v>0</v>
      </c>
      <c r="AJ382">
        <f t="shared" si="16"/>
        <v>1.2715614984106737E-2</v>
      </c>
      <c r="AK382">
        <f t="shared" si="17"/>
        <v>1.5894518730133422E-2</v>
      </c>
      <c r="AL382" t="str">
        <f>IF(MAX(X382, Y382, Z382, AA382)&gt;0.9,
 "Critical",
 IF(AK382&lt;=0.2,"Very Low",
 IF(AK382&lt;=0.4,"Low",
 IF(AK382&lt;=0.6,"Medium",
 IF(AK382&lt;=0.8,"High","Critical")))))</f>
        <v>Very Low</v>
      </c>
      <c r="AM382" t="str">
        <f>IF(MAX(X382:AA382)&gt;0.9,"CRITICAL ALERT",
 IF(AK382&gt;0.8,"CRITICAL ALERT",
 IF(AK382&gt;0.6,"ALERT",
 IF(AK382&gt;=0.4,"REVIEW","NO ACTION"))))</f>
        <v>NO ACTION</v>
      </c>
      <c r="AN382" t="str">
        <f>IF(AM382="NO ACTION","",
 IF(_xlfn.TEXTJOIN(", ", TRUE,
  IF(X382&gt;0.7,"Login anomaly",""),
  IF(Y382&gt;0.7,"File anomaly",""),
  IF(Z382&gt;0.7,"Network anomaly",""),
  IF(AA382&gt;0.7,"USB anomaly","")
 )="",
 "General anomaly detected",
 _xlfn.TEXTJOIN(", ", TRUE,
  IF(X382&gt;0.7,"Login anomaly",""),
  IF(Y382&gt;0.7,"File anomaly",""),
  IF(Z382&gt;0.7,"Network anomaly",""),
  IF(AA382&gt;0.7,"USB anomaly","")
 )))</f>
        <v/>
      </c>
    </row>
    <row r="383" spans="1:40" x14ac:dyDescent="0.3">
      <c r="A383" t="s">
        <v>406</v>
      </c>
      <c r="B383">
        <v>0.25179584120982901</v>
      </c>
      <c r="C383">
        <v>0.68914895414845401</v>
      </c>
      <c r="D383">
        <v>0.43288231483532902</v>
      </c>
      <c r="E383">
        <v>0.20398009950248699</v>
      </c>
      <c r="F383">
        <v>2.2388059701492501E-2</v>
      </c>
      <c r="G383">
        <v>0.439059425843847</v>
      </c>
      <c r="H383">
        <v>0</v>
      </c>
      <c r="I383">
        <v>23</v>
      </c>
      <c r="J383">
        <v>8.3154429655073706E-2</v>
      </c>
      <c r="K383">
        <v>1.7944535073409401E-2</v>
      </c>
      <c r="L383">
        <v>5.4964390034151898E-2</v>
      </c>
      <c r="M383">
        <v>1.1544011544011501E-3</v>
      </c>
      <c r="N383">
        <v>8.3654458940500102E-3</v>
      </c>
      <c r="O383">
        <v>965</v>
      </c>
      <c r="P383">
        <v>6.9409371492704805E-2</v>
      </c>
      <c r="Q383">
        <v>6.9567656649952597E-2</v>
      </c>
      <c r="R383">
        <v>1.1799410029498501E-2</v>
      </c>
      <c r="S383">
        <v>1</v>
      </c>
      <c r="T383" t="s">
        <v>49</v>
      </c>
      <c r="U383">
        <v>7.4716981132075394E-2</v>
      </c>
      <c r="V383">
        <v>0</v>
      </c>
      <c r="W383">
        <v>4.0157086479673497E-2</v>
      </c>
      <c r="X383">
        <v>0.20001394818194199</v>
      </c>
      <c r="Y383">
        <v>4.6622714716305698E-2</v>
      </c>
      <c r="Z383">
        <v>4.4991801253242897E-2</v>
      </c>
      <c r="AA383">
        <v>1.1799410029498501E-2</v>
      </c>
      <c r="AB383">
        <v>0.16075800359249109</v>
      </c>
      <c r="AC383">
        <v>5.9100001817569137E-4</v>
      </c>
      <c r="AD383">
        <v>4.0759998373687267E-3</v>
      </c>
      <c r="AE383">
        <v>7.0538997650146484E-2</v>
      </c>
      <c r="AF383">
        <f>0.16*X383 + 0.28*Y383 + 0.28*Z383 + 0.28*AA383</f>
        <v>6.0958130988843916E-2</v>
      </c>
      <c r="AG383">
        <f t="shared" si="15"/>
        <v>4.677895987639203E-2</v>
      </c>
      <c r="AH383">
        <f>IF(T383="IT_Admin", 0.25, IF(AND(T383="HR", AA383&gt;0.6), 0.25, IF(AND(T383="General", Z383&gt;0.7), 0.2, 0.1)))</f>
        <v>0.1</v>
      </c>
      <c r="AI383">
        <f>IF(V383&gt;0.7, 0.1,
 IF(F383&gt;0.5, 0.08,
 IF(E383&gt;0.5, 0.05,
 0)))</f>
        <v>0</v>
      </c>
      <c r="AJ383">
        <f t="shared" si="16"/>
        <v>5.103271121012759E-2</v>
      </c>
      <c r="AK383">
        <f t="shared" si="17"/>
        <v>5.6135982331140352E-2</v>
      </c>
      <c r="AL383" t="str">
        <f>IF(MAX(X383, Y383, Z383, AA383)&gt;0.9,
 "Critical",
 IF(AK383&lt;=0.2,"Very Low",
 IF(AK383&lt;=0.4,"Low",
 IF(AK383&lt;=0.6,"Medium",
 IF(AK383&lt;=0.8,"High","Critical")))))</f>
        <v>Very Low</v>
      </c>
      <c r="AM383" t="str">
        <f>IF(MAX(X383:AA383)&gt;0.9,"CRITICAL ALERT",
 IF(AK383&gt;0.8,"CRITICAL ALERT",
 IF(AK383&gt;0.6,"ALERT",
 IF(AK383&gt;=0.4,"REVIEW","NO ACTION"))))</f>
        <v>NO ACTION</v>
      </c>
      <c r="AN383" t="str">
        <f>IF(AM383="NO ACTION","",
 IF(_xlfn.TEXTJOIN(", ", TRUE,
  IF(X383&gt;0.7,"Login anomaly",""),
  IF(Y383&gt;0.7,"File anomaly",""),
  IF(Z383&gt;0.7,"Network anomaly",""),
  IF(AA383&gt;0.7,"USB anomaly","")
 )="",
 "General anomaly detected",
 _xlfn.TEXTJOIN(", ", TRUE,
  IF(X383&gt;0.7,"Login anomaly",""),
  IF(Y383&gt;0.7,"File anomaly",""),
  IF(Z383&gt;0.7,"Network anomaly",""),
  IF(AA383&gt;0.7,"USB anomaly","")
 )))</f>
        <v/>
      </c>
    </row>
    <row r="384" spans="1:40" x14ac:dyDescent="0.3">
      <c r="A384" t="s">
        <v>407</v>
      </c>
      <c r="B384">
        <v>0.26956521739130401</v>
      </c>
      <c r="C384">
        <v>0.71638632691397897</v>
      </c>
      <c r="D384">
        <v>0.43469142247277498</v>
      </c>
      <c r="E384">
        <v>0</v>
      </c>
      <c r="F384">
        <v>2.5104602510460199E-2</v>
      </c>
      <c r="G384">
        <v>0.40040614628342602</v>
      </c>
      <c r="H384">
        <v>0</v>
      </c>
      <c r="I384">
        <v>23</v>
      </c>
      <c r="J384">
        <v>0.100472305710605</v>
      </c>
      <c r="K384">
        <v>9.7879282218597003E-3</v>
      </c>
      <c r="L384">
        <v>2.4825223835243299E-2</v>
      </c>
      <c r="M384">
        <v>2.59740259740259E-3</v>
      </c>
      <c r="N384">
        <v>1.5585645997772899E-2</v>
      </c>
      <c r="O384">
        <v>1113</v>
      </c>
      <c r="P384">
        <v>7.93350168350168E-2</v>
      </c>
      <c r="Q384">
        <v>7.9490865738630304E-2</v>
      </c>
      <c r="R384">
        <v>1.7699115044247701E-2</v>
      </c>
      <c r="S384">
        <v>1</v>
      </c>
      <c r="T384" t="s">
        <v>24</v>
      </c>
      <c r="U384">
        <v>2.0377358490565999E-2</v>
      </c>
      <c r="V384">
        <v>0</v>
      </c>
      <c r="W384">
        <v>2.0338122047526701E-2</v>
      </c>
      <c r="X384">
        <v>0.14044926774601599</v>
      </c>
      <c r="Y384">
        <v>3.7182766859074602E-2</v>
      </c>
      <c r="Z384">
        <v>5.3835268500119202E-2</v>
      </c>
      <c r="AA384">
        <v>1.7699115044247701E-2</v>
      </c>
      <c r="AB384">
        <v>0.15097799897193909</v>
      </c>
      <c r="AC384">
        <v>2.0399999630171811E-4</v>
      </c>
      <c r="AD384">
        <v>2.9229999054223299E-3</v>
      </c>
      <c r="AE384">
        <v>6.9100998342037201E-2</v>
      </c>
      <c r="AF384">
        <f>0.16*X384 + 0.28*Y384 + 0.28*Z384 + 0.28*AA384</f>
        <v>5.2912684952326185E-2</v>
      </c>
      <c r="AG384">
        <f t="shared" si="15"/>
        <v>4.4380319343763408E-2</v>
      </c>
      <c r="AH384">
        <f>IF(T384="IT_Admin", 0.25, IF(AND(T384="HR", AA384&gt;0.6), 0.25, IF(AND(T384="General", Z384&gt;0.7), 0.2, 0.1)))</f>
        <v>0.25</v>
      </c>
      <c r="AI384">
        <f>IF(V384&gt;0.7, 0.1,
 IF(F384&gt;0.5, 0.08,
 IF(E384&gt;0.5, 0.05,
 0)))</f>
        <v>0</v>
      </c>
      <c r="AJ384">
        <f t="shared" si="16"/>
        <v>4.6940029026332236E-2</v>
      </c>
      <c r="AK384">
        <f t="shared" si="17"/>
        <v>5.8675036282915295E-2</v>
      </c>
      <c r="AL384" t="str">
        <f>IF(MAX(X384, Y384, Z384, AA384)&gt;0.9,
 "Critical",
 IF(AK384&lt;=0.2,"Very Low",
 IF(AK384&lt;=0.4,"Low",
 IF(AK384&lt;=0.6,"Medium",
 IF(AK384&lt;=0.8,"High","Critical")))))</f>
        <v>Very Low</v>
      </c>
      <c r="AM384" t="str">
        <f>IF(MAX(X384:AA384)&gt;0.9,"CRITICAL ALERT",
 IF(AK384&gt;0.8,"CRITICAL ALERT",
 IF(AK384&gt;0.6,"ALERT",
 IF(AK384&gt;=0.4,"REVIEW","NO ACTION"))))</f>
        <v>NO ACTION</v>
      </c>
      <c r="AN384" t="str">
        <f>IF(AM384="NO ACTION","",
 IF(_xlfn.TEXTJOIN(", ", TRUE,
  IF(X384&gt;0.7,"Login anomaly",""),
  IF(Y384&gt;0.7,"File anomaly",""),
  IF(Z384&gt;0.7,"Network anomaly",""),
  IF(AA384&gt;0.7,"USB anomaly","")
 )="",
 "General anomaly detected",
 _xlfn.TEXTJOIN(", ", TRUE,
  IF(X384&gt;0.7,"Login anomaly",""),
  IF(Y384&gt;0.7,"File anomaly",""),
  IF(Z384&gt;0.7,"Network anomaly",""),
  IF(AA384&gt;0.7,"USB anomaly","")
 )))</f>
        <v/>
      </c>
    </row>
    <row r="385" spans="1:40" x14ac:dyDescent="0.3">
      <c r="A385" t="s">
        <v>408</v>
      </c>
      <c r="B385">
        <v>0.235538752362948</v>
      </c>
      <c r="C385">
        <v>0.67246509573892599</v>
      </c>
      <c r="D385">
        <v>0.37039331521381802</v>
      </c>
      <c r="E385">
        <v>0</v>
      </c>
      <c r="F385">
        <v>0</v>
      </c>
      <c r="G385">
        <v>0.479389384261801</v>
      </c>
      <c r="H385">
        <v>7</v>
      </c>
      <c r="I385">
        <v>14</v>
      </c>
      <c r="J385">
        <v>8.4776489671294294E-2</v>
      </c>
      <c r="K385">
        <v>1.1419249592169599E-2</v>
      </c>
      <c r="L385">
        <v>3.4309982474129301E-2</v>
      </c>
      <c r="M385">
        <v>2.59740259740259E-3</v>
      </c>
      <c r="N385">
        <v>1.84631305843427E-2</v>
      </c>
      <c r="O385">
        <v>966</v>
      </c>
      <c r="P385">
        <v>6.8497474747474696E-2</v>
      </c>
      <c r="Q385">
        <v>6.8655983730144796E-2</v>
      </c>
      <c r="R385">
        <v>0</v>
      </c>
      <c r="S385">
        <v>0</v>
      </c>
      <c r="T385" t="s">
        <v>49</v>
      </c>
      <c r="U385">
        <v>2.3773584905660301E-2</v>
      </c>
      <c r="V385">
        <v>0</v>
      </c>
      <c r="W385">
        <v>0</v>
      </c>
      <c r="X385">
        <v>0.11111799456414501</v>
      </c>
      <c r="Y385">
        <v>3.9649228346626299E-2</v>
      </c>
      <c r="Z385">
        <v>4.8483737082221902E-2</v>
      </c>
      <c r="AA385">
        <v>0</v>
      </c>
      <c r="AB385">
        <v>2.5736000388860699E-2</v>
      </c>
      <c r="AC385">
        <v>1.029999984893948E-4</v>
      </c>
      <c r="AD385">
        <v>4.4590001925826073E-3</v>
      </c>
      <c r="AE385">
        <v>6.6700000315904617E-3</v>
      </c>
      <c r="AF385">
        <f>0.16*X385 + 0.28*Y385 + 0.28*Z385 + 0.28*AA385</f>
        <v>4.2456109450340701E-2</v>
      </c>
      <c r="AG385">
        <f t="shared" si="15"/>
        <v>7.2627201245632021E-3</v>
      </c>
      <c r="AH385">
        <f>IF(T385="IT_Admin", 0.25, IF(AND(T385="HR", AA385&gt;0.6), 0.25, IF(AND(T385="General", Z385&gt;0.7), 0.2, 0.1)))</f>
        <v>0.1</v>
      </c>
      <c r="AI385">
        <f>IF(V385&gt;0.7, 0.1,
 IF(F385&gt;0.5, 0.08,
 IF(E385&gt;0.5, 0.05,
 0)))</f>
        <v>0</v>
      </c>
      <c r="AJ385">
        <f t="shared" si="16"/>
        <v>1.7820736922296451E-2</v>
      </c>
      <c r="AK385">
        <f t="shared" si="17"/>
        <v>1.9602810614526098E-2</v>
      </c>
      <c r="AL385" t="str">
        <f>IF(MAX(X385, Y385, Z385, AA385)&gt;0.9,
 "Critical",
 IF(AK385&lt;=0.2,"Very Low",
 IF(AK385&lt;=0.4,"Low",
 IF(AK385&lt;=0.6,"Medium",
 IF(AK385&lt;=0.8,"High","Critical")))))</f>
        <v>Very Low</v>
      </c>
      <c r="AM385" t="str">
        <f>IF(MAX(X385:AA385)&gt;0.9,"CRITICAL ALERT",
 IF(AK385&gt;0.8,"CRITICAL ALERT",
 IF(AK385&gt;0.6,"ALERT",
 IF(AK385&gt;=0.4,"REVIEW","NO ACTION"))))</f>
        <v>NO ACTION</v>
      </c>
      <c r="AN385" t="str">
        <f>IF(AM385="NO ACTION","",
 IF(_xlfn.TEXTJOIN(", ", TRUE,
  IF(X385&gt;0.7,"Login anomaly",""),
  IF(Y385&gt;0.7,"File anomaly",""),
  IF(Z385&gt;0.7,"Network anomaly",""),
  IF(AA385&gt;0.7,"USB anomaly","")
 )="",
 "General anomaly detected",
 _xlfn.TEXTJOIN(", ", TRUE,
  IF(X385&gt;0.7,"Login anomaly",""),
  IF(Y385&gt;0.7,"File anomaly",""),
  IF(Z385&gt;0.7,"Network anomaly",""),
  IF(AA385&gt;0.7,"USB anomaly","")
 )))</f>
        <v/>
      </c>
    </row>
    <row r="386" spans="1:40" x14ac:dyDescent="0.3">
      <c r="A386" t="s">
        <v>409</v>
      </c>
      <c r="B386">
        <v>0.26200378071833602</v>
      </c>
      <c r="C386">
        <v>0.68233462874121897</v>
      </c>
      <c r="D386">
        <v>0.35855413319964702</v>
      </c>
      <c r="E386">
        <v>0</v>
      </c>
      <c r="F386">
        <v>0</v>
      </c>
      <c r="G386">
        <v>0.41622062701927798</v>
      </c>
      <c r="H386">
        <v>7</v>
      </c>
      <c r="I386">
        <v>14</v>
      </c>
      <c r="J386">
        <v>7.7954296073660598E-2</v>
      </c>
      <c r="K386">
        <v>8.1566068515497494E-3</v>
      </c>
      <c r="L386">
        <v>2.6645336341366E-2</v>
      </c>
      <c r="M386">
        <v>1.7316017316017301E-3</v>
      </c>
      <c r="N386">
        <v>1.3382671832946299E-2</v>
      </c>
      <c r="O386">
        <v>904</v>
      </c>
      <c r="P386">
        <v>6.16582491582491E-2</v>
      </c>
      <c r="Q386">
        <v>6.1818436831585902E-2</v>
      </c>
      <c r="R386">
        <v>0</v>
      </c>
      <c r="S386">
        <v>0</v>
      </c>
      <c r="T386" t="s">
        <v>49</v>
      </c>
      <c r="U386">
        <v>2.4258760107816701E-2</v>
      </c>
      <c r="V386">
        <v>0</v>
      </c>
      <c r="W386">
        <v>0</v>
      </c>
      <c r="X386">
        <v>0.10756623995989401</v>
      </c>
      <c r="Y386">
        <v>3.2928328935298998E-2</v>
      </c>
      <c r="Z386">
        <v>4.2348018228127997E-2</v>
      </c>
      <c r="AA386">
        <v>0</v>
      </c>
      <c r="AB386">
        <v>3.4274999052286148E-2</v>
      </c>
      <c r="AC386">
        <v>2.2200000239536169E-4</v>
      </c>
      <c r="AD386">
        <v>5.4549998603761196E-3</v>
      </c>
      <c r="AE386">
        <v>7.1009998209774494E-3</v>
      </c>
      <c r="AF386">
        <f>0.16*X386 + 0.28*Y386 + 0.28*Z386 + 0.28*AA386</f>
        <v>3.8287975599342605E-2</v>
      </c>
      <c r="AG386">
        <f t="shared" si="15"/>
        <v>9.0618397598154852E-3</v>
      </c>
      <c r="AH386">
        <f>IF(T386="IT_Admin", 0.25, IF(AND(T386="HR", AA386&gt;0.6), 0.25, IF(AND(T386="General", Z386&gt;0.7), 0.2, 0.1)))</f>
        <v>0.1</v>
      </c>
      <c r="AI386">
        <f>IF(V386&gt;0.7, 0.1,
 IF(F386&gt;0.5, 0.08,
 IF(E386&gt;0.5, 0.05,
 0)))</f>
        <v>0</v>
      </c>
      <c r="AJ386">
        <f t="shared" si="16"/>
        <v>1.7829680511673621E-2</v>
      </c>
      <c r="AK386">
        <f t="shared" si="17"/>
        <v>1.9612648562840986E-2</v>
      </c>
      <c r="AL386" t="str">
        <f>IF(MAX(X386, Y386, Z386, AA386)&gt;0.9,
 "Critical",
 IF(AK386&lt;=0.2,"Very Low",
 IF(AK386&lt;=0.4,"Low",
 IF(AK386&lt;=0.6,"Medium",
 IF(AK386&lt;=0.8,"High","Critical")))))</f>
        <v>Very Low</v>
      </c>
      <c r="AM386" t="str">
        <f>IF(MAX(X386:AA386)&gt;0.9,"CRITICAL ALERT",
 IF(AK386&gt;0.8,"CRITICAL ALERT",
 IF(AK386&gt;0.6,"ALERT",
 IF(AK386&gt;=0.4,"REVIEW","NO ACTION"))))</f>
        <v>NO ACTION</v>
      </c>
      <c r="AN386" t="str">
        <f>IF(AM386="NO ACTION","",
 IF(_xlfn.TEXTJOIN(", ", TRUE,
  IF(X386&gt;0.7,"Login anomaly",""),
  IF(Y386&gt;0.7,"File anomaly",""),
  IF(Z386&gt;0.7,"Network anomaly",""),
  IF(AA386&gt;0.7,"USB anomaly","")
 )="",
 "General anomaly detected",
 _xlfn.TEXTJOIN(", ", TRUE,
  IF(X386&gt;0.7,"Login anomaly",""),
  IF(Y386&gt;0.7,"File anomaly",""),
  IF(Z386&gt;0.7,"Network anomaly",""),
  IF(AA386&gt;0.7,"USB anomaly","")
 )))</f>
        <v/>
      </c>
    </row>
    <row r="387" spans="1:40" x14ac:dyDescent="0.3">
      <c r="A387" t="s">
        <v>410</v>
      </c>
      <c r="B387">
        <v>0.22873345935727701</v>
      </c>
      <c r="C387">
        <v>0.56188228215132896</v>
      </c>
      <c r="D387">
        <v>0.35887287298847098</v>
      </c>
      <c r="E387">
        <v>0</v>
      </c>
      <c r="F387">
        <v>0</v>
      </c>
      <c r="G387">
        <v>0.49791110223603502</v>
      </c>
      <c r="H387">
        <v>7</v>
      </c>
      <c r="I387">
        <v>13</v>
      </c>
      <c r="J387">
        <v>0.107533037545918</v>
      </c>
      <c r="K387">
        <v>1.1419249592169599E-2</v>
      </c>
      <c r="L387">
        <v>2.7065245138954599E-2</v>
      </c>
      <c r="M387">
        <v>2.0202020202020202E-3</v>
      </c>
      <c r="N387">
        <v>1.1327976533819799E-2</v>
      </c>
      <c r="O387">
        <v>962</v>
      </c>
      <c r="P387">
        <v>8.4946689113355706E-2</v>
      </c>
      <c r="Q387">
        <v>8.5101160629755604E-2</v>
      </c>
      <c r="R387">
        <v>0</v>
      </c>
      <c r="S387">
        <v>0</v>
      </c>
      <c r="T387" t="s">
        <v>24</v>
      </c>
      <c r="U387">
        <v>2.9716981132075399E-2</v>
      </c>
      <c r="V387">
        <v>0</v>
      </c>
      <c r="W387">
        <v>0</v>
      </c>
      <c r="X387">
        <v>0.10766186189654101</v>
      </c>
      <c r="Y387">
        <v>3.8437623038806899E-2</v>
      </c>
      <c r="Z387">
        <v>5.5499204081541402E-2</v>
      </c>
      <c r="AA387">
        <v>0</v>
      </c>
      <c r="AB387">
        <v>1.510199997574091E-2</v>
      </c>
      <c r="AC387">
        <v>1.140000022132881E-4</v>
      </c>
      <c r="AD387">
        <v>2.820000052452087E-3</v>
      </c>
      <c r="AE387">
        <v>6.9519998505711564E-3</v>
      </c>
      <c r="AF387">
        <f>0.16*X387 + 0.28*Y387 + 0.28*Z387 + 0.28*AA387</f>
        <v>4.3528209497144088E-2</v>
      </c>
      <c r="AG387">
        <f t="shared" ref="AG387:AG450" si="18">0.16*AB387 + 0.28*AC387 + 0.28*AD387 + 0.28*AE387</f>
        <v>5.1843999695847746E-3</v>
      </c>
      <c r="AH387">
        <f>IF(T387="IT_Admin", 0.25, IF(AND(T387="HR", AA387&gt;0.6), 0.25, IF(AND(T387="General", Z387&gt;0.7), 0.2, 0.1)))</f>
        <v>0.25</v>
      </c>
      <c r="AI387">
        <f>IF(V387&gt;0.7, 0.1,
 IF(F387&gt;0.5, 0.08,
 IF(E387&gt;0.5, 0.05,
 0)))</f>
        <v>0</v>
      </c>
      <c r="AJ387">
        <f t="shared" ref="AJ387:AJ450" si="19">0.3*AF387+0.7*AG387</f>
        <v>1.6687542827852567E-2</v>
      </c>
      <c r="AK387">
        <f t="shared" ref="AK387:AK450" si="20">MIN(1,AJ387*(1+AH387+AI387))</f>
        <v>2.0859428534815708E-2</v>
      </c>
      <c r="AL387" t="str">
        <f>IF(MAX(X387, Y387, Z387, AA387)&gt;0.9,
 "Critical",
 IF(AK387&lt;=0.2,"Very Low",
 IF(AK387&lt;=0.4,"Low",
 IF(AK387&lt;=0.6,"Medium",
 IF(AK387&lt;=0.8,"High","Critical")))))</f>
        <v>Very Low</v>
      </c>
      <c r="AM387" t="str">
        <f>IF(MAX(X387:AA387)&gt;0.9,"CRITICAL ALERT",
 IF(AK387&gt;0.8,"CRITICAL ALERT",
 IF(AK387&gt;0.6,"ALERT",
 IF(AK387&gt;=0.4,"REVIEW","NO ACTION"))))</f>
        <v>NO ACTION</v>
      </c>
      <c r="AN387" t="str">
        <f>IF(AM387="NO ACTION","",
 IF(_xlfn.TEXTJOIN(", ", TRUE,
  IF(X387&gt;0.7,"Login anomaly",""),
  IF(Y387&gt;0.7,"File anomaly",""),
  IF(Z387&gt;0.7,"Network anomaly",""),
  IF(AA387&gt;0.7,"USB anomaly","")
 )="",
 "General anomaly detected",
 _xlfn.TEXTJOIN(", ", TRUE,
  IF(X387&gt;0.7,"Login anomaly",""),
  IF(Y387&gt;0.7,"File anomaly",""),
  IF(Z387&gt;0.7,"Network anomaly",""),
  IF(AA387&gt;0.7,"USB anomaly","")
 )))</f>
        <v/>
      </c>
    </row>
    <row r="388" spans="1:40" x14ac:dyDescent="0.3">
      <c r="A388" t="s">
        <v>411</v>
      </c>
      <c r="B388">
        <v>0.2351606805293</v>
      </c>
      <c r="C388">
        <v>0.66645564728960605</v>
      </c>
      <c r="D388">
        <v>0.368290683449712</v>
      </c>
      <c r="E388">
        <v>0</v>
      </c>
      <c r="F388">
        <v>0</v>
      </c>
      <c r="G388">
        <v>0.48039873305562902</v>
      </c>
      <c r="H388">
        <v>7</v>
      </c>
      <c r="I388">
        <v>16</v>
      </c>
      <c r="J388">
        <v>0.105052239874051</v>
      </c>
      <c r="K388">
        <v>8.1566068515497503E-4</v>
      </c>
      <c r="L388">
        <v>1.9787814346850399E-3</v>
      </c>
      <c r="M388">
        <v>2.88600288600288E-4</v>
      </c>
      <c r="N388">
        <v>1.6564113528318299E-3</v>
      </c>
      <c r="O388">
        <v>424</v>
      </c>
      <c r="P388">
        <v>7.7721661054994395E-2</v>
      </c>
      <c r="Q388">
        <v>7.7877905957431798E-2</v>
      </c>
      <c r="R388">
        <v>0.78171091445427698</v>
      </c>
      <c r="S388">
        <v>1</v>
      </c>
      <c r="T388" t="s">
        <v>24</v>
      </c>
      <c r="U388">
        <v>8.4905660377358402E-3</v>
      </c>
      <c r="V388">
        <v>0</v>
      </c>
      <c r="W388">
        <v>0</v>
      </c>
      <c r="X388">
        <v>0.11048720503491299</v>
      </c>
      <c r="Y388">
        <v>2.2496762098002401E-2</v>
      </c>
      <c r="Z388">
        <v>4.7295561174129301E-2</v>
      </c>
      <c r="AA388">
        <v>0.78171091445427698</v>
      </c>
      <c r="AB388">
        <v>2.8720000758767131E-2</v>
      </c>
      <c r="AC388">
        <v>1.0229999898001549E-3</v>
      </c>
      <c r="AD388">
        <v>3.3150000963360071E-3</v>
      </c>
      <c r="AE388">
        <v>0.60449200868606567</v>
      </c>
      <c r="AF388">
        <f>0.16*X388 + 0.28*Y388 + 0.28*Z388 + 0.28*AA388</f>
        <v>0.25609885936898052</v>
      </c>
      <c r="AG388">
        <f t="shared" si="18"/>
        <v>0.17506760257761927</v>
      </c>
      <c r="AH388">
        <f>IF(T388="IT_Admin", 0.25, IF(AND(T388="HR", AA388&gt;0.6), 0.25, IF(AND(T388="General", Z388&gt;0.7), 0.2, 0.1)))</f>
        <v>0.25</v>
      </c>
      <c r="AI388">
        <f>IF(V388&gt;0.7, 0.1,
 IF(F388&gt;0.5, 0.08,
 IF(E388&gt;0.5, 0.05,
 0)))</f>
        <v>0</v>
      </c>
      <c r="AJ388">
        <f t="shared" si="19"/>
        <v>0.19937697961502765</v>
      </c>
      <c r="AK388">
        <f t="shared" si="20"/>
        <v>0.24922122451878456</v>
      </c>
      <c r="AL388" t="str">
        <f>IF(MAX(X388, Y388, Z388, AA388)&gt;0.9,
 "Critical",
 IF(AK388&lt;=0.2,"Very Low",
 IF(AK388&lt;=0.4,"Low",
 IF(AK388&lt;=0.6,"Medium",
 IF(AK388&lt;=0.8,"High","Critical")))))</f>
        <v>Low</v>
      </c>
      <c r="AM388" t="str">
        <f>IF(MAX(X388:AA388)&gt;0.9,"CRITICAL ALERT",
 IF(AK388&gt;0.8,"CRITICAL ALERT",
 IF(AK388&gt;0.6,"ALERT",
 IF(AK388&gt;=0.4,"REVIEW","NO ACTION"))))</f>
        <v>NO ACTION</v>
      </c>
      <c r="AN388" t="str">
        <f>IF(AM388="NO ACTION","",
 IF(_xlfn.TEXTJOIN(", ", TRUE,
  IF(X388&gt;0.7,"Login anomaly",""),
  IF(Y388&gt;0.7,"File anomaly",""),
  IF(Z388&gt;0.7,"Network anomaly",""),
  IF(AA388&gt;0.7,"USB anomaly","")
 )="",
 "General anomaly detected",
 _xlfn.TEXTJOIN(", ", TRUE,
  IF(X388&gt;0.7,"Login anomaly",""),
  IF(Y388&gt;0.7,"File anomaly",""),
  IF(Z388&gt;0.7,"Network anomaly",""),
  IF(AA388&gt;0.7,"USB anomaly","")
 )))</f>
        <v/>
      </c>
    </row>
    <row r="389" spans="1:40" x14ac:dyDescent="0.3">
      <c r="A389" t="s">
        <v>412</v>
      </c>
      <c r="B389">
        <v>0.27863894139886503</v>
      </c>
      <c r="C389">
        <v>0.73856461098111204</v>
      </c>
      <c r="D389">
        <v>0.386110145642656</v>
      </c>
      <c r="E389">
        <v>0</v>
      </c>
      <c r="F389">
        <v>0</v>
      </c>
      <c r="G389">
        <v>0.382606462783323</v>
      </c>
      <c r="H389">
        <v>7</v>
      </c>
      <c r="I389">
        <v>16</v>
      </c>
      <c r="J389">
        <v>0.10023376747292501</v>
      </c>
      <c r="K389">
        <v>4.8939641109298502E-3</v>
      </c>
      <c r="L389">
        <v>1.24420815565523E-2</v>
      </c>
      <c r="M389">
        <v>8.6580086580086504E-4</v>
      </c>
      <c r="N389">
        <v>5.2075496519940903E-3</v>
      </c>
      <c r="O389">
        <v>435</v>
      </c>
      <c r="P389">
        <v>7.6213524130190793E-2</v>
      </c>
      <c r="Q389">
        <v>7.6370139205441903E-2</v>
      </c>
      <c r="R389">
        <v>0</v>
      </c>
      <c r="S389">
        <v>0</v>
      </c>
      <c r="T389" t="s">
        <v>24</v>
      </c>
      <c r="U389">
        <v>2.54716981132075E-2</v>
      </c>
      <c r="V389">
        <v>0</v>
      </c>
      <c r="W389">
        <v>0</v>
      </c>
      <c r="X389">
        <v>0.115833043692796</v>
      </c>
      <c r="Y389">
        <v>2.7830059168459601E-2</v>
      </c>
      <c r="Z389">
        <v>4.7811134338912098E-2</v>
      </c>
      <c r="AA389">
        <v>0</v>
      </c>
      <c r="AB389">
        <v>5.1902998238801963E-2</v>
      </c>
      <c r="AC389">
        <v>4.7200001426972449E-4</v>
      </c>
      <c r="AD389">
        <v>3.708000062033534E-3</v>
      </c>
      <c r="AE389">
        <v>1.0901999659836291E-2</v>
      </c>
      <c r="AF389">
        <f>0.16*X389 + 0.28*Y389 + 0.28*Z389 + 0.28*AA389</f>
        <v>3.9712821172911437E-2</v>
      </c>
      <c r="AG389">
        <f t="shared" si="18"/>
        <v>1.252743964432739E-2</v>
      </c>
      <c r="AH389">
        <f>IF(T389="IT_Admin", 0.25, IF(AND(T389="HR", AA389&gt;0.6), 0.25, IF(AND(T389="General", Z389&gt;0.7), 0.2, 0.1)))</f>
        <v>0.25</v>
      </c>
      <c r="AI389">
        <f>IF(V389&gt;0.7, 0.1,
 IF(F389&gt;0.5, 0.08,
 IF(E389&gt;0.5, 0.05,
 0)))</f>
        <v>0</v>
      </c>
      <c r="AJ389">
        <f t="shared" si="19"/>
        <v>2.0683054102902602E-2</v>
      </c>
      <c r="AK389">
        <f t="shared" si="20"/>
        <v>2.5853817628628255E-2</v>
      </c>
      <c r="AL389" t="str">
        <f>IF(MAX(X389, Y389, Z389, AA389)&gt;0.9,
 "Critical",
 IF(AK389&lt;=0.2,"Very Low",
 IF(AK389&lt;=0.4,"Low",
 IF(AK389&lt;=0.6,"Medium",
 IF(AK389&lt;=0.8,"High","Critical")))))</f>
        <v>Very Low</v>
      </c>
      <c r="AM389" t="str">
        <f>IF(MAX(X389:AA389)&gt;0.9,"CRITICAL ALERT",
 IF(AK389&gt;0.8,"CRITICAL ALERT",
 IF(AK389&gt;0.6,"ALERT",
 IF(AK389&gt;=0.4,"REVIEW","NO ACTION"))))</f>
        <v>NO ACTION</v>
      </c>
      <c r="AN389" t="str">
        <f>IF(AM389="NO ACTION","",
 IF(_xlfn.TEXTJOIN(", ", TRUE,
  IF(X389&gt;0.7,"Login anomaly",""),
  IF(Y389&gt;0.7,"File anomaly",""),
  IF(Z389&gt;0.7,"Network anomaly",""),
  IF(AA389&gt;0.7,"USB anomaly","")
 )="",
 "General anomaly detected",
 _xlfn.TEXTJOIN(", ", TRUE,
  IF(X389&gt;0.7,"Login anomaly",""),
  IF(Y389&gt;0.7,"File anomaly",""),
  IF(Z389&gt;0.7,"Network anomaly",""),
  IF(AA389&gt;0.7,"USB anomaly","")
 )))</f>
        <v/>
      </c>
    </row>
    <row r="390" spans="1:40" x14ac:dyDescent="0.3">
      <c r="A390" t="s">
        <v>413</v>
      </c>
      <c r="B390">
        <v>0.28506616257088802</v>
      </c>
      <c r="C390">
        <v>0.78025779572703202</v>
      </c>
      <c r="D390">
        <v>0.54397387812506903</v>
      </c>
      <c r="E390">
        <v>0.48079742011140397</v>
      </c>
      <c r="F390">
        <v>8.4432717678100205E-2</v>
      </c>
      <c r="G390">
        <v>0.37064406407327199</v>
      </c>
      <c r="H390">
        <v>0</v>
      </c>
      <c r="I390">
        <v>23</v>
      </c>
      <c r="J390">
        <v>0.100042936882782</v>
      </c>
      <c r="K390">
        <v>1.71288743882544E-2</v>
      </c>
      <c r="L390">
        <v>4.3630153736131098E-2</v>
      </c>
      <c r="M390">
        <v>3.7518037518037501E-3</v>
      </c>
      <c r="N390">
        <v>2.2608990544290199E-2</v>
      </c>
      <c r="O390">
        <v>1125</v>
      </c>
      <c r="P390">
        <v>8.2737093153759794E-2</v>
      </c>
      <c r="Q390">
        <v>8.2892107016375005E-2</v>
      </c>
      <c r="R390">
        <v>0.971976401179941</v>
      </c>
      <c r="S390">
        <v>1</v>
      </c>
      <c r="T390" t="s">
        <v>24</v>
      </c>
      <c r="U390">
        <v>2.54716981132075E-2</v>
      </c>
      <c r="V390">
        <v>0</v>
      </c>
      <c r="W390">
        <v>0.12021587958633199</v>
      </c>
      <c r="X390">
        <v>0.341204476542182</v>
      </c>
      <c r="Y390">
        <v>4.8606361407909103E-2</v>
      </c>
      <c r="Z390">
        <v>5.8685852109972E-2</v>
      </c>
      <c r="AA390">
        <v>0.971976401179941</v>
      </c>
      <c r="AB390">
        <v>0.32517999410629272</v>
      </c>
      <c r="AC390">
        <v>5.4000000091036782E-5</v>
      </c>
      <c r="AD390">
        <v>2.1389999892562632E-3</v>
      </c>
      <c r="AE390">
        <v>0.93318897485733032</v>
      </c>
      <c r="AF390">
        <f>0.16*X390 + 0.28*Y390 + 0.28*Z390 + 0.28*AA390</f>
        <v>0.35678792836213935</v>
      </c>
      <c r="AG390">
        <f t="shared" si="18"/>
        <v>0.31393575201407659</v>
      </c>
      <c r="AH390">
        <f>IF(T390="IT_Admin", 0.25, IF(AND(T390="HR", AA390&gt;0.6), 0.25, IF(AND(T390="General", Z390&gt;0.7), 0.2, 0.1)))</f>
        <v>0.25</v>
      </c>
      <c r="AI390">
        <f>IF(V390&gt;0.7, 0.1,
 IF(F390&gt;0.5, 0.08,
 IF(E390&gt;0.5, 0.05,
 0)))</f>
        <v>0</v>
      </c>
      <c r="AJ390">
        <f t="shared" si="19"/>
        <v>0.3267914049184954</v>
      </c>
      <c r="AK390">
        <f t="shared" si="20"/>
        <v>0.40848925614811926</v>
      </c>
      <c r="AL390" t="str">
        <f>IF(MAX(X390, Y390, Z390, AA390)&gt;0.9,
 "Critical",
 IF(AK390&lt;=0.2,"Very Low",
 IF(AK390&lt;=0.4,"Low",
 IF(AK390&lt;=0.6,"Medium",
 IF(AK390&lt;=0.8,"High","Critical")))))</f>
        <v>Critical</v>
      </c>
      <c r="AM390" t="str">
        <f>IF(MAX(X390:AA390)&gt;0.9,"CRITICAL ALERT",
 IF(AK390&gt;0.8,"CRITICAL ALERT",
 IF(AK390&gt;0.6,"ALERT",
 IF(AK390&gt;=0.4,"REVIEW","NO ACTION"))))</f>
        <v>CRITICAL ALERT</v>
      </c>
      <c r="AN390" t="str">
        <f>IF(AM390="NO ACTION","",
 IF(_xlfn.TEXTJOIN(", ", TRUE,
  IF(X390&gt;0.7,"Login anomaly",""),
  IF(Y390&gt;0.7,"File anomaly",""),
  IF(Z390&gt;0.7,"Network anomaly",""),
  IF(AA390&gt;0.7,"USB anomaly","")
 )="",
 "General anomaly detected",
 _xlfn.TEXTJOIN(", ", TRUE,
  IF(X390&gt;0.7,"Login anomaly",""),
  IF(Y390&gt;0.7,"File anomaly",""),
  IF(Z390&gt;0.7,"Network anomaly",""),
  IF(AA390&gt;0.7,"USB anomaly","")
 )))</f>
        <v>USB anomaly</v>
      </c>
    </row>
    <row r="391" spans="1:40" x14ac:dyDescent="0.3">
      <c r="A391" t="s">
        <v>414</v>
      </c>
      <c r="B391">
        <v>0.14858223062381801</v>
      </c>
      <c r="C391">
        <v>0.39000947663316299</v>
      </c>
      <c r="D391">
        <v>0.36248767901682699</v>
      </c>
      <c r="E391">
        <v>0.114749510215505</v>
      </c>
      <c r="F391">
        <v>1.7632241813602002E-2</v>
      </c>
      <c r="G391">
        <v>0.84370550201877403</v>
      </c>
      <c r="H391">
        <v>1</v>
      </c>
      <c r="I391">
        <v>22</v>
      </c>
      <c r="J391">
        <v>0.100329182767997</v>
      </c>
      <c r="K391">
        <v>1.7944535073409401E-2</v>
      </c>
      <c r="L391">
        <v>4.557768205868E-2</v>
      </c>
      <c r="M391">
        <v>2.59740259740259E-3</v>
      </c>
      <c r="N391">
        <v>1.5607826708395899E-2</v>
      </c>
      <c r="O391">
        <v>1115</v>
      </c>
      <c r="P391">
        <v>8.2737093153759794E-2</v>
      </c>
      <c r="Q391">
        <v>8.2892107016375005E-2</v>
      </c>
      <c r="R391">
        <v>0</v>
      </c>
      <c r="S391">
        <v>0</v>
      </c>
      <c r="T391" t="s">
        <v>24</v>
      </c>
      <c r="U391">
        <v>3.7358490566037697E-2</v>
      </c>
      <c r="V391">
        <v>0</v>
      </c>
      <c r="W391">
        <v>0</v>
      </c>
      <c r="X391">
        <v>0.15022405349514001</v>
      </c>
      <c r="Y391">
        <v>4.7537025595458297E-2</v>
      </c>
      <c r="Z391">
        <v>5.5885386575614197E-2</v>
      </c>
      <c r="AA391">
        <v>0</v>
      </c>
      <c r="AB391">
        <v>8.8455997407436371E-2</v>
      </c>
      <c r="AC391">
        <v>2.9999999242136252E-5</v>
      </c>
      <c r="AD391">
        <v>2.7429999317973852E-3</v>
      </c>
      <c r="AE391">
        <v>1.2528000399470329E-2</v>
      </c>
      <c r="AF391">
        <f>0.16*X391 + 0.28*Y391 + 0.28*Z391 + 0.28*AA391</f>
        <v>5.2994123967122705E-2</v>
      </c>
      <c r="AG391">
        <f t="shared" si="18"/>
        <v>1.8437239677732579E-2</v>
      </c>
      <c r="AH391">
        <f>IF(T391="IT_Admin", 0.25, IF(AND(T391="HR", AA391&gt;0.6), 0.25, IF(AND(T391="General", Z391&gt;0.7), 0.2, 0.1)))</f>
        <v>0.25</v>
      </c>
      <c r="AI391">
        <f>IF(V391&gt;0.7, 0.1,
 IF(F391&gt;0.5, 0.08,
 IF(E391&gt;0.5, 0.05,
 0)))</f>
        <v>0</v>
      </c>
      <c r="AJ391">
        <f t="shared" si="19"/>
        <v>2.8804304964549617E-2</v>
      </c>
      <c r="AK391">
        <f t="shared" si="20"/>
        <v>3.6005381205687019E-2</v>
      </c>
      <c r="AL391" t="str">
        <f>IF(MAX(X391, Y391, Z391, AA391)&gt;0.9,
 "Critical",
 IF(AK391&lt;=0.2,"Very Low",
 IF(AK391&lt;=0.4,"Low",
 IF(AK391&lt;=0.6,"Medium",
 IF(AK391&lt;=0.8,"High","Critical")))))</f>
        <v>Very Low</v>
      </c>
      <c r="AM391" t="str">
        <f>IF(MAX(X391:AA391)&gt;0.9,"CRITICAL ALERT",
 IF(AK391&gt;0.8,"CRITICAL ALERT",
 IF(AK391&gt;0.6,"ALERT",
 IF(AK391&gt;=0.4,"REVIEW","NO ACTION"))))</f>
        <v>NO ACTION</v>
      </c>
      <c r="AN391" t="str">
        <f>IF(AM391="NO ACTION","",
 IF(_xlfn.TEXTJOIN(", ", TRUE,
  IF(X391&gt;0.7,"Login anomaly",""),
  IF(Y391&gt;0.7,"File anomaly",""),
  IF(Z391&gt;0.7,"Network anomaly",""),
  IF(AA391&gt;0.7,"USB anomaly","")
 )="",
 "General anomaly detected",
 _xlfn.TEXTJOIN(", ", TRUE,
  IF(X391&gt;0.7,"Login anomaly",""),
  IF(Y391&gt;0.7,"File anomaly",""),
  IF(Z391&gt;0.7,"Network anomaly",""),
  IF(AA391&gt;0.7,"USB anomaly","")
 )))</f>
        <v/>
      </c>
    </row>
    <row r="392" spans="1:40" x14ac:dyDescent="0.3">
      <c r="A392" t="s">
        <v>415</v>
      </c>
      <c r="B392">
        <v>0.25973534971644602</v>
      </c>
      <c r="C392">
        <v>0.57702554645307302</v>
      </c>
      <c r="D392">
        <v>0.34598048378646701</v>
      </c>
      <c r="E392">
        <v>0</v>
      </c>
      <c r="F392">
        <v>0</v>
      </c>
      <c r="G392">
        <v>0.42106837015891002</v>
      </c>
      <c r="H392">
        <v>7</v>
      </c>
      <c r="I392">
        <v>13</v>
      </c>
      <c r="J392">
        <v>5.70583464529364E-2</v>
      </c>
      <c r="K392">
        <v>4.8939641109298502E-3</v>
      </c>
      <c r="L392">
        <v>2.1817671738633901E-2</v>
      </c>
      <c r="M392">
        <v>2.88600288600288E-4</v>
      </c>
      <c r="N392">
        <v>3.0438799797667402E-3</v>
      </c>
      <c r="O392">
        <v>287</v>
      </c>
      <c r="P392">
        <v>4.4191919191919102E-2</v>
      </c>
      <c r="Q392">
        <v>4.4356393982958701E-2</v>
      </c>
      <c r="R392">
        <v>0</v>
      </c>
      <c r="S392">
        <v>0</v>
      </c>
      <c r="T392" t="s">
        <v>49</v>
      </c>
      <c r="U392">
        <v>5.0943396226415097E-2</v>
      </c>
      <c r="V392">
        <v>0</v>
      </c>
      <c r="W392">
        <v>0</v>
      </c>
      <c r="X392">
        <v>0.10379414513594</v>
      </c>
      <c r="Y392">
        <v>2.3233669153834201E-2</v>
      </c>
      <c r="Z392">
        <v>2.7732703507058198E-2</v>
      </c>
      <c r="AA392">
        <v>0</v>
      </c>
      <c r="AB392">
        <v>2.467699907720089E-2</v>
      </c>
      <c r="AC392">
        <v>4.8099999548867339E-4</v>
      </c>
      <c r="AD392">
        <v>8.3550000563263893E-3</v>
      </c>
      <c r="AE392">
        <v>8.3689996972680092E-3</v>
      </c>
      <c r="AF392">
        <f>0.16*X392 + 0.28*Y392 + 0.28*Z392 + 0.28*AA392</f>
        <v>3.0877647566800275E-2</v>
      </c>
      <c r="AG392">
        <f t="shared" si="18"/>
        <v>8.7657197820954023E-3</v>
      </c>
      <c r="AH392">
        <f>IF(T392="IT_Admin", 0.25, IF(AND(T392="HR", AA392&gt;0.6), 0.25, IF(AND(T392="General", Z392&gt;0.7), 0.2, 0.1)))</f>
        <v>0.1</v>
      </c>
      <c r="AI392">
        <f>IF(V392&gt;0.7, 0.1,
 IF(F392&gt;0.5, 0.08,
 IF(E392&gt;0.5, 0.05,
 0)))</f>
        <v>0</v>
      </c>
      <c r="AJ392">
        <f t="shared" si="19"/>
        <v>1.5399298117506864E-2</v>
      </c>
      <c r="AK392">
        <f t="shared" si="20"/>
        <v>1.6939227929257551E-2</v>
      </c>
      <c r="AL392" t="str">
        <f>IF(MAX(X392, Y392, Z392, AA392)&gt;0.9,
 "Critical",
 IF(AK392&lt;=0.2,"Very Low",
 IF(AK392&lt;=0.4,"Low",
 IF(AK392&lt;=0.6,"Medium",
 IF(AK392&lt;=0.8,"High","Critical")))))</f>
        <v>Very Low</v>
      </c>
      <c r="AM392" t="str">
        <f>IF(MAX(X392:AA392)&gt;0.9,"CRITICAL ALERT",
 IF(AK392&gt;0.8,"CRITICAL ALERT",
 IF(AK392&gt;0.6,"ALERT",
 IF(AK392&gt;=0.4,"REVIEW","NO ACTION"))))</f>
        <v>NO ACTION</v>
      </c>
      <c r="AN392" t="str">
        <f>IF(AM392="NO ACTION","",
 IF(_xlfn.TEXTJOIN(", ", TRUE,
  IF(X392&gt;0.7,"Login anomaly",""),
  IF(Y392&gt;0.7,"File anomaly",""),
  IF(Z392&gt;0.7,"Network anomaly",""),
  IF(AA392&gt;0.7,"USB anomaly","")
 )="",
 "General anomaly detected",
 _xlfn.TEXTJOIN(", ", TRUE,
  IF(X392&gt;0.7,"Login anomaly",""),
  IF(Y392&gt;0.7,"File anomaly",""),
  IF(Z392&gt;0.7,"Network anomaly",""),
  IF(AA392&gt;0.7,"USB anomaly","")
 )))</f>
        <v/>
      </c>
    </row>
    <row r="393" spans="1:40" x14ac:dyDescent="0.3">
      <c r="A393" t="s">
        <v>416</v>
      </c>
      <c r="B393">
        <v>0.2351606805293</v>
      </c>
      <c r="C393">
        <v>0.67176840267101101</v>
      </c>
      <c r="D393">
        <v>0.37070988870087201</v>
      </c>
      <c r="E393">
        <v>0</v>
      </c>
      <c r="F393">
        <v>0</v>
      </c>
      <c r="G393">
        <v>0.48011938974316598</v>
      </c>
      <c r="H393">
        <v>7</v>
      </c>
      <c r="I393">
        <v>14</v>
      </c>
      <c r="J393">
        <v>9.9279614522207904E-2</v>
      </c>
      <c r="K393">
        <v>1.5497553017944501E-2</v>
      </c>
      <c r="L393">
        <v>3.97776806810392E-2</v>
      </c>
      <c r="M393">
        <v>4.9062049062049001E-3</v>
      </c>
      <c r="N393">
        <v>2.9792376580487698E-2</v>
      </c>
      <c r="O393">
        <v>1064</v>
      </c>
      <c r="P393">
        <v>8.2035634118967402E-2</v>
      </c>
      <c r="Q393">
        <v>8.2190820154984398E-2</v>
      </c>
      <c r="R393">
        <v>0</v>
      </c>
      <c r="S393">
        <v>0</v>
      </c>
      <c r="T393" t="s">
        <v>24</v>
      </c>
      <c r="U393">
        <v>1.7924528301886698E-2</v>
      </c>
      <c r="V393">
        <v>0</v>
      </c>
      <c r="W393">
        <v>0</v>
      </c>
      <c r="X393">
        <v>0.111212966610261</v>
      </c>
      <c r="Y393">
        <v>4.8682476219107498E-2</v>
      </c>
      <c r="Z393">
        <v>6.1138331103575499E-2</v>
      </c>
      <c r="AA393">
        <v>0</v>
      </c>
      <c r="AB393">
        <v>2.5458000600337979E-2</v>
      </c>
      <c r="AC393">
        <v>1.500000071246177E-4</v>
      </c>
      <c r="AD393">
        <v>2.7199999894946809E-3</v>
      </c>
      <c r="AE393">
        <v>7.298000156879425E-3</v>
      </c>
      <c r="AF393">
        <f>0.16*X393 + 0.28*Y393 + 0.28*Z393 + 0.28*AA393</f>
        <v>4.8543900707993005E-2</v>
      </c>
      <c r="AG393">
        <f t="shared" si="18"/>
        <v>6.9203201390337192E-3</v>
      </c>
      <c r="AH393">
        <f>IF(T393="IT_Admin", 0.25, IF(AND(T393="HR", AA393&gt;0.6), 0.25, IF(AND(T393="General", Z393&gt;0.7), 0.2, 0.1)))</f>
        <v>0.25</v>
      </c>
      <c r="AI393">
        <f>IF(V393&gt;0.7, 0.1,
 IF(F393&gt;0.5, 0.08,
 IF(E393&gt;0.5, 0.05,
 0)))</f>
        <v>0</v>
      </c>
      <c r="AJ393">
        <f t="shared" si="19"/>
        <v>1.9407394309721507E-2</v>
      </c>
      <c r="AK393">
        <f t="shared" si="20"/>
        <v>2.4259242887151884E-2</v>
      </c>
      <c r="AL393" t="str">
        <f>IF(MAX(X393, Y393, Z393, AA393)&gt;0.9,
 "Critical",
 IF(AK393&lt;=0.2,"Very Low",
 IF(AK393&lt;=0.4,"Low",
 IF(AK393&lt;=0.6,"Medium",
 IF(AK393&lt;=0.8,"High","Critical")))))</f>
        <v>Very Low</v>
      </c>
      <c r="AM393" t="str">
        <f>IF(MAX(X393:AA393)&gt;0.9,"CRITICAL ALERT",
 IF(AK393&gt;0.8,"CRITICAL ALERT",
 IF(AK393&gt;0.6,"ALERT",
 IF(AK393&gt;=0.4,"REVIEW","NO ACTION"))))</f>
        <v>NO ACTION</v>
      </c>
      <c r="AN393" t="str">
        <f>IF(AM393="NO ACTION","",
 IF(_xlfn.TEXTJOIN(", ", TRUE,
  IF(X393&gt;0.7,"Login anomaly",""),
  IF(Y393&gt;0.7,"File anomaly",""),
  IF(Z393&gt;0.7,"Network anomaly",""),
  IF(AA393&gt;0.7,"USB anomaly","")
 )="",
 "General anomaly detected",
 _xlfn.TEXTJOIN(", ", TRUE,
  IF(X393&gt;0.7,"Login anomaly",""),
  IF(Y393&gt;0.7,"File anomaly",""),
  IF(Z393&gt;0.7,"Network anomaly",""),
  IF(AA393&gt;0.7,"USB anomaly","")
 )))</f>
        <v/>
      </c>
    </row>
    <row r="394" spans="1:40" x14ac:dyDescent="0.3">
      <c r="A394" t="s">
        <v>417</v>
      </c>
      <c r="B394">
        <v>0.12892249527410199</v>
      </c>
      <c r="C394">
        <v>0.28009428121759899</v>
      </c>
      <c r="D394">
        <v>7.50946055673926E-2</v>
      </c>
      <c r="E394">
        <v>0</v>
      </c>
      <c r="F394">
        <v>0</v>
      </c>
      <c r="G394">
        <v>0.99366992320996494</v>
      </c>
      <c r="H394">
        <v>7</v>
      </c>
      <c r="I394">
        <v>8</v>
      </c>
      <c r="J394">
        <v>9.9041076284528407E-2</v>
      </c>
      <c r="K394">
        <v>1.4681892332789499E-2</v>
      </c>
      <c r="L394">
        <v>3.7774661832915897E-2</v>
      </c>
      <c r="M394">
        <v>1.7316017316017301E-3</v>
      </c>
      <c r="N394">
        <v>1.0540220631522801E-2</v>
      </c>
      <c r="O394">
        <v>1120</v>
      </c>
      <c r="P394">
        <v>7.9966329966329894E-2</v>
      </c>
      <c r="Q394">
        <v>8.0122023913881901E-2</v>
      </c>
      <c r="R394">
        <v>0</v>
      </c>
      <c r="S394">
        <v>0</v>
      </c>
      <c r="T394" t="s">
        <v>24</v>
      </c>
      <c r="U394">
        <v>4.3665768194069997E-2</v>
      </c>
      <c r="V394">
        <v>0</v>
      </c>
      <c r="W394">
        <v>0</v>
      </c>
      <c r="X394">
        <v>2.2528381670217701E-2</v>
      </c>
      <c r="Y394">
        <v>4.1857612362820498E-2</v>
      </c>
      <c r="Z394">
        <v>5.2195886232407097E-2</v>
      </c>
      <c r="AA394">
        <v>0</v>
      </c>
      <c r="AB394">
        <v>1.8207000568509098E-2</v>
      </c>
      <c r="AC394">
        <v>5.2999999752501033E-5</v>
      </c>
      <c r="AD394">
        <v>3.5669999197125431E-3</v>
      </c>
      <c r="AE394">
        <v>1.3790000230073931E-3</v>
      </c>
      <c r="AF394">
        <f>0.16*X394 + 0.28*Y394 + 0.28*Z394 + 0.28*AA394</f>
        <v>2.9939520673898559E-2</v>
      </c>
      <c r="AG394">
        <f t="shared" si="18"/>
        <v>4.3128400748537387E-3</v>
      </c>
      <c r="AH394">
        <f>IF(T394="IT_Admin", 0.25, IF(AND(T394="HR", AA394&gt;0.6), 0.25, IF(AND(T394="General", Z394&gt;0.7), 0.2, 0.1)))</f>
        <v>0.25</v>
      </c>
      <c r="AI394">
        <f>IF(V394&gt;0.7, 0.1,
 IF(F394&gt;0.5, 0.08,
 IF(E394&gt;0.5, 0.05,
 0)))</f>
        <v>0</v>
      </c>
      <c r="AJ394">
        <f t="shared" si="19"/>
        <v>1.2000844254567183E-2</v>
      </c>
      <c r="AK394">
        <f t="shared" si="20"/>
        <v>1.5001055318208979E-2</v>
      </c>
      <c r="AL394" t="str">
        <f>IF(MAX(X394, Y394, Z394, AA394)&gt;0.9,
 "Critical",
 IF(AK394&lt;=0.2,"Very Low",
 IF(AK394&lt;=0.4,"Low",
 IF(AK394&lt;=0.6,"Medium",
 IF(AK394&lt;=0.8,"High","Critical")))))</f>
        <v>Very Low</v>
      </c>
      <c r="AM394" t="str">
        <f>IF(MAX(X394:AA394)&gt;0.9,"CRITICAL ALERT",
 IF(AK394&gt;0.8,"CRITICAL ALERT",
 IF(AK394&gt;0.6,"ALERT",
 IF(AK394&gt;=0.4,"REVIEW","NO ACTION"))))</f>
        <v>NO ACTION</v>
      </c>
      <c r="AN394" t="str">
        <f>IF(AM394="NO ACTION","",
 IF(_xlfn.TEXTJOIN(", ", TRUE,
  IF(X394&gt;0.7,"Login anomaly",""),
  IF(Y394&gt;0.7,"File anomaly",""),
  IF(Z394&gt;0.7,"Network anomaly",""),
  IF(AA394&gt;0.7,"USB anomaly","")
 )="",
 "General anomaly detected",
 _xlfn.TEXTJOIN(", ", TRUE,
  IF(X394&gt;0.7,"Login anomaly",""),
  IF(Y394&gt;0.7,"File anomaly",""),
  IF(Z394&gt;0.7,"Network anomaly",""),
  IF(AA394&gt;0.7,"USB anomaly","")
 )))</f>
        <v/>
      </c>
    </row>
    <row r="395" spans="1:40" x14ac:dyDescent="0.3">
      <c r="A395" t="s">
        <v>418</v>
      </c>
      <c r="B395">
        <v>0.12892249527410199</v>
      </c>
      <c r="C395">
        <v>0.18476582604220201</v>
      </c>
      <c r="D395">
        <v>0</v>
      </c>
      <c r="E395">
        <v>0</v>
      </c>
      <c r="F395">
        <v>0</v>
      </c>
      <c r="G395">
        <v>0.99367158249729304</v>
      </c>
      <c r="H395">
        <v>7</v>
      </c>
      <c r="I395">
        <v>7</v>
      </c>
      <c r="J395">
        <v>7.6427651352511797E-2</v>
      </c>
      <c r="K395">
        <v>1.6313213703099501E-3</v>
      </c>
      <c r="L395">
        <v>5.4351843513999899E-3</v>
      </c>
      <c r="M395">
        <v>8.6580086580086504E-4</v>
      </c>
      <c r="N395">
        <v>6.8245796932791302E-3</v>
      </c>
      <c r="O395">
        <v>376</v>
      </c>
      <c r="P395">
        <v>5.7309203142536402E-2</v>
      </c>
      <c r="Q395">
        <v>5.7470458290963901E-2</v>
      </c>
      <c r="R395">
        <v>0.10914454277286099</v>
      </c>
      <c r="S395">
        <v>1</v>
      </c>
      <c r="T395" t="s">
        <v>49</v>
      </c>
      <c r="U395">
        <v>8.4905660377358402E-3</v>
      </c>
      <c r="V395">
        <v>0</v>
      </c>
      <c r="W395">
        <v>0</v>
      </c>
      <c r="X395">
        <v>0</v>
      </c>
      <c r="Y395">
        <v>2.0050496354186001E-2</v>
      </c>
      <c r="Z395">
        <v>3.7115353762833501E-2</v>
      </c>
      <c r="AA395">
        <v>0.10914454277286099</v>
      </c>
      <c r="AB395">
        <v>3.8162998855113983E-2</v>
      </c>
      <c r="AC395">
        <v>1.0059999767690899E-3</v>
      </c>
      <c r="AD395">
        <v>6.3669998198747626E-3</v>
      </c>
      <c r="AE395">
        <v>6.7451998591423035E-2</v>
      </c>
      <c r="AF395">
        <f>0.16*X395 + 0.28*Y395 + 0.28*Z395 + 0.28*AA395</f>
        <v>4.6566910009166546E-2</v>
      </c>
      <c r="AG395">
        <f t="shared" si="18"/>
        <v>2.7057079365476966E-2</v>
      </c>
      <c r="AH395">
        <f>IF(T395="IT_Admin", 0.25, IF(AND(T395="HR", AA395&gt;0.6), 0.25, IF(AND(T395="General", Z395&gt;0.7), 0.2, 0.1)))</f>
        <v>0.1</v>
      </c>
      <c r="AI395">
        <f>IF(V395&gt;0.7, 0.1,
 IF(F395&gt;0.5, 0.08,
 IF(E395&gt;0.5, 0.05,
 0)))</f>
        <v>0</v>
      </c>
      <c r="AJ395">
        <f t="shared" si="19"/>
        <v>3.291002855858384E-2</v>
      </c>
      <c r="AK395">
        <f t="shared" si="20"/>
        <v>3.6201031414442225E-2</v>
      </c>
      <c r="AL395" t="str">
        <f>IF(MAX(X395, Y395, Z395, AA395)&gt;0.9,
 "Critical",
 IF(AK395&lt;=0.2,"Very Low",
 IF(AK395&lt;=0.4,"Low",
 IF(AK395&lt;=0.6,"Medium",
 IF(AK395&lt;=0.8,"High","Critical")))))</f>
        <v>Very Low</v>
      </c>
      <c r="AM395" t="str">
        <f>IF(MAX(X395:AA395)&gt;0.9,"CRITICAL ALERT",
 IF(AK395&gt;0.8,"CRITICAL ALERT",
 IF(AK395&gt;0.6,"ALERT",
 IF(AK395&gt;=0.4,"REVIEW","NO ACTION"))))</f>
        <v>NO ACTION</v>
      </c>
      <c r="AN395" t="str">
        <f>IF(AM395="NO ACTION","",
 IF(_xlfn.TEXTJOIN(", ", TRUE,
  IF(X395&gt;0.7,"Login anomaly",""),
  IF(Y395&gt;0.7,"File anomaly",""),
  IF(Z395&gt;0.7,"Network anomaly",""),
  IF(AA395&gt;0.7,"USB anomaly","")
 )="",
 "General anomaly detected",
 _xlfn.TEXTJOIN(", ", TRUE,
  IF(X395&gt;0.7,"Login anomaly",""),
  IF(Y395&gt;0.7,"File anomaly",""),
  IF(Z395&gt;0.7,"Network anomaly",""),
  IF(AA395&gt;0.7,"USB anomaly","")
 )))</f>
        <v/>
      </c>
    </row>
    <row r="396" spans="1:40" x14ac:dyDescent="0.3">
      <c r="A396" t="s">
        <v>419</v>
      </c>
      <c r="B396">
        <v>7.7126654064272201E-2</v>
      </c>
      <c r="C396">
        <v>0.31712211488974201</v>
      </c>
      <c r="D396">
        <v>0.24240818774412401</v>
      </c>
      <c r="E396">
        <v>0</v>
      </c>
      <c r="F396">
        <v>0</v>
      </c>
      <c r="G396">
        <v>0.75125656063766699</v>
      </c>
      <c r="H396">
        <v>7</v>
      </c>
      <c r="I396">
        <v>13</v>
      </c>
      <c r="J396">
        <v>1.9798673727398498E-2</v>
      </c>
      <c r="K396">
        <v>4.8939641109298502E-3</v>
      </c>
      <c r="L396">
        <v>6.2388151804998397E-2</v>
      </c>
      <c r="M396">
        <v>8.6580086580086504E-4</v>
      </c>
      <c r="N396">
        <v>2.6112141826427501E-2</v>
      </c>
      <c r="O396">
        <v>280</v>
      </c>
      <c r="P396">
        <v>1.70805274971941E-2</v>
      </c>
      <c r="Q396">
        <v>1.7251656790209999E-2</v>
      </c>
      <c r="R396">
        <v>0</v>
      </c>
      <c r="S396">
        <v>0</v>
      </c>
      <c r="T396" t="s">
        <v>49</v>
      </c>
      <c r="U396">
        <v>2.54716981132075E-2</v>
      </c>
      <c r="V396">
        <v>0</v>
      </c>
      <c r="W396">
        <v>0</v>
      </c>
      <c r="X396">
        <v>7.2722456323237206E-2</v>
      </c>
      <c r="Y396">
        <v>4.2987453195907098E-2</v>
      </c>
      <c r="Z396">
        <v>2.0693173228887501E-2</v>
      </c>
      <c r="AA396">
        <v>0</v>
      </c>
      <c r="AB396">
        <v>9.9999997764825821E-3</v>
      </c>
      <c r="AC396">
        <v>2.460000105202198E-4</v>
      </c>
      <c r="AD396">
        <v>1.278200000524521E-2</v>
      </c>
      <c r="AE396">
        <v>4.3319999240338802E-3</v>
      </c>
      <c r="AF396">
        <f>0.16*X396 + 0.28*Y396 + 0.28*Z396 + 0.28*AA396</f>
        <v>2.9466168410660444E-2</v>
      </c>
      <c r="AG396">
        <f t="shared" si="18"/>
        <v>6.4607999473810214E-3</v>
      </c>
      <c r="AH396">
        <f>IF(T396="IT_Admin", 0.25, IF(AND(T396="HR", AA396&gt;0.6), 0.25, IF(AND(T396="General", Z396&gt;0.7), 0.2, 0.1)))</f>
        <v>0.1</v>
      </c>
      <c r="AI396">
        <f>IF(V396&gt;0.7, 0.1,
 IF(F396&gt;0.5, 0.08,
 IF(E396&gt;0.5, 0.05,
 0)))</f>
        <v>0</v>
      </c>
      <c r="AJ396">
        <f t="shared" si="19"/>
        <v>1.3362410486364846E-2</v>
      </c>
      <c r="AK396">
        <f t="shared" si="20"/>
        <v>1.4698651535001332E-2</v>
      </c>
      <c r="AL396" t="str">
        <f>IF(MAX(X396, Y396, Z396, AA396)&gt;0.9,
 "Critical",
 IF(AK396&lt;=0.2,"Very Low",
 IF(AK396&lt;=0.4,"Low",
 IF(AK396&lt;=0.6,"Medium",
 IF(AK396&lt;=0.8,"High","Critical")))))</f>
        <v>Very Low</v>
      </c>
      <c r="AM396" t="str">
        <f>IF(MAX(X396:AA396)&gt;0.9,"CRITICAL ALERT",
 IF(AK396&gt;0.8,"CRITICAL ALERT",
 IF(AK396&gt;0.6,"ALERT",
 IF(AK396&gt;=0.4,"REVIEW","NO ACTION"))))</f>
        <v>NO ACTION</v>
      </c>
      <c r="AN396" t="str">
        <f>IF(AM396="NO ACTION","",
 IF(_xlfn.TEXTJOIN(", ", TRUE,
  IF(X396&gt;0.7,"Login anomaly",""),
  IF(Y396&gt;0.7,"File anomaly",""),
  IF(Z396&gt;0.7,"Network anomaly",""),
  IF(AA396&gt;0.7,"USB anomaly","")
 )="",
 "General anomaly detected",
 _xlfn.TEXTJOIN(", ", TRUE,
  IF(X396&gt;0.7,"Login anomaly",""),
  IF(Y396&gt;0.7,"File anomaly",""),
  IF(Z396&gt;0.7,"Network anomaly",""),
  IF(AA396&gt;0.7,"USB anomaly","")
 )))</f>
        <v/>
      </c>
    </row>
    <row r="397" spans="1:40" x14ac:dyDescent="0.3">
      <c r="A397" t="s">
        <v>420</v>
      </c>
      <c r="B397">
        <v>0.234026465028355</v>
      </c>
      <c r="C397">
        <v>0.66788545786041797</v>
      </c>
      <c r="D397">
        <v>0.369971838197445</v>
      </c>
      <c r="E397">
        <v>0</v>
      </c>
      <c r="F397">
        <v>0</v>
      </c>
      <c r="G397">
        <v>0.48313871233576899</v>
      </c>
      <c r="H397">
        <v>7</v>
      </c>
      <c r="I397">
        <v>14</v>
      </c>
      <c r="J397">
        <v>0.11922141119221399</v>
      </c>
      <c r="K397">
        <v>1.5497553017944501E-2</v>
      </c>
      <c r="L397">
        <v>3.3137476797383297E-2</v>
      </c>
      <c r="M397">
        <v>1.7316017316017301E-3</v>
      </c>
      <c r="N397">
        <v>8.7596641909740893E-3</v>
      </c>
      <c r="O397">
        <v>1363</v>
      </c>
      <c r="P397">
        <v>9.5152918069584702E-2</v>
      </c>
      <c r="Q397">
        <v>9.53048844629895E-2</v>
      </c>
      <c r="R397">
        <v>0.59292035398230003</v>
      </c>
      <c r="S397">
        <v>1</v>
      </c>
      <c r="T397" t="s">
        <v>24</v>
      </c>
      <c r="U397">
        <v>4.6091644204851699E-2</v>
      </c>
      <c r="V397">
        <v>0</v>
      </c>
      <c r="W397">
        <v>0</v>
      </c>
      <c r="X397">
        <v>0.11099155145923301</v>
      </c>
      <c r="Y397">
        <v>4.3040919894426703E-2</v>
      </c>
      <c r="Z397">
        <v>6.0595616518140397E-2</v>
      </c>
      <c r="AA397">
        <v>0.59292035398230003</v>
      </c>
      <c r="AB397">
        <v>2.3817999288439751E-2</v>
      </c>
      <c r="AC397">
        <v>7.0000001869630069E-5</v>
      </c>
      <c r="AD397">
        <v>1.6929999692365529E-3</v>
      </c>
      <c r="AE397">
        <v>0.34272399544715881</v>
      </c>
      <c r="AF397">
        <f>0.16*X397 + 0.28*Y397 + 0.28*Z397 + 0.28*AA397</f>
        <v>0.21279457754404008</v>
      </c>
      <c r="AG397">
        <f t="shared" si="18"/>
        <v>0.10026723860326457</v>
      </c>
      <c r="AH397">
        <f>IF(T397="IT_Admin", 0.25, IF(AND(T397="HR", AA397&gt;0.6), 0.25, IF(AND(T397="General", Z397&gt;0.7), 0.2, 0.1)))</f>
        <v>0.25</v>
      </c>
      <c r="AI397">
        <f>IF(V397&gt;0.7, 0.1,
 IF(F397&gt;0.5, 0.08,
 IF(E397&gt;0.5, 0.05,
 0)))</f>
        <v>0</v>
      </c>
      <c r="AJ397">
        <f t="shared" si="19"/>
        <v>0.13402544028549723</v>
      </c>
      <c r="AK397">
        <f t="shared" si="20"/>
        <v>0.16753180035687154</v>
      </c>
      <c r="AL397" t="str">
        <f>IF(MAX(X397, Y397, Z397, AA397)&gt;0.9,
 "Critical",
 IF(AK397&lt;=0.2,"Very Low",
 IF(AK397&lt;=0.4,"Low",
 IF(AK397&lt;=0.6,"Medium",
 IF(AK397&lt;=0.8,"High","Critical")))))</f>
        <v>Very Low</v>
      </c>
      <c r="AM397" t="str">
        <f>IF(MAX(X397:AA397)&gt;0.9,"CRITICAL ALERT",
 IF(AK397&gt;0.8,"CRITICAL ALERT",
 IF(AK397&gt;0.6,"ALERT",
 IF(AK397&gt;=0.4,"REVIEW","NO ACTION"))))</f>
        <v>NO ACTION</v>
      </c>
      <c r="AN397" t="str">
        <f>IF(AM397="NO ACTION","",
 IF(_xlfn.TEXTJOIN(", ", TRUE,
  IF(X397&gt;0.7,"Login anomaly",""),
  IF(Y397&gt;0.7,"File anomaly",""),
  IF(Z397&gt;0.7,"Network anomaly",""),
  IF(AA397&gt;0.7,"USB anomaly","")
 )="",
 "General anomaly detected",
 _xlfn.TEXTJOIN(", ", TRUE,
  IF(X397&gt;0.7,"Login anomaly",""),
  IF(Y397&gt;0.7,"File anomaly",""),
  IF(Z397&gt;0.7,"Network anomaly",""),
  IF(AA397&gt;0.7,"USB anomaly","")
 )))</f>
        <v/>
      </c>
    </row>
    <row r="398" spans="1:40" x14ac:dyDescent="0.3">
      <c r="A398" t="s">
        <v>421</v>
      </c>
      <c r="B398">
        <v>0.28241965973534899</v>
      </c>
      <c r="C398">
        <v>0.82566459680110804</v>
      </c>
      <c r="D398">
        <v>0.38341080035261899</v>
      </c>
      <c r="E398">
        <v>0</v>
      </c>
      <c r="F398">
        <v>0</v>
      </c>
      <c r="G398">
        <v>0.37553317892388999</v>
      </c>
      <c r="H398">
        <v>8</v>
      </c>
      <c r="I398">
        <v>17</v>
      </c>
      <c r="J398">
        <v>9.8134630981346296E-2</v>
      </c>
      <c r="K398">
        <v>1.38662316476345E-2</v>
      </c>
      <c r="L398">
        <v>3.6004801478151299E-2</v>
      </c>
      <c r="M398">
        <v>1.7316017316017301E-3</v>
      </c>
      <c r="N398">
        <v>1.06373419661489E-2</v>
      </c>
      <c r="O398">
        <v>1078</v>
      </c>
      <c r="P398">
        <v>7.8949214365880996E-2</v>
      </c>
      <c r="Q398">
        <v>7.9105157964865502E-2</v>
      </c>
      <c r="R398">
        <v>0.3952802359882</v>
      </c>
      <c r="S398">
        <v>1</v>
      </c>
      <c r="T398" t="s">
        <v>24</v>
      </c>
      <c r="U398">
        <v>4.1239892183288399E-2</v>
      </c>
      <c r="V398">
        <v>0</v>
      </c>
      <c r="W398">
        <v>0</v>
      </c>
      <c r="X398">
        <v>0.115023240105785</v>
      </c>
      <c r="Y398">
        <v>4.0820529525189601E-2</v>
      </c>
      <c r="Z398">
        <v>5.1624465405988203E-2</v>
      </c>
      <c r="AA398">
        <v>0.3952802359882</v>
      </c>
      <c r="AB398">
        <v>6.9485999643802643E-2</v>
      </c>
      <c r="AC398">
        <v>5.2999999752501033E-5</v>
      </c>
      <c r="AD398">
        <v>3.0920000281184912E-3</v>
      </c>
      <c r="AE398">
        <v>0.15545900166034701</v>
      </c>
      <c r="AF398">
        <f>0.16*X398 + 0.28*Y398 + 0.28*Z398 + 0.28*AA398</f>
        <v>0.15496678307435141</v>
      </c>
      <c r="AG398">
        <f t="shared" si="18"/>
        <v>5.5526880415709468E-2</v>
      </c>
      <c r="AH398">
        <f>IF(T398="IT_Admin", 0.25, IF(AND(T398="HR", AA398&gt;0.6), 0.25, IF(AND(T398="General", Z398&gt;0.7), 0.2, 0.1)))</f>
        <v>0.25</v>
      </c>
      <c r="AI398">
        <f>IF(V398&gt;0.7, 0.1,
 IF(F398&gt;0.5, 0.08,
 IF(E398&gt;0.5, 0.05,
 0)))</f>
        <v>0</v>
      </c>
      <c r="AJ398">
        <f t="shared" si="19"/>
        <v>8.5358851213302042E-2</v>
      </c>
      <c r="AK398">
        <f t="shared" si="20"/>
        <v>0.10669856401662756</v>
      </c>
      <c r="AL398" t="str">
        <f>IF(MAX(X398, Y398, Z398, AA398)&gt;0.9,
 "Critical",
 IF(AK398&lt;=0.2,"Very Low",
 IF(AK398&lt;=0.4,"Low",
 IF(AK398&lt;=0.6,"Medium",
 IF(AK398&lt;=0.8,"High","Critical")))))</f>
        <v>Very Low</v>
      </c>
      <c r="AM398" t="str">
        <f>IF(MAX(X398:AA398)&gt;0.9,"CRITICAL ALERT",
 IF(AK398&gt;0.8,"CRITICAL ALERT",
 IF(AK398&gt;0.6,"ALERT",
 IF(AK398&gt;=0.4,"REVIEW","NO ACTION"))))</f>
        <v>NO ACTION</v>
      </c>
      <c r="AN398" t="str">
        <f>IF(AM398="NO ACTION","",
 IF(_xlfn.TEXTJOIN(", ", TRUE,
  IF(X398&gt;0.7,"Login anomaly",""),
  IF(Y398&gt;0.7,"File anomaly",""),
  IF(Z398&gt;0.7,"Network anomaly",""),
  IF(AA398&gt;0.7,"USB anomaly","")
 )="",
 "General anomaly detected",
 _xlfn.TEXTJOIN(", ", TRUE,
  IF(X398&gt;0.7,"Login anomaly",""),
  IF(Y398&gt;0.7,"File anomaly",""),
  IF(Z398&gt;0.7,"Network anomaly",""),
  IF(AA398&gt;0.7,"USB anomaly","")
 )))</f>
        <v/>
      </c>
    </row>
    <row r="399" spans="1:40" x14ac:dyDescent="0.3">
      <c r="A399" t="s">
        <v>422</v>
      </c>
      <c r="B399">
        <v>0.26729678638941401</v>
      </c>
      <c r="C399">
        <v>0.78479999247180299</v>
      </c>
      <c r="D399">
        <v>0.35997496641231402</v>
      </c>
      <c r="E399">
        <v>0</v>
      </c>
      <c r="F399">
        <v>0</v>
      </c>
      <c r="G399">
        <v>0.40507120214574499</v>
      </c>
      <c r="H399">
        <v>8</v>
      </c>
      <c r="I399">
        <v>16</v>
      </c>
      <c r="J399">
        <v>9.3316158580220396E-2</v>
      </c>
      <c r="K399">
        <v>1.71288743882544E-2</v>
      </c>
      <c r="L399">
        <v>4.6767253010376202E-2</v>
      </c>
      <c r="M399">
        <v>3.4632034632034602E-3</v>
      </c>
      <c r="N399">
        <v>2.2370422370422301E-2</v>
      </c>
      <c r="O399">
        <v>1105</v>
      </c>
      <c r="P399">
        <v>7.7651515151515096E-2</v>
      </c>
      <c r="Q399">
        <v>7.7807777271292802E-2</v>
      </c>
      <c r="R399">
        <v>0</v>
      </c>
      <c r="S399">
        <v>0</v>
      </c>
      <c r="T399" t="s">
        <v>49</v>
      </c>
      <c r="U399">
        <v>2.74310595065312E-2</v>
      </c>
      <c r="V399">
        <v>0</v>
      </c>
      <c r="W399">
        <v>0</v>
      </c>
      <c r="X399">
        <v>0.10799248992369399</v>
      </c>
      <c r="Y399">
        <v>4.8757984932358799E-2</v>
      </c>
      <c r="Z399">
        <v>5.5539078039078003E-2</v>
      </c>
      <c r="AA399">
        <v>0</v>
      </c>
      <c r="AB399">
        <v>5.4735001176595688E-2</v>
      </c>
      <c r="AC399">
        <v>4.8000001697801047E-5</v>
      </c>
      <c r="AD399">
        <v>3.3330000005662441E-3</v>
      </c>
      <c r="AE399">
        <v>6.5879998728632927E-3</v>
      </c>
      <c r="AF399">
        <f>0.16*X399 + 0.28*Y399 + 0.28*Z399 + 0.28*AA399</f>
        <v>4.6481976019793349E-2</v>
      </c>
      <c r="AG399">
        <f t="shared" si="18"/>
        <v>1.1548920153290964E-2</v>
      </c>
      <c r="AH399">
        <f>IF(T399="IT_Admin", 0.25, IF(AND(T399="HR", AA399&gt;0.6), 0.25, IF(AND(T399="General", Z399&gt;0.7), 0.2, 0.1)))</f>
        <v>0.1</v>
      </c>
      <c r="AI399">
        <f>IF(V399&gt;0.7, 0.1,
 IF(F399&gt;0.5, 0.08,
 IF(E399&gt;0.5, 0.05,
 0)))</f>
        <v>0</v>
      </c>
      <c r="AJ399">
        <f t="shared" si="19"/>
        <v>2.202883691324168E-2</v>
      </c>
      <c r="AK399">
        <f t="shared" si="20"/>
        <v>2.4231720604565851E-2</v>
      </c>
      <c r="AL399" t="str">
        <f>IF(MAX(X399, Y399, Z399, AA399)&gt;0.9,
 "Critical",
 IF(AK399&lt;=0.2,"Very Low",
 IF(AK399&lt;=0.4,"Low",
 IF(AK399&lt;=0.6,"Medium",
 IF(AK399&lt;=0.8,"High","Critical")))))</f>
        <v>Very Low</v>
      </c>
      <c r="AM399" t="str">
        <f>IF(MAX(X399:AA399)&gt;0.9,"CRITICAL ALERT",
 IF(AK399&gt;0.8,"CRITICAL ALERT",
 IF(AK399&gt;0.6,"ALERT",
 IF(AK399&gt;=0.4,"REVIEW","NO ACTION"))))</f>
        <v>NO ACTION</v>
      </c>
      <c r="AN399" t="str">
        <f>IF(AM399="NO ACTION","",
 IF(_xlfn.TEXTJOIN(", ", TRUE,
  IF(X399&gt;0.7,"Login anomaly",""),
  IF(Y399&gt;0.7,"File anomaly",""),
  IF(Z399&gt;0.7,"Network anomaly",""),
  IF(AA399&gt;0.7,"USB anomaly","")
 )="",
 "General anomaly detected",
 _xlfn.TEXTJOIN(", ", TRUE,
  IF(X399&gt;0.7,"Login anomaly",""),
  IF(Y399&gt;0.7,"File anomaly",""),
  IF(Z399&gt;0.7,"Network anomaly",""),
  IF(AA399&gt;0.7,"USB anomaly","")
 )))</f>
        <v/>
      </c>
    </row>
    <row r="400" spans="1:40" x14ac:dyDescent="0.3">
      <c r="A400" t="s">
        <v>423</v>
      </c>
      <c r="B400">
        <v>0.12892249527410199</v>
      </c>
      <c r="C400">
        <v>0.36953165208440503</v>
      </c>
      <c r="D400">
        <v>0</v>
      </c>
      <c r="E400">
        <v>0</v>
      </c>
      <c r="F400">
        <v>0</v>
      </c>
      <c r="G400">
        <v>0.99367337559811397</v>
      </c>
      <c r="H400">
        <v>8</v>
      </c>
      <c r="I400">
        <v>8</v>
      </c>
      <c r="J400">
        <v>9.5653833309479505E-2</v>
      </c>
      <c r="K400">
        <v>7.34094616639478E-3</v>
      </c>
      <c r="L400">
        <v>1.95544953418651E-2</v>
      </c>
      <c r="M400">
        <v>5.7720057720057698E-4</v>
      </c>
      <c r="N400">
        <v>3.6375122942287098E-3</v>
      </c>
      <c r="O400">
        <v>375</v>
      </c>
      <c r="P400">
        <v>7.3758417508417495E-2</v>
      </c>
      <c r="Q400">
        <v>7.3915635190574702E-2</v>
      </c>
      <c r="R400">
        <v>0</v>
      </c>
      <c r="S400">
        <v>0</v>
      </c>
      <c r="T400" t="s">
        <v>24</v>
      </c>
      <c r="U400">
        <v>5.0943396226415097E-2</v>
      </c>
      <c r="V400">
        <v>0</v>
      </c>
      <c r="W400">
        <v>0</v>
      </c>
      <c r="X400">
        <v>0</v>
      </c>
      <c r="Y400">
        <v>2.9999268021097099E-2</v>
      </c>
      <c r="Z400">
        <v>4.5710055422741903E-2</v>
      </c>
      <c r="AA400">
        <v>0</v>
      </c>
      <c r="AB400">
        <v>2.4806000292301181E-2</v>
      </c>
      <c r="AC400">
        <v>3.9199998718686402E-4</v>
      </c>
      <c r="AD400">
        <v>4.4450000859797001E-3</v>
      </c>
      <c r="AE400">
        <v>2.2309999912977219E-3</v>
      </c>
      <c r="AF400">
        <f>0.16*X400 + 0.28*Y400 + 0.28*Z400 + 0.28*AA400</f>
        <v>2.1198610564274925E-2</v>
      </c>
      <c r="AG400">
        <f t="shared" si="18"/>
        <v>5.9480000648181883E-3</v>
      </c>
      <c r="AH400">
        <f>IF(T400="IT_Admin", 0.25, IF(AND(T400="HR", AA400&gt;0.6), 0.25, IF(AND(T400="General", Z400&gt;0.7), 0.2, 0.1)))</f>
        <v>0.25</v>
      </c>
      <c r="AI400">
        <f>IF(V400&gt;0.7, 0.1,
 IF(F400&gt;0.5, 0.08,
 IF(E400&gt;0.5, 0.05,
 0)))</f>
        <v>0</v>
      </c>
      <c r="AJ400">
        <f t="shared" si="19"/>
        <v>1.0523183214655209E-2</v>
      </c>
      <c r="AK400">
        <f t="shared" si="20"/>
        <v>1.3153979018319011E-2</v>
      </c>
      <c r="AL400" t="str">
        <f>IF(MAX(X400, Y400, Z400, AA400)&gt;0.9,
 "Critical",
 IF(AK400&lt;=0.2,"Very Low",
 IF(AK400&lt;=0.4,"Low",
 IF(AK400&lt;=0.6,"Medium",
 IF(AK400&lt;=0.8,"High","Critical")))))</f>
        <v>Very Low</v>
      </c>
      <c r="AM400" t="str">
        <f>IF(MAX(X400:AA400)&gt;0.9,"CRITICAL ALERT",
 IF(AK400&gt;0.8,"CRITICAL ALERT",
 IF(AK400&gt;0.6,"ALERT",
 IF(AK400&gt;=0.4,"REVIEW","NO ACTION"))))</f>
        <v>NO ACTION</v>
      </c>
      <c r="AN400" t="str">
        <f>IF(AM400="NO ACTION","",
 IF(_xlfn.TEXTJOIN(", ", TRUE,
  IF(X400&gt;0.7,"Login anomaly",""),
  IF(Y400&gt;0.7,"File anomaly",""),
  IF(Z400&gt;0.7,"Network anomaly",""),
  IF(AA400&gt;0.7,"USB anomaly","")
 )="",
 "General anomaly detected",
 _xlfn.TEXTJOIN(", ", TRUE,
  IF(X400&gt;0.7,"Login anomaly",""),
  IF(Y400&gt;0.7,"File anomaly",""),
  IF(Z400&gt;0.7,"Network anomaly",""),
  IF(AA400&gt;0.7,"USB anomaly","")
 )))</f>
        <v/>
      </c>
    </row>
    <row r="401" spans="1:40" x14ac:dyDescent="0.3">
      <c r="A401" t="s">
        <v>424</v>
      </c>
      <c r="B401">
        <v>8.6578449905481997E-2</v>
      </c>
      <c r="C401">
        <v>0.281510164141553</v>
      </c>
      <c r="D401">
        <v>7.5101519564747102E-2</v>
      </c>
      <c r="E401">
        <v>0</v>
      </c>
      <c r="F401">
        <v>0</v>
      </c>
      <c r="G401">
        <v>0.98968233830112096</v>
      </c>
      <c r="H401">
        <v>7</v>
      </c>
      <c r="I401">
        <v>8</v>
      </c>
      <c r="J401">
        <v>3.2107246791660701E-2</v>
      </c>
      <c r="K401">
        <v>5.7096247960848204E-3</v>
      </c>
      <c r="L401">
        <v>4.50887822779487E-2</v>
      </c>
      <c r="M401">
        <v>5.7720057720057698E-4</v>
      </c>
      <c r="N401">
        <v>1.0783775385545201E-2</v>
      </c>
      <c r="O401">
        <v>420</v>
      </c>
      <c r="P401">
        <v>2.63397867564534E-2</v>
      </c>
      <c r="Q401">
        <v>2.6508643360566599E-2</v>
      </c>
      <c r="R401">
        <v>0</v>
      </c>
      <c r="S401">
        <v>0</v>
      </c>
      <c r="T401" t="s">
        <v>49</v>
      </c>
      <c r="U401">
        <v>3.9622641509433898E-2</v>
      </c>
      <c r="V401">
        <v>0</v>
      </c>
      <c r="W401">
        <v>0</v>
      </c>
      <c r="X401">
        <v>2.25304558694241E-2</v>
      </c>
      <c r="Y401">
        <v>3.2200973112970099E-2</v>
      </c>
      <c r="Z401">
        <v>2.01173822080901E-2</v>
      </c>
      <c r="AA401">
        <v>0</v>
      </c>
      <c r="AB401">
        <v>2.3506000638008121E-2</v>
      </c>
      <c r="AC401">
        <v>1.780000020517036E-4</v>
      </c>
      <c r="AD401">
        <v>1.171599980443716E-2</v>
      </c>
      <c r="AE401">
        <v>2.370999893173575E-3</v>
      </c>
      <c r="AF401">
        <f>0.16*X401 + 0.28*Y401 + 0.28*Z401 + 0.28*AA401</f>
        <v>1.8254012429004714E-2</v>
      </c>
      <c r="AG401">
        <f t="shared" si="18"/>
        <v>7.7551600179867827E-3</v>
      </c>
      <c r="AH401">
        <f>IF(T401="IT_Admin", 0.25, IF(AND(T401="HR", AA401&gt;0.6), 0.25, IF(AND(T401="General", Z401&gt;0.7), 0.2, 0.1)))</f>
        <v>0.1</v>
      </c>
      <c r="AI401">
        <f>IF(V401&gt;0.7, 0.1,
 IF(F401&gt;0.5, 0.08,
 IF(E401&gt;0.5, 0.05,
 0)))</f>
        <v>0</v>
      </c>
      <c r="AJ401">
        <f t="shared" si="19"/>
        <v>1.0904815741292161E-2</v>
      </c>
      <c r="AK401">
        <f t="shared" si="20"/>
        <v>1.1995297315421379E-2</v>
      </c>
      <c r="AL401" t="str">
        <f>IF(MAX(X401, Y401, Z401, AA401)&gt;0.9,
 "Critical",
 IF(AK401&lt;=0.2,"Very Low",
 IF(AK401&lt;=0.4,"Low",
 IF(AK401&lt;=0.6,"Medium",
 IF(AK401&lt;=0.8,"High","Critical")))))</f>
        <v>Very Low</v>
      </c>
      <c r="AM401" t="str">
        <f>IF(MAX(X401:AA401)&gt;0.9,"CRITICAL ALERT",
 IF(AK401&gt;0.8,"CRITICAL ALERT",
 IF(AK401&gt;0.6,"ALERT",
 IF(AK401&gt;=0.4,"REVIEW","NO ACTION"))))</f>
        <v>NO ACTION</v>
      </c>
      <c r="AN401" t="str">
        <f>IF(AM401="NO ACTION","",
 IF(_xlfn.TEXTJOIN(", ", TRUE,
  IF(X401&gt;0.7,"Login anomaly",""),
  IF(Y401&gt;0.7,"File anomaly",""),
  IF(Z401&gt;0.7,"Network anomaly",""),
  IF(AA401&gt;0.7,"USB anomaly","")
 )="",
 "General anomaly detected",
 _xlfn.TEXTJOIN(", ", TRUE,
  IF(X401&gt;0.7,"Login anomaly",""),
  IF(Y401&gt;0.7,"File anomaly",""),
  IF(Z401&gt;0.7,"Network anomaly",""),
  IF(AA401&gt;0.7,"USB anomaly","")
 )))</f>
        <v/>
      </c>
    </row>
    <row r="402" spans="1:40" x14ac:dyDescent="0.3">
      <c r="A402" t="s">
        <v>425</v>
      </c>
      <c r="B402">
        <v>0.12892249527410199</v>
      </c>
      <c r="C402">
        <v>0.36953165208440503</v>
      </c>
      <c r="D402">
        <v>0</v>
      </c>
      <c r="E402">
        <v>0</v>
      </c>
      <c r="F402">
        <v>0</v>
      </c>
      <c r="G402">
        <v>0.993669013278205</v>
      </c>
      <c r="H402">
        <v>8</v>
      </c>
      <c r="I402">
        <v>8</v>
      </c>
      <c r="J402">
        <v>9.72281856781642E-2</v>
      </c>
      <c r="K402">
        <v>2.2022838499184301E-2</v>
      </c>
      <c r="L402">
        <v>5.77159113614523E-2</v>
      </c>
      <c r="M402">
        <v>2.0202020202020202E-3</v>
      </c>
      <c r="N402">
        <v>1.2525648061624499E-2</v>
      </c>
      <c r="O402">
        <v>1131</v>
      </c>
      <c r="P402">
        <v>8.1930415263748599E-2</v>
      </c>
      <c r="Q402">
        <v>8.2085627125775801E-2</v>
      </c>
      <c r="R402">
        <v>0</v>
      </c>
      <c r="S402">
        <v>0</v>
      </c>
      <c r="T402" t="s">
        <v>24</v>
      </c>
      <c r="U402">
        <v>5.7311320754716899E-2</v>
      </c>
      <c r="V402">
        <v>0</v>
      </c>
      <c r="W402">
        <v>0</v>
      </c>
      <c r="X402">
        <v>0</v>
      </c>
      <c r="Y402">
        <v>5.20612872348463E-2</v>
      </c>
      <c r="Z402">
        <v>5.4168508382898897E-2</v>
      </c>
      <c r="AA402">
        <v>0</v>
      </c>
      <c r="AB402">
        <v>2.4841999635100361E-2</v>
      </c>
      <c r="AC402">
        <v>2.379999932600185E-4</v>
      </c>
      <c r="AD402">
        <v>3.3160001039505001E-3</v>
      </c>
      <c r="AE402">
        <v>1.239000004716218E-3</v>
      </c>
      <c r="AF402">
        <f>0.16*X402 + 0.28*Y402 + 0.28*Z402 + 0.28*AA402</f>
        <v>2.9744342772968658E-2</v>
      </c>
      <c r="AG402">
        <f t="shared" si="18"/>
        <v>5.3167599701555443E-3</v>
      </c>
      <c r="AH402">
        <f>IF(T402="IT_Admin", 0.25, IF(AND(T402="HR", AA402&gt;0.6), 0.25, IF(AND(T402="General", Z402&gt;0.7), 0.2, 0.1)))</f>
        <v>0.25</v>
      </c>
      <c r="AI402">
        <f>IF(V402&gt;0.7, 0.1,
 IF(F402&gt;0.5, 0.08,
 IF(E402&gt;0.5, 0.05,
 0)))</f>
        <v>0</v>
      </c>
      <c r="AJ402">
        <f t="shared" si="19"/>
        <v>1.2645034810999479E-2</v>
      </c>
      <c r="AK402">
        <f t="shared" si="20"/>
        <v>1.5806293513749348E-2</v>
      </c>
      <c r="AL402" t="str">
        <f>IF(MAX(X402, Y402, Z402, AA402)&gt;0.9,
 "Critical",
 IF(AK402&lt;=0.2,"Very Low",
 IF(AK402&lt;=0.4,"Low",
 IF(AK402&lt;=0.6,"Medium",
 IF(AK402&lt;=0.8,"High","Critical")))))</f>
        <v>Very Low</v>
      </c>
      <c r="AM402" t="str">
        <f>IF(MAX(X402:AA402)&gt;0.9,"CRITICAL ALERT",
 IF(AK402&gt;0.8,"CRITICAL ALERT",
 IF(AK402&gt;0.6,"ALERT",
 IF(AK402&gt;=0.4,"REVIEW","NO ACTION"))))</f>
        <v>NO ACTION</v>
      </c>
      <c r="AN402" t="str">
        <f>IF(AM402="NO ACTION","",
 IF(_xlfn.TEXTJOIN(", ", TRUE,
  IF(X402&gt;0.7,"Login anomaly",""),
  IF(Y402&gt;0.7,"File anomaly",""),
  IF(Z402&gt;0.7,"Network anomaly",""),
  IF(AA402&gt;0.7,"USB anomaly","")
 )="",
 "General anomaly detected",
 _xlfn.TEXTJOIN(", ", TRUE,
  IF(X402&gt;0.7,"Login anomaly",""),
  IF(Y402&gt;0.7,"File anomaly",""),
  IF(Z402&gt;0.7,"Network anomaly",""),
  IF(AA402&gt;0.7,"USB anomaly","")
 )))</f>
        <v/>
      </c>
    </row>
    <row r="403" spans="1:40" x14ac:dyDescent="0.3">
      <c r="A403" t="s">
        <v>426</v>
      </c>
      <c r="B403">
        <v>0.12892249527410199</v>
      </c>
      <c r="C403">
        <v>0.36953165208440503</v>
      </c>
      <c r="D403">
        <v>0</v>
      </c>
      <c r="E403">
        <v>0</v>
      </c>
      <c r="F403">
        <v>0</v>
      </c>
      <c r="G403">
        <v>0.99369382230002001</v>
      </c>
      <c r="H403">
        <v>8</v>
      </c>
      <c r="I403">
        <v>8</v>
      </c>
      <c r="J403">
        <v>0.12485091360144999</v>
      </c>
      <c r="K403">
        <v>1.4681892332789499E-2</v>
      </c>
      <c r="L403">
        <v>2.9980576382264701E-2</v>
      </c>
      <c r="M403">
        <v>2.8860028860028799E-3</v>
      </c>
      <c r="N403">
        <v>1.39424098234166E-2</v>
      </c>
      <c r="O403">
        <v>1379</v>
      </c>
      <c r="P403">
        <v>9.9501964085297406E-2</v>
      </c>
      <c r="Q403">
        <v>9.9652863003611605E-2</v>
      </c>
      <c r="R403">
        <v>0.38790560471976399</v>
      </c>
      <c r="S403">
        <v>1</v>
      </c>
      <c r="T403" t="s">
        <v>24</v>
      </c>
      <c r="U403">
        <v>2.7787307032590001E-2</v>
      </c>
      <c r="V403">
        <v>0</v>
      </c>
      <c r="W403">
        <v>0</v>
      </c>
      <c r="X403">
        <v>0</v>
      </c>
      <c r="Y403">
        <v>4.4143193858447401E-2</v>
      </c>
      <c r="Z403">
        <v>6.5278142380545107E-2</v>
      </c>
      <c r="AA403">
        <v>0.38790560471976399</v>
      </c>
      <c r="AB403">
        <v>2.6187000796198841E-2</v>
      </c>
      <c r="AC403">
        <v>6.0999998822808272E-5</v>
      </c>
      <c r="AD403">
        <v>1.5930000226944681E-3</v>
      </c>
      <c r="AE403">
        <v>0.17507299780845639</v>
      </c>
      <c r="AF403">
        <f>0.16*X403 + 0.28*Y403 + 0.28*Z403 + 0.28*AA403</f>
        <v>0.13925154346845184</v>
      </c>
      <c r="AG403">
        <f t="shared" si="18"/>
        <v>5.3673479519784448E-2</v>
      </c>
      <c r="AH403">
        <f>IF(T403="IT_Admin", 0.25, IF(AND(T403="HR", AA403&gt;0.6), 0.25, IF(AND(T403="General", Z403&gt;0.7), 0.2, 0.1)))</f>
        <v>0.25</v>
      </c>
      <c r="AI403">
        <f>IF(V403&gt;0.7, 0.1,
 IF(F403&gt;0.5, 0.08,
 IF(E403&gt;0.5, 0.05,
 0)))</f>
        <v>0</v>
      </c>
      <c r="AJ403">
        <f t="shared" si="19"/>
        <v>7.9346898704384661E-2</v>
      </c>
      <c r="AK403">
        <f t="shared" si="20"/>
        <v>9.9183623380480826E-2</v>
      </c>
      <c r="AL403" t="str">
        <f>IF(MAX(X403, Y403, Z403, AA403)&gt;0.9,
 "Critical",
 IF(AK403&lt;=0.2,"Very Low",
 IF(AK403&lt;=0.4,"Low",
 IF(AK403&lt;=0.6,"Medium",
 IF(AK403&lt;=0.8,"High","Critical")))))</f>
        <v>Very Low</v>
      </c>
      <c r="AM403" t="str">
        <f>IF(MAX(X403:AA403)&gt;0.9,"CRITICAL ALERT",
 IF(AK403&gt;0.8,"CRITICAL ALERT",
 IF(AK403&gt;0.6,"ALERT",
 IF(AK403&gt;=0.4,"REVIEW","NO ACTION"))))</f>
        <v>NO ACTION</v>
      </c>
      <c r="AN403" t="str">
        <f>IF(AM403="NO ACTION","",
 IF(_xlfn.TEXTJOIN(", ", TRUE,
  IF(X403&gt;0.7,"Login anomaly",""),
  IF(Y403&gt;0.7,"File anomaly",""),
  IF(Z403&gt;0.7,"Network anomaly",""),
  IF(AA403&gt;0.7,"USB anomaly","")
 )="",
 "General anomaly detected",
 _xlfn.TEXTJOIN(", ", TRUE,
  IF(X403&gt;0.7,"Login anomaly",""),
  IF(Y403&gt;0.7,"File anomaly",""),
  IF(Z403&gt;0.7,"Network anomaly",""),
  IF(AA403&gt;0.7,"USB anomaly","")
 )))</f>
        <v/>
      </c>
    </row>
    <row r="404" spans="1:40" x14ac:dyDescent="0.3">
      <c r="A404" t="s">
        <v>427</v>
      </c>
      <c r="B404">
        <v>0.12892249527410199</v>
      </c>
      <c r="C404">
        <v>0.18476582604220201</v>
      </c>
      <c r="D404">
        <v>0</v>
      </c>
      <c r="E404">
        <v>0</v>
      </c>
      <c r="F404">
        <v>0</v>
      </c>
      <c r="G404">
        <v>0.99368226081412603</v>
      </c>
      <c r="H404">
        <v>7</v>
      </c>
      <c r="I404">
        <v>7</v>
      </c>
      <c r="J404">
        <v>6.4309908878393204E-2</v>
      </c>
      <c r="K404">
        <v>8.1566068515497494E-3</v>
      </c>
      <c r="L404">
        <v>3.2277683860679099E-2</v>
      </c>
      <c r="M404">
        <v>1.1544011544011501E-3</v>
      </c>
      <c r="N404">
        <v>1.0807686195712801E-2</v>
      </c>
      <c r="O404">
        <v>754</v>
      </c>
      <c r="P404">
        <v>5.13468013468013E-2</v>
      </c>
      <c r="Q404">
        <v>5.1509519969143297E-2</v>
      </c>
      <c r="R404">
        <v>0</v>
      </c>
      <c r="S404">
        <v>0</v>
      </c>
      <c r="T404" t="s">
        <v>49</v>
      </c>
      <c r="U404">
        <v>3.3962264150943298E-2</v>
      </c>
      <c r="V404">
        <v>0</v>
      </c>
      <c r="W404">
        <v>0</v>
      </c>
      <c r="X404">
        <v>0</v>
      </c>
      <c r="Y404">
        <v>3.2243129564732E-2</v>
      </c>
      <c r="Z404">
        <v>3.51311552863659E-2</v>
      </c>
      <c r="AA404">
        <v>0</v>
      </c>
      <c r="AB404">
        <v>3.664499893784523E-2</v>
      </c>
      <c r="AC404">
        <v>1.679999986663461E-4</v>
      </c>
      <c r="AD404">
        <v>7.3589999228715897E-3</v>
      </c>
      <c r="AE404">
        <v>1.6250000335276129E-3</v>
      </c>
      <c r="AF404">
        <f>0.16*X404 + 0.28*Y404 + 0.28*Z404 + 0.28*AA404</f>
        <v>1.8864799758307411E-2</v>
      </c>
      <c r="AG404">
        <f t="shared" si="18"/>
        <v>8.425759817473592E-3</v>
      </c>
      <c r="AH404">
        <f>IF(T404="IT_Admin", 0.25, IF(AND(T404="HR", AA404&gt;0.6), 0.25, IF(AND(T404="General", Z404&gt;0.7), 0.2, 0.1)))</f>
        <v>0.1</v>
      </c>
      <c r="AI404">
        <f>IF(V404&gt;0.7, 0.1,
 IF(F404&gt;0.5, 0.08,
 IF(E404&gt;0.5, 0.05,
 0)))</f>
        <v>0</v>
      </c>
      <c r="AJ404">
        <f t="shared" si="19"/>
        <v>1.1557471799723738E-2</v>
      </c>
      <c r="AK404">
        <f t="shared" si="20"/>
        <v>1.2713218979696113E-2</v>
      </c>
      <c r="AL404" t="str">
        <f>IF(MAX(X404, Y404, Z404, AA404)&gt;0.9,
 "Critical",
 IF(AK404&lt;=0.2,"Very Low",
 IF(AK404&lt;=0.4,"Low",
 IF(AK404&lt;=0.6,"Medium",
 IF(AK404&lt;=0.8,"High","Critical")))))</f>
        <v>Very Low</v>
      </c>
      <c r="AM404" t="str">
        <f>IF(MAX(X404:AA404)&gt;0.9,"CRITICAL ALERT",
 IF(AK404&gt;0.8,"CRITICAL ALERT",
 IF(AK404&gt;0.6,"ALERT",
 IF(AK404&gt;=0.4,"REVIEW","NO ACTION"))))</f>
        <v>NO ACTION</v>
      </c>
      <c r="AN404" t="str">
        <f>IF(AM404="NO ACTION","",
 IF(_xlfn.TEXTJOIN(", ", TRUE,
  IF(X404&gt;0.7,"Login anomaly",""),
  IF(Y404&gt;0.7,"File anomaly",""),
  IF(Z404&gt;0.7,"Network anomaly",""),
  IF(AA404&gt;0.7,"USB anomaly","")
 )="",
 "General anomaly detected",
 _xlfn.TEXTJOIN(", ", TRUE,
  IF(X404&gt;0.7,"Login anomaly",""),
  IF(Y404&gt;0.7,"File anomaly",""),
  IF(Z404&gt;0.7,"Network anomaly",""),
  IF(AA404&gt;0.7,"USB anomaly","")
 )))</f>
        <v/>
      </c>
    </row>
    <row r="405" spans="1:40" x14ac:dyDescent="0.3">
      <c r="A405" t="s">
        <v>428</v>
      </c>
      <c r="B405">
        <v>0.22873345935727701</v>
      </c>
      <c r="C405">
        <v>0.54549910545793101</v>
      </c>
      <c r="D405">
        <v>0.343458605828102</v>
      </c>
      <c r="E405">
        <v>0</v>
      </c>
      <c r="F405">
        <v>0</v>
      </c>
      <c r="G405">
        <v>0.49792403354954101</v>
      </c>
      <c r="H405">
        <v>7</v>
      </c>
      <c r="I405">
        <v>13</v>
      </c>
      <c r="J405">
        <v>7.8574495491627303E-2</v>
      </c>
      <c r="K405">
        <v>1.2234910277324601E-2</v>
      </c>
      <c r="L405">
        <v>3.9653486316736299E-2</v>
      </c>
      <c r="M405">
        <v>5.7720057720057698E-4</v>
      </c>
      <c r="N405">
        <v>4.4257867502419503E-3</v>
      </c>
      <c r="O405">
        <v>956</v>
      </c>
      <c r="P405">
        <v>6.3306677890011195E-2</v>
      </c>
      <c r="Q405">
        <v>6.3466460955853995E-2</v>
      </c>
      <c r="R405">
        <v>0</v>
      </c>
      <c r="S405">
        <v>0</v>
      </c>
      <c r="T405" t="s">
        <v>49</v>
      </c>
      <c r="U405">
        <v>8.4905660377358402E-2</v>
      </c>
      <c r="V405">
        <v>0</v>
      </c>
      <c r="W405">
        <v>0</v>
      </c>
      <c r="X405">
        <v>0.10303758174843</v>
      </c>
      <c r="Y405">
        <v>3.6869378281766202E-2</v>
      </c>
      <c r="Z405">
        <v>3.9754321434103498E-2</v>
      </c>
      <c r="AA405">
        <v>0</v>
      </c>
      <c r="AB405">
        <v>1.3826999813318251E-2</v>
      </c>
      <c r="AC405">
        <v>8.5399998351931572E-4</v>
      </c>
      <c r="AD405">
        <v>5.5849999189376831E-3</v>
      </c>
      <c r="AE405">
        <v>5.5579999461770058E-3</v>
      </c>
      <c r="AF405">
        <f>0.16*X405 + 0.28*Y405 + 0.28*Z405 + 0.28*AA405</f>
        <v>3.7940649000192318E-2</v>
      </c>
      <c r="AG405">
        <f t="shared" si="18"/>
        <v>5.5714799277484421E-3</v>
      </c>
      <c r="AH405">
        <f>IF(T405="IT_Admin", 0.25, IF(AND(T405="HR", AA405&gt;0.6), 0.25, IF(AND(T405="General", Z405&gt;0.7), 0.2, 0.1)))</f>
        <v>0.1</v>
      </c>
      <c r="AI405">
        <f>IF(V405&gt;0.7, 0.1,
 IF(F405&gt;0.5, 0.08,
 IF(E405&gt;0.5, 0.05,
 0)))</f>
        <v>0</v>
      </c>
      <c r="AJ405">
        <f t="shared" si="19"/>
        <v>1.5282230649481605E-2</v>
      </c>
      <c r="AK405">
        <f t="shared" si="20"/>
        <v>1.6810453714429765E-2</v>
      </c>
      <c r="AL405" t="str">
        <f>IF(MAX(X405, Y405, Z405, AA405)&gt;0.9,
 "Critical",
 IF(AK405&lt;=0.2,"Very Low",
 IF(AK405&lt;=0.4,"Low",
 IF(AK405&lt;=0.6,"Medium",
 IF(AK405&lt;=0.8,"High","Critical")))))</f>
        <v>Very Low</v>
      </c>
      <c r="AM405" t="str">
        <f>IF(MAX(X405:AA405)&gt;0.9,"CRITICAL ALERT",
 IF(AK405&gt;0.8,"CRITICAL ALERT",
 IF(AK405&gt;0.6,"ALERT",
 IF(AK405&gt;=0.4,"REVIEW","NO ACTION"))))</f>
        <v>NO ACTION</v>
      </c>
      <c r="AN405" t="str">
        <f>IF(AM405="NO ACTION","",
 IF(_xlfn.TEXTJOIN(", ", TRUE,
  IF(X405&gt;0.7,"Login anomaly",""),
  IF(Y405&gt;0.7,"File anomaly",""),
  IF(Z405&gt;0.7,"Network anomaly",""),
  IF(AA405&gt;0.7,"USB anomaly","")
 )="",
 "General anomaly detected",
 _xlfn.TEXTJOIN(", ", TRUE,
  IF(X405&gt;0.7,"Login anomaly",""),
  IF(Y405&gt;0.7,"File anomaly",""),
  IF(Z405&gt;0.7,"Network anomaly",""),
  IF(AA405&gt;0.7,"USB anomaly","")
 )))</f>
        <v/>
      </c>
    </row>
    <row r="406" spans="1:40" x14ac:dyDescent="0.3">
      <c r="A406" t="s">
        <v>429</v>
      </c>
      <c r="B406">
        <v>0.229111531190926</v>
      </c>
      <c r="C406">
        <v>0.57065379715329501</v>
      </c>
      <c r="D406">
        <v>0.36629184892715499</v>
      </c>
      <c r="E406">
        <v>0</v>
      </c>
      <c r="F406">
        <v>0</v>
      </c>
      <c r="G406">
        <v>0.49687739946063197</v>
      </c>
      <c r="H406">
        <v>7</v>
      </c>
      <c r="I406">
        <v>13</v>
      </c>
      <c r="J406">
        <v>0.120270979438003</v>
      </c>
      <c r="K406">
        <v>1.7944535073409401E-2</v>
      </c>
      <c r="L406">
        <v>3.8035531979294303E-2</v>
      </c>
      <c r="M406">
        <v>4.3290043290043203E-3</v>
      </c>
      <c r="N406">
        <v>2.17084314471487E-2</v>
      </c>
      <c r="O406">
        <v>946</v>
      </c>
      <c r="P406">
        <v>9.8239337822671094E-2</v>
      </c>
      <c r="Q406">
        <v>9.8390546653108396E-2</v>
      </c>
      <c r="R406">
        <v>0</v>
      </c>
      <c r="S406">
        <v>0</v>
      </c>
      <c r="T406" t="s">
        <v>24</v>
      </c>
      <c r="U406">
        <v>2.33490566037735E-2</v>
      </c>
      <c r="V406">
        <v>0</v>
      </c>
      <c r="W406">
        <v>0</v>
      </c>
      <c r="X406">
        <v>0.109887554678146</v>
      </c>
      <c r="Y406">
        <v>4.9584491311392601E-2</v>
      </c>
      <c r="Z406">
        <v>6.7626975272462198E-2</v>
      </c>
      <c r="AA406">
        <v>0</v>
      </c>
      <c r="AB406">
        <v>1.5967000275850299E-2</v>
      </c>
      <c r="AC406">
        <v>6.8000001192558557E-5</v>
      </c>
      <c r="AD406">
        <v>1.500000013038516E-3</v>
      </c>
      <c r="AE406">
        <v>7.5449999421834946E-3</v>
      </c>
      <c r="AF406">
        <f>0.16*X406 + 0.28*Y406 + 0.28*Z406 + 0.28*AA406</f>
        <v>5.0401219391982707E-2</v>
      </c>
      <c r="AG406">
        <f t="shared" si="18"/>
        <v>5.1063600319321278E-3</v>
      </c>
      <c r="AH406">
        <f>IF(T406="IT_Admin", 0.25, IF(AND(T406="HR", AA406&gt;0.6), 0.25, IF(AND(T406="General", Z406&gt;0.7), 0.2, 0.1)))</f>
        <v>0.25</v>
      </c>
      <c r="AI406">
        <f>IF(V406&gt;0.7, 0.1,
 IF(F406&gt;0.5, 0.08,
 IF(E406&gt;0.5, 0.05,
 0)))</f>
        <v>0</v>
      </c>
      <c r="AJ406">
        <f t="shared" si="19"/>
        <v>1.8694817839947302E-2</v>
      </c>
      <c r="AK406">
        <f t="shared" si="20"/>
        <v>2.3368522299934129E-2</v>
      </c>
      <c r="AL406" t="str">
        <f>IF(MAX(X406, Y406, Z406, AA406)&gt;0.9,
 "Critical",
 IF(AK406&lt;=0.2,"Very Low",
 IF(AK406&lt;=0.4,"Low",
 IF(AK406&lt;=0.6,"Medium",
 IF(AK406&lt;=0.8,"High","Critical")))))</f>
        <v>Very Low</v>
      </c>
      <c r="AM406" t="str">
        <f>IF(MAX(X406:AA406)&gt;0.9,"CRITICAL ALERT",
 IF(AK406&gt;0.8,"CRITICAL ALERT",
 IF(AK406&gt;0.6,"ALERT",
 IF(AK406&gt;=0.4,"REVIEW","NO ACTION"))))</f>
        <v>NO ACTION</v>
      </c>
      <c r="AN406" t="str">
        <f>IF(AM406="NO ACTION","",
 IF(_xlfn.TEXTJOIN(", ", TRUE,
  IF(X406&gt;0.7,"Login anomaly",""),
  IF(Y406&gt;0.7,"File anomaly",""),
  IF(Z406&gt;0.7,"Network anomaly",""),
  IF(AA406&gt;0.7,"USB anomaly","")
 )="",
 "General anomaly detected",
 _xlfn.TEXTJOIN(", ", TRUE,
  IF(X406&gt;0.7,"Login anomaly",""),
  IF(Y406&gt;0.7,"File anomaly",""),
  IF(Z406&gt;0.7,"Network anomaly",""),
  IF(AA406&gt;0.7,"USB anomaly","")
 )))</f>
        <v/>
      </c>
    </row>
    <row r="407" spans="1:40" x14ac:dyDescent="0.3">
      <c r="A407" t="s">
        <v>430</v>
      </c>
      <c r="B407">
        <v>0.12892249527410199</v>
      </c>
      <c r="C407">
        <v>0.18476582604220201</v>
      </c>
      <c r="D407">
        <v>0</v>
      </c>
      <c r="E407">
        <v>0</v>
      </c>
      <c r="F407">
        <v>0</v>
      </c>
      <c r="G407">
        <v>0.993670003498062</v>
      </c>
      <c r="H407">
        <v>7</v>
      </c>
      <c r="I407">
        <v>7</v>
      </c>
      <c r="J407">
        <v>0.104909116931444</v>
      </c>
      <c r="K407">
        <v>1.6313213703099499E-2</v>
      </c>
      <c r="L407">
        <v>3.9629497516786599E-2</v>
      </c>
      <c r="M407">
        <v>3.4632034632034602E-3</v>
      </c>
      <c r="N407">
        <v>1.99039919548086E-2</v>
      </c>
      <c r="O407">
        <v>1160</v>
      </c>
      <c r="P407">
        <v>8.58235129068462E-2</v>
      </c>
      <c r="Q407">
        <v>8.5977769206493901E-2</v>
      </c>
      <c r="R407">
        <v>0</v>
      </c>
      <c r="S407">
        <v>0</v>
      </c>
      <c r="T407" t="s">
        <v>24</v>
      </c>
      <c r="U407">
        <v>2.6124818577648701E-2</v>
      </c>
      <c r="V407">
        <v>0</v>
      </c>
      <c r="W407">
        <v>0</v>
      </c>
      <c r="X407">
        <v>0</v>
      </c>
      <c r="Y407">
        <v>4.6767769731124703E-2</v>
      </c>
      <c r="Z407">
        <v>5.9455704526031203E-2</v>
      </c>
      <c r="AA407">
        <v>0</v>
      </c>
      <c r="AB407">
        <v>3.6701999604702003E-2</v>
      </c>
      <c r="AC407">
        <v>2.7000000045518391E-5</v>
      </c>
      <c r="AD407">
        <v>2.7719999197870489E-3</v>
      </c>
      <c r="AE407">
        <v>1.222999999299645E-3</v>
      </c>
      <c r="AF407">
        <f>0.16*X407 + 0.28*Y407 + 0.28*Z407 + 0.28*AA407</f>
        <v>2.9742572792003659E-2</v>
      </c>
      <c r="AG407">
        <f t="shared" si="18"/>
        <v>6.9984799141093405E-3</v>
      </c>
      <c r="AH407">
        <f>IF(T407="IT_Admin", 0.25, IF(AND(T407="HR", AA407&gt;0.6), 0.25, IF(AND(T407="General", Z407&gt;0.7), 0.2, 0.1)))</f>
        <v>0.25</v>
      </c>
      <c r="AI407">
        <f>IF(V407&gt;0.7, 0.1,
 IF(F407&gt;0.5, 0.08,
 IF(E407&gt;0.5, 0.05,
 0)))</f>
        <v>0</v>
      </c>
      <c r="AJ407">
        <f t="shared" si="19"/>
        <v>1.3821707777477635E-2</v>
      </c>
      <c r="AK407">
        <f t="shared" si="20"/>
        <v>1.7277134721847043E-2</v>
      </c>
      <c r="AL407" t="str">
        <f>IF(MAX(X407, Y407, Z407, AA407)&gt;0.9,
 "Critical",
 IF(AK407&lt;=0.2,"Very Low",
 IF(AK407&lt;=0.4,"Low",
 IF(AK407&lt;=0.6,"Medium",
 IF(AK407&lt;=0.8,"High","Critical")))))</f>
        <v>Very Low</v>
      </c>
      <c r="AM407" t="str">
        <f>IF(MAX(X407:AA407)&gt;0.9,"CRITICAL ALERT",
 IF(AK407&gt;0.8,"CRITICAL ALERT",
 IF(AK407&gt;0.6,"ALERT",
 IF(AK407&gt;=0.4,"REVIEW","NO ACTION"))))</f>
        <v>NO ACTION</v>
      </c>
      <c r="AN407" t="str">
        <f>IF(AM407="NO ACTION","",
 IF(_xlfn.TEXTJOIN(", ", TRUE,
  IF(X407&gt;0.7,"Login anomaly",""),
  IF(Y407&gt;0.7,"File anomaly",""),
  IF(Z407&gt;0.7,"Network anomaly",""),
  IF(AA407&gt;0.7,"USB anomaly","")
 )="",
 "General anomaly detected",
 _xlfn.TEXTJOIN(", ", TRUE,
  IF(X407&gt;0.7,"Login anomaly",""),
  IF(Y407&gt;0.7,"File anomaly",""),
  IF(Z407&gt;0.7,"Network anomaly",""),
  IF(AA407&gt;0.7,"USB anomaly","")
 )))</f>
        <v/>
      </c>
    </row>
    <row r="408" spans="1:40" x14ac:dyDescent="0.3">
      <c r="A408" t="s">
        <v>431</v>
      </c>
      <c r="B408">
        <v>0.249905482041587</v>
      </c>
      <c r="C408">
        <v>0.95161346495420196</v>
      </c>
      <c r="D408">
        <v>0.35909242929586899</v>
      </c>
      <c r="E408">
        <v>0</v>
      </c>
      <c r="F408">
        <v>0</v>
      </c>
      <c r="G408">
        <v>0.44361390223242902</v>
      </c>
      <c r="H408">
        <v>9</v>
      </c>
      <c r="I408">
        <v>18</v>
      </c>
      <c r="J408">
        <v>0.106054100472305</v>
      </c>
      <c r="K408">
        <v>1.6313213703099499E-2</v>
      </c>
      <c r="L408">
        <v>3.9202608854128199E-2</v>
      </c>
      <c r="M408">
        <v>2.59740259740259E-3</v>
      </c>
      <c r="N408">
        <v>1.47671897223064E-2</v>
      </c>
      <c r="O408">
        <v>1206</v>
      </c>
      <c r="P408">
        <v>8.6244388327721605E-2</v>
      </c>
      <c r="Q408">
        <v>8.6398541323328304E-2</v>
      </c>
      <c r="R408">
        <v>0.37315634218289001</v>
      </c>
      <c r="S408">
        <v>1</v>
      </c>
      <c r="T408" t="s">
        <v>24</v>
      </c>
      <c r="U408">
        <v>3.3962264150943298E-2</v>
      </c>
      <c r="V408">
        <v>0</v>
      </c>
      <c r="W408">
        <v>0</v>
      </c>
      <c r="X408">
        <v>0.10772772878876</v>
      </c>
      <c r="Y408">
        <v>4.5242281438217201E-2</v>
      </c>
      <c r="Z408">
        <v>5.7653508885555503E-2</v>
      </c>
      <c r="AA408">
        <v>0.37315634218289001</v>
      </c>
      <c r="AB408">
        <v>8.6222998797893524E-2</v>
      </c>
      <c r="AC408">
        <v>2.5999999706982632E-5</v>
      </c>
      <c r="AD408">
        <v>2.3360000923275952E-3</v>
      </c>
      <c r="AE408">
        <v>0.1417219936847687</v>
      </c>
      <c r="AF408">
        <f>0.16*X408 + 0.28*Y408 + 0.28*Z408 + 0.28*AA408</f>
        <v>0.15053103370806717</v>
      </c>
      <c r="AG408">
        <f t="shared" si="18"/>
        <v>5.4139198065167891E-2</v>
      </c>
      <c r="AH408">
        <f>IF(T408="IT_Admin", 0.25, IF(AND(T408="HR", AA408&gt;0.6), 0.25, IF(AND(T408="General", Z408&gt;0.7), 0.2, 0.1)))</f>
        <v>0.25</v>
      </c>
      <c r="AI408">
        <f>IF(V408&gt;0.7, 0.1,
 IF(F408&gt;0.5, 0.08,
 IF(E408&gt;0.5, 0.05,
 0)))</f>
        <v>0</v>
      </c>
      <c r="AJ408">
        <f t="shared" si="19"/>
        <v>8.3056748758037674E-2</v>
      </c>
      <c r="AK408">
        <f t="shared" si="20"/>
        <v>0.1038209359475471</v>
      </c>
      <c r="AL408" t="str">
        <f>IF(MAX(X408, Y408, Z408, AA408)&gt;0.9,
 "Critical",
 IF(AK408&lt;=0.2,"Very Low",
 IF(AK408&lt;=0.4,"Low",
 IF(AK408&lt;=0.6,"Medium",
 IF(AK408&lt;=0.8,"High","Critical")))))</f>
        <v>Very Low</v>
      </c>
      <c r="AM408" t="str">
        <f>IF(MAX(X408:AA408)&gt;0.9,"CRITICAL ALERT",
 IF(AK408&gt;0.8,"CRITICAL ALERT",
 IF(AK408&gt;0.6,"ALERT",
 IF(AK408&gt;=0.4,"REVIEW","NO ACTION"))))</f>
        <v>NO ACTION</v>
      </c>
      <c r="AN408" t="str">
        <f>IF(AM408="NO ACTION","",
 IF(_xlfn.TEXTJOIN(", ", TRUE,
  IF(X408&gt;0.7,"Login anomaly",""),
  IF(Y408&gt;0.7,"File anomaly",""),
  IF(Z408&gt;0.7,"Network anomaly",""),
  IF(AA408&gt;0.7,"USB anomaly","")
 )="",
 "General anomaly detected",
 _xlfn.TEXTJOIN(", ", TRUE,
  IF(X408&gt;0.7,"Login anomaly",""),
  IF(Y408&gt;0.7,"File anomaly",""),
  IF(Z408&gt;0.7,"Network anomaly",""),
  IF(AA408&gt;0.7,"USB anomaly","")
 )))</f>
        <v/>
      </c>
    </row>
    <row r="409" spans="1:40" x14ac:dyDescent="0.3">
      <c r="A409" t="s">
        <v>432</v>
      </c>
      <c r="B409">
        <v>0.12892249527410199</v>
      </c>
      <c r="C409">
        <v>0.18476582604220201</v>
      </c>
      <c r="D409">
        <v>0</v>
      </c>
      <c r="E409">
        <v>0</v>
      </c>
      <c r="F409">
        <v>0</v>
      </c>
      <c r="G409">
        <v>0.99368710486261402</v>
      </c>
      <c r="H409">
        <v>7</v>
      </c>
      <c r="I409">
        <v>7</v>
      </c>
      <c r="J409">
        <v>9.3840942703115299E-2</v>
      </c>
      <c r="K409">
        <v>1.71288743882544E-2</v>
      </c>
      <c r="L409">
        <v>4.6506380909405502E-2</v>
      </c>
      <c r="M409">
        <v>5.7720057720057698E-4</v>
      </c>
      <c r="N409">
        <v>3.70760634452317E-3</v>
      </c>
      <c r="O409">
        <v>1051</v>
      </c>
      <c r="P409">
        <v>7.6634399551066198E-2</v>
      </c>
      <c r="Q409">
        <v>7.6790911322276306E-2</v>
      </c>
      <c r="R409">
        <v>0</v>
      </c>
      <c r="S409">
        <v>0</v>
      </c>
      <c r="T409" t="s">
        <v>49</v>
      </c>
      <c r="U409">
        <v>0.118867924528301</v>
      </c>
      <c r="V409">
        <v>0</v>
      </c>
      <c r="W409">
        <v>0</v>
      </c>
      <c r="X409">
        <v>0</v>
      </c>
      <c r="Y409">
        <v>4.3133660898682702E-2</v>
      </c>
      <c r="Z409">
        <v>4.7463682268448999E-2</v>
      </c>
      <c r="AA409">
        <v>0</v>
      </c>
      <c r="AB409">
        <v>3.6729998886585243E-2</v>
      </c>
      <c r="AC409">
        <v>2.3550000041723251E-3</v>
      </c>
      <c r="AD409">
        <v>4.1149999015033254E-3</v>
      </c>
      <c r="AE409">
        <v>1.336000044830143E-3</v>
      </c>
      <c r="AF409">
        <f>0.16*X409 + 0.28*Y409 + 0.28*Z409 + 0.28*AA409</f>
        <v>2.536725608679688E-2</v>
      </c>
      <c r="AG409">
        <f t="shared" si="18"/>
        <v>8.0624798079952618E-3</v>
      </c>
      <c r="AH409">
        <f>IF(T409="IT_Admin", 0.25, IF(AND(T409="HR", AA409&gt;0.6), 0.25, IF(AND(T409="General", Z409&gt;0.7), 0.2, 0.1)))</f>
        <v>0.1</v>
      </c>
      <c r="AI409">
        <f>IF(V409&gt;0.7, 0.1,
 IF(F409&gt;0.5, 0.08,
 IF(E409&gt;0.5, 0.05,
 0)))</f>
        <v>0</v>
      </c>
      <c r="AJ409">
        <f t="shared" si="19"/>
        <v>1.3253912691635747E-2</v>
      </c>
      <c r="AK409">
        <f t="shared" si="20"/>
        <v>1.4579303960799322E-2</v>
      </c>
      <c r="AL409" t="str">
        <f>IF(MAX(X409, Y409, Z409, AA409)&gt;0.9,
 "Critical",
 IF(AK409&lt;=0.2,"Very Low",
 IF(AK409&lt;=0.4,"Low",
 IF(AK409&lt;=0.6,"Medium",
 IF(AK409&lt;=0.8,"High","Critical")))))</f>
        <v>Very Low</v>
      </c>
      <c r="AM409" t="str">
        <f>IF(MAX(X409:AA409)&gt;0.9,"CRITICAL ALERT",
 IF(AK409&gt;0.8,"CRITICAL ALERT",
 IF(AK409&gt;0.6,"ALERT",
 IF(AK409&gt;=0.4,"REVIEW","NO ACTION"))))</f>
        <v>NO ACTION</v>
      </c>
      <c r="AN409" t="str">
        <f>IF(AM409="NO ACTION","",
 IF(_xlfn.TEXTJOIN(", ", TRUE,
  IF(X409&gt;0.7,"Login anomaly",""),
  IF(Y409&gt;0.7,"File anomaly",""),
  IF(Z409&gt;0.7,"Network anomaly",""),
  IF(AA409&gt;0.7,"USB anomaly","")
 )="",
 "General anomaly detected",
 _xlfn.TEXTJOIN(", ", TRUE,
  IF(X409&gt;0.7,"Login anomaly",""),
  IF(Y409&gt;0.7,"File anomaly",""),
  IF(Z409&gt;0.7,"Network anomaly",""),
  IF(AA409&gt;0.7,"USB anomaly","")
 )))</f>
        <v/>
      </c>
    </row>
    <row r="410" spans="1:40" x14ac:dyDescent="0.3">
      <c r="A410" t="s">
        <v>433</v>
      </c>
      <c r="B410">
        <v>0.12892249527410199</v>
      </c>
      <c r="C410">
        <v>0.18476582604220201</v>
      </c>
      <c r="D410">
        <v>0</v>
      </c>
      <c r="E410">
        <v>0</v>
      </c>
      <c r="F410">
        <v>0</v>
      </c>
      <c r="G410">
        <v>0.993694544892889</v>
      </c>
      <c r="H410">
        <v>7</v>
      </c>
      <c r="I410">
        <v>7</v>
      </c>
      <c r="J410">
        <v>9.8420876866561702E-2</v>
      </c>
      <c r="K410">
        <v>1.5497553017944501E-2</v>
      </c>
      <c r="L410">
        <v>4.0123908075748498E-2</v>
      </c>
      <c r="M410">
        <v>2.3088023088023001E-3</v>
      </c>
      <c r="N410">
        <v>1.41419723624752E-2</v>
      </c>
      <c r="O410">
        <v>1098</v>
      </c>
      <c r="P410">
        <v>8.0141694725027995E-2</v>
      </c>
      <c r="Q410">
        <v>8.0297345629229605E-2</v>
      </c>
      <c r="R410">
        <v>0</v>
      </c>
      <c r="S410">
        <v>0</v>
      </c>
      <c r="T410" t="s">
        <v>24</v>
      </c>
      <c r="U410">
        <v>3.5849056603773501E-2</v>
      </c>
      <c r="V410">
        <v>0</v>
      </c>
      <c r="W410">
        <v>0</v>
      </c>
      <c r="X410">
        <v>0</v>
      </c>
      <c r="Y410">
        <v>4.3988721119929103E-2</v>
      </c>
      <c r="Z410">
        <v>5.3741805780006903E-2</v>
      </c>
      <c r="AA410">
        <v>0</v>
      </c>
      <c r="AB410">
        <v>3.6706998944282532E-2</v>
      </c>
      <c r="AC410">
        <v>1.1000000085914509E-5</v>
      </c>
      <c r="AD410">
        <v>3.4690001048147678E-3</v>
      </c>
      <c r="AE410">
        <v>1.2519999872893099E-3</v>
      </c>
      <c r="AF410">
        <f>0.16*X410 + 0.28*Y410 + 0.28*Z410 + 0.28*AA410</f>
        <v>2.7364547531982083E-2</v>
      </c>
      <c r="AG410">
        <f t="shared" si="18"/>
        <v>7.1980798568984043E-3</v>
      </c>
      <c r="AH410">
        <f>IF(T410="IT_Admin", 0.25, IF(AND(T410="HR", AA410&gt;0.6), 0.25, IF(AND(T410="General", Z410&gt;0.7), 0.2, 0.1)))</f>
        <v>0.25</v>
      </c>
      <c r="AI410">
        <f>IF(V410&gt;0.7, 0.1,
 IF(F410&gt;0.5, 0.08,
 IF(E410&gt;0.5, 0.05,
 0)))</f>
        <v>0</v>
      </c>
      <c r="AJ410">
        <f t="shared" si="19"/>
        <v>1.3248020159423507E-2</v>
      </c>
      <c r="AK410">
        <f t="shared" si="20"/>
        <v>1.6560025199279384E-2</v>
      </c>
      <c r="AL410" t="str">
        <f>IF(MAX(X410, Y410, Z410, AA410)&gt;0.9,
 "Critical",
 IF(AK410&lt;=0.2,"Very Low",
 IF(AK410&lt;=0.4,"Low",
 IF(AK410&lt;=0.6,"Medium",
 IF(AK410&lt;=0.8,"High","Critical")))))</f>
        <v>Very Low</v>
      </c>
      <c r="AM410" t="str">
        <f>IF(MAX(X410:AA410)&gt;0.9,"CRITICAL ALERT",
 IF(AK410&gt;0.8,"CRITICAL ALERT",
 IF(AK410&gt;0.6,"ALERT",
 IF(AK410&gt;=0.4,"REVIEW","NO ACTION"))))</f>
        <v>NO ACTION</v>
      </c>
      <c r="AN410" t="str">
        <f>IF(AM410="NO ACTION","",
 IF(_xlfn.TEXTJOIN(", ", TRUE,
  IF(X410&gt;0.7,"Login anomaly",""),
  IF(Y410&gt;0.7,"File anomaly",""),
  IF(Z410&gt;0.7,"Network anomaly",""),
  IF(AA410&gt;0.7,"USB anomaly","")
 )="",
 "General anomaly detected",
 _xlfn.TEXTJOIN(", ", TRUE,
  IF(X410&gt;0.7,"Login anomaly",""),
  IF(Y410&gt;0.7,"File anomaly",""),
  IF(Z410&gt;0.7,"Network anomaly",""),
  IF(AA410&gt;0.7,"USB anomaly","")
 )))</f>
        <v/>
      </c>
    </row>
    <row r="411" spans="1:40" x14ac:dyDescent="0.3">
      <c r="A411" t="s">
        <v>434</v>
      </c>
      <c r="B411">
        <v>6.5784499054820395E-2</v>
      </c>
      <c r="C411">
        <v>0.75878549908342796</v>
      </c>
      <c r="D411">
        <v>0.34485928313091302</v>
      </c>
      <c r="E411">
        <v>0</v>
      </c>
      <c r="F411">
        <v>0</v>
      </c>
      <c r="G411">
        <v>0.40075175049959599</v>
      </c>
      <c r="H411">
        <v>8</v>
      </c>
      <c r="I411">
        <v>14</v>
      </c>
      <c r="J411">
        <v>7.2038547779209004E-3</v>
      </c>
      <c r="K411">
        <v>8.1566068515497503E-4</v>
      </c>
      <c r="L411">
        <v>2.7994683502242799E-2</v>
      </c>
      <c r="M411">
        <v>5.7720057720057698E-4</v>
      </c>
      <c r="N411">
        <v>4.6867946867946798E-2</v>
      </c>
      <c r="O411">
        <v>114</v>
      </c>
      <c r="P411">
        <v>5.9273288439955097E-3</v>
      </c>
      <c r="Q411">
        <v>6.1011956940986703E-3</v>
      </c>
      <c r="R411">
        <v>0.24631268436578099</v>
      </c>
      <c r="S411">
        <v>1</v>
      </c>
      <c r="T411" t="s">
        <v>49</v>
      </c>
      <c r="U411">
        <v>5.6603773584905596E-3</v>
      </c>
      <c r="V411">
        <v>0</v>
      </c>
      <c r="W411">
        <v>0</v>
      </c>
      <c r="X411">
        <v>0.103457784939273</v>
      </c>
      <c r="Y411">
        <v>2.9498496767089599E-2</v>
      </c>
      <c r="Z411">
        <v>2.2303576053576E-2</v>
      </c>
      <c r="AA411">
        <v>0.24631268436578099</v>
      </c>
      <c r="AB411">
        <v>4.9118999391794198E-2</v>
      </c>
      <c r="AC411">
        <v>8.0799998249858618E-4</v>
      </c>
      <c r="AD411">
        <v>1.3619000092148781E-2</v>
      </c>
      <c r="AE411">
        <v>8.3369001746177673E-2</v>
      </c>
      <c r="AF411">
        <f>0.16*X411 + 0.28*Y411 + 0.28*Z411 + 0.28*AA411</f>
        <v>0.10002537760248874</v>
      </c>
      <c r="AG411">
        <f t="shared" si="18"/>
        <v>3.5241920412518085E-2</v>
      </c>
      <c r="AH411">
        <f>IF(T411="IT_Admin", 0.25, IF(AND(T411="HR", AA411&gt;0.6), 0.25, IF(AND(T411="General", Z411&gt;0.7), 0.2, 0.1)))</f>
        <v>0.1</v>
      </c>
      <c r="AI411">
        <f>IF(V411&gt;0.7, 0.1,
 IF(F411&gt;0.5, 0.08,
 IF(E411&gt;0.5, 0.05,
 0)))</f>
        <v>0</v>
      </c>
      <c r="AJ411">
        <f t="shared" si="19"/>
        <v>5.4676957569509278E-2</v>
      </c>
      <c r="AK411">
        <f t="shared" si="20"/>
        <v>6.0144653326460212E-2</v>
      </c>
      <c r="AL411" t="str">
        <f>IF(MAX(X411, Y411, Z411, AA411)&gt;0.9,
 "Critical",
 IF(AK411&lt;=0.2,"Very Low",
 IF(AK411&lt;=0.4,"Low",
 IF(AK411&lt;=0.6,"Medium",
 IF(AK411&lt;=0.8,"High","Critical")))))</f>
        <v>Very Low</v>
      </c>
      <c r="AM411" t="str">
        <f>IF(MAX(X411:AA411)&gt;0.9,"CRITICAL ALERT",
 IF(AK411&gt;0.8,"CRITICAL ALERT",
 IF(AK411&gt;0.6,"ALERT",
 IF(AK411&gt;=0.4,"REVIEW","NO ACTION"))))</f>
        <v>NO ACTION</v>
      </c>
      <c r="AN411" t="str">
        <f>IF(AM411="NO ACTION","",
 IF(_xlfn.TEXTJOIN(", ", TRUE,
  IF(X411&gt;0.7,"Login anomaly",""),
  IF(Y411&gt;0.7,"File anomaly",""),
  IF(Z411&gt;0.7,"Network anomaly",""),
  IF(AA411&gt;0.7,"USB anomaly","")
 )="",
 "General anomaly detected",
 _xlfn.TEXTJOIN(", ", TRUE,
  IF(X411&gt;0.7,"Login anomaly",""),
  IF(Y411&gt;0.7,"File anomaly",""),
  IF(Z411&gt;0.7,"Network anomaly",""),
  IF(AA411&gt;0.7,"USB anomaly","")
 )))</f>
        <v/>
      </c>
    </row>
    <row r="412" spans="1:40" x14ac:dyDescent="0.3">
      <c r="A412" t="s">
        <v>435</v>
      </c>
      <c r="B412">
        <v>0.12892249527410199</v>
      </c>
      <c r="C412">
        <v>0.27902317497967399</v>
      </c>
      <c r="D412">
        <v>7.51173381640724E-2</v>
      </c>
      <c r="E412">
        <v>0</v>
      </c>
      <c r="F412">
        <v>0</v>
      </c>
      <c r="G412">
        <v>0.99367021759965202</v>
      </c>
      <c r="H412">
        <v>7</v>
      </c>
      <c r="I412">
        <v>8</v>
      </c>
      <c r="J412">
        <v>0.10600639282476899</v>
      </c>
      <c r="K412">
        <v>1.8760195758564399E-2</v>
      </c>
      <c r="L412">
        <v>4.51032440081039E-2</v>
      </c>
      <c r="M412">
        <v>1.7316017316017301E-3</v>
      </c>
      <c r="N412">
        <v>9.8492138007180603E-3</v>
      </c>
      <c r="O412">
        <v>863</v>
      </c>
      <c r="P412">
        <v>8.6840628507295098E-2</v>
      </c>
      <c r="Q412">
        <v>8.69946351555103E-2</v>
      </c>
      <c r="R412">
        <v>0</v>
      </c>
      <c r="S412">
        <v>0</v>
      </c>
      <c r="T412" t="s">
        <v>24</v>
      </c>
      <c r="U412">
        <v>5.5795148247978398E-2</v>
      </c>
      <c r="V412">
        <v>0</v>
      </c>
      <c r="W412">
        <v>0</v>
      </c>
      <c r="X412">
        <v>2.2535201449221699E-2</v>
      </c>
      <c r="Y412">
        <v>4.6707664709221303E-2</v>
      </c>
      <c r="Z412">
        <v>5.6044062624664298E-2</v>
      </c>
      <c r="AA412">
        <v>0</v>
      </c>
      <c r="AB412">
        <v>1.8237000331282619E-2</v>
      </c>
      <c r="AC412">
        <v>1.449999981559813E-4</v>
      </c>
      <c r="AD412">
        <v>2.882000058889389E-3</v>
      </c>
      <c r="AE412">
        <v>1.707999967038631E-3</v>
      </c>
      <c r="AF412">
        <f>0.16*X412 + 0.28*Y412 + 0.28*Z412 + 0.28*AA412</f>
        <v>3.2376115885363446E-2</v>
      </c>
      <c r="AG412">
        <f t="shared" si="18"/>
        <v>4.2437200597487401E-3</v>
      </c>
      <c r="AH412">
        <f>IF(T412="IT_Admin", 0.25, IF(AND(T412="HR", AA412&gt;0.6), 0.25, IF(AND(T412="General", Z412&gt;0.7), 0.2, 0.1)))</f>
        <v>0.25</v>
      </c>
      <c r="AI412">
        <f>IF(V412&gt;0.7, 0.1,
 IF(F412&gt;0.5, 0.08,
 IF(E412&gt;0.5, 0.05,
 0)))</f>
        <v>0</v>
      </c>
      <c r="AJ412">
        <f t="shared" si="19"/>
        <v>1.268343880743315E-2</v>
      </c>
      <c r="AK412">
        <f t="shared" si="20"/>
        <v>1.5854298509291438E-2</v>
      </c>
      <c r="AL412" t="str">
        <f>IF(MAX(X412, Y412, Z412, AA412)&gt;0.9,
 "Critical",
 IF(AK412&lt;=0.2,"Very Low",
 IF(AK412&lt;=0.4,"Low",
 IF(AK412&lt;=0.6,"Medium",
 IF(AK412&lt;=0.8,"High","Critical")))))</f>
        <v>Very Low</v>
      </c>
      <c r="AM412" t="str">
        <f>IF(MAX(X412:AA412)&gt;0.9,"CRITICAL ALERT",
 IF(AK412&gt;0.8,"CRITICAL ALERT",
 IF(AK412&gt;0.6,"ALERT",
 IF(AK412&gt;=0.4,"REVIEW","NO ACTION"))))</f>
        <v>NO ACTION</v>
      </c>
      <c r="AN412" t="str">
        <f>IF(AM412="NO ACTION","",
 IF(_xlfn.TEXTJOIN(", ", TRUE,
  IF(X412&gt;0.7,"Login anomaly",""),
  IF(Y412&gt;0.7,"File anomaly",""),
  IF(Z412&gt;0.7,"Network anomaly",""),
  IF(AA412&gt;0.7,"USB anomaly","")
 )="",
 "General anomaly detected",
 _xlfn.TEXTJOIN(", ", TRUE,
  IF(X412&gt;0.7,"Login anomaly",""),
  IF(Y412&gt;0.7,"File anomaly",""),
  IF(Z412&gt;0.7,"Network anomaly",""),
  IF(AA412&gt;0.7,"USB anomaly","")
 )))</f>
        <v/>
      </c>
    </row>
    <row r="413" spans="1:40" x14ac:dyDescent="0.3">
      <c r="A413" t="s">
        <v>436</v>
      </c>
      <c r="B413">
        <v>0.23100189035916799</v>
      </c>
      <c r="C413">
        <v>0.75829096736669799</v>
      </c>
      <c r="D413">
        <v>0.36590741866993298</v>
      </c>
      <c r="E413">
        <v>0</v>
      </c>
      <c r="F413">
        <v>0</v>
      </c>
      <c r="G413">
        <v>0.49158694525841101</v>
      </c>
      <c r="H413">
        <v>8</v>
      </c>
      <c r="I413">
        <v>14</v>
      </c>
      <c r="J413">
        <v>0.13095749248604499</v>
      </c>
      <c r="K413">
        <v>2.36541598694942E-2</v>
      </c>
      <c r="L413">
        <v>4.6053799332417003E-2</v>
      </c>
      <c r="M413">
        <v>2.8860028860028799E-3</v>
      </c>
      <c r="N413">
        <v>1.32934540207267E-2</v>
      </c>
      <c r="O413">
        <v>1409</v>
      </c>
      <c r="P413">
        <v>0.107849326599326</v>
      </c>
      <c r="Q413">
        <v>0.10799817665416001</v>
      </c>
      <c r="R413">
        <v>0</v>
      </c>
      <c r="S413">
        <v>0</v>
      </c>
      <c r="T413" t="s">
        <v>24</v>
      </c>
      <c r="U413">
        <v>4.4768439108061699E-2</v>
      </c>
      <c r="V413">
        <v>0</v>
      </c>
      <c r="W413">
        <v>0</v>
      </c>
      <c r="X413">
        <v>0.109772225600979</v>
      </c>
      <c r="Y413">
        <v>5.3206434369635597E-2</v>
      </c>
      <c r="Z413">
        <v>7.0026977567886603E-2</v>
      </c>
      <c r="AA413">
        <v>0</v>
      </c>
      <c r="AB413">
        <v>3.5022001713514328E-2</v>
      </c>
      <c r="AC413">
        <v>7.3000002885237336E-5</v>
      </c>
      <c r="AD413">
        <v>1.034999964758754E-3</v>
      </c>
      <c r="AE413">
        <v>6.0330000706017017E-3</v>
      </c>
      <c r="AF413">
        <f>0.16*X413 + 0.28*Y413 + 0.28*Z413 + 0.28*AA413</f>
        <v>5.2068911438662865E-2</v>
      </c>
      <c r="AG413">
        <f t="shared" si="18"/>
        <v>7.6030002848710872E-3</v>
      </c>
      <c r="AH413">
        <f>IF(T413="IT_Admin", 0.25, IF(AND(T413="HR", AA413&gt;0.6), 0.25, IF(AND(T413="General", Z413&gt;0.7), 0.2, 0.1)))</f>
        <v>0.25</v>
      </c>
      <c r="AI413">
        <f>IF(V413&gt;0.7, 0.1,
 IF(F413&gt;0.5, 0.08,
 IF(E413&gt;0.5, 0.05,
 0)))</f>
        <v>0</v>
      </c>
      <c r="AJ413">
        <f t="shared" si="19"/>
        <v>2.0942773631008618E-2</v>
      </c>
      <c r="AK413">
        <f t="shared" si="20"/>
        <v>2.6178467038760773E-2</v>
      </c>
      <c r="AL413" t="str">
        <f>IF(MAX(X413, Y413, Z413, AA413)&gt;0.9,
 "Critical",
 IF(AK413&lt;=0.2,"Very Low",
 IF(AK413&lt;=0.4,"Low",
 IF(AK413&lt;=0.6,"Medium",
 IF(AK413&lt;=0.8,"High","Critical")))))</f>
        <v>Very Low</v>
      </c>
      <c r="AM413" t="str">
        <f>IF(MAX(X413:AA413)&gt;0.9,"CRITICAL ALERT",
 IF(AK413&gt;0.8,"CRITICAL ALERT",
 IF(AK413&gt;0.6,"ALERT",
 IF(AK413&gt;=0.4,"REVIEW","NO ACTION"))))</f>
        <v>NO ACTION</v>
      </c>
      <c r="AN413" t="str">
        <f>IF(AM413="NO ACTION","",
 IF(_xlfn.TEXTJOIN(", ", TRUE,
  IF(X413&gt;0.7,"Login anomaly",""),
  IF(Y413&gt;0.7,"File anomaly",""),
  IF(Z413&gt;0.7,"Network anomaly",""),
  IF(AA413&gt;0.7,"USB anomaly","")
 )="",
 "General anomaly detected",
 _xlfn.TEXTJOIN(", ", TRUE,
  IF(X413&gt;0.7,"Login anomaly",""),
  IF(Y413&gt;0.7,"File anomaly",""),
  IF(Z413&gt;0.7,"Network anomaly",""),
  IF(AA413&gt;0.7,"USB anomaly","")
 )))</f>
        <v/>
      </c>
    </row>
    <row r="414" spans="1:40" x14ac:dyDescent="0.3">
      <c r="A414" t="s">
        <v>437</v>
      </c>
      <c r="B414">
        <v>0.27334593572778798</v>
      </c>
      <c r="C414">
        <v>0.70170350165408701</v>
      </c>
      <c r="D414">
        <v>0.55024835924015703</v>
      </c>
      <c r="E414">
        <v>0.31331193642060201</v>
      </c>
      <c r="F414">
        <v>8.11554332874828E-2</v>
      </c>
      <c r="G414">
        <v>0.392865158879385</v>
      </c>
      <c r="H414">
        <v>0</v>
      </c>
      <c r="I414">
        <v>23</v>
      </c>
      <c r="J414">
        <v>0.100472305710605</v>
      </c>
      <c r="K414">
        <v>1.0603588907014599E-2</v>
      </c>
      <c r="L414">
        <v>2.68939924881802E-2</v>
      </c>
      <c r="M414">
        <v>2.3088023088023001E-3</v>
      </c>
      <c r="N414">
        <v>1.3853907553575901E-2</v>
      </c>
      <c r="O414">
        <v>1099</v>
      </c>
      <c r="P414">
        <v>7.9545454545454503E-2</v>
      </c>
      <c r="Q414">
        <v>7.9701251797047498E-2</v>
      </c>
      <c r="R414">
        <v>0.10176991150442399</v>
      </c>
      <c r="S414">
        <v>1</v>
      </c>
      <c r="T414" t="s">
        <v>24</v>
      </c>
      <c r="U414">
        <v>2.4528301886792399E-2</v>
      </c>
      <c r="V414">
        <v>0</v>
      </c>
      <c r="W414">
        <v>7.1225778826575506E-2</v>
      </c>
      <c r="X414">
        <v>0.29153026201322102</v>
      </c>
      <c r="Y414">
        <v>3.7697629652284001E-2</v>
      </c>
      <c r="Z414">
        <v>5.32688357487031E-2</v>
      </c>
      <c r="AA414">
        <v>0.10176991150442399</v>
      </c>
      <c r="AB414">
        <v>0.2305389940738678</v>
      </c>
      <c r="AC414">
        <v>1.449999981559813E-4</v>
      </c>
      <c r="AD414">
        <v>2.6950000319629912E-3</v>
      </c>
      <c r="AE414">
        <v>5.4299000650644302E-2</v>
      </c>
      <c r="AF414">
        <f>0.16*X414 + 0.28*Y414 + 0.28*Z414 + 0.28*AA414</f>
        <v>0.10061102745563047</v>
      </c>
      <c r="AG414">
        <f t="shared" si="18"/>
        <v>5.2885159242432568E-2</v>
      </c>
      <c r="AH414">
        <f>IF(T414="IT_Admin", 0.25, IF(AND(T414="HR", AA414&gt;0.6), 0.25, IF(AND(T414="General", Z414&gt;0.7), 0.2, 0.1)))</f>
        <v>0.25</v>
      </c>
      <c r="AI414">
        <f>IF(V414&gt;0.7, 0.1,
 IF(F414&gt;0.5, 0.08,
 IF(E414&gt;0.5, 0.05,
 0)))</f>
        <v>0</v>
      </c>
      <c r="AJ414">
        <f t="shared" si="19"/>
        <v>6.7202919706391945E-2</v>
      </c>
      <c r="AK414">
        <f t="shared" si="20"/>
        <v>8.4003649632989924E-2</v>
      </c>
      <c r="AL414" t="str">
        <f>IF(MAX(X414, Y414, Z414, AA414)&gt;0.9,
 "Critical",
 IF(AK414&lt;=0.2,"Very Low",
 IF(AK414&lt;=0.4,"Low",
 IF(AK414&lt;=0.6,"Medium",
 IF(AK414&lt;=0.8,"High","Critical")))))</f>
        <v>Very Low</v>
      </c>
      <c r="AM414" t="str">
        <f>IF(MAX(X414:AA414)&gt;0.9,"CRITICAL ALERT",
 IF(AK414&gt;0.8,"CRITICAL ALERT",
 IF(AK414&gt;0.6,"ALERT",
 IF(AK414&gt;=0.4,"REVIEW","NO ACTION"))))</f>
        <v>NO ACTION</v>
      </c>
      <c r="AN414" t="str">
        <f>IF(AM414="NO ACTION","",
 IF(_xlfn.TEXTJOIN(", ", TRUE,
  IF(X414&gt;0.7,"Login anomaly",""),
  IF(Y414&gt;0.7,"File anomaly",""),
  IF(Z414&gt;0.7,"Network anomaly",""),
  IF(AA414&gt;0.7,"USB anomaly","")
 )="",
 "General anomaly detected",
 _xlfn.TEXTJOIN(", ", TRUE,
  IF(X414&gt;0.7,"Login anomaly",""),
  IF(Y414&gt;0.7,"File anomaly",""),
  IF(Z414&gt;0.7,"Network anomaly",""),
  IF(AA414&gt;0.7,"USB anomaly","")
 )))</f>
        <v/>
      </c>
    </row>
    <row r="415" spans="1:40" x14ac:dyDescent="0.3">
      <c r="A415" t="s">
        <v>438</v>
      </c>
      <c r="B415">
        <v>0.12892249527410199</v>
      </c>
      <c r="C415">
        <v>0.18476582604220201</v>
      </c>
      <c r="D415">
        <v>0</v>
      </c>
      <c r="E415">
        <v>0</v>
      </c>
      <c r="F415">
        <v>0</v>
      </c>
      <c r="G415">
        <v>0.99366149295983397</v>
      </c>
      <c r="H415">
        <v>7</v>
      </c>
      <c r="I415">
        <v>7</v>
      </c>
      <c r="J415">
        <v>0.109202805209675</v>
      </c>
      <c r="K415">
        <v>1.1419249592169599E-2</v>
      </c>
      <c r="L415">
        <v>2.66523054790315E-2</v>
      </c>
      <c r="M415">
        <v>2.8860028860028799E-3</v>
      </c>
      <c r="N415">
        <v>1.5935919161725601E-2</v>
      </c>
      <c r="O415">
        <v>1238</v>
      </c>
      <c r="P415">
        <v>8.6595117845117794E-2</v>
      </c>
      <c r="Q415">
        <v>8.6749184754023601E-2</v>
      </c>
      <c r="R415">
        <v>0</v>
      </c>
      <c r="S415">
        <v>0</v>
      </c>
      <c r="T415" t="s">
        <v>24</v>
      </c>
      <c r="U415">
        <v>2.16123499142367E-2</v>
      </c>
      <c r="V415">
        <v>0</v>
      </c>
      <c r="W415">
        <v>0</v>
      </c>
      <c r="X415">
        <v>0</v>
      </c>
      <c r="Y415">
        <v>3.9947489529968502E-2</v>
      </c>
      <c r="Z415">
        <v>5.8331438371760899E-2</v>
      </c>
      <c r="AA415">
        <v>0</v>
      </c>
      <c r="AB415">
        <v>3.6708001047372818E-2</v>
      </c>
      <c r="AC415">
        <v>1.5900000289548191E-4</v>
      </c>
      <c r="AD415">
        <v>2.7799999807029958E-3</v>
      </c>
      <c r="AE415">
        <v>1.1680000461637969E-3</v>
      </c>
      <c r="AF415">
        <f>0.16*X415 + 0.28*Y415 + 0.28*Z415 + 0.28*AA415</f>
        <v>2.7518099812484237E-2</v>
      </c>
      <c r="AG415">
        <f t="shared" si="18"/>
        <v>7.0232401759130888E-3</v>
      </c>
      <c r="AH415">
        <f>IF(T415="IT_Admin", 0.25, IF(AND(T415="HR", AA415&gt;0.6), 0.25, IF(AND(T415="General", Z415&gt;0.7), 0.2, 0.1)))</f>
        <v>0.25</v>
      </c>
      <c r="AI415">
        <f>IF(V415&gt;0.7, 0.1,
 IF(F415&gt;0.5, 0.08,
 IF(E415&gt;0.5, 0.05,
 0)))</f>
        <v>0</v>
      </c>
      <c r="AJ415">
        <f t="shared" si="19"/>
        <v>1.3171698066884433E-2</v>
      </c>
      <c r="AK415">
        <f t="shared" si="20"/>
        <v>1.6464622583605541E-2</v>
      </c>
      <c r="AL415" t="str">
        <f>IF(MAX(X415, Y415, Z415, AA415)&gt;0.9,
 "Critical",
 IF(AK415&lt;=0.2,"Very Low",
 IF(AK415&lt;=0.4,"Low",
 IF(AK415&lt;=0.6,"Medium",
 IF(AK415&lt;=0.8,"High","Critical")))))</f>
        <v>Very Low</v>
      </c>
      <c r="AM415" t="str">
        <f>IF(MAX(X415:AA415)&gt;0.9,"CRITICAL ALERT",
 IF(AK415&gt;0.8,"CRITICAL ALERT",
 IF(AK415&gt;0.6,"ALERT",
 IF(AK415&gt;=0.4,"REVIEW","NO ACTION"))))</f>
        <v>NO ACTION</v>
      </c>
      <c r="AN415" t="str">
        <f>IF(AM415="NO ACTION","",
 IF(_xlfn.TEXTJOIN(", ", TRUE,
  IF(X415&gt;0.7,"Login anomaly",""),
  IF(Y415&gt;0.7,"File anomaly",""),
  IF(Z415&gt;0.7,"Network anomaly",""),
  IF(AA415&gt;0.7,"USB anomaly","")
 )="",
 "General anomaly detected",
 _xlfn.TEXTJOIN(", ", TRUE,
  IF(X415&gt;0.7,"Login anomaly",""),
  IF(Y415&gt;0.7,"File anomaly",""),
  IF(Z415&gt;0.7,"Network anomaly",""),
  IF(AA415&gt;0.7,"USB anomaly","")
 )))</f>
        <v/>
      </c>
    </row>
    <row r="416" spans="1:40" x14ac:dyDescent="0.3">
      <c r="A416" t="s">
        <v>439</v>
      </c>
      <c r="B416">
        <v>0.12892249527410199</v>
      </c>
      <c r="C416">
        <v>9.3186242699545493E-2</v>
      </c>
      <c r="D416">
        <v>7.5129964412319103E-2</v>
      </c>
      <c r="E416">
        <v>0</v>
      </c>
      <c r="F416">
        <v>0.495652173913043</v>
      </c>
      <c r="G416">
        <v>0.99367364322510199</v>
      </c>
      <c r="H416">
        <v>6</v>
      </c>
      <c r="I416">
        <v>7</v>
      </c>
      <c r="J416">
        <v>9.1026191498497194E-2</v>
      </c>
      <c r="K416">
        <v>6.5252854812398002E-3</v>
      </c>
      <c r="L416">
        <v>1.8263128599476802E-2</v>
      </c>
      <c r="M416">
        <v>8.6580086580086504E-4</v>
      </c>
      <c r="N416">
        <v>5.7329323403552297E-3</v>
      </c>
      <c r="O416">
        <v>345</v>
      </c>
      <c r="P416">
        <v>7.0145903479236799E-2</v>
      </c>
      <c r="Q416">
        <v>7.0304007854412806E-2</v>
      </c>
      <c r="R416">
        <v>0</v>
      </c>
      <c r="S416">
        <v>0</v>
      </c>
      <c r="T416" t="s">
        <v>49</v>
      </c>
      <c r="U416">
        <v>3.3962264150943298E-2</v>
      </c>
      <c r="V416">
        <v>0</v>
      </c>
      <c r="W416">
        <v>0</v>
      </c>
      <c r="X416">
        <v>0.22079985888891299</v>
      </c>
      <c r="Y416">
        <v>2.9056682301544401E-2</v>
      </c>
      <c r="Z416">
        <v>4.4380715023684097E-2</v>
      </c>
      <c r="AA416">
        <v>0</v>
      </c>
      <c r="AB416">
        <v>4.5239999890327447E-2</v>
      </c>
      <c r="AC416">
        <v>3.6299999919719989E-4</v>
      </c>
      <c r="AD416">
        <v>4.8639997839927673E-3</v>
      </c>
      <c r="AE416">
        <v>1.1320000048726799E-3</v>
      </c>
      <c r="AF416">
        <f>0.16*X416 + 0.28*Y416 + 0.28*Z416 + 0.28*AA416</f>
        <v>5.5890448673290058E-2</v>
      </c>
      <c r="AG416">
        <f t="shared" si="18"/>
        <v>9.0189199231099342E-3</v>
      </c>
      <c r="AH416">
        <f>IF(T416="IT_Admin", 0.25, IF(AND(T416="HR", AA416&gt;0.6), 0.25, IF(AND(T416="General", Z416&gt;0.7), 0.2, 0.1)))</f>
        <v>0.1</v>
      </c>
      <c r="AI416">
        <f>IF(V416&gt;0.7, 0.1,
 IF(F416&gt;0.5, 0.08,
 IF(E416&gt;0.5, 0.05,
 0)))</f>
        <v>0</v>
      </c>
      <c r="AJ416">
        <f t="shared" si="19"/>
        <v>2.3080378548163968E-2</v>
      </c>
      <c r="AK416">
        <f t="shared" si="20"/>
        <v>2.5388416402980365E-2</v>
      </c>
      <c r="AL416" t="str">
        <f>IF(MAX(X416, Y416, Z416, AA416)&gt;0.9,
 "Critical",
 IF(AK416&lt;=0.2,"Very Low",
 IF(AK416&lt;=0.4,"Low",
 IF(AK416&lt;=0.6,"Medium",
 IF(AK416&lt;=0.8,"High","Critical")))))</f>
        <v>Very Low</v>
      </c>
      <c r="AM416" t="str">
        <f>IF(MAX(X416:AA416)&gt;0.9,"CRITICAL ALERT",
 IF(AK416&gt;0.8,"CRITICAL ALERT",
 IF(AK416&gt;0.6,"ALERT",
 IF(AK416&gt;=0.4,"REVIEW","NO ACTION"))))</f>
        <v>NO ACTION</v>
      </c>
      <c r="AN416" t="str">
        <f>IF(AM416="NO ACTION","",
 IF(_xlfn.TEXTJOIN(", ", TRUE,
  IF(X416&gt;0.7,"Login anomaly",""),
  IF(Y416&gt;0.7,"File anomaly",""),
  IF(Z416&gt;0.7,"Network anomaly",""),
  IF(AA416&gt;0.7,"USB anomaly","")
 )="",
 "General anomaly detected",
 _xlfn.TEXTJOIN(", ", TRUE,
  IF(X416&gt;0.7,"Login anomaly",""),
  IF(Y416&gt;0.7,"File anomaly",""),
  IF(Z416&gt;0.7,"Network anomaly",""),
  IF(AA416&gt;0.7,"USB anomaly","")
 )))</f>
        <v/>
      </c>
    </row>
    <row r="417" spans="1:40" x14ac:dyDescent="0.3">
      <c r="A417" t="s">
        <v>440</v>
      </c>
      <c r="B417">
        <v>0.12892249527410199</v>
      </c>
      <c r="C417">
        <v>0.36953165208440503</v>
      </c>
      <c r="D417">
        <v>0</v>
      </c>
      <c r="E417">
        <v>0</v>
      </c>
      <c r="F417">
        <v>0</v>
      </c>
      <c r="G417">
        <v>0.99369441107939405</v>
      </c>
      <c r="H417">
        <v>8</v>
      </c>
      <c r="I417">
        <v>8</v>
      </c>
      <c r="J417">
        <v>6.5502600066790706E-2</v>
      </c>
      <c r="K417">
        <v>1.1419249592169599E-2</v>
      </c>
      <c r="L417">
        <v>4.4368932343177403E-2</v>
      </c>
      <c r="M417">
        <v>2.59740259740259E-3</v>
      </c>
      <c r="N417">
        <v>2.3876123876123801E-2</v>
      </c>
      <c r="O417">
        <v>744</v>
      </c>
      <c r="P417">
        <v>5.4328002244668903E-2</v>
      </c>
      <c r="Q417">
        <v>5.4489989130053602E-2</v>
      </c>
      <c r="R417">
        <v>0</v>
      </c>
      <c r="S417">
        <v>0</v>
      </c>
      <c r="T417" t="s">
        <v>49</v>
      </c>
      <c r="U417">
        <v>2.3773584905660301E-2</v>
      </c>
      <c r="V417">
        <v>0</v>
      </c>
      <c r="W417">
        <v>0</v>
      </c>
      <c r="X417">
        <v>0</v>
      </c>
      <c r="Y417">
        <v>4.2447823347783999E-2</v>
      </c>
      <c r="Z417">
        <v>4.2147250897250799E-2</v>
      </c>
      <c r="AA417">
        <v>0</v>
      </c>
      <c r="AB417">
        <v>2.4684000760316849E-2</v>
      </c>
      <c r="AC417">
        <v>8.0999998317565769E-5</v>
      </c>
      <c r="AD417">
        <v>6.4960001036524773E-3</v>
      </c>
      <c r="AE417">
        <v>1.912000006996095E-3</v>
      </c>
      <c r="AF417">
        <f>0.16*X417 + 0.28*Y417 + 0.28*Z417 + 0.28*AA417</f>
        <v>2.3686620788609745E-2</v>
      </c>
      <c r="AG417">
        <f t="shared" si="18"/>
        <v>6.3263601521612147E-3</v>
      </c>
      <c r="AH417">
        <f>IF(T417="IT_Admin", 0.25, IF(AND(T417="HR", AA417&gt;0.6), 0.25, IF(AND(T417="General", Z417&gt;0.7), 0.2, 0.1)))</f>
        <v>0.1</v>
      </c>
      <c r="AI417">
        <f>IF(V417&gt;0.7, 0.1,
 IF(F417&gt;0.5, 0.08,
 IF(E417&gt;0.5, 0.05,
 0)))</f>
        <v>0</v>
      </c>
      <c r="AJ417">
        <f t="shared" si="19"/>
        <v>1.1534438343095773E-2</v>
      </c>
      <c r="AK417">
        <f t="shared" si="20"/>
        <v>1.2687882177405352E-2</v>
      </c>
      <c r="AL417" t="str">
        <f>IF(MAX(X417, Y417, Z417, AA417)&gt;0.9,
 "Critical",
 IF(AK417&lt;=0.2,"Very Low",
 IF(AK417&lt;=0.4,"Low",
 IF(AK417&lt;=0.6,"Medium",
 IF(AK417&lt;=0.8,"High","Critical")))))</f>
        <v>Very Low</v>
      </c>
      <c r="AM417" t="str">
        <f>IF(MAX(X417:AA417)&gt;0.9,"CRITICAL ALERT",
 IF(AK417&gt;0.8,"CRITICAL ALERT",
 IF(AK417&gt;0.6,"ALERT",
 IF(AK417&gt;=0.4,"REVIEW","NO ACTION"))))</f>
        <v>NO ACTION</v>
      </c>
      <c r="AN417" t="str">
        <f>IF(AM417="NO ACTION","",
 IF(_xlfn.TEXTJOIN(", ", TRUE,
  IF(X417&gt;0.7,"Login anomaly",""),
  IF(Y417&gt;0.7,"File anomaly",""),
  IF(Z417&gt;0.7,"Network anomaly",""),
  IF(AA417&gt;0.7,"USB anomaly","")
 )="",
 "General anomaly detected",
 _xlfn.TEXTJOIN(", ", TRUE,
  IF(X417&gt;0.7,"Login anomaly",""),
  IF(Y417&gt;0.7,"File anomaly",""),
  IF(Z417&gt;0.7,"Network anomaly",""),
  IF(AA417&gt;0.7,"USB anomaly","")
 )))</f>
        <v/>
      </c>
    </row>
    <row r="418" spans="1:40" x14ac:dyDescent="0.3">
      <c r="A418" t="s">
        <v>441</v>
      </c>
      <c r="B418">
        <v>0.12892249527410199</v>
      </c>
      <c r="C418">
        <v>0.18476582604220201</v>
      </c>
      <c r="D418">
        <v>0</v>
      </c>
      <c r="E418">
        <v>0</v>
      </c>
      <c r="F418">
        <v>0</v>
      </c>
      <c r="G418">
        <v>0.99365937870662602</v>
      </c>
      <c r="H418">
        <v>7</v>
      </c>
      <c r="I418">
        <v>7</v>
      </c>
      <c r="J418">
        <v>0.104241209865941</v>
      </c>
      <c r="K418">
        <v>1.5497553017944501E-2</v>
      </c>
      <c r="L418">
        <v>3.7888694931802698E-2</v>
      </c>
      <c r="M418">
        <v>4.6176046176046098E-3</v>
      </c>
      <c r="N418">
        <v>2.67083094480354E-2</v>
      </c>
      <c r="O418">
        <v>953</v>
      </c>
      <c r="P418">
        <v>8.5542929292929296E-2</v>
      </c>
      <c r="Q418">
        <v>8.56972544619376E-2</v>
      </c>
      <c r="R418">
        <v>0</v>
      </c>
      <c r="S418">
        <v>0</v>
      </c>
      <c r="T418" t="s">
        <v>24</v>
      </c>
      <c r="U418">
        <v>1.8978912319644801E-2</v>
      </c>
      <c r="V418">
        <v>0</v>
      </c>
      <c r="W418">
        <v>0</v>
      </c>
      <c r="X418">
        <v>0</v>
      </c>
      <c r="Y418">
        <v>4.7805082273500298E-2</v>
      </c>
      <c r="Z418">
        <v>6.2009081354971698E-2</v>
      </c>
      <c r="AA418">
        <v>0</v>
      </c>
      <c r="AB418">
        <v>3.6610998213291168E-2</v>
      </c>
      <c r="AC418">
        <v>1.0599999950500211E-4</v>
      </c>
      <c r="AD418">
        <v>2.668000059202313E-3</v>
      </c>
      <c r="AE418">
        <v>1.3530000578612089E-3</v>
      </c>
      <c r="AF418">
        <f>0.16*X418 + 0.28*Y418 + 0.28*Z418 + 0.28*AA418</f>
        <v>3.074796581597216E-2</v>
      </c>
      <c r="AG418">
        <f t="shared" si="18"/>
        <v>7.0133197467657747E-3</v>
      </c>
      <c r="AH418">
        <f>IF(T418="IT_Admin", 0.25, IF(AND(T418="HR", AA418&gt;0.6), 0.25, IF(AND(T418="General", Z418&gt;0.7), 0.2, 0.1)))</f>
        <v>0.25</v>
      </c>
      <c r="AI418">
        <f>IF(V418&gt;0.7, 0.1,
 IF(F418&gt;0.5, 0.08,
 IF(E418&gt;0.5, 0.05,
 0)))</f>
        <v>0</v>
      </c>
      <c r="AJ418">
        <f t="shared" si="19"/>
        <v>1.4133713567527691E-2</v>
      </c>
      <c r="AK418">
        <f t="shared" si="20"/>
        <v>1.7667141959409612E-2</v>
      </c>
      <c r="AL418" t="str">
        <f>IF(MAX(X418, Y418, Z418, AA418)&gt;0.9,
 "Critical",
 IF(AK418&lt;=0.2,"Very Low",
 IF(AK418&lt;=0.4,"Low",
 IF(AK418&lt;=0.6,"Medium",
 IF(AK418&lt;=0.8,"High","Critical")))))</f>
        <v>Very Low</v>
      </c>
      <c r="AM418" t="str">
        <f>IF(MAX(X418:AA418)&gt;0.9,"CRITICAL ALERT",
 IF(AK418&gt;0.8,"CRITICAL ALERT",
 IF(AK418&gt;0.6,"ALERT",
 IF(AK418&gt;=0.4,"REVIEW","NO ACTION"))))</f>
        <v>NO ACTION</v>
      </c>
      <c r="AN418" t="str">
        <f>IF(AM418="NO ACTION","",
 IF(_xlfn.TEXTJOIN(", ", TRUE,
  IF(X418&gt;0.7,"Login anomaly",""),
  IF(Y418&gt;0.7,"File anomaly",""),
  IF(Z418&gt;0.7,"Network anomaly",""),
  IF(AA418&gt;0.7,"USB anomaly","")
 )="",
 "General anomaly detected",
 _xlfn.TEXTJOIN(", ", TRUE,
  IF(X418&gt;0.7,"Login anomaly",""),
  IF(Y418&gt;0.7,"File anomaly",""),
  IF(Z418&gt;0.7,"Network anomaly",""),
  IF(AA418&gt;0.7,"USB anomaly","")
 )))</f>
        <v/>
      </c>
    </row>
    <row r="419" spans="1:40" x14ac:dyDescent="0.3">
      <c r="A419" t="s">
        <v>442</v>
      </c>
      <c r="B419">
        <v>0.128544423440453</v>
      </c>
      <c r="C419">
        <v>0.27822295898215299</v>
      </c>
      <c r="D419">
        <v>7.5128043003564404E-2</v>
      </c>
      <c r="E419">
        <v>0</v>
      </c>
      <c r="F419">
        <v>0</v>
      </c>
      <c r="G419">
        <v>0.99469842886291704</v>
      </c>
      <c r="H419">
        <v>7</v>
      </c>
      <c r="I419">
        <v>8</v>
      </c>
      <c r="J419">
        <v>8.4633366728686599E-2</v>
      </c>
      <c r="K419">
        <v>1.1419249592169599E-2</v>
      </c>
      <c r="L419">
        <v>3.4367840791960903E-2</v>
      </c>
      <c r="M419">
        <v>8.6580086580086504E-4</v>
      </c>
      <c r="N419">
        <v>6.1647552372678799E-3</v>
      </c>
      <c r="O419">
        <v>978</v>
      </c>
      <c r="P419">
        <v>6.7550505050505E-2</v>
      </c>
      <c r="Q419">
        <v>6.7709246467267406E-2</v>
      </c>
      <c r="R419">
        <v>0</v>
      </c>
      <c r="S419">
        <v>0</v>
      </c>
      <c r="T419" t="s">
        <v>49</v>
      </c>
      <c r="U419">
        <v>5.9433962264150902E-2</v>
      </c>
      <c r="V419">
        <v>0</v>
      </c>
      <c r="W419">
        <v>0</v>
      </c>
      <c r="X419">
        <v>2.25384129010693E-2</v>
      </c>
      <c r="Y419">
        <v>3.5960020312898099E-2</v>
      </c>
      <c r="Z419">
        <v>4.2996205125210102E-2</v>
      </c>
      <c r="AA419">
        <v>0</v>
      </c>
      <c r="AB419">
        <v>1.8381999805569649E-2</v>
      </c>
      <c r="AC419">
        <v>2.8899998869746918E-4</v>
      </c>
      <c r="AD419">
        <v>5.177999846637249E-3</v>
      </c>
      <c r="AE419">
        <v>1.7320000333711501E-3</v>
      </c>
      <c r="AF419">
        <f>0.16*X419 + 0.28*Y419 + 0.28*Z419 + 0.28*AA419</f>
        <v>2.5713889186841386E-2</v>
      </c>
      <c r="AG419">
        <f t="shared" si="18"/>
        <v>4.9568399321287867E-3</v>
      </c>
      <c r="AH419">
        <f>IF(T419="IT_Admin", 0.25, IF(AND(T419="HR", AA419&gt;0.6), 0.25, IF(AND(T419="General", Z419&gt;0.7), 0.2, 0.1)))</f>
        <v>0.1</v>
      </c>
      <c r="AI419">
        <f>IF(V419&gt;0.7, 0.1,
 IF(F419&gt;0.5, 0.08,
 IF(E419&gt;0.5, 0.05,
 0)))</f>
        <v>0</v>
      </c>
      <c r="AJ419">
        <f t="shared" si="19"/>
        <v>1.1183954708542566E-2</v>
      </c>
      <c r="AK419">
        <f t="shared" si="20"/>
        <v>1.2302350179396824E-2</v>
      </c>
      <c r="AL419" t="str">
        <f>IF(MAX(X419, Y419, Z419, AA419)&gt;0.9,
 "Critical",
 IF(AK419&lt;=0.2,"Very Low",
 IF(AK419&lt;=0.4,"Low",
 IF(AK419&lt;=0.6,"Medium",
 IF(AK419&lt;=0.8,"High","Critical")))))</f>
        <v>Very Low</v>
      </c>
      <c r="AM419" t="str">
        <f>IF(MAX(X419:AA419)&gt;0.9,"CRITICAL ALERT",
 IF(AK419&gt;0.8,"CRITICAL ALERT",
 IF(AK419&gt;0.6,"ALERT",
 IF(AK419&gt;=0.4,"REVIEW","NO ACTION"))))</f>
        <v>NO ACTION</v>
      </c>
      <c r="AN419" t="str">
        <f>IF(AM419="NO ACTION","",
 IF(_xlfn.TEXTJOIN(", ", TRUE,
  IF(X419&gt;0.7,"Login anomaly",""),
  IF(Y419&gt;0.7,"File anomaly",""),
  IF(Z419&gt;0.7,"Network anomaly",""),
  IF(AA419&gt;0.7,"USB anomaly","")
 )="",
 "General anomaly detected",
 _xlfn.TEXTJOIN(", ", TRUE,
  IF(X419&gt;0.7,"Login anomaly",""),
  IF(Y419&gt;0.7,"File anomaly",""),
  IF(Z419&gt;0.7,"Network anomaly",""),
  IF(AA419&gt;0.7,"USB anomaly","")
 )))</f>
        <v/>
      </c>
    </row>
    <row r="420" spans="1:40" x14ac:dyDescent="0.3">
      <c r="A420" t="s">
        <v>443</v>
      </c>
      <c r="B420">
        <v>0.25293005671077501</v>
      </c>
      <c r="C420">
        <v>0.78820607216517602</v>
      </c>
      <c r="D420">
        <v>0.37714076065116298</v>
      </c>
      <c r="E420">
        <v>0</v>
      </c>
      <c r="F420">
        <v>0</v>
      </c>
      <c r="G420">
        <v>0.43613368581926698</v>
      </c>
      <c r="H420">
        <v>8</v>
      </c>
      <c r="I420">
        <v>16</v>
      </c>
      <c r="J420">
        <v>8.9738085015027905E-2</v>
      </c>
      <c r="K420">
        <v>1.38662316476345E-2</v>
      </c>
      <c r="L420">
        <v>3.93647405344369E-2</v>
      </c>
      <c r="M420">
        <v>2.59740259740259E-3</v>
      </c>
      <c r="N420">
        <v>1.7445015218079899E-2</v>
      </c>
      <c r="O420">
        <v>1019</v>
      </c>
      <c r="P420">
        <v>7.3197250280583603E-2</v>
      </c>
      <c r="Q420">
        <v>7.33546057014621E-2</v>
      </c>
      <c r="R420">
        <v>0.38200589970501397</v>
      </c>
      <c r="S420">
        <v>1</v>
      </c>
      <c r="T420" t="s">
        <v>49</v>
      </c>
      <c r="U420">
        <v>2.8867924528301801E-2</v>
      </c>
      <c r="V420">
        <v>0</v>
      </c>
      <c r="W420">
        <v>0</v>
      </c>
      <c r="X420">
        <v>0.113142228195348</v>
      </c>
      <c r="Y420">
        <v>4.2863491835647999E-2</v>
      </c>
      <c r="Z420">
        <v>5.0896356255582101E-2</v>
      </c>
      <c r="AA420">
        <v>0.38200589970501397</v>
      </c>
      <c r="AB420">
        <v>5.0425000488758087E-2</v>
      </c>
      <c r="AC420">
        <v>5.0999999075429507E-5</v>
      </c>
      <c r="AD420">
        <v>3.592999884858727E-3</v>
      </c>
      <c r="AE420">
        <v>0.14882099628448489</v>
      </c>
      <c r="AF420">
        <f>0.16*X420 + 0.28*Y420 + 0.28*Z420 + 0.28*AA420</f>
        <v>0.15131716589420402</v>
      </c>
      <c r="AG420">
        <f t="shared" si="18"/>
        <v>5.0758199005358634E-2</v>
      </c>
      <c r="AH420">
        <f>IF(T420="IT_Admin", 0.25, IF(AND(T420="HR", AA420&gt;0.6), 0.25, IF(AND(T420="General", Z420&gt;0.7), 0.2, 0.1)))</f>
        <v>0.1</v>
      </c>
      <c r="AI420">
        <f>IF(V420&gt;0.7, 0.1,
 IF(F420&gt;0.5, 0.08,
 IF(E420&gt;0.5, 0.05,
 0)))</f>
        <v>0</v>
      </c>
      <c r="AJ420">
        <f t="shared" si="19"/>
        <v>8.0925889072012258E-2</v>
      </c>
      <c r="AK420">
        <f t="shared" si="20"/>
        <v>8.9018477979213487E-2</v>
      </c>
      <c r="AL420" t="str">
        <f>IF(MAX(X420, Y420, Z420, AA420)&gt;0.9,
 "Critical",
 IF(AK420&lt;=0.2,"Very Low",
 IF(AK420&lt;=0.4,"Low",
 IF(AK420&lt;=0.6,"Medium",
 IF(AK420&lt;=0.8,"High","Critical")))))</f>
        <v>Very Low</v>
      </c>
      <c r="AM420" t="str">
        <f>IF(MAX(X420:AA420)&gt;0.9,"CRITICAL ALERT",
 IF(AK420&gt;0.8,"CRITICAL ALERT",
 IF(AK420&gt;0.6,"ALERT",
 IF(AK420&gt;=0.4,"REVIEW","NO ACTION"))))</f>
        <v>NO ACTION</v>
      </c>
      <c r="AN420" t="str">
        <f>IF(AM420="NO ACTION","",
 IF(_xlfn.TEXTJOIN(", ", TRUE,
  IF(X420&gt;0.7,"Login anomaly",""),
  IF(Y420&gt;0.7,"File anomaly",""),
  IF(Z420&gt;0.7,"Network anomaly",""),
  IF(AA420&gt;0.7,"USB anomaly","")
 )="",
 "General anomaly detected",
 _xlfn.TEXTJOIN(", ", TRUE,
  IF(X420&gt;0.7,"Login anomaly",""),
  IF(Y420&gt;0.7,"File anomaly",""),
  IF(Z420&gt;0.7,"Network anomaly",""),
  IF(AA420&gt;0.7,"USB anomaly","")
 )))</f>
        <v/>
      </c>
    </row>
    <row r="421" spans="1:40" x14ac:dyDescent="0.3">
      <c r="A421" t="s">
        <v>444</v>
      </c>
      <c r="B421">
        <v>0.12892249527410199</v>
      </c>
      <c r="C421">
        <v>0.36953165208440503</v>
      </c>
      <c r="D421">
        <v>0</v>
      </c>
      <c r="E421">
        <v>0</v>
      </c>
      <c r="F421">
        <v>0</v>
      </c>
      <c r="G421">
        <v>0.99367937044265198</v>
      </c>
      <c r="H421">
        <v>8</v>
      </c>
      <c r="I421">
        <v>8</v>
      </c>
      <c r="J421">
        <v>0.12365822241305199</v>
      </c>
      <c r="K421">
        <v>6.5252854812398002E-3</v>
      </c>
      <c r="L421">
        <v>1.3452970739622301E-2</v>
      </c>
      <c r="M421">
        <v>3.4632034632034602E-3</v>
      </c>
      <c r="N421">
        <v>1.6891951585829099E-2</v>
      </c>
      <c r="O421">
        <v>778</v>
      </c>
      <c r="P421">
        <v>9.5398428731762006E-2</v>
      </c>
      <c r="Q421">
        <v>9.5550334864476297E-2</v>
      </c>
      <c r="R421">
        <v>0</v>
      </c>
      <c r="S421">
        <v>0</v>
      </c>
      <c r="T421" t="s">
        <v>24</v>
      </c>
      <c r="U421">
        <v>1.04499274310595E-2</v>
      </c>
      <c r="V421">
        <v>0</v>
      </c>
      <c r="W421">
        <v>0</v>
      </c>
      <c r="X421">
        <v>0</v>
      </c>
      <c r="Y421">
        <v>3.6525715328170401E-2</v>
      </c>
      <c r="Z421">
        <v>6.3995837873388806E-2</v>
      </c>
      <c r="AA421">
        <v>0</v>
      </c>
      <c r="AB421">
        <v>2.464899979531765E-2</v>
      </c>
      <c r="AC421">
        <v>5.0099997315555811E-4</v>
      </c>
      <c r="AD421">
        <v>1.9839999731630091E-3</v>
      </c>
      <c r="AE421">
        <v>1.736999955028296E-3</v>
      </c>
      <c r="AF421">
        <f>0.16*X421 + 0.28*Y421 + 0.28*Z421 + 0.28*AA421</f>
        <v>2.8146034896436578E-2</v>
      </c>
      <c r="AG421">
        <f t="shared" si="18"/>
        <v>5.1259999396279458E-3</v>
      </c>
      <c r="AH421">
        <f>IF(T421="IT_Admin", 0.25, IF(AND(T421="HR", AA421&gt;0.6), 0.25, IF(AND(T421="General", Z421&gt;0.7), 0.2, 0.1)))</f>
        <v>0.25</v>
      </c>
      <c r="AI421">
        <f>IF(V421&gt;0.7, 0.1,
 IF(F421&gt;0.5, 0.08,
 IF(E421&gt;0.5, 0.05,
 0)))</f>
        <v>0</v>
      </c>
      <c r="AJ421">
        <f t="shared" si="19"/>
        <v>1.2032010426670535E-2</v>
      </c>
      <c r="AK421">
        <f t="shared" si="20"/>
        <v>1.5040013033338169E-2</v>
      </c>
      <c r="AL421" t="str">
        <f>IF(MAX(X421, Y421, Z421, AA421)&gt;0.9,
 "Critical",
 IF(AK421&lt;=0.2,"Very Low",
 IF(AK421&lt;=0.4,"Low",
 IF(AK421&lt;=0.6,"Medium",
 IF(AK421&lt;=0.8,"High","Critical")))))</f>
        <v>Very Low</v>
      </c>
      <c r="AM421" t="str">
        <f>IF(MAX(X421:AA421)&gt;0.9,"CRITICAL ALERT",
 IF(AK421&gt;0.8,"CRITICAL ALERT",
 IF(AK421&gt;0.6,"ALERT",
 IF(AK421&gt;=0.4,"REVIEW","NO ACTION"))))</f>
        <v>NO ACTION</v>
      </c>
      <c r="AN421" t="str">
        <f>IF(AM421="NO ACTION","",
 IF(_xlfn.TEXTJOIN(", ", TRUE,
  IF(X421&gt;0.7,"Login anomaly",""),
  IF(Y421&gt;0.7,"File anomaly",""),
  IF(Z421&gt;0.7,"Network anomaly",""),
  IF(AA421&gt;0.7,"USB anomaly","")
 )="",
 "General anomaly detected",
 _xlfn.TEXTJOIN(", ", TRUE,
  IF(X421&gt;0.7,"Login anomaly",""),
  IF(Y421&gt;0.7,"File anomaly",""),
  IF(Z421&gt;0.7,"Network anomaly",""),
  IF(AA421&gt;0.7,"USB anomaly","")
 )))</f>
        <v/>
      </c>
    </row>
    <row r="422" spans="1:40" x14ac:dyDescent="0.3">
      <c r="A422" t="s">
        <v>445</v>
      </c>
      <c r="B422">
        <v>0.23591682419659701</v>
      </c>
      <c r="C422">
        <v>0.57606924743731303</v>
      </c>
      <c r="D422">
        <v>0.35940377891185399</v>
      </c>
      <c r="E422">
        <v>0</v>
      </c>
      <c r="F422">
        <v>0</v>
      </c>
      <c r="G422">
        <v>0.47836070168125699</v>
      </c>
      <c r="H422">
        <v>7</v>
      </c>
      <c r="I422">
        <v>13</v>
      </c>
      <c r="J422">
        <v>7.99103096226325E-2</v>
      </c>
      <c r="K422">
        <v>1.0603588907014599E-2</v>
      </c>
      <c r="L422">
        <v>3.3793582227707397E-2</v>
      </c>
      <c r="M422">
        <v>2.3088023088023001E-3</v>
      </c>
      <c r="N422">
        <v>1.7408094550951599E-2</v>
      </c>
      <c r="O422">
        <v>962</v>
      </c>
      <c r="P422">
        <v>6.4429012345678993E-2</v>
      </c>
      <c r="Q422">
        <v>6.4588519934079006E-2</v>
      </c>
      <c r="R422">
        <v>0</v>
      </c>
      <c r="S422">
        <v>0</v>
      </c>
      <c r="T422" t="s">
        <v>49</v>
      </c>
      <c r="U422">
        <v>2.4528301886792399E-2</v>
      </c>
      <c r="V422">
        <v>0</v>
      </c>
      <c r="W422">
        <v>0</v>
      </c>
      <c r="X422">
        <v>0.107821133673556</v>
      </c>
      <c r="Y422">
        <v>3.8101281403665699E-2</v>
      </c>
      <c r="Z422">
        <v>4.5620645227787998E-2</v>
      </c>
      <c r="AA422">
        <v>0</v>
      </c>
      <c r="AB422">
        <v>1.802700012922287E-2</v>
      </c>
      <c r="AC422">
        <v>1.140000022132881E-4</v>
      </c>
      <c r="AD422">
        <v>5.0309998914599419E-3</v>
      </c>
      <c r="AE422">
        <v>5.9560001827776432E-3</v>
      </c>
      <c r="AF422">
        <f>0.16*X422 + 0.28*Y422 + 0.28*Z422 + 0.28*AA422</f>
        <v>4.0693520844576003E-2</v>
      </c>
      <c r="AG422">
        <f t="shared" si="18"/>
        <v>5.9926000420819046E-3</v>
      </c>
      <c r="AH422">
        <f>IF(T422="IT_Admin", 0.25, IF(AND(T422="HR", AA422&gt;0.6), 0.25, IF(AND(T422="General", Z422&gt;0.7), 0.2, 0.1)))</f>
        <v>0.1</v>
      </c>
      <c r="AI422">
        <f>IF(V422&gt;0.7, 0.1,
 IF(F422&gt;0.5, 0.08,
 IF(E422&gt;0.5, 0.05,
 0)))</f>
        <v>0</v>
      </c>
      <c r="AJ422">
        <f t="shared" si="19"/>
        <v>1.6402876282830131E-2</v>
      </c>
      <c r="AK422">
        <f t="shared" si="20"/>
        <v>1.8043163911113144E-2</v>
      </c>
      <c r="AL422" t="str">
        <f>IF(MAX(X422, Y422, Z422, AA422)&gt;0.9,
 "Critical",
 IF(AK422&lt;=0.2,"Very Low",
 IF(AK422&lt;=0.4,"Low",
 IF(AK422&lt;=0.6,"Medium",
 IF(AK422&lt;=0.8,"High","Critical")))))</f>
        <v>Very Low</v>
      </c>
      <c r="AM422" t="str">
        <f>IF(MAX(X422:AA422)&gt;0.9,"CRITICAL ALERT",
 IF(AK422&gt;0.8,"CRITICAL ALERT",
 IF(AK422&gt;0.6,"ALERT",
 IF(AK422&gt;=0.4,"REVIEW","NO ACTION"))))</f>
        <v>NO ACTION</v>
      </c>
      <c r="AN422" t="str">
        <f>IF(AM422="NO ACTION","",
 IF(_xlfn.TEXTJOIN(", ", TRUE,
  IF(X422&gt;0.7,"Login anomaly",""),
  IF(Y422&gt;0.7,"File anomaly",""),
  IF(Z422&gt;0.7,"Network anomaly",""),
  IF(AA422&gt;0.7,"USB anomaly","")
 )="",
 "General anomaly detected",
 _xlfn.TEXTJOIN(", ", TRUE,
  IF(X422&gt;0.7,"Login anomaly",""),
  IF(Y422&gt;0.7,"File anomaly",""),
  IF(Z422&gt;0.7,"Network anomaly",""),
  IF(AA422&gt;0.7,"USB anomaly","")
 )))</f>
        <v/>
      </c>
    </row>
    <row r="423" spans="1:40" x14ac:dyDescent="0.3">
      <c r="A423" t="s">
        <v>446</v>
      </c>
      <c r="B423">
        <v>0.23629489603024501</v>
      </c>
      <c r="C423">
        <v>0.74523195654859797</v>
      </c>
      <c r="D423">
        <v>0.34625973546567801</v>
      </c>
      <c r="E423">
        <v>0</v>
      </c>
      <c r="F423">
        <v>0</v>
      </c>
      <c r="G423">
        <v>0.477296168094197</v>
      </c>
      <c r="H423">
        <v>8</v>
      </c>
      <c r="I423">
        <v>14</v>
      </c>
      <c r="J423">
        <v>9.4985926243976906E-2</v>
      </c>
      <c r="K423">
        <v>1.9575856443719401E-2</v>
      </c>
      <c r="L423">
        <v>5.2511069655509703E-2</v>
      </c>
      <c r="M423">
        <v>2.3088023088023001E-3</v>
      </c>
      <c r="N423">
        <v>1.4652103630059501E-2</v>
      </c>
      <c r="O423">
        <v>1101</v>
      </c>
      <c r="P423">
        <v>7.9370089786756401E-2</v>
      </c>
      <c r="Q423">
        <v>7.9525930081699905E-2</v>
      </c>
      <c r="R423">
        <v>0.77581120943952797</v>
      </c>
      <c r="S423">
        <v>1</v>
      </c>
      <c r="T423" t="s">
        <v>49</v>
      </c>
      <c r="U423">
        <v>4.5283018867924497E-2</v>
      </c>
      <c r="V423">
        <v>0</v>
      </c>
      <c r="W423">
        <v>0</v>
      </c>
      <c r="X423">
        <v>0.103877920639703</v>
      </c>
      <c r="Y423">
        <v>4.9648351165568101E-2</v>
      </c>
      <c r="Z423">
        <v>5.3482895324077698E-2</v>
      </c>
      <c r="AA423">
        <v>0.77581120943952797</v>
      </c>
      <c r="AB423">
        <v>3.3383999019861221E-2</v>
      </c>
      <c r="AC423">
        <v>1.0900000052060931E-4</v>
      </c>
      <c r="AD423">
        <v>2.932999981567264E-3</v>
      </c>
      <c r="AE423">
        <v>0.60364502668380737</v>
      </c>
      <c r="AF423">
        <f>0.16*X423 + 0.28*Y423 + 0.28*Z423 + 0.28*AA423</f>
        <v>0.26272435496252117</v>
      </c>
      <c r="AG423">
        <f t="shared" si="18"/>
        <v>0.17521380730962849</v>
      </c>
      <c r="AH423">
        <f>IF(T423="IT_Admin", 0.25, IF(AND(T423="HR", AA423&gt;0.6), 0.25, IF(AND(T423="General", Z423&gt;0.7), 0.2, 0.1)))</f>
        <v>0.1</v>
      </c>
      <c r="AI423">
        <f>IF(V423&gt;0.7, 0.1,
 IF(F423&gt;0.5, 0.08,
 IF(E423&gt;0.5, 0.05,
 0)))</f>
        <v>0</v>
      </c>
      <c r="AJ423">
        <f t="shared" si="19"/>
        <v>0.20146697160549626</v>
      </c>
      <c r="AK423">
        <f t="shared" si="20"/>
        <v>0.22161366876604591</v>
      </c>
      <c r="AL423" t="str">
        <f>IF(MAX(X423, Y423, Z423, AA423)&gt;0.9,
 "Critical",
 IF(AK423&lt;=0.2,"Very Low",
 IF(AK423&lt;=0.4,"Low",
 IF(AK423&lt;=0.6,"Medium",
 IF(AK423&lt;=0.8,"High","Critical")))))</f>
        <v>Low</v>
      </c>
      <c r="AM423" t="str">
        <f>IF(MAX(X423:AA423)&gt;0.9,"CRITICAL ALERT",
 IF(AK423&gt;0.8,"CRITICAL ALERT",
 IF(AK423&gt;0.6,"ALERT",
 IF(AK423&gt;=0.4,"REVIEW","NO ACTION"))))</f>
        <v>NO ACTION</v>
      </c>
      <c r="AN423" t="str">
        <f>IF(AM423="NO ACTION","",
 IF(_xlfn.TEXTJOIN(", ", TRUE,
  IF(X423&gt;0.7,"Login anomaly",""),
  IF(Y423&gt;0.7,"File anomaly",""),
  IF(Z423&gt;0.7,"Network anomaly",""),
  IF(AA423&gt;0.7,"USB anomaly","")
 )="",
 "General anomaly detected",
 _xlfn.TEXTJOIN(", ", TRUE,
  IF(X423&gt;0.7,"Login anomaly",""),
  IF(Y423&gt;0.7,"File anomaly",""),
  IF(Z423&gt;0.7,"Network anomaly",""),
  IF(AA423&gt;0.7,"USB anomaly","")
 )))</f>
        <v/>
      </c>
    </row>
    <row r="424" spans="1:40" x14ac:dyDescent="0.3">
      <c r="A424" t="s">
        <v>447</v>
      </c>
      <c r="B424">
        <v>0.27788279773156899</v>
      </c>
      <c r="C424">
        <v>0.72331195499335899</v>
      </c>
      <c r="D424">
        <v>0.44992709488037502</v>
      </c>
      <c r="E424">
        <v>0.123289730867538</v>
      </c>
      <c r="F424">
        <v>2.8416779431664398E-2</v>
      </c>
      <c r="G424">
        <v>0.38406529425670999</v>
      </c>
      <c r="H424">
        <v>0</v>
      </c>
      <c r="I424">
        <v>23</v>
      </c>
      <c r="J424">
        <v>9.31730356376127E-2</v>
      </c>
      <c r="K424">
        <v>2.2838499184339299E-2</v>
      </c>
      <c r="L424">
        <v>6.2451878211336499E-2</v>
      </c>
      <c r="M424">
        <v>2.0202020202020202E-3</v>
      </c>
      <c r="N424">
        <v>1.30694070428493E-2</v>
      </c>
      <c r="O424">
        <v>729</v>
      </c>
      <c r="P424">
        <v>7.9299943883277199E-2</v>
      </c>
      <c r="Q424">
        <v>7.9455801395560799E-2</v>
      </c>
      <c r="R424">
        <v>0.68879056047197595</v>
      </c>
      <c r="S424">
        <v>1</v>
      </c>
      <c r="T424" t="s">
        <v>49</v>
      </c>
      <c r="U424">
        <v>5.9433962264150902E-2</v>
      </c>
      <c r="V424">
        <v>0</v>
      </c>
      <c r="W424">
        <v>5.7914150077577997E-2</v>
      </c>
      <c r="X424">
        <v>0.183331759497039</v>
      </c>
      <c r="Y424">
        <v>5.3781368346045598E-2</v>
      </c>
      <c r="Z424">
        <v>5.2807729147105999E-2</v>
      </c>
      <c r="AA424">
        <v>0.68879056047197595</v>
      </c>
      <c r="AB424">
        <v>0.15836299955844879</v>
      </c>
      <c r="AC424">
        <v>4.1099998634308582E-4</v>
      </c>
      <c r="AD424">
        <v>2.6839999482035641E-3</v>
      </c>
      <c r="AE424">
        <v>0.44838398694992071</v>
      </c>
      <c r="AF424">
        <f>0.16*X424 + 0.28*Y424 + 0.28*Z424 + 0.28*AA424</f>
        <v>0.25203938574976198</v>
      </c>
      <c r="AG424">
        <f t="shared" si="18"/>
        <v>0.15175219625700268</v>
      </c>
      <c r="AH424">
        <f>IF(T424="IT_Admin", 0.25, IF(AND(T424="HR", AA424&gt;0.6), 0.25, IF(AND(T424="General", Z424&gt;0.7), 0.2, 0.1)))</f>
        <v>0.1</v>
      </c>
      <c r="AI424">
        <f>IF(V424&gt;0.7, 0.1,
 IF(F424&gt;0.5, 0.08,
 IF(E424&gt;0.5, 0.05,
 0)))</f>
        <v>0</v>
      </c>
      <c r="AJ424">
        <f t="shared" si="19"/>
        <v>0.18183835310483046</v>
      </c>
      <c r="AK424">
        <f t="shared" si="20"/>
        <v>0.20002218841531352</v>
      </c>
      <c r="AL424" t="str">
        <f>IF(MAX(X424, Y424, Z424, AA424)&gt;0.9,
 "Critical",
 IF(AK424&lt;=0.2,"Very Low",
 IF(AK424&lt;=0.4,"Low",
 IF(AK424&lt;=0.6,"Medium",
 IF(AK424&lt;=0.8,"High","Critical")))))</f>
        <v>Low</v>
      </c>
      <c r="AM424" t="str">
        <f>IF(MAX(X424:AA424)&gt;0.9,"CRITICAL ALERT",
 IF(AK424&gt;0.8,"CRITICAL ALERT",
 IF(AK424&gt;0.6,"ALERT",
 IF(AK424&gt;=0.4,"REVIEW","NO ACTION"))))</f>
        <v>NO ACTION</v>
      </c>
      <c r="AN424" t="str">
        <f>IF(AM424="NO ACTION","",
 IF(_xlfn.TEXTJOIN(", ", TRUE,
  IF(X424&gt;0.7,"Login anomaly",""),
  IF(Y424&gt;0.7,"File anomaly",""),
  IF(Z424&gt;0.7,"Network anomaly",""),
  IF(AA424&gt;0.7,"USB anomaly","")
 )="",
 "General anomaly detected",
 _xlfn.TEXTJOIN(", ", TRUE,
  IF(X424&gt;0.7,"Login anomaly",""),
  IF(Y424&gt;0.7,"File anomaly",""),
  IF(Z424&gt;0.7,"Network anomaly",""),
  IF(AA424&gt;0.7,"USB anomaly","")
 )))</f>
        <v/>
      </c>
    </row>
    <row r="425" spans="1:40" x14ac:dyDescent="0.3">
      <c r="A425" t="s">
        <v>448</v>
      </c>
      <c r="B425">
        <v>0.12892249527410199</v>
      </c>
      <c r="C425">
        <v>9.7470667651248899E-2</v>
      </c>
      <c r="D425">
        <v>7.5018780494472401E-2</v>
      </c>
      <c r="E425">
        <v>0</v>
      </c>
      <c r="F425">
        <v>0.47246376811594198</v>
      </c>
      <c r="G425">
        <v>0.99370375126128596</v>
      </c>
      <c r="H425">
        <v>6</v>
      </c>
      <c r="I425">
        <v>7</v>
      </c>
      <c r="J425">
        <v>0.121511378273937</v>
      </c>
      <c r="K425">
        <v>1.8760195758564399E-2</v>
      </c>
      <c r="L425">
        <v>3.9359296397353999E-2</v>
      </c>
      <c r="M425">
        <v>4.3290043290043203E-3</v>
      </c>
      <c r="N425">
        <v>2.1487264042122901E-2</v>
      </c>
      <c r="O425">
        <v>1381</v>
      </c>
      <c r="P425">
        <v>9.9501964085297406E-2</v>
      </c>
      <c r="Q425">
        <v>9.9652863003611605E-2</v>
      </c>
      <c r="R425">
        <v>0</v>
      </c>
      <c r="S425">
        <v>0</v>
      </c>
      <c r="T425" t="s">
        <v>24</v>
      </c>
      <c r="U425">
        <v>2.4410377358490502E-2</v>
      </c>
      <c r="V425">
        <v>0</v>
      </c>
      <c r="W425">
        <v>0</v>
      </c>
      <c r="X425">
        <v>0.211491141394718</v>
      </c>
      <c r="Y425">
        <v>5.04281030661013E-2</v>
      </c>
      <c r="Z425">
        <v>6.8296084068027604E-2</v>
      </c>
      <c r="AA425">
        <v>0</v>
      </c>
      <c r="AB425">
        <v>4.3010000139474869E-2</v>
      </c>
      <c r="AC425">
        <v>3.7000001611886553E-5</v>
      </c>
      <c r="AD425">
        <v>1.614999957382679E-3</v>
      </c>
      <c r="AE425">
        <v>6.8300002021715045E-4</v>
      </c>
      <c r="AF425">
        <f>0.16*X425 + 0.28*Y425 + 0.28*Z425 + 0.28*AA425</f>
        <v>6.7081355020710984E-2</v>
      </c>
      <c r="AG425">
        <f t="shared" si="18"/>
        <v>7.5354000164952594E-3</v>
      </c>
      <c r="AH425">
        <f>IF(T425="IT_Admin", 0.25, IF(AND(T425="HR", AA425&gt;0.6), 0.25, IF(AND(T425="General", Z425&gt;0.7), 0.2, 0.1)))</f>
        <v>0.25</v>
      </c>
      <c r="AI425">
        <f>IF(V425&gt;0.7, 0.1,
 IF(F425&gt;0.5, 0.08,
 IF(E425&gt;0.5, 0.05,
 0)))</f>
        <v>0</v>
      </c>
      <c r="AJ425">
        <f t="shared" si="19"/>
        <v>2.5399186517759974E-2</v>
      </c>
      <c r="AK425">
        <f t="shared" si="20"/>
        <v>3.1748983147199969E-2</v>
      </c>
      <c r="AL425" t="str">
        <f>IF(MAX(X425, Y425, Z425, AA425)&gt;0.9,
 "Critical",
 IF(AK425&lt;=0.2,"Very Low",
 IF(AK425&lt;=0.4,"Low",
 IF(AK425&lt;=0.6,"Medium",
 IF(AK425&lt;=0.8,"High","Critical")))))</f>
        <v>Very Low</v>
      </c>
      <c r="AM425" t="str">
        <f>IF(MAX(X425:AA425)&gt;0.9,"CRITICAL ALERT",
 IF(AK425&gt;0.8,"CRITICAL ALERT",
 IF(AK425&gt;0.6,"ALERT",
 IF(AK425&gt;=0.4,"REVIEW","NO ACTION"))))</f>
        <v>NO ACTION</v>
      </c>
      <c r="AN425" t="str">
        <f>IF(AM425="NO ACTION","",
 IF(_xlfn.TEXTJOIN(", ", TRUE,
  IF(X425&gt;0.7,"Login anomaly",""),
  IF(Y425&gt;0.7,"File anomaly",""),
  IF(Z425&gt;0.7,"Network anomaly",""),
  IF(AA425&gt;0.7,"USB anomaly","")
 )="",
 "General anomaly detected",
 _xlfn.TEXTJOIN(", ", TRUE,
  IF(X425&gt;0.7,"Login anomaly",""),
  IF(Y425&gt;0.7,"File anomaly",""),
  IF(Z425&gt;0.7,"Network anomaly",""),
  IF(AA425&gt;0.7,"USB anomaly","")
 )))</f>
        <v/>
      </c>
    </row>
    <row r="426" spans="1:40" x14ac:dyDescent="0.3">
      <c r="A426" t="s">
        <v>449</v>
      </c>
      <c r="B426">
        <v>0.17126654064272201</v>
      </c>
      <c r="C426">
        <v>0.52963508121506597</v>
      </c>
      <c r="D426">
        <v>0.57946698525571205</v>
      </c>
      <c r="E426">
        <v>0.29905178701677598</v>
      </c>
      <c r="F426">
        <v>0.13129102844638901</v>
      </c>
      <c r="G426">
        <v>0.71311656546217295</v>
      </c>
      <c r="H426">
        <v>0</v>
      </c>
      <c r="I426">
        <v>23</v>
      </c>
      <c r="J426">
        <v>9.7752969801059103E-2</v>
      </c>
      <c r="K426">
        <v>2.2838499184339299E-2</v>
      </c>
      <c r="L426">
        <v>5.9532997827554501E-2</v>
      </c>
      <c r="M426">
        <v>2.0202020202020202E-3</v>
      </c>
      <c r="N426">
        <v>1.2458568154770601E-2</v>
      </c>
      <c r="O426">
        <v>1101</v>
      </c>
      <c r="P426">
        <v>8.2666947250280495E-2</v>
      </c>
      <c r="Q426">
        <v>8.2821978330235899E-2</v>
      </c>
      <c r="R426">
        <v>0.19026548672566301</v>
      </c>
      <c r="S426">
        <v>1</v>
      </c>
      <c r="T426" t="s">
        <v>24</v>
      </c>
      <c r="U426">
        <v>5.9433962264150902E-2</v>
      </c>
      <c r="V426">
        <v>0</v>
      </c>
      <c r="W426">
        <v>0.25506867690381702</v>
      </c>
      <c r="X426">
        <v>0.31607204306030201</v>
      </c>
      <c r="Y426">
        <v>5.3054663320420199E-2</v>
      </c>
      <c r="Z426">
        <v>5.4583595612076603E-2</v>
      </c>
      <c r="AA426">
        <v>0.19026548672566301</v>
      </c>
      <c r="AB426">
        <v>0.20161899924278259</v>
      </c>
      <c r="AC426">
        <v>3.7799999699927872E-4</v>
      </c>
      <c r="AD426">
        <v>2.4000001139938831E-3</v>
      </c>
      <c r="AE426">
        <v>5.7893998920917511E-2</v>
      </c>
      <c r="AF426">
        <f>0.16*X426 + 0.28*Y426 + 0.28*Z426 + 0.28*AA426</f>
        <v>0.13398457567393307</v>
      </c>
      <c r="AG426">
        <f t="shared" si="18"/>
        <v>4.9247199607780207E-2</v>
      </c>
      <c r="AH426">
        <f>IF(T426="IT_Admin", 0.25, IF(AND(T426="HR", AA426&gt;0.6), 0.25, IF(AND(T426="General", Z426&gt;0.7), 0.2, 0.1)))</f>
        <v>0.25</v>
      </c>
      <c r="AI426">
        <f>IF(V426&gt;0.7, 0.1,
 IF(F426&gt;0.5, 0.08,
 IF(E426&gt;0.5, 0.05,
 0)))</f>
        <v>0</v>
      </c>
      <c r="AJ426">
        <f t="shared" si="19"/>
        <v>7.4668412427626063E-2</v>
      </c>
      <c r="AK426">
        <f t="shared" si="20"/>
        <v>9.3335515534532579E-2</v>
      </c>
      <c r="AL426" t="str">
        <f>IF(MAX(X426, Y426, Z426, AA426)&gt;0.9,
 "Critical",
 IF(AK426&lt;=0.2,"Very Low",
 IF(AK426&lt;=0.4,"Low",
 IF(AK426&lt;=0.6,"Medium",
 IF(AK426&lt;=0.8,"High","Critical")))))</f>
        <v>Very Low</v>
      </c>
      <c r="AM426" t="str">
        <f>IF(MAX(X426:AA426)&gt;0.9,"CRITICAL ALERT",
 IF(AK426&gt;0.8,"CRITICAL ALERT",
 IF(AK426&gt;0.6,"ALERT",
 IF(AK426&gt;=0.4,"REVIEW","NO ACTION"))))</f>
        <v>NO ACTION</v>
      </c>
      <c r="AN426" t="str">
        <f>IF(AM426="NO ACTION","",
 IF(_xlfn.TEXTJOIN(", ", TRUE,
  IF(X426&gt;0.7,"Login anomaly",""),
  IF(Y426&gt;0.7,"File anomaly",""),
  IF(Z426&gt;0.7,"Network anomaly",""),
  IF(AA426&gt;0.7,"USB anomaly","")
 )="",
 "General anomaly detected",
 _xlfn.TEXTJOIN(", ", TRUE,
  IF(X426&gt;0.7,"Login anomaly",""),
  IF(Y426&gt;0.7,"File anomaly",""),
  IF(Z426&gt;0.7,"Network anomaly",""),
  IF(AA426&gt;0.7,"USB anomaly","")
 )))</f>
        <v/>
      </c>
    </row>
    <row r="427" spans="1:40" x14ac:dyDescent="0.3">
      <c r="A427" t="s">
        <v>450</v>
      </c>
      <c r="B427">
        <v>0.23591682419659701</v>
      </c>
      <c r="C427">
        <v>0.67286535694031402</v>
      </c>
      <c r="D427">
        <v>0.37471870216685399</v>
      </c>
      <c r="E427">
        <v>0</v>
      </c>
      <c r="F427">
        <v>0</v>
      </c>
      <c r="G427">
        <v>0.478282601723512</v>
      </c>
      <c r="H427">
        <v>7</v>
      </c>
      <c r="I427">
        <v>14</v>
      </c>
      <c r="J427">
        <v>8.0482801393063297E-2</v>
      </c>
      <c r="K427">
        <v>8.1566068515497494E-3</v>
      </c>
      <c r="L427">
        <v>2.58107011013586E-2</v>
      </c>
      <c r="M427">
        <v>5.7720057720057698E-4</v>
      </c>
      <c r="N427">
        <v>4.3211582218674396E-3</v>
      </c>
      <c r="O427">
        <v>850</v>
      </c>
      <c r="P427">
        <v>6.2955948372615006E-2</v>
      </c>
      <c r="Q427">
        <v>6.3115817525158602E-2</v>
      </c>
      <c r="R427">
        <v>0</v>
      </c>
      <c r="S427">
        <v>0</v>
      </c>
      <c r="T427" t="s">
        <v>49</v>
      </c>
      <c r="U427">
        <v>5.6603773584905599E-2</v>
      </c>
      <c r="V427">
        <v>0</v>
      </c>
      <c r="W427">
        <v>0</v>
      </c>
      <c r="X427">
        <v>0.11241561065005599</v>
      </c>
      <c r="Y427">
        <v>3.0298258295852198E-2</v>
      </c>
      <c r="Z427">
        <v>3.9502032312315999E-2</v>
      </c>
      <c r="AA427">
        <v>0</v>
      </c>
      <c r="AB427">
        <v>2.612400054931641E-2</v>
      </c>
      <c r="AC427">
        <v>3.6000000545755029E-4</v>
      </c>
      <c r="AD427">
        <v>5.555999930948019E-3</v>
      </c>
      <c r="AE427">
        <v>7.1160001680254936E-3</v>
      </c>
      <c r="AF427">
        <f>0.16*X427 + 0.28*Y427 + 0.28*Z427 + 0.28*AA427</f>
        <v>3.7530579074296057E-2</v>
      </c>
      <c r="AG427">
        <f t="shared" si="18"/>
        <v>7.8288001171313241E-3</v>
      </c>
      <c r="AH427">
        <f>IF(T427="IT_Admin", 0.25, IF(AND(T427="HR", AA427&gt;0.6), 0.25, IF(AND(T427="General", Z427&gt;0.7), 0.2, 0.1)))</f>
        <v>0.1</v>
      </c>
      <c r="AI427">
        <f>IF(V427&gt;0.7, 0.1,
 IF(F427&gt;0.5, 0.08,
 IF(E427&gt;0.5, 0.05,
 0)))</f>
        <v>0</v>
      </c>
      <c r="AJ427">
        <f t="shared" si="19"/>
        <v>1.6739333804280741E-2</v>
      </c>
      <c r="AK427">
        <f t="shared" si="20"/>
        <v>1.8413267184708818E-2</v>
      </c>
      <c r="AL427" t="str">
        <f>IF(MAX(X427, Y427, Z427, AA427)&gt;0.9,
 "Critical",
 IF(AK427&lt;=0.2,"Very Low",
 IF(AK427&lt;=0.4,"Low",
 IF(AK427&lt;=0.6,"Medium",
 IF(AK427&lt;=0.8,"High","Critical")))))</f>
        <v>Very Low</v>
      </c>
      <c r="AM427" t="str">
        <f>IF(MAX(X427:AA427)&gt;0.9,"CRITICAL ALERT",
 IF(AK427&gt;0.8,"CRITICAL ALERT",
 IF(AK427&gt;0.6,"ALERT",
 IF(AK427&gt;=0.4,"REVIEW","NO ACTION"))))</f>
        <v>NO ACTION</v>
      </c>
      <c r="AN427" t="str">
        <f>IF(AM427="NO ACTION","",
 IF(_xlfn.TEXTJOIN(", ", TRUE,
  IF(X427&gt;0.7,"Login anomaly",""),
  IF(Y427&gt;0.7,"File anomaly",""),
  IF(Z427&gt;0.7,"Network anomaly",""),
  IF(AA427&gt;0.7,"USB anomaly","")
 )="",
 "General anomaly detected",
 _xlfn.TEXTJOIN(", ", TRUE,
  IF(X427&gt;0.7,"Login anomaly",""),
  IF(Y427&gt;0.7,"File anomaly",""),
  IF(Z427&gt;0.7,"Network anomaly",""),
  IF(AA427&gt;0.7,"USB anomaly","")
 )))</f>
        <v/>
      </c>
    </row>
    <row r="428" spans="1:40" x14ac:dyDescent="0.3">
      <c r="A428" t="s">
        <v>451</v>
      </c>
      <c r="B428">
        <v>0.12892249527410199</v>
      </c>
      <c r="C428">
        <v>0.18476582604220201</v>
      </c>
      <c r="D428">
        <v>0</v>
      </c>
      <c r="E428">
        <v>0</v>
      </c>
      <c r="F428">
        <v>0</v>
      </c>
      <c r="G428">
        <v>0.99368306369509096</v>
      </c>
      <c r="H428">
        <v>7</v>
      </c>
      <c r="I428">
        <v>7</v>
      </c>
      <c r="J428">
        <v>0.10428891751347701</v>
      </c>
      <c r="K428">
        <v>1.1419249592169599E-2</v>
      </c>
      <c r="L428">
        <v>2.79052436188491E-2</v>
      </c>
      <c r="M428">
        <v>3.4632034632034602E-3</v>
      </c>
      <c r="N428">
        <v>2.0022089579369299E-2</v>
      </c>
      <c r="O428">
        <v>1086</v>
      </c>
      <c r="P428">
        <v>8.3263187429854099E-2</v>
      </c>
      <c r="Q428">
        <v>8.3418072162418005E-2</v>
      </c>
      <c r="R428">
        <v>0</v>
      </c>
      <c r="S428">
        <v>0</v>
      </c>
      <c r="T428" t="s">
        <v>24</v>
      </c>
      <c r="U428">
        <v>1.82873730043541E-2</v>
      </c>
      <c r="V428">
        <v>0</v>
      </c>
      <c r="W428">
        <v>0</v>
      </c>
      <c r="X428">
        <v>0</v>
      </c>
      <c r="Y428">
        <v>4.0817032185930802E-2</v>
      </c>
      <c r="Z428">
        <v>5.7966748289660197E-2</v>
      </c>
      <c r="AA428">
        <v>0</v>
      </c>
      <c r="AB428">
        <v>3.665199875831604E-2</v>
      </c>
      <c r="AC428">
        <v>1.749999937601388E-4</v>
      </c>
      <c r="AD428">
        <v>3.018999937921762E-3</v>
      </c>
      <c r="AE428">
        <v>1.262999954633415E-3</v>
      </c>
      <c r="AF428">
        <f>0.16*X428 + 0.28*Y428 + 0.28*Z428 + 0.28*AA428</f>
        <v>2.7659458533165482E-2</v>
      </c>
      <c r="AG428">
        <f t="shared" si="18"/>
        <v>7.1122797694988553E-3</v>
      </c>
      <c r="AH428">
        <f>IF(T428="IT_Admin", 0.25, IF(AND(T428="HR", AA428&gt;0.6), 0.25, IF(AND(T428="General", Z428&gt;0.7), 0.2, 0.1)))</f>
        <v>0.25</v>
      </c>
      <c r="AI428">
        <f>IF(V428&gt;0.7, 0.1,
 IF(F428&gt;0.5, 0.08,
 IF(E428&gt;0.5, 0.05,
 0)))</f>
        <v>0</v>
      </c>
      <c r="AJ428">
        <f t="shared" si="19"/>
        <v>1.3276433398598842E-2</v>
      </c>
      <c r="AK428">
        <f t="shared" si="20"/>
        <v>1.6595541748248552E-2</v>
      </c>
      <c r="AL428" t="str">
        <f>IF(MAX(X428, Y428, Z428, AA428)&gt;0.9,
 "Critical",
 IF(AK428&lt;=0.2,"Very Low",
 IF(AK428&lt;=0.4,"Low",
 IF(AK428&lt;=0.6,"Medium",
 IF(AK428&lt;=0.8,"High","Critical")))))</f>
        <v>Very Low</v>
      </c>
      <c r="AM428" t="str">
        <f>IF(MAX(X428:AA428)&gt;0.9,"CRITICAL ALERT",
 IF(AK428&gt;0.8,"CRITICAL ALERT",
 IF(AK428&gt;0.6,"ALERT",
 IF(AK428&gt;=0.4,"REVIEW","NO ACTION"))))</f>
        <v>NO ACTION</v>
      </c>
      <c r="AN428" t="str">
        <f>IF(AM428="NO ACTION","",
 IF(_xlfn.TEXTJOIN(", ", TRUE,
  IF(X428&gt;0.7,"Login anomaly",""),
  IF(Y428&gt;0.7,"File anomaly",""),
  IF(Z428&gt;0.7,"Network anomaly",""),
  IF(AA428&gt;0.7,"USB anomaly","")
 )="",
 "General anomaly detected",
 _xlfn.TEXTJOIN(", ", TRUE,
  IF(X428&gt;0.7,"Login anomaly",""),
  IF(Y428&gt;0.7,"File anomaly",""),
  IF(Z428&gt;0.7,"Network anomaly",""),
  IF(AA428&gt;0.7,"USB anomaly","")
 )))</f>
        <v/>
      </c>
    </row>
    <row r="429" spans="1:40" x14ac:dyDescent="0.3">
      <c r="A429" t="s">
        <v>452</v>
      </c>
      <c r="B429">
        <v>0.13950850661625699</v>
      </c>
      <c r="C429">
        <v>0.26352659371166698</v>
      </c>
      <c r="D429">
        <v>0.33760480732828402</v>
      </c>
      <c r="E429">
        <v>0.61066428358653502</v>
      </c>
      <c r="F429">
        <v>7.5067024128686294E-2</v>
      </c>
      <c r="G429">
        <v>0.90770974551026196</v>
      </c>
      <c r="H429">
        <v>0</v>
      </c>
      <c r="I429">
        <v>23</v>
      </c>
      <c r="J429">
        <v>0.11621582939745199</v>
      </c>
      <c r="K429">
        <v>2.1207177814029299E-2</v>
      </c>
      <c r="L429">
        <v>4.6516360624783697E-2</v>
      </c>
      <c r="M429">
        <v>4.3290043290043203E-3</v>
      </c>
      <c r="N429">
        <v>2.2464357982588199E-2</v>
      </c>
      <c r="O429">
        <v>1272</v>
      </c>
      <c r="P429">
        <v>9.6661054994388304E-2</v>
      </c>
      <c r="Q429">
        <v>9.6812651214979395E-2</v>
      </c>
      <c r="R429">
        <v>0</v>
      </c>
      <c r="S429">
        <v>0</v>
      </c>
      <c r="T429" t="s">
        <v>24</v>
      </c>
      <c r="U429">
        <v>2.75943396226415E-2</v>
      </c>
      <c r="V429">
        <v>0</v>
      </c>
      <c r="W429">
        <v>0</v>
      </c>
      <c r="X429">
        <v>0.31450753692591998</v>
      </c>
      <c r="Y429">
        <v>5.3240653586658797E-2</v>
      </c>
      <c r="Z429">
        <v>6.6982376189668194E-2</v>
      </c>
      <c r="AA429">
        <v>0</v>
      </c>
      <c r="AB429">
        <v>0.35287299752235413</v>
      </c>
      <c r="AC429">
        <v>1.01999998150859E-4</v>
      </c>
      <c r="AD429">
        <v>1.2590000405907631E-3</v>
      </c>
      <c r="AE429">
        <v>1.878000050783157E-2</v>
      </c>
      <c r="AF429">
        <f>0.16*X429 + 0.28*Y429 + 0.28*Z429 + 0.28*AA429</f>
        <v>8.3983654245518763E-2</v>
      </c>
      <c r="AG429">
        <f t="shared" si="18"/>
        <v>6.2099159756617145E-2</v>
      </c>
      <c r="AH429">
        <f>IF(T429="IT_Admin", 0.25, IF(AND(T429="HR", AA429&gt;0.6), 0.25, IF(AND(T429="General", Z429&gt;0.7), 0.2, 0.1)))</f>
        <v>0.25</v>
      </c>
      <c r="AI429">
        <f>IF(V429&gt;0.7, 0.1,
 IF(F429&gt;0.5, 0.08,
 IF(E429&gt;0.5, 0.05,
 0)))</f>
        <v>0.05</v>
      </c>
      <c r="AJ429">
        <f t="shared" si="19"/>
        <v>6.8664508103287628E-2</v>
      </c>
      <c r="AK429">
        <f t="shared" si="20"/>
        <v>8.9263860534273917E-2</v>
      </c>
      <c r="AL429" t="str">
        <f>IF(MAX(X429, Y429, Z429, AA429)&gt;0.9,
 "Critical",
 IF(AK429&lt;=0.2,"Very Low",
 IF(AK429&lt;=0.4,"Low",
 IF(AK429&lt;=0.6,"Medium",
 IF(AK429&lt;=0.8,"High","Critical")))))</f>
        <v>Very Low</v>
      </c>
      <c r="AM429" t="str">
        <f>IF(MAX(X429:AA429)&gt;0.9,"CRITICAL ALERT",
 IF(AK429&gt;0.8,"CRITICAL ALERT",
 IF(AK429&gt;0.6,"ALERT",
 IF(AK429&gt;=0.4,"REVIEW","NO ACTION"))))</f>
        <v>NO ACTION</v>
      </c>
      <c r="AN429" t="str">
        <f>IF(AM429="NO ACTION","",
 IF(_xlfn.TEXTJOIN(", ", TRUE,
  IF(X429&gt;0.7,"Login anomaly",""),
  IF(Y429&gt;0.7,"File anomaly",""),
  IF(Z429&gt;0.7,"Network anomaly",""),
  IF(AA429&gt;0.7,"USB anomaly","")
 )="",
 "General anomaly detected",
 _xlfn.TEXTJOIN(", ", TRUE,
  IF(X429&gt;0.7,"Login anomaly",""),
  IF(Y429&gt;0.7,"File anomaly",""),
  IF(Z429&gt;0.7,"Network anomaly",""),
  IF(AA429&gt;0.7,"USB anomaly","")
 )))</f>
        <v/>
      </c>
    </row>
    <row r="430" spans="1:40" x14ac:dyDescent="0.3">
      <c r="A430" t="s">
        <v>453</v>
      </c>
      <c r="B430">
        <v>0.238941398865784</v>
      </c>
      <c r="C430">
        <v>0.59729329928108299</v>
      </c>
      <c r="D430">
        <v>0.37732489172093803</v>
      </c>
      <c r="E430">
        <v>0</v>
      </c>
      <c r="F430">
        <v>0</v>
      </c>
      <c r="G430">
        <v>0.47049394281681101</v>
      </c>
      <c r="H430">
        <v>7</v>
      </c>
      <c r="I430">
        <v>14</v>
      </c>
      <c r="J430">
        <v>7.2372501311960297E-2</v>
      </c>
      <c r="K430">
        <v>1.1419249592169599E-2</v>
      </c>
      <c r="L430">
        <v>4.0171083290997597E-2</v>
      </c>
      <c r="M430">
        <v>2.8860028860028799E-3</v>
      </c>
      <c r="N430">
        <v>2.40190529283827E-2</v>
      </c>
      <c r="O430">
        <v>852</v>
      </c>
      <c r="P430">
        <v>5.9518799102132397E-2</v>
      </c>
      <c r="Q430">
        <v>5.9679511904344403E-2</v>
      </c>
      <c r="R430">
        <v>0</v>
      </c>
      <c r="S430">
        <v>0</v>
      </c>
      <c r="T430" t="s">
        <v>49</v>
      </c>
      <c r="U430">
        <v>2.16123499142367E-2</v>
      </c>
      <c r="V430">
        <v>0</v>
      </c>
      <c r="W430">
        <v>0</v>
      </c>
      <c r="X430">
        <v>0.113197467516281</v>
      </c>
      <c r="Y430">
        <v>4.1765757786405698E-2</v>
      </c>
      <c r="Z430">
        <v>4.5318900632632497E-2</v>
      </c>
      <c r="AA430">
        <v>0</v>
      </c>
      <c r="AB430">
        <v>2.2724999114871029E-2</v>
      </c>
      <c r="AC430">
        <v>1.110000011976808E-4</v>
      </c>
      <c r="AD430">
        <v>5.4529998451471329E-3</v>
      </c>
      <c r="AE430">
        <v>6.8279998376965523E-3</v>
      </c>
      <c r="AF430">
        <f>0.16*X430 + 0.28*Y430 + 0.28*Z430 + 0.28*AA430</f>
        <v>4.2495299159935655E-2</v>
      </c>
      <c r="AG430">
        <f t="shared" si="18"/>
        <v>7.105759769910948E-3</v>
      </c>
      <c r="AH430">
        <f>IF(T430="IT_Admin", 0.25, IF(AND(T430="HR", AA430&gt;0.6), 0.25, IF(AND(T430="General", Z430&gt;0.7), 0.2, 0.1)))</f>
        <v>0.1</v>
      </c>
      <c r="AI430">
        <f>IF(V430&gt;0.7, 0.1,
 IF(F430&gt;0.5, 0.08,
 IF(E430&gt;0.5, 0.05,
 0)))</f>
        <v>0</v>
      </c>
      <c r="AJ430">
        <f t="shared" si="19"/>
        <v>1.7722621586918359E-2</v>
      </c>
      <c r="AK430">
        <f t="shared" si="20"/>
        <v>1.9494883745610196E-2</v>
      </c>
      <c r="AL430" t="str">
        <f>IF(MAX(X430, Y430, Z430, AA430)&gt;0.9,
 "Critical",
 IF(AK430&lt;=0.2,"Very Low",
 IF(AK430&lt;=0.4,"Low",
 IF(AK430&lt;=0.6,"Medium",
 IF(AK430&lt;=0.8,"High","Critical")))))</f>
        <v>Very Low</v>
      </c>
      <c r="AM430" t="str">
        <f>IF(MAX(X430:AA430)&gt;0.9,"CRITICAL ALERT",
 IF(AK430&gt;0.8,"CRITICAL ALERT",
 IF(AK430&gt;0.6,"ALERT",
 IF(AK430&gt;=0.4,"REVIEW","NO ACTION"))))</f>
        <v>NO ACTION</v>
      </c>
      <c r="AN430" t="str">
        <f>IF(AM430="NO ACTION","",
 IF(_xlfn.TEXTJOIN(", ", TRUE,
  IF(X430&gt;0.7,"Login anomaly",""),
  IF(Y430&gt;0.7,"File anomaly",""),
  IF(Z430&gt;0.7,"Network anomaly",""),
  IF(AA430&gt;0.7,"USB anomaly","")
 )="",
 "General anomaly detected",
 _xlfn.TEXTJOIN(", ", TRUE,
  IF(X430&gt;0.7,"Login anomaly",""),
  IF(Y430&gt;0.7,"File anomaly",""),
  IF(Z430&gt;0.7,"Network anomaly",""),
  IF(AA430&gt;0.7,"USB anomaly","")
 )))</f>
        <v/>
      </c>
    </row>
    <row r="431" spans="1:40" x14ac:dyDescent="0.3">
      <c r="A431" t="s">
        <v>454</v>
      </c>
      <c r="B431">
        <v>0.110018903591682</v>
      </c>
      <c r="C431">
        <v>0.55429747812660801</v>
      </c>
      <c r="D431">
        <v>0</v>
      </c>
      <c r="E431">
        <v>0</v>
      </c>
      <c r="F431">
        <v>0</v>
      </c>
      <c r="G431">
        <v>0.99582970723265996</v>
      </c>
      <c r="H431">
        <v>9</v>
      </c>
      <c r="I431">
        <v>9</v>
      </c>
      <c r="J431">
        <v>6.7315490673154899E-2</v>
      </c>
      <c r="K431">
        <v>3.2626427406199001E-3</v>
      </c>
      <c r="L431">
        <v>1.2336640187429001E-2</v>
      </c>
      <c r="M431">
        <v>5.4834054834054799E-3</v>
      </c>
      <c r="N431">
        <v>4.9052469815181597E-2</v>
      </c>
      <c r="O431">
        <v>258</v>
      </c>
      <c r="P431">
        <v>5.3556397306397302E-2</v>
      </c>
      <c r="Q431">
        <v>5.3718573582523903E-2</v>
      </c>
      <c r="R431">
        <v>0</v>
      </c>
      <c r="S431">
        <v>0</v>
      </c>
      <c r="T431" t="s">
        <v>49</v>
      </c>
      <c r="U431">
        <v>3.39622641509433E-3</v>
      </c>
      <c r="V431">
        <v>0</v>
      </c>
      <c r="W431">
        <v>0</v>
      </c>
      <c r="X431">
        <v>0</v>
      </c>
      <c r="Y431">
        <v>3.4347159172900002E-2</v>
      </c>
      <c r="Z431">
        <v>5.1754826309911003E-2</v>
      </c>
      <c r="AA431">
        <v>0</v>
      </c>
      <c r="AB431">
        <v>3.1939998269081123E-2</v>
      </c>
      <c r="AC431">
        <v>9.2800002312287688E-4</v>
      </c>
      <c r="AD431">
        <v>5.8019999414682388E-3</v>
      </c>
      <c r="AE431">
        <v>3.7050000391900539E-3</v>
      </c>
      <c r="AF431">
        <f>0.16*X431 + 0.28*Y431 + 0.28*Z431 + 0.28*AA431</f>
        <v>2.4108555935187084E-2</v>
      </c>
      <c r="AG431">
        <f t="shared" si="18"/>
        <v>8.0321997241117066E-3</v>
      </c>
      <c r="AH431">
        <f>IF(T431="IT_Admin", 0.25, IF(AND(T431="HR", AA431&gt;0.6), 0.25, IF(AND(T431="General", Z431&gt;0.7), 0.2, 0.1)))</f>
        <v>0.1</v>
      </c>
      <c r="AI431">
        <f>IF(V431&gt;0.7, 0.1,
 IF(F431&gt;0.5, 0.08,
 IF(E431&gt;0.5, 0.05,
 0)))</f>
        <v>0</v>
      </c>
      <c r="AJ431">
        <f t="shared" si="19"/>
        <v>1.285510658743432E-2</v>
      </c>
      <c r="AK431">
        <f t="shared" si="20"/>
        <v>1.4140617246177753E-2</v>
      </c>
      <c r="AL431" t="str">
        <f>IF(MAX(X431, Y431, Z431, AA431)&gt;0.9,
 "Critical",
 IF(AK431&lt;=0.2,"Very Low",
 IF(AK431&lt;=0.4,"Low",
 IF(AK431&lt;=0.6,"Medium",
 IF(AK431&lt;=0.8,"High","Critical")))))</f>
        <v>Very Low</v>
      </c>
      <c r="AM431" t="str">
        <f>IF(MAX(X431:AA431)&gt;0.9,"CRITICAL ALERT",
 IF(AK431&gt;0.8,"CRITICAL ALERT",
 IF(AK431&gt;0.6,"ALERT",
 IF(AK431&gt;=0.4,"REVIEW","NO ACTION"))))</f>
        <v>NO ACTION</v>
      </c>
      <c r="AN431" t="str">
        <f>IF(AM431="NO ACTION","",
 IF(_xlfn.TEXTJOIN(", ", TRUE,
  IF(X431&gt;0.7,"Login anomaly",""),
  IF(Y431&gt;0.7,"File anomaly",""),
  IF(Z431&gt;0.7,"Network anomaly",""),
  IF(AA431&gt;0.7,"USB anomaly","")
 )="",
 "General anomaly detected",
 _xlfn.TEXTJOIN(", ", TRUE,
  IF(X431&gt;0.7,"Login anomaly",""),
  IF(Y431&gt;0.7,"File anomaly",""),
  IF(Z431&gt;0.7,"Network anomaly",""),
  IF(AA431&gt;0.7,"USB anomaly","")
 )))</f>
        <v/>
      </c>
    </row>
    <row r="432" spans="1:40" x14ac:dyDescent="0.3">
      <c r="A432" t="s">
        <v>455</v>
      </c>
      <c r="B432">
        <v>0.12892249527410199</v>
      </c>
      <c r="C432">
        <v>8.7830711509916601E-2</v>
      </c>
      <c r="D432">
        <v>7.5041536061111899E-2</v>
      </c>
      <c r="E432">
        <v>0</v>
      </c>
      <c r="F432">
        <v>0.52463768115942</v>
      </c>
      <c r="G432">
        <v>0.99367356293700604</v>
      </c>
      <c r="H432">
        <v>6</v>
      </c>
      <c r="I432">
        <v>7</v>
      </c>
      <c r="J432">
        <v>7.7620342540909298E-2</v>
      </c>
      <c r="K432">
        <v>1.8760195758564399E-2</v>
      </c>
      <c r="L432">
        <v>6.1547135052725098E-2</v>
      </c>
      <c r="M432">
        <v>2.3088023088023001E-3</v>
      </c>
      <c r="N432">
        <v>1.7920097331861999E-2</v>
      </c>
      <c r="O432">
        <v>656</v>
      </c>
      <c r="P432">
        <v>6.62528058361391E-2</v>
      </c>
      <c r="Q432">
        <v>6.6411865773694706E-2</v>
      </c>
      <c r="R432">
        <v>0</v>
      </c>
      <c r="S432">
        <v>0</v>
      </c>
      <c r="T432" t="s">
        <v>49</v>
      </c>
      <c r="U432">
        <v>4.3396226415094302E-2</v>
      </c>
      <c r="V432">
        <v>0</v>
      </c>
      <c r="W432">
        <v>0</v>
      </c>
      <c r="X432">
        <v>0.232367533282101</v>
      </c>
      <c r="Y432">
        <v>5.1673665234103001E-2</v>
      </c>
      <c r="Z432">
        <v>4.6919722434428303E-2</v>
      </c>
      <c r="AA432">
        <v>0</v>
      </c>
      <c r="AB432">
        <v>4.7892998903989792E-2</v>
      </c>
      <c r="AC432">
        <v>1.100000008591451E-4</v>
      </c>
      <c r="AD432">
        <v>5.0340001471340656E-3</v>
      </c>
      <c r="AE432">
        <v>9.2000002041459084E-4</v>
      </c>
      <c r="AF432">
        <f>0.16*X432 + 0.28*Y432 + 0.28*Z432 + 0.28*AA432</f>
        <v>6.4784953872324941E-2</v>
      </c>
      <c r="AG432">
        <f t="shared" si="18"/>
        <v>9.3607998717925526E-3</v>
      </c>
      <c r="AH432">
        <f>IF(T432="IT_Admin", 0.25, IF(AND(T432="HR", AA432&gt;0.6), 0.25, IF(AND(T432="General", Z432&gt;0.7), 0.2, 0.1)))</f>
        <v>0.1</v>
      </c>
      <c r="AI432">
        <f>IF(V432&gt;0.7, 0.1,
 IF(F432&gt;0.5, 0.08,
 IF(E432&gt;0.5, 0.05,
 0)))</f>
        <v>0.08</v>
      </c>
      <c r="AJ432">
        <f t="shared" si="19"/>
        <v>2.5988046071952268E-2</v>
      </c>
      <c r="AK432">
        <f t="shared" si="20"/>
        <v>3.0665894364903679E-2</v>
      </c>
      <c r="AL432" t="str">
        <f>IF(MAX(X432, Y432, Z432, AA432)&gt;0.9,
 "Critical",
 IF(AK432&lt;=0.2,"Very Low",
 IF(AK432&lt;=0.4,"Low",
 IF(AK432&lt;=0.6,"Medium",
 IF(AK432&lt;=0.8,"High","Critical")))))</f>
        <v>Very Low</v>
      </c>
      <c r="AM432" t="str">
        <f>IF(MAX(X432:AA432)&gt;0.9,"CRITICAL ALERT",
 IF(AK432&gt;0.8,"CRITICAL ALERT",
 IF(AK432&gt;0.6,"ALERT",
 IF(AK432&gt;=0.4,"REVIEW","NO ACTION"))))</f>
        <v>NO ACTION</v>
      </c>
      <c r="AN432" t="str">
        <f>IF(AM432="NO ACTION","",
 IF(_xlfn.TEXTJOIN(", ", TRUE,
  IF(X432&gt;0.7,"Login anomaly",""),
  IF(Y432&gt;0.7,"File anomaly",""),
  IF(Z432&gt;0.7,"Network anomaly",""),
  IF(AA432&gt;0.7,"USB anomaly","")
 )="",
 "General anomaly detected",
 _xlfn.TEXTJOIN(", ", TRUE,
  IF(X432&gt;0.7,"Login anomaly",""),
  IF(Y432&gt;0.7,"File anomaly",""),
  IF(Z432&gt;0.7,"Network anomaly",""),
  IF(AA432&gt;0.7,"USB anomaly","")
 )))</f>
        <v/>
      </c>
    </row>
    <row r="433" spans="1:40" x14ac:dyDescent="0.3">
      <c r="A433" t="s">
        <v>456</v>
      </c>
      <c r="B433">
        <v>0.12892249527410199</v>
      </c>
      <c r="C433">
        <v>0.36953165208440503</v>
      </c>
      <c r="D433">
        <v>0</v>
      </c>
      <c r="E433">
        <v>0</v>
      </c>
      <c r="F433">
        <v>0</v>
      </c>
      <c r="G433">
        <v>0.99368124383156997</v>
      </c>
      <c r="H433">
        <v>8</v>
      </c>
      <c r="I433">
        <v>8</v>
      </c>
      <c r="J433">
        <v>9.4604265063689699E-2</v>
      </c>
      <c r="K433">
        <v>1.38662316476345E-2</v>
      </c>
      <c r="L433">
        <v>3.7345020446653998E-2</v>
      </c>
      <c r="M433">
        <v>3.7518037518037501E-3</v>
      </c>
      <c r="N433">
        <v>2.3905481953771599E-2</v>
      </c>
      <c r="O433">
        <v>1074</v>
      </c>
      <c r="P433">
        <v>7.7335858585858494E-2</v>
      </c>
      <c r="Q433">
        <v>7.7492198183666997E-2</v>
      </c>
      <c r="R433">
        <v>0</v>
      </c>
      <c r="S433">
        <v>0</v>
      </c>
      <c r="T433" t="s">
        <v>49</v>
      </c>
      <c r="U433">
        <v>2.0619946091644199E-2</v>
      </c>
      <c r="V433">
        <v>0</v>
      </c>
      <c r="W433">
        <v>0</v>
      </c>
      <c r="X433">
        <v>0</v>
      </c>
      <c r="Y433">
        <v>4.4765007822196397E-2</v>
      </c>
      <c r="Z433">
        <v>5.5963707933023799E-2</v>
      </c>
      <c r="AA433">
        <v>0</v>
      </c>
      <c r="AB433">
        <v>2.4624999612569809E-2</v>
      </c>
      <c r="AC433">
        <v>9.1000001702923328E-5</v>
      </c>
      <c r="AD433">
        <v>3.5610001068562269E-3</v>
      </c>
      <c r="AE433">
        <v>1.6120000509545209E-3</v>
      </c>
      <c r="AF433">
        <f>0.16*X433 + 0.28*Y433 + 0.28*Z433 + 0.28*AA433</f>
        <v>2.8204040411461656E-2</v>
      </c>
      <c r="AG433">
        <f t="shared" si="18"/>
        <v>5.4139199826749975E-3</v>
      </c>
      <c r="AH433">
        <f>IF(T433="IT_Admin", 0.25, IF(AND(T433="HR", AA433&gt;0.6), 0.25, IF(AND(T433="General", Z433&gt;0.7), 0.2, 0.1)))</f>
        <v>0.1</v>
      </c>
      <c r="AI433">
        <f>IF(V433&gt;0.7, 0.1,
 IF(F433&gt;0.5, 0.08,
 IF(E433&gt;0.5, 0.05,
 0)))</f>
        <v>0</v>
      </c>
      <c r="AJ433">
        <f t="shared" si="19"/>
        <v>1.2250956111310995E-2</v>
      </c>
      <c r="AK433">
        <f t="shared" si="20"/>
        <v>1.3476051722442097E-2</v>
      </c>
      <c r="AL433" t="str">
        <f>IF(MAX(X433, Y433, Z433, AA433)&gt;0.9,
 "Critical",
 IF(AK433&lt;=0.2,"Very Low",
 IF(AK433&lt;=0.4,"Low",
 IF(AK433&lt;=0.6,"Medium",
 IF(AK433&lt;=0.8,"High","Critical")))))</f>
        <v>Very Low</v>
      </c>
      <c r="AM433" t="str">
        <f>IF(MAX(X433:AA433)&gt;0.9,"CRITICAL ALERT",
 IF(AK433&gt;0.8,"CRITICAL ALERT",
 IF(AK433&gt;0.6,"ALERT",
 IF(AK433&gt;=0.4,"REVIEW","NO ACTION"))))</f>
        <v>NO ACTION</v>
      </c>
      <c r="AN433" t="str">
        <f>IF(AM433="NO ACTION","",
 IF(_xlfn.TEXTJOIN(", ", TRUE,
  IF(X433&gt;0.7,"Login anomaly",""),
  IF(Y433&gt;0.7,"File anomaly",""),
  IF(Z433&gt;0.7,"Network anomaly",""),
  IF(AA433&gt;0.7,"USB anomaly","")
 )="",
 "General anomaly detected",
 _xlfn.TEXTJOIN(", ", TRUE,
  IF(X433&gt;0.7,"Login anomaly",""),
  IF(Y433&gt;0.7,"File anomaly",""),
  IF(Z433&gt;0.7,"Network anomaly",""),
  IF(AA433&gt;0.7,"USB anomaly","")
 )))</f>
        <v/>
      </c>
    </row>
    <row r="434" spans="1:40" x14ac:dyDescent="0.3">
      <c r="A434" t="s">
        <v>457</v>
      </c>
      <c r="B434">
        <v>0.12892249527410199</v>
      </c>
      <c r="C434">
        <v>0</v>
      </c>
      <c r="D434">
        <v>0</v>
      </c>
      <c r="E434">
        <v>0</v>
      </c>
      <c r="F434">
        <v>1</v>
      </c>
      <c r="G434">
        <v>0.99369382230002001</v>
      </c>
      <c r="H434">
        <v>6</v>
      </c>
      <c r="I434">
        <v>6</v>
      </c>
      <c r="J434">
        <v>0.11082486522589501</v>
      </c>
      <c r="K434">
        <v>1.2234910277324601E-2</v>
      </c>
      <c r="L434">
        <v>2.81389859945224E-2</v>
      </c>
      <c r="M434">
        <v>3.7518037518037501E-3</v>
      </c>
      <c r="N434">
        <v>2.04141314966057E-2</v>
      </c>
      <c r="O434">
        <v>1219</v>
      </c>
      <c r="P434">
        <v>8.8559203142536402E-2</v>
      </c>
      <c r="Q434">
        <v>8.8712787965917403E-2</v>
      </c>
      <c r="R434">
        <v>0</v>
      </c>
      <c r="S434">
        <v>0</v>
      </c>
      <c r="T434" t="s">
        <v>24</v>
      </c>
      <c r="U434">
        <v>1.81940700808625E-2</v>
      </c>
      <c r="V434">
        <v>0</v>
      </c>
      <c r="W434">
        <v>0</v>
      </c>
      <c r="X434">
        <v>0.4</v>
      </c>
      <c r="Y434">
        <v>4.2358705491422101E-2</v>
      </c>
      <c r="Z434">
        <v>6.1301174484164098E-2</v>
      </c>
      <c r="AA434">
        <v>0</v>
      </c>
      <c r="AB434">
        <v>0.1188130006194115</v>
      </c>
      <c r="AC434">
        <v>1.449999981559813E-4</v>
      </c>
      <c r="AD434">
        <v>2.638000063598156E-3</v>
      </c>
      <c r="AE434">
        <v>2.240000030724332E-4</v>
      </c>
      <c r="AF434">
        <f>0.16*X434 + 0.28*Y434 + 0.28*Z434 + 0.28*AA434</f>
        <v>9.3024766393164135E-2</v>
      </c>
      <c r="AG434">
        <f t="shared" si="18"/>
        <v>1.9852040117257282E-2</v>
      </c>
      <c r="AH434">
        <f>IF(T434="IT_Admin", 0.25, IF(AND(T434="HR", AA434&gt;0.6), 0.25, IF(AND(T434="General", Z434&gt;0.7), 0.2, 0.1)))</f>
        <v>0.25</v>
      </c>
      <c r="AI434">
        <f>IF(V434&gt;0.7, 0.1,
 IF(F434&gt;0.5, 0.08,
 IF(E434&gt;0.5, 0.05,
 0)))</f>
        <v>0.08</v>
      </c>
      <c r="AJ434">
        <f t="shared" si="19"/>
        <v>4.1803858000029337E-2</v>
      </c>
      <c r="AK434">
        <f t="shared" si="20"/>
        <v>5.5599131140039018E-2</v>
      </c>
      <c r="AL434" t="str">
        <f>IF(MAX(X434, Y434, Z434, AA434)&gt;0.9,
 "Critical",
 IF(AK434&lt;=0.2,"Very Low",
 IF(AK434&lt;=0.4,"Low",
 IF(AK434&lt;=0.6,"Medium",
 IF(AK434&lt;=0.8,"High","Critical")))))</f>
        <v>Very Low</v>
      </c>
      <c r="AM434" t="str">
        <f>IF(MAX(X434:AA434)&gt;0.9,"CRITICAL ALERT",
 IF(AK434&gt;0.8,"CRITICAL ALERT",
 IF(AK434&gt;0.6,"ALERT",
 IF(AK434&gt;=0.4,"REVIEW","NO ACTION"))))</f>
        <v>NO ACTION</v>
      </c>
      <c r="AN434" t="str">
        <f>IF(AM434="NO ACTION","",
 IF(_xlfn.TEXTJOIN(", ", TRUE,
  IF(X434&gt;0.7,"Login anomaly",""),
  IF(Y434&gt;0.7,"File anomaly",""),
  IF(Z434&gt;0.7,"Network anomaly",""),
  IF(AA434&gt;0.7,"USB anomaly","")
 )="",
 "General anomaly detected",
 _xlfn.TEXTJOIN(", ", TRUE,
  IF(X434&gt;0.7,"Login anomaly",""),
  IF(Y434&gt;0.7,"File anomaly",""),
  IF(Z434&gt;0.7,"Network anomaly",""),
  IF(AA434&gt;0.7,"USB anomaly","")
 )))</f>
        <v/>
      </c>
    </row>
    <row r="435" spans="1:40" x14ac:dyDescent="0.3">
      <c r="A435" t="s">
        <v>458</v>
      </c>
      <c r="B435">
        <v>0.12892249527410199</v>
      </c>
      <c r="C435">
        <v>0.36953165208440503</v>
      </c>
      <c r="D435">
        <v>0</v>
      </c>
      <c r="E435">
        <v>0</v>
      </c>
      <c r="F435">
        <v>0</v>
      </c>
      <c r="G435">
        <v>0.99367514193623696</v>
      </c>
      <c r="H435">
        <v>8</v>
      </c>
      <c r="I435">
        <v>8</v>
      </c>
      <c r="J435">
        <v>8.2581937884642895E-2</v>
      </c>
      <c r="K435">
        <v>8.1566068515497494E-3</v>
      </c>
      <c r="L435">
        <v>2.5156512824596099E-2</v>
      </c>
      <c r="M435">
        <v>1.1544011544011501E-3</v>
      </c>
      <c r="N435">
        <v>8.4232715569120993E-3</v>
      </c>
      <c r="O435">
        <v>964</v>
      </c>
      <c r="P435">
        <v>6.4779741863075196E-2</v>
      </c>
      <c r="Q435">
        <v>6.4939163364774302E-2</v>
      </c>
      <c r="R435">
        <v>0</v>
      </c>
      <c r="S435">
        <v>0</v>
      </c>
      <c r="T435" t="s">
        <v>49</v>
      </c>
      <c r="U435">
        <v>3.3962264150943298E-2</v>
      </c>
      <c r="V435">
        <v>0</v>
      </c>
      <c r="W435">
        <v>0</v>
      </c>
      <c r="X435">
        <v>0</v>
      </c>
      <c r="Y435">
        <v>3.1621625456300199E-2</v>
      </c>
      <c r="Z435">
        <v>4.2237153740609899E-2</v>
      </c>
      <c r="AA435">
        <v>0</v>
      </c>
      <c r="AB435">
        <v>2.4630999192595478E-2</v>
      </c>
      <c r="AC435">
        <v>2.3000000510364771E-4</v>
      </c>
      <c r="AD435">
        <v>5.4799998179078102E-3</v>
      </c>
      <c r="AE435">
        <v>1.644999952986836E-3</v>
      </c>
      <c r="AF435">
        <f>0.16*X435 + 0.28*Y435 + 0.28*Z435 + 0.28*AA435</f>
        <v>2.0680458175134829E-2</v>
      </c>
      <c r="AG435">
        <f t="shared" si="18"/>
        <v>6.0003598080947988E-3</v>
      </c>
      <c r="AH435">
        <f>IF(T435="IT_Admin", 0.25, IF(AND(T435="HR", AA435&gt;0.6), 0.25, IF(AND(T435="General", Z435&gt;0.7), 0.2, 0.1)))</f>
        <v>0.1</v>
      </c>
      <c r="AI435">
        <f>IF(V435&gt;0.7, 0.1,
 IF(F435&gt;0.5, 0.08,
 IF(E435&gt;0.5, 0.05,
 0)))</f>
        <v>0</v>
      </c>
      <c r="AJ435">
        <f t="shared" si="19"/>
        <v>1.0404389318206808E-2</v>
      </c>
      <c r="AK435">
        <f t="shared" si="20"/>
        <v>1.1444828250027491E-2</v>
      </c>
      <c r="AL435" t="str">
        <f>IF(MAX(X435, Y435, Z435, AA435)&gt;0.9,
 "Critical",
 IF(AK435&lt;=0.2,"Very Low",
 IF(AK435&lt;=0.4,"Low",
 IF(AK435&lt;=0.6,"Medium",
 IF(AK435&lt;=0.8,"High","Critical")))))</f>
        <v>Very Low</v>
      </c>
      <c r="AM435" t="str">
        <f>IF(MAX(X435:AA435)&gt;0.9,"CRITICAL ALERT",
 IF(AK435&gt;0.8,"CRITICAL ALERT",
 IF(AK435&gt;0.6,"ALERT",
 IF(AK435&gt;=0.4,"REVIEW","NO ACTION"))))</f>
        <v>NO ACTION</v>
      </c>
      <c r="AN435" t="str">
        <f>IF(AM435="NO ACTION","",
 IF(_xlfn.TEXTJOIN(", ", TRUE,
  IF(X435&gt;0.7,"Login anomaly",""),
  IF(Y435&gt;0.7,"File anomaly",""),
  IF(Z435&gt;0.7,"Network anomaly",""),
  IF(AA435&gt;0.7,"USB anomaly","")
 )="",
 "General anomaly detected",
 _xlfn.TEXTJOIN(", ", TRUE,
  IF(X435&gt;0.7,"Login anomaly",""),
  IF(Y435&gt;0.7,"File anomaly",""),
  IF(Z435&gt;0.7,"Network anomaly",""),
  IF(AA435&gt;0.7,"USB anomaly","")
 )))</f>
        <v/>
      </c>
    </row>
    <row r="436" spans="1:40" x14ac:dyDescent="0.3">
      <c r="A436" t="s">
        <v>459</v>
      </c>
      <c r="B436">
        <v>0.23629489603024501</v>
      </c>
      <c r="C436">
        <v>0.58543448537696297</v>
      </c>
      <c r="D436">
        <v>0.366961199677309</v>
      </c>
      <c r="E436">
        <v>0</v>
      </c>
      <c r="F436">
        <v>0</v>
      </c>
      <c r="G436">
        <v>0.477098363112052</v>
      </c>
      <c r="H436">
        <v>7</v>
      </c>
      <c r="I436">
        <v>13</v>
      </c>
      <c r="J436">
        <v>9.2171175039358802E-2</v>
      </c>
      <c r="K436">
        <v>1.30505709624796E-2</v>
      </c>
      <c r="L436">
        <v>3.6073686123695499E-2</v>
      </c>
      <c r="M436">
        <v>2.3088023088023001E-3</v>
      </c>
      <c r="N436">
        <v>1.50983989910164E-2</v>
      </c>
      <c r="O436">
        <v>1029</v>
      </c>
      <c r="P436">
        <v>7.4494949494949503E-2</v>
      </c>
      <c r="Q436">
        <v>7.46519863950348E-2</v>
      </c>
      <c r="R436">
        <v>0</v>
      </c>
      <c r="S436">
        <v>0</v>
      </c>
      <c r="T436" t="s">
        <v>49</v>
      </c>
      <c r="U436">
        <v>3.0188679245282998E-2</v>
      </c>
      <c r="V436">
        <v>0</v>
      </c>
      <c r="W436">
        <v>0</v>
      </c>
      <c r="X436">
        <v>0.110088359903192</v>
      </c>
      <c r="Y436">
        <v>4.1000597767024402E-2</v>
      </c>
      <c r="Z436">
        <v>5.0736329293376202E-2</v>
      </c>
      <c r="AA436">
        <v>0</v>
      </c>
      <c r="AB436">
        <v>1.9105000421404839E-2</v>
      </c>
      <c r="AC436">
        <v>4.6000001020729542E-5</v>
      </c>
      <c r="AD436">
        <v>3.8670001085847621E-3</v>
      </c>
      <c r="AE436">
        <v>6.0009998269379139E-3</v>
      </c>
      <c r="AF436">
        <f>0.16*X436 + 0.28*Y436 + 0.28*Z436 + 0.28*AA436</f>
        <v>4.3300477161422893E-2</v>
      </c>
      <c r="AG436">
        <f t="shared" si="18"/>
        <v>5.8327200496569283E-3</v>
      </c>
      <c r="AH436">
        <f>IF(T436="IT_Admin", 0.25, IF(AND(T436="HR", AA436&gt;0.6), 0.25, IF(AND(T436="General", Z436&gt;0.7), 0.2, 0.1)))</f>
        <v>0.1</v>
      </c>
      <c r="AI436">
        <f>IF(V436&gt;0.7, 0.1,
 IF(F436&gt;0.5, 0.08,
 IF(E436&gt;0.5, 0.05,
 0)))</f>
        <v>0</v>
      </c>
      <c r="AJ436">
        <f t="shared" si="19"/>
        <v>1.7073047183186717E-2</v>
      </c>
      <c r="AK436">
        <f t="shared" si="20"/>
        <v>1.8780351901505388E-2</v>
      </c>
      <c r="AL436" t="str">
        <f>IF(MAX(X436, Y436, Z436, AA436)&gt;0.9,
 "Critical",
 IF(AK436&lt;=0.2,"Very Low",
 IF(AK436&lt;=0.4,"Low",
 IF(AK436&lt;=0.6,"Medium",
 IF(AK436&lt;=0.8,"High","Critical")))))</f>
        <v>Very Low</v>
      </c>
      <c r="AM436" t="str">
        <f>IF(MAX(X436:AA436)&gt;0.9,"CRITICAL ALERT",
 IF(AK436&gt;0.8,"CRITICAL ALERT",
 IF(AK436&gt;0.6,"ALERT",
 IF(AK436&gt;=0.4,"REVIEW","NO ACTION"))))</f>
        <v>NO ACTION</v>
      </c>
      <c r="AN436" t="str">
        <f>IF(AM436="NO ACTION","",
 IF(_xlfn.TEXTJOIN(", ", TRUE,
  IF(X436&gt;0.7,"Login anomaly",""),
  IF(Y436&gt;0.7,"File anomaly",""),
  IF(Z436&gt;0.7,"Network anomaly",""),
  IF(AA436&gt;0.7,"USB anomaly","")
 )="",
 "General anomaly detected",
 _xlfn.TEXTJOIN(", ", TRUE,
  IF(X436&gt;0.7,"Login anomaly",""),
  IF(Y436&gt;0.7,"File anomaly",""),
  IF(Z436&gt;0.7,"Network anomaly",""),
  IF(AA436&gt;0.7,"USB anomaly","")
 )))</f>
        <v/>
      </c>
    </row>
    <row r="437" spans="1:40" x14ac:dyDescent="0.3">
      <c r="A437" t="s">
        <v>460</v>
      </c>
      <c r="B437">
        <v>0.23629489603024501</v>
      </c>
      <c r="C437">
        <v>0.60482167857058</v>
      </c>
      <c r="D437">
        <v>0.38399630274513802</v>
      </c>
      <c r="E437">
        <v>0</v>
      </c>
      <c r="F437">
        <v>0</v>
      </c>
      <c r="G437">
        <v>0.477103831225766</v>
      </c>
      <c r="H437">
        <v>7</v>
      </c>
      <c r="I437">
        <v>13</v>
      </c>
      <c r="J437">
        <v>0.103143933972615</v>
      </c>
      <c r="K437">
        <v>1.38662316476345E-2</v>
      </c>
      <c r="L437">
        <v>3.4260221803390903E-2</v>
      </c>
      <c r="M437">
        <v>3.4632034632034602E-3</v>
      </c>
      <c r="N437">
        <v>2.0243838610243699E-2</v>
      </c>
      <c r="O437">
        <v>1195</v>
      </c>
      <c r="P437">
        <v>8.3473625140291802E-2</v>
      </c>
      <c r="Q437">
        <v>8.36284582208352E-2</v>
      </c>
      <c r="R437">
        <v>0</v>
      </c>
      <c r="S437">
        <v>0</v>
      </c>
      <c r="T437" t="s">
        <v>24</v>
      </c>
      <c r="U437">
        <v>2.2206095791001398E-2</v>
      </c>
      <c r="V437">
        <v>0</v>
      </c>
      <c r="W437">
        <v>0</v>
      </c>
      <c r="X437">
        <v>0.115198890823541</v>
      </c>
      <c r="Y437">
        <v>4.3832049279291699E-2</v>
      </c>
      <c r="Z437">
        <v>5.8181710528272597E-2</v>
      </c>
      <c r="AA437">
        <v>0</v>
      </c>
      <c r="AB437">
        <v>2.1274000406265259E-2</v>
      </c>
      <c r="AC437">
        <v>8.7000000348780304E-5</v>
      </c>
      <c r="AD437">
        <v>2.79000005684793E-3</v>
      </c>
      <c r="AE437">
        <v>6.5540000796318054E-3</v>
      </c>
      <c r="AF437">
        <f>0.16*X437 + 0.28*Y437 + 0.28*Z437 + 0.28*AA437</f>
        <v>4.6995675277884563E-2</v>
      </c>
      <c r="AG437">
        <f t="shared" si="18"/>
        <v>6.0445201033144259E-3</v>
      </c>
      <c r="AH437">
        <f>IF(T437="IT_Admin", 0.25, IF(AND(T437="HR", AA437&gt;0.6), 0.25, IF(AND(T437="General", Z437&gt;0.7), 0.2, 0.1)))</f>
        <v>0.25</v>
      </c>
      <c r="AI437">
        <f>IF(V437&gt;0.7, 0.1,
 IF(F437&gt;0.5, 0.08,
 IF(E437&gt;0.5, 0.05,
 0)))</f>
        <v>0</v>
      </c>
      <c r="AJ437">
        <f t="shared" si="19"/>
        <v>1.8329866655685464E-2</v>
      </c>
      <c r="AK437">
        <f t="shared" si="20"/>
        <v>2.2912333319606831E-2</v>
      </c>
      <c r="AL437" t="str">
        <f>IF(MAX(X437, Y437, Z437, AA437)&gt;0.9,
 "Critical",
 IF(AK437&lt;=0.2,"Very Low",
 IF(AK437&lt;=0.4,"Low",
 IF(AK437&lt;=0.6,"Medium",
 IF(AK437&lt;=0.8,"High","Critical")))))</f>
        <v>Very Low</v>
      </c>
      <c r="AM437" t="str">
        <f>IF(MAX(X437:AA437)&gt;0.9,"CRITICAL ALERT",
 IF(AK437&gt;0.8,"CRITICAL ALERT",
 IF(AK437&gt;0.6,"ALERT",
 IF(AK437&gt;=0.4,"REVIEW","NO ACTION"))))</f>
        <v>NO ACTION</v>
      </c>
      <c r="AN437" t="str">
        <f>IF(AM437="NO ACTION","",
 IF(_xlfn.TEXTJOIN(", ", TRUE,
  IF(X437&gt;0.7,"Login anomaly",""),
  IF(Y437&gt;0.7,"File anomaly",""),
  IF(Z437&gt;0.7,"Network anomaly",""),
  IF(AA437&gt;0.7,"USB anomaly","")
 )="",
 "General anomaly detected",
 _xlfn.TEXTJOIN(", ", TRUE,
  IF(X437&gt;0.7,"Login anomaly",""),
  IF(Y437&gt;0.7,"File anomaly",""),
  IF(Z437&gt;0.7,"Network anomaly",""),
  IF(AA437&gt;0.7,"USB anomaly","")
 )))</f>
        <v/>
      </c>
    </row>
    <row r="438" spans="1:40" x14ac:dyDescent="0.3">
      <c r="A438" t="s">
        <v>461</v>
      </c>
      <c r="B438">
        <v>0.12892249527410199</v>
      </c>
      <c r="C438">
        <v>0.36953165208440503</v>
      </c>
      <c r="D438">
        <v>0</v>
      </c>
      <c r="E438">
        <v>0</v>
      </c>
      <c r="F438">
        <v>0</v>
      </c>
      <c r="G438">
        <v>0.99368223405142697</v>
      </c>
      <c r="H438">
        <v>8</v>
      </c>
      <c r="I438">
        <v>8</v>
      </c>
      <c r="J438">
        <v>0.103048518677544</v>
      </c>
      <c r="K438">
        <v>1.71288743882544E-2</v>
      </c>
      <c r="L438">
        <v>4.2360546491153603E-2</v>
      </c>
      <c r="M438">
        <v>3.4632034632034602E-3</v>
      </c>
      <c r="N438">
        <v>2.0262539615888302E-2</v>
      </c>
      <c r="O438">
        <v>1176</v>
      </c>
      <c r="P438">
        <v>8.4806397306397302E-2</v>
      </c>
      <c r="Q438">
        <v>8.4960903257477405E-2</v>
      </c>
      <c r="R438">
        <v>0</v>
      </c>
      <c r="S438">
        <v>0</v>
      </c>
      <c r="T438" t="s">
        <v>24</v>
      </c>
      <c r="U438">
        <v>2.74310595065312E-2</v>
      </c>
      <c r="V438">
        <v>0</v>
      </c>
      <c r="W438">
        <v>0</v>
      </c>
      <c r="X438">
        <v>0</v>
      </c>
      <c r="Y438">
        <v>4.7868738865852099E-2</v>
      </c>
      <c r="Z438">
        <v>5.8988854230193698E-2</v>
      </c>
      <c r="AA438">
        <v>0</v>
      </c>
      <c r="AB438">
        <v>2.4769000709056851E-2</v>
      </c>
      <c r="AC438">
        <v>1.8000000636675398E-5</v>
      </c>
      <c r="AD438">
        <v>2.8609998989850278E-3</v>
      </c>
      <c r="AE438">
        <v>1.2509999796748159E-3</v>
      </c>
      <c r="AF438">
        <f>0.16*X438 + 0.28*Y438 + 0.28*Z438 + 0.28*AA438</f>
        <v>2.992012606689283E-2</v>
      </c>
      <c r="AG438">
        <f t="shared" si="18"/>
        <v>5.1194400796521228E-3</v>
      </c>
      <c r="AH438">
        <f>IF(T438="IT_Admin", 0.25, IF(AND(T438="HR", AA438&gt;0.6), 0.25, IF(AND(T438="General", Z438&gt;0.7), 0.2, 0.1)))</f>
        <v>0.25</v>
      </c>
      <c r="AI438">
        <f>IF(V438&gt;0.7, 0.1,
 IF(F438&gt;0.5, 0.08,
 IF(E438&gt;0.5, 0.05,
 0)))</f>
        <v>0</v>
      </c>
      <c r="AJ438">
        <f t="shared" si="19"/>
        <v>1.2559645875824334E-2</v>
      </c>
      <c r="AK438">
        <f t="shared" si="20"/>
        <v>1.5699557344780419E-2</v>
      </c>
      <c r="AL438" t="str">
        <f>IF(MAX(X438, Y438, Z438, AA438)&gt;0.9,
 "Critical",
 IF(AK438&lt;=0.2,"Very Low",
 IF(AK438&lt;=0.4,"Low",
 IF(AK438&lt;=0.6,"Medium",
 IF(AK438&lt;=0.8,"High","Critical")))))</f>
        <v>Very Low</v>
      </c>
      <c r="AM438" t="str">
        <f>IF(MAX(X438:AA438)&gt;0.9,"CRITICAL ALERT",
 IF(AK438&gt;0.8,"CRITICAL ALERT",
 IF(AK438&gt;0.6,"ALERT",
 IF(AK438&gt;=0.4,"REVIEW","NO ACTION"))))</f>
        <v>NO ACTION</v>
      </c>
      <c r="AN438" t="str">
        <f>IF(AM438="NO ACTION","",
 IF(_xlfn.TEXTJOIN(", ", TRUE,
  IF(X438&gt;0.7,"Login anomaly",""),
  IF(Y438&gt;0.7,"File anomaly",""),
  IF(Z438&gt;0.7,"Network anomaly",""),
  IF(AA438&gt;0.7,"USB anomaly","")
 )="",
 "General anomaly detected",
 _xlfn.TEXTJOIN(", ", TRUE,
  IF(X438&gt;0.7,"Login anomaly",""),
  IF(Y438&gt;0.7,"File anomaly",""),
  IF(Z438&gt;0.7,"Network anomaly",""),
  IF(AA438&gt;0.7,"USB anomaly","")
 )))</f>
        <v/>
      </c>
    </row>
    <row r="439" spans="1:40" x14ac:dyDescent="0.3">
      <c r="A439" t="s">
        <v>462</v>
      </c>
      <c r="B439">
        <v>2.9867674858223E-2</v>
      </c>
      <c r="C439">
        <v>0.18476582604220201</v>
      </c>
      <c r="D439">
        <v>0</v>
      </c>
      <c r="E439">
        <v>0</v>
      </c>
      <c r="F439">
        <v>0</v>
      </c>
      <c r="G439">
        <v>0.96683362826382002</v>
      </c>
      <c r="H439">
        <v>7</v>
      </c>
      <c r="I439">
        <v>7</v>
      </c>
      <c r="J439">
        <v>1.0829635990649299E-2</v>
      </c>
      <c r="K439">
        <v>1.6313213703099501E-3</v>
      </c>
      <c r="L439">
        <v>3.7648022640947298E-2</v>
      </c>
      <c r="M439">
        <v>2.88600288600288E-4</v>
      </c>
      <c r="N439">
        <v>1.5757326964223502E-2</v>
      </c>
      <c r="O439">
        <v>175</v>
      </c>
      <c r="P439">
        <v>8.8033108866442198E-3</v>
      </c>
      <c r="Q439">
        <v>8.9764718258003393E-3</v>
      </c>
      <c r="R439">
        <v>0</v>
      </c>
      <c r="S439">
        <v>0</v>
      </c>
      <c r="T439" t="s">
        <v>49</v>
      </c>
      <c r="U439">
        <v>1.6981132075471601E-2</v>
      </c>
      <c r="V439">
        <v>0</v>
      </c>
      <c r="W439">
        <v>0</v>
      </c>
      <c r="X439">
        <v>0</v>
      </c>
      <c r="Y439">
        <v>2.5717136607870499E-2</v>
      </c>
      <c r="Z439">
        <v>1.15849173176759E-2</v>
      </c>
      <c r="AA439">
        <v>0</v>
      </c>
      <c r="AB439">
        <v>5.3307998925447457E-2</v>
      </c>
      <c r="AC439">
        <v>4.4500001240521669E-4</v>
      </c>
      <c r="AD439">
        <v>1.5204000286757949E-2</v>
      </c>
      <c r="AE439">
        <v>2.2400000598281622E-3</v>
      </c>
      <c r="AF439">
        <f>0.16*X439 + 0.28*Y439 + 0.28*Z439 + 0.28*AA439</f>
        <v>1.0444575099152992E-2</v>
      </c>
      <c r="AG439">
        <f t="shared" si="18"/>
        <v>1.3538199928589165E-2</v>
      </c>
      <c r="AH439">
        <f>IF(T439="IT_Admin", 0.25, IF(AND(T439="HR", AA439&gt;0.6), 0.25, IF(AND(T439="General", Z439&gt;0.7), 0.2, 0.1)))</f>
        <v>0.1</v>
      </c>
      <c r="AI439">
        <f>IF(V439&gt;0.7, 0.1,
 IF(F439&gt;0.5, 0.08,
 IF(E439&gt;0.5, 0.05,
 0)))</f>
        <v>0</v>
      </c>
      <c r="AJ439">
        <f t="shared" si="19"/>
        <v>1.2610112479758311E-2</v>
      </c>
      <c r="AK439">
        <f t="shared" si="20"/>
        <v>1.3871123727734143E-2</v>
      </c>
      <c r="AL439" t="str">
        <f>IF(MAX(X439, Y439, Z439, AA439)&gt;0.9,
 "Critical",
 IF(AK439&lt;=0.2,"Very Low",
 IF(AK439&lt;=0.4,"Low",
 IF(AK439&lt;=0.6,"Medium",
 IF(AK439&lt;=0.8,"High","Critical")))))</f>
        <v>Very Low</v>
      </c>
      <c r="AM439" t="str">
        <f>IF(MAX(X439:AA439)&gt;0.9,"CRITICAL ALERT",
 IF(AK439&gt;0.8,"CRITICAL ALERT",
 IF(AK439&gt;0.6,"ALERT",
 IF(AK439&gt;=0.4,"REVIEW","NO ACTION"))))</f>
        <v>NO ACTION</v>
      </c>
      <c r="AN439" t="str">
        <f>IF(AM439="NO ACTION","",
 IF(_xlfn.TEXTJOIN(", ", TRUE,
  IF(X439&gt;0.7,"Login anomaly",""),
  IF(Y439&gt;0.7,"File anomaly",""),
  IF(Z439&gt;0.7,"Network anomaly",""),
  IF(AA439&gt;0.7,"USB anomaly","")
 )="",
 "General anomaly detected",
 _xlfn.TEXTJOIN(", ", TRUE,
  IF(X439&gt;0.7,"Login anomaly",""),
  IF(Y439&gt;0.7,"File anomaly",""),
  IF(Z439&gt;0.7,"Network anomaly",""),
  IF(AA439&gt;0.7,"USB anomaly","")
 )))</f>
        <v/>
      </c>
    </row>
    <row r="440" spans="1:40" x14ac:dyDescent="0.3">
      <c r="A440" t="s">
        <v>463</v>
      </c>
      <c r="B440">
        <v>0.28204158790170097</v>
      </c>
      <c r="C440">
        <v>0.82996809058157395</v>
      </c>
      <c r="D440">
        <v>0.53604945917722302</v>
      </c>
      <c r="E440">
        <v>0.18222222222222201</v>
      </c>
      <c r="F440">
        <v>7.1999999999999995E-2</v>
      </c>
      <c r="G440">
        <v>0.37602053320687601</v>
      </c>
      <c r="H440">
        <v>0</v>
      </c>
      <c r="I440">
        <v>23</v>
      </c>
      <c r="J440">
        <v>0.10323934926768701</v>
      </c>
      <c r="K440">
        <v>9.7879282218597003E-3</v>
      </c>
      <c r="L440">
        <v>2.4161386591147398E-2</v>
      </c>
      <c r="M440">
        <v>1.7316017316017301E-3</v>
      </c>
      <c r="N440">
        <v>1.0112586046196E-2</v>
      </c>
      <c r="O440">
        <v>1186</v>
      </c>
      <c r="P440">
        <v>8.0948372615039205E-2</v>
      </c>
      <c r="Q440">
        <v>8.1103825519828796E-2</v>
      </c>
      <c r="R440">
        <v>0.94395280235988199</v>
      </c>
      <c r="S440">
        <v>1</v>
      </c>
      <c r="T440" t="s">
        <v>24</v>
      </c>
      <c r="U440">
        <v>2.9110512129380001E-2</v>
      </c>
      <c r="V440">
        <v>0</v>
      </c>
      <c r="W440">
        <v>5.67699716653755E-2</v>
      </c>
      <c r="X440">
        <v>0.24428150441983301</v>
      </c>
      <c r="Y440">
        <v>3.576233896297E-2</v>
      </c>
      <c r="Z440">
        <v>5.2614057987501898E-2</v>
      </c>
      <c r="AA440">
        <v>0.94395280235988199</v>
      </c>
      <c r="AB440">
        <v>0.19911700487136841</v>
      </c>
      <c r="AC440">
        <v>1.6900000628083939E-4</v>
      </c>
      <c r="AD440">
        <v>2.574000041931868E-3</v>
      </c>
      <c r="AE440">
        <v>0.88250398635864258</v>
      </c>
      <c r="AF440">
        <f>0.16*X440 + 0.28*Y440 + 0.28*Z440 + 0.28*AA440</f>
        <v>0.32813721651407235</v>
      </c>
      <c r="AG440">
        <f t="shared" si="18"/>
        <v>0.27972787697333845</v>
      </c>
      <c r="AH440">
        <f>IF(T440="IT_Admin", 0.25, IF(AND(T440="HR", AA440&gt;0.6), 0.25, IF(AND(T440="General", Z440&gt;0.7), 0.2, 0.1)))</f>
        <v>0.25</v>
      </c>
      <c r="AI440">
        <f>IF(V440&gt;0.7, 0.1,
 IF(F440&gt;0.5, 0.08,
 IF(E440&gt;0.5, 0.05,
 0)))</f>
        <v>0</v>
      </c>
      <c r="AJ440">
        <f t="shared" si="19"/>
        <v>0.29425067883555861</v>
      </c>
      <c r="AK440">
        <f t="shared" si="20"/>
        <v>0.36781334854444825</v>
      </c>
      <c r="AL440" t="str">
        <f>IF(MAX(X440, Y440, Z440, AA440)&gt;0.9,
 "Critical",
 IF(AK440&lt;=0.2,"Very Low",
 IF(AK440&lt;=0.4,"Low",
 IF(AK440&lt;=0.6,"Medium",
 IF(AK440&lt;=0.8,"High","Critical")))))</f>
        <v>Critical</v>
      </c>
      <c r="AM440" t="str">
        <f>IF(MAX(X440:AA440)&gt;0.9,"CRITICAL ALERT",
 IF(AK440&gt;0.8,"CRITICAL ALERT",
 IF(AK440&gt;0.6,"ALERT",
 IF(AK440&gt;=0.4,"REVIEW","NO ACTION"))))</f>
        <v>CRITICAL ALERT</v>
      </c>
      <c r="AN440" t="str">
        <f>IF(AM440="NO ACTION","",
 IF(_xlfn.TEXTJOIN(", ", TRUE,
  IF(X440&gt;0.7,"Login anomaly",""),
  IF(Y440&gt;0.7,"File anomaly",""),
  IF(Z440&gt;0.7,"Network anomaly",""),
  IF(AA440&gt;0.7,"USB anomaly","")
 )="",
 "General anomaly detected",
 _xlfn.TEXTJOIN(", ", TRUE,
  IF(X440&gt;0.7,"Login anomaly",""),
  IF(Y440&gt;0.7,"File anomaly",""),
  IF(Z440&gt;0.7,"Network anomaly",""),
  IF(AA440&gt;0.7,"USB anomaly","")
 )))</f>
        <v>USB anomaly</v>
      </c>
    </row>
    <row r="441" spans="1:40" x14ac:dyDescent="0.3">
      <c r="A441" t="s">
        <v>464</v>
      </c>
      <c r="B441">
        <v>0.24574669187145501</v>
      </c>
      <c r="C441">
        <v>0.61390847093227197</v>
      </c>
      <c r="D441">
        <v>0.44397031420410799</v>
      </c>
      <c r="E441">
        <v>0.13931362555215701</v>
      </c>
      <c r="F441">
        <v>2.29357798165137E-2</v>
      </c>
      <c r="G441">
        <v>0.45343252372684401</v>
      </c>
      <c r="H441">
        <v>0</v>
      </c>
      <c r="I441">
        <v>23</v>
      </c>
      <c r="J441">
        <v>0.108057821668813</v>
      </c>
      <c r="K441">
        <v>1.30505709624796E-2</v>
      </c>
      <c r="L441">
        <v>3.0781819392774499E-2</v>
      </c>
      <c r="M441">
        <v>2.3088023088023001E-3</v>
      </c>
      <c r="N441">
        <v>1.28835237205281E-2</v>
      </c>
      <c r="O441">
        <v>975</v>
      </c>
      <c r="P441">
        <v>8.6174242424242403E-2</v>
      </c>
      <c r="Q441">
        <v>8.6328412637189197E-2</v>
      </c>
      <c r="R441">
        <v>0</v>
      </c>
      <c r="S441">
        <v>0</v>
      </c>
      <c r="T441" t="s">
        <v>24</v>
      </c>
      <c r="U441">
        <v>3.0188679245282998E-2</v>
      </c>
      <c r="V441">
        <v>0</v>
      </c>
      <c r="W441">
        <v>0</v>
      </c>
      <c r="X441">
        <v>0.18415949385348501</v>
      </c>
      <c r="Y441">
        <v>4.0867531146308402E-2</v>
      </c>
      <c r="Z441">
        <v>5.6857954942756701E-2</v>
      </c>
      <c r="AA441">
        <v>0</v>
      </c>
      <c r="AB441">
        <v>0.1438419967889786</v>
      </c>
      <c r="AC441">
        <v>7.0000001869630069E-5</v>
      </c>
      <c r="AD441">
        <v>2.3509999737143521E-3</v>
      </c>
      <c r="AE441">
        <v>1.5823999419808391E-2</v>
      </c>
      <c r="AF441">
        <f>0.16*X441 + 0.28*Y441 + 0.28*Z441 + 0.28*AA441</f>
        <v>5.6828655121495833E-2</v>
      </c>
      <c r="AG441">
        <f t="shared" si="18"/>
        <v>2.8123319316946442E-2</v>
      </c>
      <c r="AH441">
        <f>IF(T441="IT_Admin", 0.25, IF(AND(T441="HR", AA441&gt;0.6), 0.25, IF(AND(T441="General", Z441&gt;0.7), 0.2, 0.1)))</f>
        <v>0.25</v>
      </c>
      <c r="AI441">
        <f>IF(V441&gt;0.7, 0.1,
 IF(F441&gt;0.5, 0.08,
 IF(E441&gt;0.5, 0.05,
 0)))</f>
        <v>0</v>
      </c>
      <c r="AJ441">
        <f t="shared" si="19"/>
        <v>3.6734920058311256E-2</v>
      </c>
      <c r="AK441">
        <f t="shared" si="20"/>
        <v>4.5918650072889068E-2</v>
      </c>
      <c r="AL441" t="str">
        <f>IF(MAX(X441, Y441, Z441, AA441)&gt;0.9,
 "Critical",
 IF(AK441&lt;=0.2,"Very Low",
 IF(AK441&lt;=0.4,"Low",
 IF(AK441&lt;=0.6,"Medium",
 IF(AK441&lt;=0.8,"High","Critical")))))</f>
        <v>Very Low</v>
      </c>
      <c r="AM441" t="str">
        <f>IF(MAX(X441:AA441)&gt;0.9,"CRITICAL ALERT",
 IF(AK441&gt;0.8,"CRITICAL ALERT",
 IF(AK441&gt;0.6,"ALERT",
 IF(AK441&gt;=0.4,"REVIEW","NO ACTION"))))</f>
        <v>NO ACTION</v>
      </c>
      <c r="AN441" t="str">
        <f>IF(AM441="NO ACTION","",
 IF(_xlfn.TEXTJOIN(", ", TRUE,
  IF(X441&gt;0.7,"Login anomaly",""),
  IF(Y441&gt;0.7,"File anomaly",""),
  IF(Z441&gt;0.7,"Network anomaly",""),
  IF(AA441&gt;0.7,"USB anomaly","")
 )="",
 "General anomaly detected",
 _xlfn.TEXTJOIN(", ", TRUE,
  IF(X441&gt;0.7,"Login anomaly",""),
  IF(Y441&gt;0.7,"File anomaly",""),
  IF(Z441&gt;0.7,"Network anomaly",""),
  IF(AA441&gt;0.7,"USB anomaly","")
 )))</f>
        <v/>
      </c>
    </row>
    <row r="442" spans="1:40" x14ac:dyDescent="0.3">
      <c r="A442" t="s">
        <v>465</v>
      </c>
      <c r="B442">
        <v>0.12892249527410199</v>
      </c>
      <c r="C442">
        <v>0.36953165208440503</v>
      </c>
      <c r="D442">
        <v>0</v>
      </c>
      <c r="E442">
        <v>0</v>
      </c>
      <c r="F442">
        <v>0</v>
      </c>
      <c r="G442">
        <v>0.99368943321741199</v>
      </c>
      <c r="H442">
        <v>8</v>
      </c>
      <c r="I442">
        <v>8</v>
      </c>
      <c r="J442">
        <v>0.10366871809551</v>
      </c>
      <c r="K442">
        <v>1.6313213703099499E-2</v>
      </c>
      <c r="L442">
        <v>4.01025769178135E-2</v>
      </c>
      <c r="M442">
        <v>1.1544011544011501E-3</v>
      </c>
      <c r="N442">
        <v>6.7138656670337098E-3</v>
      </c>
      <c r="O442">
        <v>1190</v>
      </c>
      <c r="P442">
        <v>8.3789281705948307E-2</v>
      </c>
      <c r="Q442">
        <v>8.3944037308461006E-2</v>
      </c>
      <c r="R442">
        <v>0</v>
      </c>
      <c r="S442">
        <v>0</v>
      </c>
      <c r="T442" t="s">
        <v>24</v>
      </c>
      <c r="U442">
        <v>6.7924528301886694E-2</v>
      </c>
      <c r="V442">
        <v>0</v>
      </c>
      <c r="W442">
        <v>0</v>
      </c>
      <c r="X442">
        <v>0</v>
      </c>
      <c r="Y442">
        <v>4.2799191778119E-2</v>
      </c>
      <c r="Z442">
        <v>5.2959115290382497E-2</v>
      </c>
      <c r="AA442">
        <v>0</v>
      </c>
      <c r="AB442">
        <v>2.4863999336957932E-2</v>
      </c>
      <c r="AC442">
        <v>3.8700000732205808E-4</v>
      </c>
      <c r="AD442">
        <v>3.259999910369515E-3</v>
      </c>
      <c r="AE442">
        <v>1.1899999808520081E-3</v>
      </c>
      <c r="AF442">
        <f>0.16*X442 + 0.28*Y442 + 0.28*Z442 + 0.28*AA442</f>
        <v>2.6812325979180422E-2</v>
      </c>
      <c r="AG442">
        <f t="shared" si="18"/>
        <v>5.3325998655054723E-3</v>
      </c>
      <c r="AH442">
        <f>IF(T442="IT_Admin", 0.25, IF(AND(T442="HR", AA442&gt;0.6), 0.25, IF(AND(T442="General", Z442&gt;0.7), 0.2, 0.1)))</f>
        <v>0.25</v>
      </c>
      <c r="AI442">
        <f>IF(V442&gt;0.7, 0.1,
 IF(F442&gt;0.5, 0.08,
 IF(E442&gt;0.5, 0.05,
 0)))</f>
        <v>0</v>
      </c>
      <c r="AJ442">
        <f t="shared" si="19"/>
        <v>1.1776517699607955E-2</v>
      </c>
      <c r="AK442">
        <f t="shared" si="20"/>
        <v>1.4720647124509944E-2</v>
      </c>
      <c r="AL442" t="str">
        <f>IF(MAX(X442, Y442, Z442, AA442)&gt;0.9,
 "Critical",
 IF(AK442&lt;=0.2,"Very Low",
 IF(AK442&lt;=0.4,"Low",
 IF(AK442&lt;=0.6,"Medium",
 IF(AK442&lt;=0.8,"High","Critical")))))</f>
        <v>Very Low</v>
      </c>
      <c r="AM442" t="str">
        <f>IF(MAX(X442:AA442)&gt;0.9,"CRITICAL ALERT",
 IF(AK442&gt;0.8,"CRITICAL ALERT",
 IF(AK442&gt;0.6,"ALERT",
 IF(AK442&gt;=0.4,"REVIEW","NO ACTION"))))</f>
        <v>NO ACTION</v>
      </c>
      <c r="AN442" t="str">
        <f>IF(AM442="NO ACTION","",
 IF(_xlfn.TEXTJOIN(", ", TRUE,
  IF(X442&gt;0.7,"Login anomaly",""),
  IF(Y442&gt;0.7,"File anomaly",""),
  IF(Z442&gt;0.7,"Network anomaly",""),
  IF(AA442&gt;0.7,"USB anomaly","")
 )="",
 "General anomaly detected",
 _xlfn.TEXTJOIN(", ", TRUE,
  IF(X442&gt;0.7,"Login anomaly",""),
  IF(Y442&gt;0.7,"File anomaly",""),
  IF(Z442&gt;0.7,"Network anomaly",""),
  IF(AA442&gt;0.7,"USB anomaly","")
 )))</f>
        <v/>
      </c>
    </row>
    <row r="443" spans="1:40" x14ac:dyDescent="0.3">
      <c r="A443" t="s">
        <v>466</v>
      </c>
      <c r="B443">
        <v>0.12892249527410199</v>
      </c>
      <c r="C443">
        <v>0.26938321883834099</v>
      </c>
      <c r="D443">
        <v>7.4866899962459793E-2</v>
      </c>
      <c r="E443">
        <v>0</v>
      </c>
      <c r="F443">
        <v>0</v>
      </c>
      <c r="G443">
        <v>0.99365030615172301</v>
      </c>
      <c r="H443">
        <v>7</v>
      </c>
      <c r="I443">
        <v>8</v>
      </c>
      <c r="J443">
        <v>9.4318019178474294E-2</v>
      </c>
      <c r="K443">
        <v>1.5497553017944501E-2</v>
      </c>
      <c r="L443">
        <v>4.1864905096189599E-2</v>
      </c>
      <c r="M443">
        <v>2.59740259740259E-3</v>
      </c>
      <c r="N443">
        <v>1.66000497988389E-2</v>
      </c>
      <c r="O443">
        <v>1068</v>
      </c>
      <c r="P443">
        <v>7.7265712682379306E-2</v>
      </c>
      <c r="Q443">
        <v>7.7422069497527904E-2</v>
      </c>
      <c r="R443">
        <v>0</v>
      </c>
      <c r="S443">
        <v>0</v>
      </c>
      <c r="T443" t="s">
        <v>49</v>
      </c>
      <c r="U443">
        <v>3.22641509433962E-2</v>
      </c>
      <c r="V443">
        <v>0</v>
      </c>
      <c r="W443">
        <v>0</v>
      </c>
      <c r="X443">
        <v>2.24600699887379E-2</v>
      </c>
      <c r="Y443">
        <v>4.4776071323441302E-2</v>
      </c>
      <c r="Z443">
        <v>5.2999447528963101E-2</v>
      </c>
      <c r="AA443">
        <v>0</v>
      </c>
      <c r="AB443">
        <v>1.8936000764369961E-2</v>
      </c>
      <c r="AC443">
        <v>7.0000000960135367E-6</v>
      </c>
      <c r="AD443">
        <v>3.7310000043362379E-3</v>
      </c>
      <c r="AE443">
        <v>1.7960000550374391E-3</v>
      </c>
      <c r="AF443">
        <f>0.16*X443 + 0.28*Y443 + 0.28*Z443 + 0.28*AA443</f>
        <v>3.0970756476871295E-2</v>
      </c>
      <c r="AG443">
        <f t="shared" si="18"/>
        <v>4.5792801389507084E-3</v>
      </c>
      <c r="AH443">
        <f>IF(T443="IT_Admin", 0.25, IF(AND(T443="HR", AA443&gt;0.6), 0.25, IF(AND(T443="General", Z443&gt;0.7), 0.2, 0.1)))</f>
        <v>0.1</v>
      </c>
      <c r="AI443">
        <f>IF(V443&gt;0.7, 0.1,
 IF(F443&gt;0.5, 0.08,
 IF(E443&gt;0.5, 0.05,
 0)))</f>
        <v>0</v>
      </c>
      <c r="AJ443">
        <f t="shared" si="19"/>
        <v>1.2496723040326882E-2</v>
      </c>
      <c r="AK443">
        <f t="shared" si="20"/>
        <v>1.3746395344359572E-2</v>
      </c>
      <c r="AL443" t="str">
        <f>IF(MAX(X443, Y443, Z443, AA443)&gt;0.9,
 "Critical",
 IF(AK443&lt;=0.2,"Very Low",
 IF(AK443&lt;=0.4,"Low",
 IF(AK443&lt;=0.6,"Medium",
 IF(AK443&lt;=0.8,"High","Critical")))))</f>
        <v>Very Low</v>
      </c>
      <c r="AM443" t="str">
        <f>IF(MAX(X443:AA443)&gt;0.9,"CRITICAL ALERT",
 IF(AK443&gt;0.8,"CRITICAL ALERT",
 IF(AK443&gt;0.6,"ALERT",
 IF(AK443&gt;=0.4,"REVIEW","NO ACTION"))))</f>
        <v>NO ACTION</v>
      </c>
      <c r="AN443" t="str">
        <f>IF(AM443="NO ACTION","",
 IF(_xlfn.TEXTJOIN(", ", TRUE,
  IF(X443&gt;0.7,"Login anomaly",""),
  IF(Y443&gt;0.7,"File anomaly",""),
  IF(Z443&gt;0.7,"Network anomaly",""),
  IF(AA443&gt;0.7,"USB anomaly","")
 )="",
 "General anomaly detected",
 _xlfn.TEXTJOIN(", ", TRUE,
  IF(X443&gt;0.7,"Login anomaly",""),
  IF(Y443&gt;0.7,"File anomaly",""),
  IF(Z443&gt;0.7,"Network anomaly",""),
  IF(AA443&gt;0.7,"USB anomaly","")
 )))</f>
        <v/>
      </c>
    </row>
    <row r="444" spans="1:40" x14ac:dyDescent="0.3">
      <c r="A444" t="s">
        <v>467</v>
      </c>
      <c r="B444">
        <v>0.12892249527410199</v>
      </c>
      <c r="C444">
        <v>0.27634540938485902</v>
      </c>
      <c r="D444">
        <v>7.5129964412319103E-2</v>
      </c>
      <c r="E444">
        <v>0</v>
      </c>
      <c r="F444">
        <v>0</v>
      </c>
      <c r="G444">
        <v>0.99366614966943001</v>
      </c>
      <c r="H444">
        <v>7</v>
      </c>
      <c r="I444">
        <v>8</v>
      </c>
      <c r="J444">
        <v>0.113353370545298</v>
      </c>
      <c r="K444">
        <v>1.30505709624796E-2</v>
      </c>
      <c r="L444">
        <v>2.9346799673077802E-2</v>
      </c>
      <c r="M444">
        <v>4.0404040404040404E-3</v>
      </c>
      <c r="N444">
        <v>2.14950852498101E-2</v>
      </c>
      <c r="O444">
        <v>1265</v>
      </c>
      <c r="P444">
        <v>9.0909090909090898E-2</v>
      </c>
      <c r="Q444">
        <v>9.1062098951576104E-2</v>
      </c>
      <c r="R444">
        <v>0</v>
      </c>
      <c r="S444">
        <v>0</v>
      </c>
      <c r="T444" t="s">
        <v>24</v>
      </c>
      <c r="U444">
        <v>1.8113207547169798E-2</v>
      </c>
      <c r="V444">
        <v>0</v>
      </c>
      <c r="W444">
        <v>0</v>
      </c>
      <c r="X444">
        <v>2.2538989323695701E-2</v>
      </c>
      <c r="Y444">
        <v>4.3792599520541597E-2</v>
      </c>
      <c r="Z444">
        <v>6.3143488645378595E-2</v>
      </c>
      <c r="AA444">
        <v>0</v>
      </c>
      <c r="AB444">
        <v>1.844399981200695E-2</v>
      </c>
      <c r="AC444">
        <v>1.4800000644754621E-4</v>
      </c>
      <c r="AD444">
        <v>2.2770001087337728E-3</v>
      </c>
      <c r="AE444">
        <v>1.3150000013411049E-3</v>
      </c>
      <c r="AF444">
        <f>0.16*X444 + 0.28*Y444 + 0.28*Z444 + 0.28*AA444</f>
        <v>3.354834297824897E-2</v>
      </c>
      <c r="AG444">
        <f t="shared" si="18"/>
        <v>3.9982400025473912E-3</v>
      </c>
      <c r="AH444">
        <f>IF(T444="IT_Admin", 0.25, IF(AND(T444="HR", AA444&gt;0.6), 0.25, IF(AND(T444="General", Z444&gt;0.7), 0.2, 0.1)))</f>
        <v>0.25</v>
      </c>
      <c r="AI444">
        <f>IF(V444&gt;0.7, 0.1,
 IF(F444&gt;0.5, 0.08,
 IF(E444&gt;0.5, 0.05,
 0)))</f>
        <v>0</v>
      </c>
      <c r="AJ444">
        <f t="shared" si="19"/>
        <v>1.2863270895257864E-2</v>
      </c>
      <c r="AK444">
        <f t="shared" si="20"/>
        <v>1.607908861907233E-2</v>
      </c>
      <c r="AL444" t="str">
        <f>IF(MAX(X444, Y444, Z444, AA444)&gt;0.9,
 "Critical",
 IF(AK444&lt;=0.2,"Very Low",
 IF(AK444&lt;=0.4,"Low",
 IF(AK444&lt;=0.6,"Medium",
 IF(AK444&lt;=0.8,"High","Critical")))))</f>
        <v>Very Low</v>
      </c>
      <c r="AM444" t="str">
        <f>IF(MAX(X444:AA444)&gt;0.9,"CRITICAL ALERT",
 IF(AK444&gt;0.8,"CRITICAL ALERT",
 IF(AK444&gt;0.6,"ALERT",
 IF(AK444&gt;=0.4,"REVIEW","NO ACTION"))))</f>
        <v>NO ACTION</v>
      </c>
      <c r="AN444" t="str">
        <f>IF(AM444="NO ACTION","",
 IF(_xlfn.TEXTJOIN(", ", TRUE,
  IF(X444&gt;0.7,"Login anomaly",""),
  IF(Y444&gt;0.7,"File anomaly",""),
  IF(Z444&gt;0.7,"Network anomaly",""),
  IF(AA444&gt;0.7,"USB anomaly","")
 )="",
 "General anomaly detected",
 _xlfn.TEXTJOIN(", ", TRUE,
  IF(X444&gt;0.7,"Login anomaly",""),
  IF(Y444&gt;0.7,"File anomaly",""),
  IF(Z444&gt;0.7,"Network anomaly",""),
  IF(AA444&gt;0.7,"USB anomaly","")
 )))</f>
        <v/>
      </c>
    </row>
    <row r="445" spans="1:40" x14ac:dyDescent="0.3">
      <c r="A445" t="s">
        <v>468</v>
      </c>
      <c r="B445">
        <v>0.12892249527410199</v>
      </c>
      <c r="C445">
        <v>0.18476582604220201</v>
      </c>
      <c r="D445">
        <v>0</v>
      </c>
      <c r="E445">
        <v>0</v>
      </c>
      <c r="F445">
        <v>0</v>
      </c>
      <c r="G445">
        <v>0.99366202821381</v>
      </c>
      <c r="H445">
        <v>7</v>
      </c>
      <c r="I445">
        <v>7</v>
      </c>
      <c r="J445">
        <v>8.0864462573350504E-2</v>
      </c>
      <c r="K445">
        <v>9.7879282218597003E-3</v>
      </c>
      <c r="L445">
        <v>3.0827086774234499E-2</v>
      </c>
      <c r="M445">
        <v>1.44300144300144E-3</v>
      </c>
      <c r="N445">
        <v>1.0752058399117199E-2</v>
      </c>
      <c r="O445">
        <v>982</v>
      </c>
      <c r="P445">
        <v>6.4358866442199694E-2</v>
      </c>
      <c r="Q445">
        <v>6.4518391247939899E-2</v>
      </c>
      <c r="R445">
        <v>0</v>
      </c>
      <c r="S445">
        <v>0</v>
      </c>
      <c r="T445" t="s">
        <v>49</v>
      </c>
      <c r="U445">
        <v>3.3962264150943298E-2</v>
      </c>
      <c r="V445">
        <v>0</v>
      </c>
      <c r="W445">
        <v>0</v>
      </c>
      <c r="X445">
        <v>0</v>
      </c>
      <c r="Y445">
        <v>3.48120534215225E-2</v>
      </c>
      <c r="Z445">
        <v>4.2916143224966702E-2</v>
      </c>
      <c r="AA445">
        <v>0</v>
      </c>
      <c r="AB445">
        <v>3.660300001502037E-2</v>
      </c>
      <c r="AC445">
        <v>1.340000017080456E-4</v>
      </c>
      <c r="AD445">
        <v>5.4700002074241638E-3</v>
      </c>
      <c r="AE445">
        <v>1.490000053308904E-3</v>
      </c>
      <c r="AF445">
        <f>0.16*X445 + 0.28*Y445 + 0.28*Z445 + 0.28*AA445</f>
        <v>2.1763895061016978E-2</v>
      </c>
      <c r="AG445">
        <f t="shared" si="18"/>
        <v>7.8428000758867713E-3</v>
      </c>
      <c r="AH445">
        <f>IF(T445="IT_Admin", 0.25, IF(AND(T445="HR", AA445&gt;0.6), 0.25, IF(AND(T445="General", Z445&gt;0.7), 0.2, 0.1)))</f>
        <v>0.1</v>
      </c>
      <c r="AI445">
        <f>IF(V445&gt;0.7, 0.1,
 IF(F445&gt;0.5, 0.08,
 IF(E445&gt;0.5, 0.05,
 0)))</f>
        <v>0</v>
      </c>
      <c r="AJ445">
        <f t="shared" si="19"/>
        <v>1.2019128571425834E-2</v>
      </c>
      <c r="AK445">
        <f t="shared" si="20"/>
        <v>1.3221041428568418E-2</v>
      </c>
      <c r="AL445" t="str">
        <f>IF(MAX(X445, Y445, Z445, AA445)&gt;0.9,
 "Critical",
 IF(AK445&lt;=0.2,"Very Low",
 IF(AK445&lt;=0.4,"Low",
 IF(AK445&lt;=0.6,"Medium",
 IF(AK445&lt;=0.8,"High","Critical")))))</f>
        <v>Very Low</v>
      </c>
      <c r="AM445" t="str">
        <f>IF(MAX(X445:AA445)&gt;0.9,"CRITICAL ALERT",
 IF(AK445&gt;0.8,"CRITICAL ALERT",
 IF(AK445&gt;0.6,"ALERT",
 IF(AK445&gt;=0.4,"REVIEW","NO ACTION"))))</f>
        <v>NO ACTION</v>
      </c>
      <c r="AN445" t="str">
        <f>IF(AM445="NO ACTION","",
 IF(_xlfn.TEXTJOIN(", ", TRUE,
  IF(X445&gt;0.7,"Login anomaly",""),
  IF(Y445&gt;0.7,"File anomaly",""),
  IF(Z445&gt;0.7,"Network anomaly",""),
  IF(AA445&gt;0.7,"USB anomaly","")
 )="",
 "General anomaly detected",
 _xlfn.TEXTJOIN(", ", TRUE,
  IF(X445&gt;0.7,"Login anomaly",""),
  IF(Y445&gt;0.7,"File anomaly",""),
  IF(Z445&gt;0.7,"Network anomaly",""),
  IF(AA445&gt;0.7,"USB anomaly","")
 )))</f>
        <v/>
      </c>
    </row>
    <row r="446" spans="1:40" x14ac:dyDescent="0.3">
      <c r="A446" t="s">
        <v>469</v>
      </c>
      <c r="B446">
        <v>1</v>
      </c>
      <c r="C446">
        <v>0.91434322898725395</v>
      </c>
      <c r="D446">
        <v>0.93663457618202495</v>
      </c>
      <c r="E446">
        <v>0</v>
      </c>
      <c r="F446">
        <v>0.35032087580218901</v>
      </c>
      <c r="G446">
        <v>0</v>
      </c>
      <c r="H446">
        <v>0</v>
      </c>
      <c r="I446">
        <v>23</v>
      </c>
      <c r="J446">
        <v>7.8765326081770906E-2</v>
      </c>
      <c r="K446">
        <v>1.2234910277324601E-2</v>
      </c>
      <c r="L446">
        <v>3.9557704948821402E-2</v>
      </c>
      <c r="M446">
        <v>2.3088023088023001E-3</v>
      </c>
      <c r="N446">
        <v>1.7660385776327801E-2</v>
      </c>
      <c r="O446">
        <v>931</v>
      </c>
      <c r="P446">
        <v>6.4288720538720506E-2</v>
      </c>
      <c r="Q446">
        <v>6.4448262561800904E-2</v>
      </c>
      <c r="R446">
        <v>0.474926253687315</v>
      </c>
      <c r="S446">
        <v>1</v>
      </c>
      <c r="T446" t="s">
        <v>49</v>
      </c>
      <c r="U446">
        <v>2.83018867924528E-2</v>
      </c>
      <c r="V446">
        <v>0</v>
      </c>
      <c r="W446">
        <v>0.45223214754418001</v>
      </c>
      <c r="X446">
        <v>0.42111872317548299</v>
      </c>
      <c r="Y446">
        <v>4.0830033423663203E-2</v>
      </c>
      <c r="Z446">
        <v>4.5637386633763398E-2</v>
      </c>
      <c r="AA446">
        <v>0.474926253687315</v>
      </c>
      <c r="AB446">
        <v>1</v>
      </c>
      <c r="AC446">
        <v>5.7000001106644049E-5</v>
      </c>
      <c r="AD446">
        <v>4.0580001659691334E-3</v>
      </c>
      <c r="AE446">
        <v>0.1958149969577789</v>
      </c>
      <c r="AF446">
        <f>0.16*X446 + 0.28*Y446 + 0.28*Z446 + 0.28*AA446</f>
        <v>0.22456922435660492</v>
      </c>
      <c r="AG446">
        <f t="shared" si="18"/>
        <v>0.21598039919495934</v>
      </c>
      <c r="AH446">
        <f>IF(T446="IT_Admin", 0.25, IF(AND(T446="HR", AA446&gt;0.6), 0.25, IF(AND(T446="General", Z446&gt;0.7), 0.2, 0.1)))</f>
        <v>0.1</v>
      </c>
      <c r="AI446">
        <f>IF(V446&gt;0.7, 0.1,
 IF(F446&gt;0.5, 0.08,
 IF(E446&gt;0.5, 0.05,
 0)))</f>
        <v>0</v>
      </c>
      <c r="AJ446">
        <f t="shared" si="19"/>
        <v>0.218557046743453</v>
      </c>
      <c r="AK446">
        <f t="shared" si="20"/>
        <v>0.2404127514177983</v>
      </c>
      <c r="AL446" t="str">
        <f>IF(MAX(X446, Y446, Z446, AA446)&gt;0.9,
 "Critical",
 IF(AK446&lt;=0.2,"Very Low",
 IF(AK446&lt;=0.4,"Low",
 IF(AK446&lt;=0.6,"Medium",
 IF(AK446&lt;=0.8,"High","Critical")))))</f>
        <v>Low</v>
      </c>
      <c r="AM446" t="str">
        <f>IF(MAX(X446:AA446)&gt;0.9,"CRITICAL ALERT",
 IF(AK446&gt;0.8,"CRITICAL ALERT",
 IF(AK446&gt;0.6,"ALERT",
 IF(AK446&gt;=0.4,"REVIEW","NO ACTION"))))</f>
        <v>NO ACTION</v>
      </c>
      <c r="AN446" t="str">
        <f>IF(AM446="NO ACTION","",
 IF(_xlfn.TEXTJOIN(", ", TRUE,
  IF(X446&gt;0.7,"Login anomaly",""),
  IF(Y446&gt;0.7,"File anomaly",""),
  IF(Z446&gt;0.7,"Network anomaly",""),
  IF(AA446&gt;0.7,"USB anomaly","")
 )="",
 "General anomaly detected",
 _xlfn.TEXTJOIN(", ", TRUE,
  IF(X446&gt;0.7,"Login anomaly",""),
  IF(Y446&gt;0.7,"File anomaly",""),
  IF(Z446&gt;0.7,"Network anomaly",""),
  IF(AA446&gt;0.7,"USB anomaly","")
 )))</f>
        <v/>
      </c>
    </row>
    <row r="447" spans="1:40" x14ac:dyDescent="0.3">
      <c r="A447" t="s">
        <v>470</v>
      </c>
      <c r="B447">
        <v>3.1758034026465001E-2</v>
      </c>
      <c r="C447">
        <v>0.84404388714733503</v>
      </c>
      <c r="D447">
        <v>0.42366378551496497</v>
      </c>
      <c r="E447">
        <v>0</v>
      </c>
      <c r="F447">
        <v>0</v>
      </c>
      <c r="G447">
        <v>0.39261567040619</v>
      </c>
      <c r="H447">
        <v>8</v>
      </c>
      <c r="I447">
        <v>18</v>
      </c>
      <c r="J447">
        <v>2.7670435570822001E-3</v>
      </c>
      <c r="K447">
        <v>8.1566068515497503E-4</v>
      </c>
      <c r="L447">
        <v>6.9320168672220503E-2</v>
      </c>
      <c r="M447">
        <v>8.6580086580086504E-4</v>
      </c>
      <c r="N447">
        <v>0.174080945509516</v>
      </c>
      <c r="O447">
        <v>55</v>
      </c>
      <c r="P447">
        <v>2.8058361391694701E-3</v>
      </c>
      <c r="Q447">
        <v>2.9804691609102698E-3</v>
      </c>
      <c r="R447">
        <v>0</v>
      </c>
      <c r="S447">
        <v>0</v>
      </c>
      <c r="T447" t="s">
        <v>49</v>
      </c>
      <c r="U447">
        <v>4.2452830188679201E-3</v>
      </c>
      <c r="V447">
        <v>0</v>
      </c>
      <c r="W447">
        <v>0</v>
      </c>
      <c r="X447">
        <v>0.12709913565448899</v>
      </c>
      <c r="Y447">
        <v>8.7437776700381706E-2</v>
      </c>
      <c r="Z447">
        <v>7.1315879887308406E-2</v>
      </c>
      <c r="AA447">
        <v>0</v>
      </c>
      <c r="AB447">
        <v>8.8918998837471008E-2</v>
      </c>
      <c r="AC447">
        <v>8.1350002437829971E-3</v>
      </c>
      <c r="AD447">
        <v>1.128000020980835E-2</v>
      </c>
      <c r="AE447">
        <v>7.5500002130866051E-3</v>
      </c>
      <c r="AF447">
        <f>0.16*X447 + 0.28*Y447 + 0.28*Z447 + 0.28*AA447</f>
        <v>6.4786885549271478E-2</v>
      </c>
      <c r="AG447">
        <f t="shared" si="18"/>
        <v>2.1777240000665186E-2</v>
      </c>
      <c r="AH447">
        <f>IF(T447="IT_Admin", 0.25, IF(AND(T447="HR", AA447&gt;0.6), 0.25, IF(AND(T447="General", Z447&gt;0.7), 0.2, 0.1)))</f>
        <v>0.1</v>
      </c>
      <c r="AI447">
        <f>IF(V447&gt;0.7, 0.1,
 IF(F447&gt;0.5, 0.08,
 IF(E447&gt;0.5, 0.05,
 0)))</f>
        <v>0</v>
      </c>
      <c r="AJ447">
        <f t="shared" si="19"/>
        <v>3.4680133665247075E-2</v>
      </c>
      <c r="AK447">
        <f t="shared" si="20"/>
        <v>3.8148147031771787E-2</v>
      </c>
      <c r="AL447" t="str">
        <f>IF(MAX(X447, Y447, Z447, AA447)&gt;0.9,
 "Critical",
 IF(AK447&lt;=0.2,"Very Low",
 IF(AK447&lt;=0.4,"Low",
 IF(AK447&lt;=0.6,"Medium",
 IF(AK447&lt;=0.8,"High","Critical")))))</f>
        <v>Very Low</v>
      </c>
      <c r="AM447" t="str">
        <f>IF(MAX(X447:AA447)&gt;0.9,"CRITICAL ALERT",
 IF(AK447&gt;0.8,"CRITICAL ALERT",
 IF(AK447&gt;0.6,"ALERT",
 IF(AK447&gt;=0.4,"REVIEW","NO ACTION"))))</f>
        <v>NO ACTION</v>
      </c>
      <c r="AN447" t="str">
        <f>IF(AM447="NO ACTION","",
 IF(_xlfn.TEXTJOIN(", ", TRUE,
  IF(X447&gt;0.7,"Login anomaly",""),
  IF(Y447&gt;0.7,"File anomaly",""),
  IF(Z447&gt;0.7,"Network anomaly",""),
  IF(AA447&gt;0.7,"USB anomaly","")
 )="",
 "General anomaly detected",
 _xlfn.TEXTJOIN(", ", TRUE,
  IF(X447&gt;0.7,"Login anomaly",""),
  IF(Y447&gt;0.7,"File anomaly",""),
  IF(Z447&gt;0.7,"Network anomaly",""),
  IF(AA447&gt;0.7,"USB anomaly","")
 )))</f>
        <v/>
      </c>
    </row>
    <row r="448" spans="1:40" x14ac:dyDescent="0.3">
      <c r="A448" t="s">
        <v>471</v>
      </c>
      <c r="B448">
        <v>0.12892249527410199</v>
      </c>
      <c r="C448">
        <v>0.55429747812660801</v>
      </c>
      <c r="D448">
        <v>0</v>
      </c>
      <c r="E448">
        <v>0</v>
      </c>
      <c r="F448">
        <v>0</v>
      </c>
      <c r="G448">
        <v>0.99367730971484203</v>
      </c>
      <c r="H448">
        <v>9</v>
      </c>
      <c r="I448">
        <v>9</v>
      </c>
      <c r="J448">
        <v>8.2534230237107001E-2</v>
      </c>
      <c r="K448">
        <v>8.9722675367047301E-3</v>
      </c>
      <c r="L448">
        <v>2.76881134811808E-2</v>
      </c>
      <c r="M448">
        <v>1.44300144300144E-3</v>
      </c>
      <c r="N448">
        <v>1.05351580855903E-2</v>
      </c>
      <c r="O448">
        <v>944</v>
      </c>
      <c r="P448">
        <v>6.5235690235690202E-2</v>
      </c>
      <c r="Q448">
        <v>6.5394999824678196E-2</v>
      </c>
      <c r="R448">
        <v>0</v>
      </c>
      <c r="S448">
        <v>0</v>
      </c>
      <c r="T448" t="s">
        <v>49</v>
      </c>
      <c r="U448">
        <v>3.1132075471698099E-2</v>
      </c>
      <c r="V448">
        <v>0</v>
      </c>
      <c r="W448">
        <v>0</v>
      </c>
      <c r="X448">
        <v>0</v>
      </c>
      <c r="Y448">
        <v>3.3511450213688898E-2</v>
      </c>
      <c r="Z448">
        <v>4.3355477375650202E-2</v>
      </c>
      <c r="AA448">
        <v>0</v>
      </c>
      <c r="AB448">
        <v>2.8893999755382541E-2</v>
      </c>
      <c r="AC448">
        <v>1.8000000272877509E-4</v>
      </c>
      <c r="AD448">
        <v>5.3579998202621937E-3</v>
      </c>
      <c r="AE448">
        <v>1.7190000507980589E-3</v>
      </c>
      <c r="AF448">
        <f>0.16*X448 + 0.28*Y448 + 0.28*Z448 + 0.28*AA448</f>
        <v>2.152273972501495E-2</v>
      </c>
      <c r="AG448">
        <f t="shared" si="18"/>
        <v>6.6549999255221346E-3</v>
      </c>
      <c r="AH448">
        <f>IF(T448="IT_Admin", 0.25, IF(AND(T448="HR", AA448&gt;0.6), 0.25, IF(AND(T448="General", Z448&gt;0.7), 0.2, 0.1)))</f>
        <v>0.1</v>
      </c>
      <c r="AI448">
        <f>IF(V448&gt;0.7, 0.1,
 IF(F448&gt;0.5, 0.08,
 IF(E448&gt;0.5, 0.05,
 0)))</f>
        <v>0</v>
      </c>
      <c r="AJ448">
        <f t="shared" si="19"/>
        <v>1.1115321865369978E-2</v>
      </c>
      <c r="AK448">
        <f t="shared" si="20"/>
        <v>1.2226854051906978E-2</v>
      </c>
      <c r="AL448" t="str">
        <f>IF(MAX(X448, Y448, Z448, AA448)&gt;0.9,
 "Critical",
 IF(AK448&lt;=0.2,"Very Low",
 IF(AK448&lt;=0.4,"Low",
 IF(AK448&lt;=0.6,"Medium",
 IF(AK448&lt;=0.8,"High","Critical")))))</f>
        <v>Very Low</v>
      </c>
      <c r="AM448" t="str">
        <f>IF(MAX(X448:AA448)&gt;0.9,"CRITICAL ALERT",
 IF(AK448&gt;0.8,"CRITICAL ALERT",
 IF(AK448&gt;0.6,"ALERT",
 IF(AK448&gt;=0.4,"REVIEW","NO ACTION"))))</f>
        <v>NO ACTION</v>
      </c>
      <c r="AN448" t="str">
        <f>IF(AM448="NO ACTION","",
 IF(_xlfn.TEXTJOIN(", ", TRUE,
  IF(X448&gt;0.7,"Login anomaly",""),
  IF(Y448&gt;0.7,"File anomaly",""),
  IF(Z448&gt;0.7,"Network anomaly",""),
  IF(AA448&gt;0.7,"USB anomaly","")
 )="",
 "General anomaly detected",
 _xlfn.TEXTJOIN(", ", TRUE,
  IF(X448&gt;0.7,"Login anomaly",""),
  IF(Y448&gt;0.7,"File anomaly",""),
  IF(Z448&gt;0.7,"Network anomaly",""),
  IF(AA448&gt;0.7,"USB anomaly","")
 )))</f>
        <v/>
      </c>
    </row>
    <row r="449" spans="1:40" x14ac:dyDescent="0.3">
      <c r="A449" t="s">
        <v>472</v>
      </c>
      <c r="B449">
        <v>0.12892249527410199</v>
      </c>
      <c r="C449">
        <v>0.27206098443315602</v>
      </c>
      <c r="D449">
        <v>7.5018780494472401E-2</v>
      </c>
      <c r="E449">
        <v>0</v>
      </c>
      <c r="F449">
        <v>0</v>
      </c>
      <c r="G449">
        <v>0.99365688977563504</v>
      </c>
      <c r="H449">
        <v>7</v>
      </c>
      <c r="I449">
        <v>8</v>
      </c>
      <c r="J449">
        <v>8.6827918515337998E-2</v>
      </c>
      <c r="K449">
        <v>1.4681892332789499E-2</v>
      </c>
      <c r="L449">
        <v>4.30734637119441E-2</v>
      </c>
      <c r="M449">
        <v>2.3088023088023001E-3</v>
      </c>
      <c r="N449">
        <v>1.6024985668821198E-2</v>
      </c>
      <c r="O449">
        <v>1006</v>
      </c>
      <c r="P449">
        <v>7.1268237934904596E-2</v>
      </c>
      <c r="Q449">
        <v>7.1426066832637802E-2</v>
      </c>
      <c r="R449">
        <v>0</v>
      </c>
      <c r="S449">
        <v>0</v>
      </c>
      <c r="T449" t="s">
        <v>49</v>
      </c>
      <c r="U449">
        <v>3.3962264150943298E-2</v>
      </c>
      <c r="V449">
        <v>0</v>
      </c>
      <c r="W449">
        <v>0</v>
      </c>
      <c r="X449">
        <v>2.25056341483417E-2</v>
      </c>
      <c r="Y449">
        <v>4.3709811259686003E-2</v>
      </c>
      <c r="Z449">
        <v>4.9170937028471202E-2</v>
      </c>
      <c r="AA449">
        <v>0</v>
      </c>
      <c r="AB449">
        <v>1.8736999481916431E-2</v>
      </c>
      <c r="AC449">
        <v>9.0000003183376975E-6</v>
      </c>
      <c r="AD449">
        <v>4.4410000555217266E-3</v>
      </c>
      <c r="AE449">
        <v>1.8189999973401429E-3</v>
      </c>
      <c r="AF449">
        <f>0.16*X449 + 0.28*Y449 + 0.28*Z449 + 0.28*AA449</f>
        <v>2.9607510984418689E-2</v>
      </c>
      <c r="AG449">
        <f t="shared" si="18"/>
        <v>4.7532399319970874E-3</v>
      </c>
      <c r="AH449">
        <f>IF(T449="IT_Admin", 0.25, IF(AND(T449="HR", AA449&gt;0.6), 0.25, IF(AND(T449="General", Z449&gt;0.7), 0.2, 0.1)))</f>
        <v>0.1</v>
      </c>
      <c r="AI449">
        <f>IF(V449&gt;0.7, 0.1,
 IF(F449&gt;0.5, 0.08,
 IF(E449&gt;0.5, 0.05,
 0)))</f>
        <v>0</v>
      </c>
      <c r="AJ449">
        <f t="shared" si="19"/>
        <v>1.2209521247723567E-2</v>
      </c>
      <c r="AK449">
        <f t="shared" si="20"/>
        <v>1.3430473372495925E-2</v>
      </c>
      <c r="AL449" t="str">
        <f>IF(MAX(X449, Y449, Z449, AA449)&gt;0.9,
 "Critical",
 IF(AK449&lt;=0.2,"Very Low",
 IF(AK449&lt;=0.4,"Low",
 IF(AK449&lt;=0.6,"Medium",
 IF(AK449&lt;=0.8,"High","Critical")))))</f>
        <v>Very Low</v>
      </c>
      <c r="AM449" t="str">
        <f>IF(MAX(X449:AA449)&gt;0.9,"CRITICAL ALERT",
 IF(AK449&gt;0.8,"CRITICAL ALERT",
 IF(AK449&gt;0.6,"ALERT",
 IF(AK449&gt;=0.4,"REVIEW","NO ACTION"))))</f>
        <v>NO ACTION</v>
      </c>
      <c r="AN449" t="str">
        <f>IF(AM449="NO ACTION","",
 IF(_xlfn.TEXTJOIN(", ", TRUE,
  IF(X449&gt;0.7,"Login anomaly",""),
  IF(Y449&gt;0.7,"File anomaly",""),
  IF(Z449&gt;0.7,"Network anomaly",""),
  IF(AA449&gt;0.7,"USB anomaly","")
 )="",
 "General anomaly detected",
 _xlfn.TEXTJOIN(", ", TRUE,
  IF(X449&gt;0.7,"Login anomaly",""),
  IF(Y449&gt;0.7,"File anomaly",""),
  IF(Z449&gt;0.7,"Network anomaly",""),
  IF(AA449&gt;0.7,"USB anomaly","")
 )))</f>
        <v/>
      </c>
    </row>
    <row r="450" spans="1:40" x14ac:dyDescent="0.3">
      <c r="A450" t="s">
        <v>473</v>
      </c>
      <c r="B450">
        <v>0.12892249527410199</v>
      </c>
      <c r="C450">
        <v>0.36953165208440503</v>
      </c>
      <c r="D450">
        <v>0</v>
      </c>
      <c r="E450">
        <v>0</v>
      </c>
      <c r="F450">
        <v>0</v>
      </c>
      <c r="G450">
        <v>0.99365814762247995</v>
      </c>
      <c r="H450">
        <v>8</v>
      </c>
      <c r="I450">
        <v>8</v>
      </c>
      <c r="J450">
        <v>8.0101140212776104E-2</v>
      </c>
      <c r="K450">
        <v>1.0603588907014599E-2</v>
      </c>
      <c r="L450">
        <v>3.3713312436192702E-2</v>
      </c>
      <c r="M450">
        <v>1.1544011544011501E-3</v>
      </c>
      <c r="N450">
        <v>8.6833725788595106E-3</v>
      </c>
      <c r="O450">
        <v>909</v>
      </c>
      <c r="P450">
        <v>6.4008136924803602E-2</v>
      </c>
      <c r="Q450">
        <v>6.4167747817244603E-2</v>
      </c>
      <c r="R450">
        <v>0</v>
      </c>
      <c r="S450">
        <v>0</v>
      </c>
      <c r="T450" t="s">
        <v>49</v>
      </c>
      <c r="U450">
        <v>4.4150943396226397E-2</v>
      </c>
      <c r="V450">
        <v>0</v>
      </c>
      <c r="W450">
        <v>0</v>
      </c>
      <c r="X450">
        <v>0</v>
      </c>
      <c r="Y450">
        <v>3.5481896034309401E-2</v>
      </c>
      <c r="Z450">
        <v>4.1878231186425897E-2</v>
      </c>
      <c r="AA450">
        <v>0</v>
      </c>
      <c r="AB450">
        <v>2.463600039482117E-2</v>
      </c>
      <c r="AC450">
        <v>1.340000017080456E-4</v>
      </c>
      <c r="AD450">
        <v>5.5769998580217361E-3</v>
      </c>
      <c r="AE450">
        <v>1.6740000573918219E-3</v>
      </c>
      <c r="AF450">
        <f>0.16*X450 + 0.28*Y450 + 0.28*Z450 + 0.28*AA450</f>
        <v>2.1660835621805888E-2</v>
      </c>
      <c r="AG450">
        <f t="shared" si="18"/>
        <v>6.0095600399654369E-3</v>
      </c>
      <c r="AH450">
        <f>IF(T450="IT_Admin", 0.25, IF(AND(T450="HR", AA450&gt;0.6), 0.25, IF(AND(T450="General", Z450&gt;0.7), 0.2, 0.1)))</f>
        <v>0.1</v>
      </c>
      <c r="AI450">
        <f>IF(V450&gt;0.7, 0.1,
 IF(F450&gt;0.5, 0.08,
 IF(E450&gt;0.5, 0.05,
 0)))</f>
        <v>0</v>
      </c>
      <c r="AJ450">
        <f t="shared" si="19"/>
        <v>1.0704942714517572E-2</v>
      </c>
      <c r="AK450">
        <f t="shared" si="20"/>
        <v>1.1775436985969331E-2</v>
      </c>
      <c r="AL450" t="str">
        <f>IF(MAX(X450, Y450, Z450, AA450)&gt;0.9,
 "Critical",
 IF(AK450&lt;=0.2,"Very Low",
 IF(AK450&lt;=0.4,"Low",
 IF(AK450&lt;=0.6,"Medium",
 IF(AK450&lt;=0.8,"High","Critical")))))</f>
        <v>Very Low</v>
      </c>
      <c r="AM450" t="str">
        <f>IF(MAX(X450:AA450)&gt;0.9,"CRITICAL ALERT",
 IF(AK450&gt;0.8,"CRITICAL ALERT",
 IF(AK450&gt;0.6,"ALERT",
 IF(AK450&gt;=0.4,"REVIEW","NO ACTION"))))</f>
        <v>NO ACTION</v>
      </c>
      <c r="AN450" t="str">
        <f>IF(AM450="NO ACTION","",
 IF(_xlfn.TEXTJOIN(", ", TRUE,
  IF(X450&gt;0.7,"Login anomaly",""),
  IF(Y450&gt;0.7,"File anomaly",""),
  IF(Z450&gt;0.7,"Network anomaly",""),
  IF(AA450&gt;0.7,"USB anomaly","")
 )="",
 "General anomaly detected",
 _xlfn.TEXTJOIN(", ", TRUE,
  IF(X450&gt;0.7,"Login anomaly",""),
  IF(Y450&gt;0.7,"File anomaly",""),
  IF(Z450&gt;0.7,"Network anomaly",""),
  IF(AA450&gt;0.7,"USB anomaly","")
 )))</f>
        <v/>
      </c>
    </row>
    <row r="451" spans="1:40" x14ac:dyDescent="0.3">
      <c r="A451" t="s">
        <v>474</v>
      </c>
      <c r="B451">
        <v>0.12892249527410199</v>
      </c>
      <c r="C451">
        <v>0.36953165208440503</v>
      </c>
      <c r="D451">
        <v>0</v>
      </c>
      <c r="E451">
        <v>0</v>
      </c>
      <c r="F451">
        <v>0</v>
      </c>
      <c r="G451">
        <v>0.993667916007553</v>
      </c>
      <c r="H451">
        <v>8</v>
      </c>
      <c r="I451">
        <v>8</v>
      </c>
      <c r="J451">
        <v>7.9958017270168394E-2</v>
      </c>
      <c r="K451">
        <v>1.6313213703099499E-2</v>
      </c>
      <c r="L451">
        <v>5.1959198409873703E-2</v>
      </c>
      <c r="M451">
        <v>3.1746031746031698E-3</v>
      </c>
      <c r="N451">
        <v>2.3921890786852099E-2</v>
      </c>
      <c r="O451">
        <v>989</v>
      </c>
      <c r="P451">
        <v>6.7340067340067297E-2</v>
      </c>
      <c r="Q451">
        <v>6.7498860408850198E-2</v>
      </c>
      <c r="R451">
        <v>9.8820058997050098E-2</v>
      </c>
      <c r="S451">
        <v>1</v>
      </c>
      <c r="T451" t="s">
        <v>49</v>
      </c>
      <c r="U451">
        <v>2.83018867924528E-2</v>
      </c>
      <c r="V451">
        <v>0</v>
      </c>
      <c r="W451">
        <v>0</v>
      </c>
      <c r="X451">
        <v>0</v>
      </c>
      <c r="Y451">
        <v>4.91477698950262E-2</v>
      </c>
      <c r="Z451">
        <v>4.9972796718781201E-2</v>
      </c>
      <c r="AA451">
        <v>9.8820058997050098E-2</v>
      </c>
      <c r="AB451">
        <v>2.5615999475121502E-2</v>
      </c>
      <c r="AC451">
        <v>5.9000001783715561E-5</v>
      </c>
      <c r="AD451">
        <v>4.6000001020729542E-3</v>
      </c>
      <c r="AE451">
        <v>6.8517997860908508E-2</v>
      </c>
      <c r="AF451">
        <f>0.16*X451 + 0.28*Y451 + 0.28*Z451 + 0.28*AA451</f>
        <v>5.542337517104011E-2</v>
      </c>
      <c r="AG451">
        <f t="shared" ref="AG451:AG514" si="21">0.16*AB451 + 0.28*AC451 + 0.28*AD451 + 0.28*AE451</f>
        <v>2.4588119346153695E-2</v>
      </c>
      <c r="AH451">
        <f>IF(T451="IT_Admin", 0.25, IF(AND(T451="HR", AA451&gt;0.6), 0.25, IF(AND(T451="General", Z451&gt;0.7), 0.2, 0.1)))</f>
        <v>0.1</v>
      </c>
      <c r="AI451">
        <f>IF(V451&gt;0.7, 0.1,
 IF(F451&gt;0.5, 0.08,
 IF(E451&gt;0.5, 0.05,
 0)))</f>
        <v>0</v>
      </c>
      <c r="AJ451">
        <f t="shared" ref="AJ451:AJ514" si="22">0.3*AF451+0.7*AG451</f>
        <v>3.3838696093619614E-2</v>
      </c>
      <c r="AK451">
        <f t="shared" ref="AK451:AK514" si="23">MIN(1,AJ451*(1+AH451+AI451))</f>
        <v>3.7222565702981575E-2</v>
      </c>
      <c r="AL451" t="str">
        <f>IF(MAX(X451, Y451, Z451, AA451)&gt;0.9,
 "Critical",
 IF(AK451&lt;=0.2,"Very Low",
 IF(AK451&lt;=0.4,"Low",
 IF(AK451&lt;=0.6,"Medium",
 IF(AK451&lt;=0.8,"High","Critical")))))</f>
        <v>Very Low</v>
      </c>
      <c r="AM451" t="str">
        <f>IF(MAX(X451:AA451)&gt;0.9,"CRITICAL ALERT",
 IF(AK451&gt;0.8,"CRITICAL ALERT",
 IF(AK451&gt;0.6,"ALERT",
 IF(AK451&gt;=0.4,"REVIEW","NO ACTION"))))</f>
        <v>NO ACTION</v>
      </c>
      <c r="AN451" t="str">
        <f>IF(AM451="NO ACTION","",
 IF(_xlfn.TEXTJOIN(", ", TRUE,
  IF(X451&gt;0.7,"Login anomaly",""),
  IF(Y451&gt;0.7,"File anomaly",""),
  IF(Z451&gt;0.7,"Network anomaly",""),
  IF(AA451&gt;0.7,"USB anomaly","")
 )="",
 "General anomaly detected",
 _xlfn.TEXTJOIN(", ", TRUE,
  IF(X451&gt;0.7,"Login anomaly",""),
  IF(Y451&gt;0.7,"File anomaly",""),
  IF(Z451&gt;0.7,"Network anomaly",""),
  IF(AA451&gt;0.7,"USB anomaly","")
 )))</f>
        <v/>
      </c>
    </row>
    <row r="452" spans="1:40" x14ac:dyDescent="0.3">
      <c r="A452" t="s">
        <v>475</v>
      </c>
      <c r="B452">
        <v>0.12892249527410199</v>
      </c>
      <c r="C452">
        <v>0.36953165208440503</v>
      </c>
      <c r="D452">
        <v>0</v>
      </c>
      <c r="E452">
        <v>0</v>
      </c>
      <c r="F452">
        <v>0</v>
      </c>
      <c r="G452">
        <v>0.99369178833490901</v>
      </c>
      <c r="H452">
        <v>8</v>
      </c>
      <c r="I452">
        <v>8</v>
      </c>
      <c r="J452">
        <v>9.0405992080530503E-2</v>
      </c>
      <c r="K452">
        <v>1.38662316476345E-2</v>
      </c>
      <c r="L452">
        <v>3.9074684551551601E-2</v>
      </c>
      <c r="M452">
        <v>4.0404040404040404E-3</v>
      </c>
      <c r="N452">
        <v>2.6936735778840998E-2</v>
      </c>
      <c r="O452">
        <v>1026</v>
      </c>
      <c r="P452">
        <v>7.4389730639730603E-2</v>
      </c>
      <c r="Q452">
        <v>7.4546793365826203E-2</v>
      </c>
      <c r="R452">
        <v>0</v>
      </c>
      <c r="S452">
        <v>0</v>
      </c>
      <c r="T452" t="s">
        <v>49</v>
      </c>
      <c r="U452">
        <v>1.9245283018867899E-2</v>
      </c>
      <c r="V452">
        <v>0</v>
      </c>
      <c r="W452">
        <v>0</v>
      </c>
      <c r="X452">
        <v>0</v>
      </c>
      <c r="Y452">
        <v>4.5699561425534198E-2</v>
      </c>
      <c r="Z452">
        <v>5.5408532695374803E-2</v>
      </c>
      <c r="AA452">
        <v>0</v>
      </c>
      <c r="AB452">
        <v>2.463600039482117E-2</v>
      </c>
      <c r="AC452">
        <v>1.110000011976808E-4</v>
      </c>
      <c r="AD452">
        <v>3.8209999911487098E-3</v>
      </c>
      <c r="AE452">
        <v>1.6639999812468891E-3</v>
      </c>
      <c r="AF452">
        <f>0.16*X452 + 0.28*Y452 + 0.28*Z452 + 0.28*AA452</f>
        <v>2.8310266353854523E-2</v>
      </c>
      <c r="AG452">
        <f t="shared" si="21"/>
        <v>5.5086400557775063E-3</v>
      </c>
      <c r="AH452">
        <f>IF(T452="IT_Admin", 0.25, IF(AND(T452="HR", AA452&gt;0.6), 0.25, IF(AND(T452="General", Z452&gt;0.7), 0.2, 0.1)))</f>
        <v>0.1</v>
      </c>
      <c r="AI452">
        <f>IF(V452&gt;0.7, 0.1,
 IF(F452&gt;0.5, 0.08,
 IF(E452&gt;0.5, 0.05,
 0)))</f>
        <v>0</v>
      </c>
      <c r="AJ452">
        <f t="shared" si="22"/>
        <v>1.2349127945200612E-2</v>
      </c>
      <c r="AK452">
        <f t="shared" si="23"/>
        <v>1.3584040739720674E-2</v>
      </c>
      <c r="AL452" t="str">
        <f>IF(MAX(X452, Y452, Z452, AA452)&gt;0.9,
 "Critical",
 IF(AK452&lt;=0.2,"Very Low",
 IF(AK452&lt;=0.4,"Low",
 IF(AK452&lt;=0.6,"Medium",
 IF(AK452&lt;=0.8,"High","Critical")))))</f>
        <v>Very Low</v>
      </c>
      <c r="AM452" t="str">
        <f>IF(MAX(X452:AA452)&gt;0.9,"CRITICAL ALERT",
 IF(AK452&gt;0.8,"CRITICAL ALERT",
 IF(AK452&gt;0.6,"ALERT",
 IF(AK452&gt;=0.4,"REVIEW","NO ACTION"))))</f>
        <v>NO ACTION</v>
      </c>
      <c r="AN452" t="str">
        <f>IF(AM452="NO ACTION","",
 IF(_xlfn.TEXTJOIN(", ", TRUE,
  IF(X452&gt;0.7,"Login anomaly",""),
  IF(Y452&gt;0.7,"File anomaly",""),
  IF(Z452&gt;0.7,"Network anomaly",""),
  IF(AA452&gt;0.7,"USB anomaly","")
 )="",
 "General anomaly detected",
 _xlfn.TEXTJOIN(", ", TRUE,
  IF(X452&gt;0.7,"Login anomaly",""),
  IF(Y452&gt;0.7,"File anomaly",""),
  IF(Z452&gt;0.7,"Network anomaly",""),
  IF(AA452&gt;0.7,"USB anomaly","")
 )))</f>
        <v/>
      </c>
    </row>
    <row r="453" spans="1:40" x14ac:dyDescent="0.3">
      <c r="A453" t="s">
        <v>476</v>
      </c>
      <c r="B453">
        <v>0.14215500945179499</v>
      </c>
      <c r="C453">
        <v>0.34376168161009801</v>
      </c>
      <c r="D453">
        <v>0.216852646156381</v>
      </c>
      <c r="E453">
        <v>0</v>
      </c>
      <c r="F453">
        <v>0</v>
      </c>
      <c r="G453">
        <v>0.88818989550848404</v>
      </c>
      <c r="H453">
        <v>7</v>
      </c>
      <c r="I453">
        <v>17</v>
      </c>
      <c r="J453">
        <v>0.10247602690711299</v>
      </c>
      <c r="K453">
        <v>1.5497553017944501E-2</v>
      </c>
      <c r="L453">
        <v>3.85398243848806E-2</v>
      </c>
      <c r="M453">
        <v>6.9264069264069203E-3</v>
      </c>
      <c r="N453">
        <v>4.0750950551229202E-2</v>
      </c>
      <c r="O453">
        <v>1143</v>
      </c>
      <c r="P453">
        <v>8.5367564534231194E-2</v>
      </c>
      <c r="Q453">
        <v>8.5521932746589993E-2</v>
      </c>
      <c r="R453">
        <v>0.104719764011799</v>
      </c>
      <c r="S453">
        <v>1</v>
      </c>
      <c r="T453" t="s">
        <v>24</v>
      </c>
      <c r="U453">
        <v>1.2905660377358401E-2</v>
      </c>
      <c r="V453">
        <v>0</v>
      </c>
      <c r="W453">
        <v>0</v>
      </c>
      <c r="X453">
        <v>6.50557938469144E-2</v>
      </c>
      <c r="Y453">
        <v>5.1990402739231702E-2</v>
      </c>
      <c r="Z453">
        <v>6.7520918941030406E-2</v>
      </c>
      <c r="AA453">
        <v>0.104719764011799</v>
      </c>
      <c r="AB453">
        <v>1.2056999839842319E-2</v>
      </c>
      <c r="AC453">
        <v>3.279999946244061E-4</v>
      </c>
      <c r="AD453">
        <v>2.2130000870674849E-3</v>
      </c>
      <c r="AE453">
        <v>6.3767001032829285E-2</v>
      </c>
      <c r="AF453">
        <f>0.16*X453 + 0.28*Y453 + 0.28*Z453 + 0.28*AA453</f>
        <v>7.3193631009283416E-2</v>
      </c>
      <c r="AG453">
        <f t="shared" si="21"/>
        <v>2.0495360286440702E-2</v>
      </c>
      <c r="AH453">
        <f>IF(T453="IT_Admin", 0.25, IF(AND(T453="HR", AA453&gt;0.6), 0.25, IF(AND(T453="General", Z453&gt;0.7), 0.2, 0.1)))</f>
        <v>0.25</v>
      </c>
      <c r="AI453">
        <f>IF(V453&gt;0.7, 0.1,
 IF(F453&gt;0.5, 0.08,
 IF(E453&gt;0.5, 0.05,
 0)))</f>
        <v>0</v>
      </c>
      <c r="AJ453">
        <f t="shared" si="22"/>
        <v>3.6304841503293515E-2</v>
      </c>
      <c r="AK453">
        <f t="shared" si="23"/>
        <v>4.5381051879116896E-2</v>
      </c>
      <c r="AL453" t="str">
        <f>IF(MAX(X453, Y453, Z453, AA453)&gt;0.9,
 "Critical",
 IF(AK453&lt;=0.2,"Very Low",
 IF(AK453&lt;=0.4,"Low",
 IF(AK453&lt;=0.6,"Medium",
 IF(AK453&lt;=0.8,"High","Critical")))))</f>
        <v>Very Low</v>
      </c>
      <c r="AM453" t="str">
        <f>IF(MAX(X453:AA453)&gt;0.9,"CRITICAL ALERT",
 IF(AK453&gt;0.8,"CRITICAL ALERT",
 IF(AK453&gt;0.6,"ALERT",
 IF(AK453&gt;=0.4,"REVIEW","NO ACTION"))))</f>
        <v>NO ACTION</v>
      </c>
      <c r="AN453" t="str">
        <f>IF(AM453="NO ACTION","",
 IF(_xlfn.TEXTJOIN(", ", TRUE,
  IF(X453&gt;0.7,"Login anomaly",""),
  IF(Y453&gt;0.7,"File anomaly",""),
  IF(Z453&gt;0.7,"Network anomaly",""),
  IF(AA453&gt;0.7,"USB anomaly","")
 )="",
 "General anomaly detected",
 _xlfn.TEXTJOIN(", ", TRUE,
  IF(X453&gt;0.7,"Login anomaly",""),
  IF(Y453&gt;0.7,"File anomaly",""),
  IF(Z453&gt;0.7,"Network anomaly",""),
  IF(AA453&gt;0.7,"USB anomaly","")
 )))</f>
        <v/>
      </c>
    </row>
    <row r="454" spans="1:40" x14ac:dyDescent="0.3">
      <c r="A454" t="s">
        <v>477</v>
      </c>
      <c r="B454">
        <v>0.28015122873345899</v>
      </c>
      <c r="C454">
        <v>0.74526349967358196</v>
      </c>
      <c r="D454">
        <v>0.52787276862629295</v>
      </c>
      <c r="E454">
        <v>0.122296793437733</v>
      </c>
      <c r="F454">
        <v>5.6375838926174399E-2</v>
      </c>
      <c r="G454">
        <v>0.37979847821620599</v>
      </c>
      <c r="H454">
        <v>0</v>
      </c>
      <c r="I454">
        <v>23</v>
      </c>
      <c r="J454">
        <v>9.7085062735556504E-2</v>
      </c>
      <c r="K454">
        <v>1.5497553017944501E-2</v>
      </c>
      <c r="L454">
        <v>4.0674628382670497E-2</v>
      </c>
      <c r="M454">
        <v>2.3088023088023001E-3</v>
      </c>
      <c r="N454">
        <v>1.4336077865489599E-2</v>
      </c>
      <c r="O454">
        <v>1078</v>
      </c>
      <c r="P454">
        <v>7.9159652076318698E-2</v>
      </c>
      <c r="Q454">
        <v>7.9315544023282697E-2</v>
      </c>
      <c r="R454">
        <v>0.10914454277286099</v>
      </c>
      <c r="S454">
        <v>1</v>
      </c>
      <c r="T454" t="s">
        <v>24</v>
      </c>
      <c r="U454">
        <v>3.5849056603773501E-2</v>
      </c>
      <c r="V454">
        <v>0</v>
      </c>
      <c r="W454">
        <v>7.4830894763714004E-2</v>
      </c>
      <c r="X454">
        <v>0.21760120418967699</v>
      </c>
      <c r="Y454">
        <v>4.4055150098093403E-2</v>
      </c>
      <c r="Z454">
        <v>5.3230222391987103E-2</v>
      </c>
      <c r="AA454">
        <v>0.10914454277286099</v>
      </c>
      <c r="AB454">
        <v>0.17764599621295929</v>
      </c>
      <c r="AC454">
        <v>3.3000000257743523E-5</v>
      </c>
      <c r="AD454">
        <v>2.832999918609858E-3</v>
      </c>
      <c r="AE454">
        <v>5.5241998285055161E-2</v>
      </c>
      <c r="AF454">
        <f>0.16*X454 + 0.28*Y454 + 0.28*Z454 + 0.28*AA454</f>
        <v>9.2616568943971952E-2</v>
      </c>
      <c r="AG454">
        <f t="shared" si="21"/>
        <v>4.4693598891171867E-2</v>
      </c>
      <c r="AH454">
        <f>IF(T454="IT_Admin", 0.25, IF(AND(T454="HR", AA454&gt;0.6), 0.25, IF(AND(T454="General", Z454&gt;0.7), 0.2, 0.1)))</f>
        <v>0.25</v>
      </c>
      <c r="AI454">
        <f>IF(V454&gt;0.7, 0.1,
 IF(F454&gt;0.5, 0.08,
 IF(E454&gt;0.5, 0.05,
 0)))</f>
        <v>0</v>
      </c>
      <c r="AJ454">
        <f t="shared" si="22"/>
        <v>5.9070489907011893E-2</v>
      </c>
      <c r="AK454">
        <f t="shared" si="23"/>
        <v>7.3838112383764865E-2</v>
      </c>
      <c r="AL454" t="str">
        <f>IF(MAX(X454, Y454, Z454, AA454)&gt;0.9,
 "Critical",
 IF(AK454&lt;=0.2,"Very Low",
 IF(AK454&lt;=0.4,"Low",
 IF(AK454&lt;=0.6,"Medium",
 IF(AK454&lt;=0.8,"High","Critical")))))</f>
        <v>Very Low</v>
      </c>
      <c r="AM454" t="str">
        <f>IF(MAX(X454:AA454)&gt;0.9,"CRITICAL ALERT",
 IF(AK454&gt;0.8,"CRITICAL ALERT",
 IF(AK454&gt;0.6,"ALERT",
 IF(AK454&gt;=0.4,"REVIEW","NO ACTION"))))</f>
        <v>NO ACTION</v>
      </c>
      <c r="AN454" t="str">
        <f>IF(AM454="NO ACTION","",
 IF(_xlfn.TEXTJOIN(", ", TRUE,
  IF(X454&gt;0.7,"Login anomaly",""),
  IF(Y454&gt;0.7,"File anomaly",""),
  IF(Z454&gt;0.7,"Network anomaly",""),
  IF(AA454&gt;0.7,"USB anomaly","")
 )="",
 "General anomaly detected",
 _xlfn.TEXTJOIN(", ", TRUE,
  IF(X454&gt;0.7,"Login anomaly",""),
  IF(Y454&gt;0.7,"File anomaly",""),
  IF(Z454&gt;0.7,"Network anomaly",""),
  IF(AA454&gt;0.7,"USB anomaly","")
 )))</f>
        <v/>
      </c>
    </row>
    <row r="455" spans="1:40" x14ac:dyDescent="0.3">
      <c r="A455" t="s">
        <v>478</v>
      </c>
      <c r="B455">
        <v>0.240075614366729</v>
      </c>
      <c r="C455">
        <v>0.59044102782187402</v>
      </c>
      <c r="D455">
        <v>0.36890818294874</v>
      </c>
      <c r="E455">
        <v>0</v>
      </c>
      <c r="F455">
        <v>0</v>
      </c>
      <c r="G455">
        <v>0.467524489375929</v>
      </c>
      <c r="H455">
        <v>7</v>
      </c>
      <c r="I455">
        <v>13</v>
      </c>
      <c r="J455">
        <v>7.5139544869042493E-2</v>
      </c>
      <c r="K455">
        <v>8.9722675367047301E-3</v>
      </c>
      <c r="L455">
        <v>3.0404352461929601E-2</v>
      </c>
      <c r="M455">
        <v>2.8860028860028799E-3</v>
      </c>
      <c r="N455">
        <v>2.3137340858859799E-2</v>
      </c>
      <c r="O455">
        <v>933</v>
      </c>
      <c r="P455">
        <v>6.0500841750841701E-2</v>
      </c>
      <c r="Q455">
        <v>6.0661313510291297E-2</v>
      </c>
      <c r="R455">
        <v>0.77728613569321503</v>
      </c>
      <c r="S455">
        <v>1</v>
      </c>
      <c r="T455" t="s">
        <v>49</v>
      </c>
      <c r="U455">
        <v>1.6981132075471601E-2</v>
      </c>
      <c r="V455">
        <v>0</v>
      </c>
      <c r="W455">
        <v>0</v>
      </c>
      <c r="X455">
        <v>0.110672454884622</v>
      </c>
      <c r="Y455">
        <v>3.7171287462431202E-2</v>
      </c>
      <c r="Z455">
        <v>4.55554413940489E-2</v>
      </c>
      <c r="AA455">
        <v>0.77728613569321503</v>
      </c>
      <c r="AB455">
        <v>1.9711999222636219E-2</v>
      </c>
      <c r="AC455">
        <v>2.200000017182902E-4</v>
      </c>
      <c r="AD455">
        <v>4.8210001550614834E-3</v>
      </c>
      <c r="AE455">
        <v>0.60412198305130005</v>
      </c>
      <c r="AF455">
        <f>0.16*X455 + 0.28*Y455 + 0.28*Z455 + 0.28*AA455</f>
        <v>0.25851119485545421</v>
      </c>
      <c r="AG455">
        <f t="shared" si="21"/>
        <v>0.17371955517388415</v>
      </c>
      <c r="AH455">
        <f>IF(T455="IT_Admin", 0.25, IF(AND(T455="HR", AA455&gt;0.6), 0.25, IF(AND(T455="General", Z455&gt;0.7), 0.2, 0.1)))</f>
        <v>0.1</v>
      </c>
      <c r="AI455">
        <f>IF(V455&gt;0.7, 0.1,
 IF(F455&gt;0.5, 0.08,
 IF(E455&gt;0.5, 0.05,
 0)))</f>
        <v>0</v>
      </c>
      <c r="AJ455">
        <f t="shared" si="22"/>
        <v>0.19915704707835516</v>
      </c>
      <c r="AK455">
        <f t="shared" si="23"/>
        <v>0.21907275178619071</v>
      </c>
      <c r="AL455" t="str">
        <f>IF(MAX(X455, Y455, Z455, AA455)&gt;0.9,
 "Critical",
 IF(AK455&lt;=0.2,"Very Low",
 IF(AK455&lt;=0.4,"Low",
 IF(AK455&lt;=0.6,"Medium",
 IF(AK455&lt;=0.8,"High","Critical")))))</f>
        <v>Low</v>
      </c>
      <c r="AM455" t="str">
        <f>IF(MAX(X455:AA455)&gt;0.9,"CRITICAL ALERT",
 IF(AK455&gt;0.8,"CRITICAL ALERT",
 IF(AK455&gt;0.6,"ALERT",
 IF(AK455&gt;=0.4,"REVIEW","NO ACTION"))))</f>
        <v>NO ACTION</v>
      </c>
      <c r="AN455" t="str">
        <f>IF(AM455="NO ACTION","",
 IF(_xlfn.TEXTJOIN(", ", TRUE,
  IF(X455&gt;0.7,"Login anomaly",""),
  IF(Y455&gt;0.7,"File anomaly",""),
  IF(Z455&gt;0.7,"Network anomaly",""),
  IF(AA455&gt;0.7,"USB anomaly","")
 )="",
 "General anomaly detected",
 _xlfn.TEXTJOIN(", ", TRUE,
  IF(X455&gt;0.7,"Login anomaly",""),
  IF(Y455&gt;0.7,"File anomaly",""),
  IF(Z455&gt;0.7,"Network anomaly",""),
  IF(AA455&gt;0.7,"USB anomaly","")
 )))</f>
        <v/>
      </c>
    </row>
    <row r="456" spans="1:40" x14ac:dyDescent="0.3">
      <c r="A456" t="s">
        <v>479</v>
      </c>
      <c r="B456">
        <v>0.24423440453686199</v>
      </c>
      <c r="C456">
        <v>0.42155033849321</v>
      </c>
      <c r="D456">
        <v>0.38241098708891602</v>
      </c>
      <c r="E456">
        <v>0</v>
      </c>
      <c r="F456">
        <v>0.53538461538461501</v>
      </c>
      <c r="G456">
        <v>0.45711705774643402</v>
      </c>
      <c r="H456">
        <v>6</v>
      </c>
      <c r="I456">
        <v>15</v>
      </c>
      <c r="J456">
        <v>0.10781928343113401</v>
      </c>
      <c r="K456">
        <v>5.7096247960848204E-3</v>
      </c>
      <c r="L456">
        <v>1.34967745626707E-2</v>
      </c>
      <c r="M456">
        <v>0</v>
      </c>
      <c r="N456">
        <v>0</v>
      </c>
      <c r="O456">
        <v>417</v>
      </c>
      <c r="P456">
        <v>8.1719977553310896E-2</v>
      </c>
      <c r="Q456">
        <v>8.1875241067358606E-2</v>
      </c>
      <c r="R456">
        <v>0</v>
      </c>
      <c r="S456">
        <v>0</v>
      </c>
      <c r="T456" t="s">
        <v>24</v>
      </c>
      <c r="U456">
        <v>0.118867924528301</v>
      </c>
      <c r="V456">
        <v>0</v>
      </c>
      <c r="W456">
        <v>0</v>
      </c>
      <c r="X456">
        <v>0.32887714228052001</v>
      </c>
      <c r="Y456">
        <v>2.8312243967562101E-2</v>
      </c>
      <c r="Z456">
        <v>4.9031986531986503E-2</v>
      </c>
      <c r="AA456">
        <v>0</v>
      </c>
      <c r="AB456">
        <v>6.1817999929189682E-2</v>
      </c>
      <c r="AC456">
        <v>2.637000055983663E-3</v>
      </c>
      <c r="AD456">
        <v>3.3730000723153348E-3</v>
      </c>
      <c r="AE456">
        <v>7.6040001586079597E-3</v>
      </c>
      <c r="AF456">
        <f>0.16*X456 + 0.28*Y456 + 0.28*Z456 + 0.28*AA456</f>
        <v>7.4276727304756818E-2</v>
      </c>
      <c r="AG456">
        <f t="shared" si="21"/>
        <v>1.3702800069004298E-2</v>
      </c>
      <c r="AH456">
        <f>IF(T456="IT_Admin", 0.25, IF(AND(T456="HR", AA456&gt;0.6), 0.25, IF(AND(T456="General", Z456&gt;0.7), 0.2, 0.1)))</f>
        <v>0.25</v>
      </c>
      <c r="AI456">
        <f>IF(V456&gt;0.7, 0.1,
 IF(F456&gt;0.5, 0.08,
 IF(E456&gt;0.5, 0.05,
 0)))</f>
        <v>0.08</v>
      </c>
      <c r="AJ456">
        <f t="shared" si="22"/>
        <v>3.1874978239730054E-2</v>
      </c>
      <c r="AK456">
        <f t="shared" si="23"/>
        <v>4.2393721058840976E-2</v>
      </c>
      <c r="AL456" t="str">
        <f>IF(MAX(X456, Y456, Z456, AA456)&gt;0.9,
 "Critical",
 IF(AK456&lt;=0.2,"Very Low",
 IF(AK456&lt;=0.4,"Low",
 IF(AK456&lt;=0.6,"Medium",
 IF(AK456&lt;=0.8,"High","Critical")))))</f>
        <v>Very Low</v>
      </c>
      <c r="AM456" t="str">
        <f>IF(MAX(X456:AA456)&gt;0.9,"CRITICAL ALERT",
 IF(AK456&gt;0.8,"CRITICAL ALERT",
 IF(AK456&gt;0.6,"ALERT",
 IF(AK456&gt;=0.4,"REVIEW","NO ACTION"))))</f>
        <v>NO ACTION</v>
      </c>
      <c r="AN456" t="str">
        <f>IF(AM456="NO ACTION","",
 IF(_xlfn.TEXTJOIN(", ", TRUE,
  IF(X456&gt;0.7,"Login anomaly",""),
  IF(Y456&gt;0.7,"File anomaly",""),
  IF(Z456&gt;0.7,"Network anomaly",""),
  IF(AA456&gt;0.7,"USB anomaly","")
 )="",
 "General anomaly detected",
 _xlfn.TEXTJOIN(", ", TRUE,
  IF(X456&gt;0.7,"Login anomaly",""),
  IF(Y456&gt;0.7,"File anomaly",""),
  IF(Z456&gt;0.7,"Network anomaly",""),
  IF(AA456&gt;0.7,"USB anomaly","")
 )))</f>
        <v/>
      </c>
    </row>
    <row r="457" spans="1:40" x14ac:dyDescent="0.3">
      <c r="A457" t="s">
        <v>480</v>
      </c>
      <c r="B457">
        <v>0.14102079395084999</v>
      </c>
      <c r="C457">
        <v>0.45578837723938598</v>
      </c>
      <c r="D457">
        <v>0.40666262286051302</v>
      </c>
      <c r="E457">
        <v>0.48334806955496601</v>
      </c>
      <c r="F457">
        <v>8.4880636604774504E-2</v>
      </c>
      <c r="G457">
        <v>0.89644371520038602</v>
      </c>
      <c r="H457">
        <v>0</v>
      </c>
      <c r="I457">
        <v>23</v>
      </c>
      <c r="J457">
        <v>0.108296359906493</v>
      </c>
      <c r="K457">
        <v>2.0391517128874301E-2</v>
      </c>
      <c r="L457">
        <v>4.79908860038449E-2</v>
      </c>
      <c r="M457">
        <v>1.7316017316017301E-3</v>
      </c>
      <c r="N457">
        <v>9.6414062128347792E-3</v>
      </c>
      <c r="O457">
        <v>1242</v>
      </c>
      <c r="P457">
        <v>8.9225589225589194E-2</v>
      </c>
      <c r="Q457">
        <v>8.9379010484238505E-2</v>
      </c>
      <c r="R457">
        <v>9.1445427728613499E-2</v>
      </c>
      <c r="S457">
        <v>1</v>
      </c>
      <c r="T457" t="s">
        <v>24</v>
      </c>
      <c r="U457">
        <v>6.0646900269541698E-2</v>
      </c>
      <c r="V457">
        <v>0</v>
      </c>
      <c r="W457">
        <v>0.13293266846761501</v>
      </c>
      <c r="X457">
        <v>0.30095546236655302</v>
      </c>
      <c r="Y457">
        <v>4.8547136847071501E-2</v>
      </c>
      <c r="Z457">
        <v>5.7391916020487398E-2</v>
      </c>
      <c r="AA457">
        <v>9.1445427728613499E-2</v>
      </c>
      <c r="AB457">
        <v>0.26039201021194458</v>
      </c>
      <c r="AC457">
        <v>2.8000000747852027E-4</v>
      </c>
      <c r="AD457">
        <v>1.9620000384747982E-3</v>
      </c>
      <c r="AE457">
        <v>5.5247001349925988E-2</v>
      </c>
      <c r="AF457">
        <f>0.16*X457 + 0.28*Y457 + 0.28*Z457 + 0.28*AA457</f>
        <v>0.10342052854557675</v>
      </c>
      <c r="AG457">
        <f t="shared" si="21"/>
        <v>5.7759642024757335E-2</v>
      </c>
      <c r="AH457">
        <f>IF(T457="IT_Admin", 0.25, IF(AND(T457="HR", AA457&gt;0.6), 0.25, IF(AND(T457="General", Z457&gt;0.7), 0.2, 0.1)))</f>
        <v>0.25</v>
      </c>
      <c r="AI457">
        <f>IF(V457&gt;0.7, 0.1,
 IF(F457&gt;0.5, 0.08,
 IF(E457&gt;0.5, 0.05,
 0)))</f>
        <v>0</v>
      </c>
      <c r="AJ457">
        <f t="shared" si="22"/>
        <v>7.1457907981003155E-2</v>
      </c>
      <c r="AK457">
        <f t="shared" si="23"/>
        <v>8.9322384976253943E-2</v>
      </c>
      <c r="AL457" t="str">
        <f>IF(MAX(X457, Y457, Z457, AA457)&gt;0.9,
 "Critical",
 IF(AK457&lt;=0.2,"Very Low",
 IF(AK457&lt;=0.4,"Low",
 IF(AK457&lt;=0.6,"Medium",
 IF(AK457&lt;=0.8,"High","Critical")))))</f>
        <v>Very Low</v>
      </c>
      <c r="AM457" t="str">
        <f>IF(MAX(X457:AA457)&gt;0.9,"CRITICAL ALERT",
 IF(AK457&gt;0.8,"CRITICAL ALERT",
 IF(AK457&gt;0.6,"ALERT",
 IF(AK457&gt;=0.4,"REVIEW","NO ACTION"))))</f>
        <v>NO ACTION</v>
      </c>
      <c r="AN457" t="str">
        <f>IF(AM457="NO ACTION","",
 IF(_xlfn.TEXTJOIN(", ", TRUE,
  IF(X457&gt;0.7,"Login anomaly",""),
  IF(Y457&gt;0.7,"File anomaly",""),
  IF(Z457&gt;0.7,"Network anomaly",""),
  IF(AA457&gt;0.7,"USB anomaly","")
 )="",
 "General anomaly detected",
 _xlfn.TEXTJOIN(", ", TRUE,
  IF(X457&gt;0.7,"Login anomaly",""),
  IF(Y457&gt;0.7,"File anomaly",""),
  IF(Z457&gt;0.7,"Network anomaly",""),
  IF(AA457&gt;0.7,"USB anomaly","")
 )))</f>
        <v/>
      </c>
    </row>
    <row r="458" spans="1:40" x14ac:dyDescent="0.3">
      <c r="A458" t="s">
        <v>481</v>
      </c>
      <c r="B458">
        <v>0.23591682419659701</v>
      </c>
      <c r="C458">
        <v>0.66992322595238096</v>
      </c>
      <c r="D458">
        <v>0.36237787158502199</v>
      </c>
      <c r="E458">
        <v>0</v>
      </c>
      <c r="F458">
        <v>0</v>
      </c>
      <c r="G458">
        <v>0.47839017087005098</v>
      </c>
      <c r="H458">
        <v>7</v>
      </c>
      <c r="I458">
        <v>14</v>
      </c>
      <c r="J458">
        <v>9.1407852678784401E-2</v>
      </c>
      <c r="K458">
        <v>1.9575856443719401E-2</v>
      </c>
      <c r="L458">
        <v>5.4561215529618602E-2</v>
      </c>
      <c r="M458">
        <v>2.8860028860028799E-3</v>
      </c>
      <c r="N458">
        <v>1.9030191856844601E-2</v>
      </c>
      <c r="O458">
        <v>978</v>
      </c>
      <c r="P458">
        <v>7.7020202020202003E-2</v>
      </c>
      <c r="Q458">
        <v>7.7176619096041205E-2</v>
      </c>
      <c r="R458">
        <v>0.29793510324483702</v>
      </c>
      <c r="S458">
        <v>1</v>
      </c>
      <c r="T458" t="s">
        <v>49</v>
      </c>
      <c r="U458">
        <v>3.7049742710120001E-2</v>
      </c>
      <c r="V458">
        <v>0</v>
      </c>
      <c r="W458">
        <v>0</v>
      </c>
      <c r="X458">
        <v>0.108713361475506</v>
      </c>
      <c r="Y458">
        <v>5.1271235857619599E-2</v>
      </c>
      <c r="Z458">
        <v>5.3824197954859002E-2</v>
      </c>
      <c r="AA458">
        <v>0.29793510324483702</v>
      </c>
      <c r="AB458">
        <v>2.4091999977827069E-2</v>
      </c>
      <c r="AC458">
        <v>9.6000003395602107E-5</v>
      </c>
      <c r="AD458">
        <v>3.1890000682324171E-3</v>
      </c>
      <c r="AE458">
        <v>0.1021379977464676</v>
      </c>
      <c r="AF458">
        <f>0.16*X458 + 0.28*Y458 + 0.28*Z458 + 0.28*AA458</f>
        <v>0.13024268821212934</v>
      </c>
      <c r="AG458">
        <f t="shared" si="21"/>
        <v>3.3373159385519109E-2</v>
      </c>
      <c r="AH458">
        <f>IF(T458="IT_Admin", 0.25, IF(AND(T458="HR", AA458&gt;0.6), 0.25, IF(AND(T458="General", Z458&gt;0.7), 0.2, 0.1)))</f>
        <v>0.1</v>
      </c>
      <c r="AI458">
        <f>IF(V458&gt;0.7, 0.1,
 IF(F458&gt;0.5, 0.08,
 IF(E458&gt;0.5, 0.05,
 0)))</f>
        <v>0</v>
      </c>
      <c r="AJ458">
        <f t="shared" si="22"/>
        <v>6.2434018033502181E-2</v>
      </c>
      <c r="AK458">
        <f t="shared" si="23"/>
        <v>6.867741983685241E-2</v>
      </c>
      <c r="AL458" t="str">
        <f>IF(MAX(X458, Y458, Z458, AA458)&gt;0.9,
 "Critical",
 IF(AK458&lt;=0.2,"Very Low",
 IF(AK458&lt;=0.4,"Low",
 IF(AK458&lt;=0.6,"Medium",
 IF(AK458&lt;=0.8,"High","Critical")))))</f>
        <v>Very Low</v>
      </c>
      <c r="AM458" t="str">
        <f>IF(MAX(X458:AA458)&gt;0.9,"CRITICAL ALERT",
 IF(AK458&gt;0.8,"CRITICAL ALERT",
 IF(AK458&gt;0.6,"ALERT",
 IF(AK458&gt;=0.4,"REVIEW","NO ACTION"))))</f>
        <v>NO ACTION</v>
      </c>
      <c r="AN458" t="str">
        <f>IF(AM458="NO ACTION","",
 IF(_xlfn.TEXTJOIN(", ", TRUE,
  IF(X458&gt;0.7,"Login anomaly",""),
  IF(Y458&gt;0.7,"File anomaly",""),
  IF(Z458&gt;0.7,"Network anomaly",""),
  IF(AA458&gt;0.7,"USB anomaly","")
 )="",
 "General anomaly detected",
 _xlfn.TEXTJOIN(", ", TRUE,
  IF(X458&gt;0.7,"Login anomaly",""),
  IF(Y458&gt;0.7,"File anomaly",""),
  IF(Z458&gt;0.7,"Network anomaly",""),
  IF(AA458&gt;0.7,"USB anomaly","")
 )))</f>
        <v/>
      </c>
    </row>
    <row r="459" spans="1:40" x14ac:dyDescent="0.3">
      <c r="A459" t="s">
        <v>482</v>
      </c>
      <c r="B459">
        <v>0.12892249527410199</v>
      </c>
      <c r="C459">
        <v>0.36953165208440503</v>
      </c>
      <c r="D459">
        <v>0</v>
      </c>
      <c r="E459">
        <v>0</v>
      </c>
      <c r="F459">
        <v>0</v>
      </c>
      <c r="G459">
        <v>0.99368523147369603</v>
      </c>
      <c r="H459">
        <v>8</v>
      </c>
      <c r="I459">
        <v>8</v>
      </c>
      <c r="J459">
        <v>9.3029912695005004E-2</v>
      </c>
      <c r="K459">
        <v>1.30505709624796E-2</v>
      </c>
      <c r="L459">
        <v>3.5741549883170402E-2</v>
      </c>
      <c r="M459">
        <v>1.44300144300144E-3</v>
      </c>
      <c r="N459">
        <v>9.3496159992323604E-3</v>
      </c>
      <c r="O459">
        <v>1064</v>
      </c>
      <c r="P459">
        <v>7.4705387205387205E-2</v>
      </c>
      <c r="Q459">
        <v>7.4862372453451995E-2</v>
      </c>
      <c r="R459">
        <v>0</v>
      </c>
      <c r="S459">
        <v>0</v>
      </c>
      <c r="T459" t="s">
        <v>49</v>
      </c>
      <c r="U459">
        <v>4.5283018867924497E-2</v>
      </c>
      <c r="V459">
        <v>0</v>
      </c>
      <c r="W459">
        <v>0</v>
      </c>
      <c r="X459">
        <v>0</v>
      </c>
      <c r="Y459">
        <v>3.9281642280355897E-2</v>
      </c>
      <c r="Z459">
        <v>4.8563078722925201E-2</v>
      </c>
      <c r="AA459">
        <v>0</v>
      </c>
      <c r="AB459">
        <v>2.461300045251846E-2</v>
      </c>
      <c r="AC459">
        <v>8.9000001025851816E-5</v>
      </c>
      <c r="AD459">
        <v>4.1950000450015068E-3</v>
      </c>
      <c r="AE459">
        <v>1.469000009819865E-3</v>
      </c>
      <c r="AF459">
        <f>0.16*X459 + 0.28*Y459 + 0.28*Z459 + 0.28*AA459</f>
        <v>2.4596521880918709E-2</v>
      </c>
      <c r="AG459">
        <f t="shared" si="21"/>
        <v>5.5489200880401764E-3</v>
      </c>
      <c r="AH459">
        <f>IF(T459="IT_Admin", 0.25, IF(AND(T459="HR", AA459&gt;0.6), 0.25, IF(AND(T459="General", Z459&gt;0.7), 0.2, 0.1)))</f>
        <v>0.1</v>
      </c>
      <c r="AI459">
        <f>IF(V459&gt;0.7, 0.1,
 IF(F459&gt;0.5, 0.08,
 IF(E459&gt;0.5, 0.05,
 0)))</f>
        <v>0</v>
      </c>
      <c r="AJ459">
        <f t="shared" si="22"/>
        <v>1.1263200625903736E-2</v>
      </c>
      <c r="AK459">
        <f t="shared" si="23"/>
        <v>1.238952068849411E-2</v>
      </c>
      <c r="AL459" t="str">
        <f>IF(MAX(X459, Y459, Z459, AA459)&gt;0.9,
 "Critical",
 IF(AK459&lt;=0.2,"Very Low",
 IF(AK459&lt;=0.4,"Low",
 IF(AK459&lt;=0.6,"Medium",
 IF(AK459&lt;=0.8,"High","Critical")))))</f>
        <v>Very Low</v>
      </c>
      <c r="AM459" t="str">
        <f>IF(MAX(X459:AA459)&gt;0.9,"CRITICAL ALERT",
 IF(AK459&gt;0.8,"CRITICAL ALERT",
 IF(AK459&gt;0.6,"ALERT",
 IF(AK459&gt;=0.4,"REVIEW","NO ACTION"))))</f>
        <v>NO ACTION</v>
      </c>
      <c r="AN459" t="str">
        <f>IF(AM459="NO ACTION","",
 IF(_xlfn.TEXTJOIN(", ", TRUE,
  IF(X459&gt;0.7,"Login anomaly",""),
  IF(Y459&gt;0.7,"File anomaly",""),
  IF(Z459&gt;0.7,"Network anomaly",""),
  IF(AA459&gt;0.7,"USB anomaly","")
 )="",
 "General anomaly detected",
 _xlfn.TEXTJOIN(", ", TRUE,
  IF(X459&gt;0.7,"Login anomaly",""),
  IF(Y459&gt;0.7,"File anomaly",""),
  IF(Z459&gt;0.7,"Network anomaly",""),
  IF(AA459&gt;0.7,"USB anomaly","")
 )))</f>
        <v/>
      </c>
    </row>
    <row r="460" spans="1:40" x14ac:dyDescent="0.3">
      <c r="A460" t="s">
        <v>483</v>
      </c>
      <c r="B460">
        <v>0.28015122873345899</v>
      </c>
      <c r="C460">
        <v>0.82561803341542594</v>
      </c>
      <c r="D460">
        <v>0.39252385099233</v>
      </c>
      <c r="E460">
        <v>0</v>
      </c>
      <c r="F460">
        <v>0</v>
      </c>
      <c r="G460">
        <v>0.37972241430956699</v>
      </c>
      <c r="H460">
        <v>8</v>
      </c>
      <c r="I460">
        <v>18</v>
      </c>
      <c r="J460">
        <v>0.111922141119221</v>
      </c>
      <c r="K460">
        <v>1.38662316476345E-2</v>
      </c>
      <c r="L460">
        <v>3.1578860335154398E-2</v>
      </c>
      <c r="M460">
        <v>4.6176046176046098E-3</v>
      </c>
      <c r="N460">
        <v>2.4879284428412401E-2</v>
      </c>
      <c r="O460">
        <v>1274</v>
      </c>
      <c r="P460">
        <v>9.0488215488215507E-2</v>
      </c>
      <c r="Q460">
        <v>9.0641326834741701E-2</v>
      </c>
      <c r="R460">
        <v>0</v>
      </c>
      <c r="S460">
        <v>0</v>
      </c>
      <c r="T460" t="s">
        <v>24</v>
      </c>
      <c r="U460">
        <v>1.6981132075471601E-2</v>
      </c>
      <c r="V460">
        <v>0</v>
      </c>
      <c r="W460">
        <v>0</v>
      </c>
      <c r="X460">
        <v>0.11775715529769901</v>
      </c>
      <c r="Y460">
        <v>4.5637643719945199E-2</v>
      </c>
      <c r="Z460">
        <v>6.4244643064294199E-2</v>
      </c>
      <c r="AA460">
        <v>0</v>
      </c>
      <c r="AB460">
        <v>7.4455998837947845E-2</v>
      </c>
      <c r="AC460">
        <v>1.610000035725534E-4</v>
      </c>
      <c r="AD460">
        <v>2.0059999078512192E-3</v>
      </c>
      <c r="AE460">
        <v>8.8050002232193947E-3</v>
      </c>
      <c r="AF460">
        <f>0.16*X460 + 0.28*Y460 + 0.28*Z460 + 0.28*AA460</f>
        <v>4.9608185147218875E-2</v>
      </c>
      <c r="AG460">
        <f t="shared" si="21"/>
        <v>1.4985119851771743E-2</v>
      </c>
      <c r="AH460">
        <f>IF(T460="IT_Admin", 0.25, IF(AND(T460="HR", AA460&gt;0.6), 0.25, IF(AND(T460="General", Z460&gt;0.7), 0.2, 0.1)))</f>
        <v>0.25</v>
      </c>
      <c r="AI460">
        <f>IF(V460&gt;0.7, 0.1,
 IF(F460&gt;0.5, 0.08,
 IF(E460&gt;0.5, 0.05,
 0)))</f>
        <v>0</v>
      </c>
      <c r="AJ460">
        <f t="shared" si="22"/>
        <v>2.5372039440405881E-2</v>
      </c>
      <c r="AK460">
        <f t="shared" si="23"/>
        <v>3.171504930050735E-2</v>
      </c>
      <c r="AL460" t="str">
        <f>IF(MAX(X460, Y460, Z460, AA460)&gt;0.9,
 "Critical",
 IF(AK460&lt;=0.2,"Very Low",
 IF(AK460&lt;=0.4,"Low",
 IF(AK460&lt;=0.6,"Medium",
 IF(AK460&lt;=0.8,"High","Critical")))))</f>
        <v>Very Low</v>
      </c>
      <c r="AM460" t="str">
        <f>IF(MAX(X460:AA460)&gt;0.9,"CRITICAL ALERT",
 IF(AK460&gt;0.8,"CRITICAL ALERT",
 IF(AK460&gt;0.6,"ALERT",
 IF(AK460&gt;=0.4,"REVIEW","NO ACTION"))))</f>
        <v>NO ACTION</v>
      </c>
      <c r="AN460" t="str">
        <f>IF(AM460="NO ACTION","",
 IF(_xlfn.TEXTJOIN(", ", TRUE,
  IF(X460&gt;0.7,"Login anomaly",""),
  IF(Y460&gt;0.7,"File anomaly",""),
  IF(Z460&gt;0.7,"Network anomaly",""),
  IF(AA460&gt;0.7,"USB anomaly","")
 )="",
 "General anomaly detected",
 _xlfn.TEXTJOIN(", ", TRUE,
  IF(X460&gt;0.7,"Login anomaly",""),
  IF(Y460&gt;0.7,"File anomaly",""),
  IF(Z460&gt;0.7,"Network anomaly",""),
  IF(AA460&gt;0.7,"USB anomaly","")
 )))</f>
        <v/>
      </c>
    </row>
    <row r="461" spans="1:40" x14ac:dyDescent="0.3">
      <c r="A461" t="s">
        <v>484</v>
      </c>
      <c r="B461">
        <v>0.93988657844990497</v>
      </c>
      <c r="C461">
        <v>0.93866975880878001</v>
      </c>
      <c r="D461">
        <v>1</v>
      </c>
      <c r="E461">
        <v>0</v>
      </c>
      <c r="F461">
        <v>0.39839357429718802</v>
      </c>
      <c r="G461">
        <v>9.5102483712538807E-3</v>
      </c>
      <c r="H461">
        <v>0</v>
      </c>
      <c r="I461">
        <v>23</v>
      </c>
      <c r="J461">
        <v>4.23643910118792E-2</v>
      </c>
      <c r="K461">
        <v>1.0603588907014599E-2</v>
      </c>
      <c r="L461">
        <v>6.3575832186504505E-2</v>
      </c>
      <c r="M461">
        <v>1.44300144300144E-3</v>
      </c>
      <c r="N461">
        <v>2.0468644208845699E-2</v>
      </c>
      <c r="O461">
        <v>569</v>
      </c>
      <c r="P461">
        <v>3.64057239057239E-2</v>
      </c>
      <c r="Q461">
        <v>3.6572109821522397E-2</v>
      </c>
      <c r="R461">
        <v>0</v>
      </c>
      <c r="S461">
        <v>0</v>
      </c>
      <c r="T461" t="s">
        <v>49</v>
      </c>
      <c r="U461">
        <v>3.6792452830188602E-2</v>
      </c>
      <c r="V461">
        <v>0</v>
      </c>
      <c r="W461">
        <v>0</v>
      </c>
      <c r="X461">
        <v>0.459357429718875</v>
      </c>
      <c r="Y461">
        <v>4.6401387558281798E-2</v>
      </c>
      <c r="Z461">
        <v>3.0030892026972601E-2</v>
      </c>
      <c r="AA461">
        <v>0</v>
      </c>
      <c r="AB461">
        <v>0.96046900749206543</v>
      </c>
      <c r="AC461">
        <v>1.8800000543706119E-4</v>
      </c>
      <c r="AD461">
        <v>8.2449996843934059E-3</v>
      </c>
      <c r="AE461">
        <v>1.8102999776601791E-2</v>
      </c>
      <c r="AF461">
        <f>0.16*X461 + 0.28*Y461 + 0.28*Z461 + 0.28*AA461</f>
        <v>9.4898227038891239E-2</v>
      </c>
      <c r="AG461">
        <f t="shared" si="21"/>
        <v>0.1611051210493315</v>
      </c>
      <c r="AH461">
        <f>IF(T461="IT_Admin", 0.25, IF(AND(T461="HR", AA461&gt;0.6), 0.25, IF(AND(T461="General", Z461&gt;0.7), 0.2, 0.1)))</f>
        <v>0.1</v>
      </c>
      <c r="AI461">
        <f>IF(V461&gt;0.7, 0.1,
 IF(F461&gt;0.5, 0.08,
 IF(E461&gt;0.5, 0.05,
 0)))</f>
        <v>0</v>
      </c>
      <c r="AJ461">
        <f t="shared" si="22"/>
        <v>0.14124305284619942</v>
      </c>
      <c r="AK461">
        <f t="shared" si="23"/>
        <v>0.15536735813081937</v>
      </c>
      <c r="AL461" t="str">
        <f>IF(MAX(X461, Y461, Z461, AA461)&gt;0.9,
 "Critical",
 IF(AK461&lt;=0.2,"Very Low",
 IF(AK461&lt;=0.4,"Low",
 IF(AK461&lt;=0.6,"Medium",
 IF(AK461&lt;=0.8,"High","Critical")))))</f>
        <v>Very Low</v>
      </c>
      <c r="AM461" t="str">
        <f>IF(MAX(X461:AA461)&gt;0.9,"CRITICAL ALERT",
 IF(AK461&gt;0.8,"CRITICAL ALERT",
 IF(AK461&gt;0.6,"ALERT",
 IF(AK461&gt;=0.4,"REVIEW","NO ACTION"))))</f>
        <v>NO ACTION</v>
      </c>
      <c r="AN461" t="str">
        <f>IF(AM461="NO ACTION","",
 IF(_xlfn.TEXTJOIN(", ", TRUE,
  IF(X461&gt;0.7,"Login anomaly",""),
  IF(Y461&gt;0.7,"File anomaly",""),
  IF(Z461&gt;0.7,"Network anomaly",""),
  IF(AA461&gt;0.7,"USB anomaly","")
 )="",
 "General anomaly detected",
 _xlfn.TEXTJOIN(", ", TRUE,
  IF(X461&gt;0.7,"Login anomaly",""),
  IF(Y461&gt;0.7,"File anomaly",""),
  IF(Z461&gt;0.7,"Network anomaly",""),
  IF(AA461&gt;0.7,"USB anomaly","")
 )))</f>
        <v/>
      </c>
    </row>
    <row r="462" spans="1:40" x14ac:dyDescent="0.3">
      <c r="A462" t="s">
        <v>485</v>
      </c>
      <c r="B462">
        <v>0.12892249527410199</v>
      </c>
      <c r="C462">
        <v>0.47128674468735698</v>
      </c>
      <c r="D462">
        <v>7.4745173332315298E-2</v>
      </c>
      <c r="E462">
        <v>0</v>
      </c>
      <c r="F462">
        <v>0</v>
      </c>
      <c r="G462">
        <v>0.99369296589365796</v>
      </c>
      <c r="H462">
        <v>8</v>
      </c>
      <c r="I462">
        <v>9</v>
      </c>
      <c r="J462">
        <v>0.120986594151042</v>
      </c>
      <c r="K462">
        <v>2.6916802610114102E-2</v>
      </c>
      <c r="L462">
        <v>5.67165016409076E-2</v>
      </c>
      <c r="M462">
        <v>2.8860028860028799E-3</v>
      </c>
      <c r="N462">
        <v>1.43868550007865E-2</v>
      </c>
      <c r="O462">
        <v>1378</v>
      </c>
      <c r="P462">
        <v>0.10192199775533101</v>
      </c>
      <c r="Q462">
        <v>0.102072302675409</v>
      </c>
      <c r="R462">
        <v>0</v>
      </c>
      <c r="S462">
        <v>0</v>
      </c>
      <c r="T462" t="s">
        <v>24</v>
      </c>
      <c r="U462">
        <v>5.0943396226415097E-2</v>
      </c>
      <c r="V462">
        <v>0</v>
      </c>
      <c r="W462">
        <v>0</v>
      </c>
      <c r="X462">
        <v>2.2423551999694601E-2</v>
      </c>
      <c r="Y462">
        <v>5.6871626150898198E-2</v>
      </c>
      <c r="Z462">
        <v>6.6907940653513201E-2</v>
      </c>
      <c r="AA462">
        <v>0</v>
      </c>
      <c r="AB462">
        <v>1.351800002157688E-2</v>
      </c>
      <c r="AC462">
        <v>2.0999999833293259E-4</v>
      </c>
      <c r="AD462">
        <v>1.5300000086426731E-3</v>
      </c>
      <c r="AE462">
        <v>1.2339999666437511E-3</v>
      </c>
      <c r="AF462">
        <f>0.16*X462 + 0.28*Y462 + 0.28*Z462 + 0.28*AA462</f>
        <v>3.824604702518633E-2</v>
      </c>
      <c r="AG462">
        <f t="shared" si="21"/>
        <v>2.9955999960657206E-3</v>
      </c>
      <c r="AH462">
        <f>IF(T462="IT_Admin", 0.25, IF(AND(T462="HR", AA462&gt;0.6), 0.25, IF(AND(T462="General", Z462&gt;0.7), 0.2, 0.1)))</f>
        <v>0.25</v>
      </c>
      <c r="AI462">
        <f>IF(V462&gt;0.7, 0.1,
 IF(F462&gt;0.5, 0.08,
 IF(E462&gt;0.5, 0.05,
 0)))</f>
        <v>0</v>
      </c>
      <c r="AJ462">
        <f t="shared" si="22"/>
        <v>1.3570734104801902E-2</v>
      </c>
      <c r="AK462">
        <f t="shared" si="23"/>
        <v>1.6963417631002377E-2</v>
      </c>
      <c r="AL462" t="str">
        <f>IF(MAX(X462, Y462, Z462, AA462)&gt;0.9,
 "Critical",
 IF(AK462&lt;=0.2,"Very Low",
 IF(AK462&lt;=0.4,"Low",
 IF(AK462&lt;=0.6,"Medium",
 IF(AK462&lt;=0.8,"High","Critical")))))</f>
        <v>Very Low</v>
      </c>
      <c r="AM462" t="str">
        <f>IF(MAX(X462:AA462)&gt;0.9,"CRITICAL ALERT",
 IF(AK462&gt;0.8,"CRITICAL ALERT",
 IF(AK462&gt;0.6,"ALERT",
 IF(AK462&gt;=0.4,"REVIEW","NO ACTION"))))</f>
        <v>NO ACTION</v>
      </c>
      <c r="AN462" t="str">
        <f>IF(AM462="NO ACTION","",
 IF(_xlfn.TEXTJOIN(", ", TRUE,
  IF(X462&gt;0.7,"Login anomaly",""),
  IF(Y462&gt;0.7,"File anomaly",""),
  IF(Z462&gt;0.7,"Network anomaly",""),
  IF(AA462&gt;0.7,"USB anomaly","")
 )="",
 "General anomaly detected",
 _xlfn.TEXTJOIN(", ", TRUE,
  IF(X462&gt;0.7,"Login anomaly",""),
  IF(Y462&gt;0.7,"File anomaly",""),
  IF(Z462&gt;0.7,"Network anomaly",""),
  IF(AA462&gt;0.7,"USB anomaly","")
 )))</f>
        <v/>
      </c>
    </row>
    <row r="463" spans="1:40" x14ac:dyDescent="0.3">
      <c r="A463" t="s">
        <v>486</v>
      </c>
      <c r="B463">
        <v>0.12892249527410199</v>
      </c>
      <c r="C463">
        <v>0.18476582604220201</v>
      </c>
      <c r="D463">
        <v>0</v>
      </c>
      <c r="E463">
        <v>0</v>
      </c>
      <c r="F463">
        <v>0</v>
      </c>
      <c r="G463">
        <v>0.99366194792571405</v>
      </c>
      <c r="H463">
        <v>7</v>
      </c>
      <c r="I463">
        <v>7</v>
      </c>
      <c r="J463">
        <v>9.1694098563999807E-2</v>
      </c>
      <c r="K463">
        <v>9.7879282218597003E-3</v>
      </c>
      <c r="L463">
        <v>2.7195665550699799E-2</v>
      </c>
      <c r="M463">
        <v>1.1544011544011501E-3</v>
      </c>
      <c r="N463">
        <v>7.5883754140111098E-3</v>
      </c>
      <c r="O463">
        <v>1107</v>
      </c>
      <c r="P463">
        <v>7.2180134680134594E-2</v>
      </c>
      <c r="Q463">
        <v>7.2337739752445701E-2</v>
      </c>
      <c r="R463">
        <v>0</v>
      </c>
      <c r="S463">
        <v>0</v>
      </c>
      <c r="T463" t="s">
        <v>49</v>
      </c>
      <c r="U463">
        <v>4.0754716981131998E-2</v>
      </c>
      <c r="V463">
        <v>0</v>
      </c>
      <c r="W463">
        <v>0</v>
      </c>
      <c r="X463">
        <v>0</v>
      </c>
      <c r="Y463">
        <v>3.42131651123532E-2</v>
      </c>
      <c r="Z463">
        <v>4.63434309736852E-2</v>
      </c>
      <c r="AA463">
        <v>0</v>
      </c>
      <c r="AB463">
        <v>3.6580000072717667E-2</v>
      </c>
      <c r="AC463">
        <v>1.8099999579135331E-4</v>
      </c>
      <c r="AD463">
        <v>4.5480001717805862E-3</v>
      </c>
      <c r="AE463">
        <v>1.3729999773204331E-3</v>
      </c>
      <c r="AF463">
        <f>0.16*X463 + 0.28*Y463 + 0.28*Z463 + 0.28*AA463</f>
        <v>2.2555846904090755E-2</v>
      </c>
      <c r="AG463">
        <f t="shared" si="21"/>
        <v>7.5613600522046907E-3</v>
      </c>
      <c r="AH463">
        <f>IF(T463="IT_Admin", 0.25, IF(AND(T463="HR", AA463&gt;0.6), 0.25, IF(AND(T463="General", Z463&gt;0.7), 0.2, 0.1)))</f>
        <v>0.1</v>
      </c>
      <c r="AI463">
        <f>IF(V463&gt;0.7, 0.1,
 IF(F463&gt;0.5, 0.08,
 IF(E463&gt;0.5, 0.05,
 0)))</f>
        <v>0</v>
      </c>
      <c r="AJ463">
        <f t="shared" si="22"/>
        <v>1.2059706107770509E-2</v>
      </c>
      <c r="AK463">
        <f t="shared" si="23"/>
        <v>1.3265676718547562E-2</v>
      </c>
      <c r="AL463" t="str">
        <f>IF(MAX(X463, Y463, Z463, AA463)&gt;0.9,
 "Critical",
 IF(AK463&lt;=0.2,"Very Low",
 IF(AK463&lt;=0.4,"Low",
 IF(AK463&lt;=0.6,"Medium",
 IF(AK463&lt;=0.8,"High","Critical")))))</f>
        <v>Very Low</v>
      </c>
      <c r="AM463" t="str">
        <f>IF(MAX(X463:AA463)&gt;0.9,"CRITICAL ALERT",
 IF(AK463&gt;0.8,"CRITICAL ALERT",
 IF(AK463&gt;0.6,"ALERT",
 IF(AK463&gt;=0.4,"REVIEW","NO ACTION"))))</f>
        <v>NO ACTION</v>
      </c>
      <c r="AN463" t="str">
        <f>IF(AM463="NO ACTION","",
 IF(_xlfn.TEXTJOIN(", ", TRUE,
  IF(X463&gt;0.7,"Login anomaly",""),
  IF(Y463&gt;0.7,"File anomaly",""),
  IF(Z463&gt;0.7,"Network anomaly",""),
  IF(AA463&gt;0.7,"USB anomaly","")
 )="",
 "General anomaly detected",
 _xlfn.TEXTJOIN(", ", TRUE,
  IF(X463&gt;0.7,"Login anomaly",""),
  IF(Y463&gt;0.7,"File anomaly",""),
  IF(Z463&gt;0.7,"Network anomaly",""),
  IF(AA463&gt;0.7,"USB anomaly","")
 )))</f>
        <v/>
      </c>
    </row>
    <row r="464" spans="1:40" x14ac:dyDescent="0.3">
      <c r="A464" t="s">
        <v>487</v>
      </c>
      <c r="B464">
        <v>0.25368620037807099</v>
      </c>
      <c r="C464">
        <v>0.47710642191342101</v>
      </c>
      <c r="D464">
        <v>0.54365885038767103</v>
      </c>
      <c r="E464">
        <v>0</v>
      </c>
      <c r="F464">
        <v>0.56444444444444397</v>
      </c>
      <c r="G464">
        <v>0.43462177872577901</v>
      </c>
      <c r="H464">
        <v>0</v>
      </c>
      <c r="I464">
        <v>23</v>
      </c>
      <c r="J464">
        <v>9.4747388006297395E-2</v>
      </c>
      <c r="K464">
        <v>1.2234910277324601E-2</v>
      </c>
      <c r="L464">
        <v>3.2901837968482298E-2</v>
      </c>
      <c r="M464">
        <v>2.59740259740259E-3</v>
      </c>
      <c r="N464">
        <v>1.65250119042183E-2</v>
      </c>
      <c r="O464">
        <v>1088</v>
      </c>
      <c r="P464">
        <v>7.6178451178451095E-2</v>
      </c>
      <c r="Q464">
        <v>7.6335074862372398E-2</v>
      </c>
      <c r="R464">
        <v>0.39823008849557501</v>
      </c>
      <c r="S464">
        <v>1</v>
      </c>
      <c r="T464" t="s">
        <v>49</v>
      </c>
      <c r="U464">
        <v>2.54716981132075E-2</v>
      </c>
      <c r="V464">
        <v>0</v>
      </c>
      <c r="W464">
        <v>0.60604613914076799</v>
      </c>
      <c r="X464">
        <v>0.388875432894079</v>
      </c>
      <c r="Y464">
        <v>4.0357900156766102E-2</v>
      </c>
      <c r="Z464">
        <v>5.2317075468758002E-2</v>
      </c>
      <c r="AA464">
        <v>0.39823008849557501</v>
      </c>
      <c r="AB464">
        <v>0.20499199628829959</v>
      </c>
      <c r="AC464">
        <v>8.3999999333173037E-5</v>
      </c>
      <c r="AD464">
        <v>2.8460000175982709E-3</v>
      </c>
      <c r="AE464">
        <v>0.14097000658512121</v>
      </c>
      <c r="AF464">
        <f>0.16*X464 + 0.28*Y464 + 0.28*Z464 + 0.28*AA464</f>
        <v>0.19967348721696043</v>
      </c>
      <c r="AG464">
        <f t="shared" si="21"/>
        <v>7.3090721254702673E-2</v>
      </c>
      <c r="AH464">
        <f>IF(T464="IT_Admin", 0.25, IF(AND(T464="HR", AA464&gt;0.6), 0.25, IF(AND(T464="General", Z464&gt;0.7), 0.2, 0.1)))</f>
        <v>0.1</v>
      </c>
      <c r="AI464">
        <f>IF(V464&gt;0.7, 0.1,
 IF(F464&gt;0.5, 0.08,
 IF(E464&gt;0.5, 0.05,
 0)))</f>
        <v>0.08</v>
      </c>
      <c r="AJ464">
        <f t="shared" si="22"/>
        <v>0.11106555104337999</v>
      </c>
      <c r="AK464">
        <f t="shared" si="23"/>
        <v>0.13105735023118842</v>
      </c>
      <c r="AL464" t="str">
        <f>IF(MAX(X464, Y464, Z464, AA464)&gt;0.9,
 "Critical",
 IF(AK464&lt;=0.2,"Very Low",
 IF(AK464&lt;=0.4,"Low",
 IF(AK464&lt;=0.6,"Medium",
 IF(AK464&lt;=0.8,"High","Critical")))))</f>
        <v>Very Low</v>
      </c>
      <c r="AM464" t="str">
        <f>IF(MAX(X464:AA464)&gt;0.9,"CRITICAL ALERT",
 IF(AK464&gt;0.8,"CRITICAL ALERT",
 IF(AK464&gt;0.6,"ALERT",
 IF(AK464&gt;=0.4,"REVIEW","NO ACTION"))))</f>
        <v>NO ACTION</v>
      </c>
      <c r="AN464" t="str">
        <f>IF(AM464="NO ACTION","",
 IF(_xlfn.TEXTJOIN(", ", TRUE,
  IF(X464&gt;0.7,"Login anomaly",""),
  IF(Y464&gt;0.7,"File anomaly",""),
  IF(Z464&gt;0.7,"Network anomaly",""),
  IF(AA464&gt;0.7,"USB anomaly","")
 )="",
 "General anomaly detected",
 _xlfn.TEXTJOIN(", ", TRUE,
  IF(X464&gt;0.7,"Login anomaly",""),
  IF(Y464&gt;0.7,"File anomaly",""),
  IF(Z464&gt;0.7,"Network anomaly",""),
  IF(AA464&gt;0.7,"USB anomaly","")
 )))</f>
        <v/>
      </c>
    </row>
    <row r="465" spans="1:40" x14ac:dyDescent="0.3">
      <c r="A465" t="s">
        <v>488</v>
      </c>
      <c r="B465">
        <v>0.23629489603024501</v>
      </c>
      <c r="C465">
        <v>0.55077253390958603</v>
      </c>
      <c r="D465">
        <v>0.33710360668871803</v>
      </c>
      <c r="E465">
        <v>0</v>
      </c>
      <c r="F465">
        <v>0</v>
      </c>
      <c r="G465">
        <v>0.47741428228237898</v>
      </c>
      <c r="H465">
        <v>7</v>
      </c>
      <c r="I465">
        <v>13</v>
      </c>
      <c r="J465">
        <v>9.9661275702495097E-2</v>
      </c>
      <c r="K465">
        <v>1.7944535073409401E-2</v>
      </c>
      <c r="L465">
        <v>4.5882403906254803E-2</v>
      </c>
      <c r="M465">
        <v>2.59740259740259E-3</v>
      </c>
      <c r="N465">
        <v>1.5712177030228602E-2</v>
      </c>
      <c r="O465">
        <v>1122</v>
      </c>
      <c r="P465">
        <v>8.2246071829405104E-2</v>
      </c>
      <c r="Q465">
        <v>8.2401206213401496E-2</v>
      </c>
      <c r="R465">
        <v>0.100294985250737</v>
      </c>
      <c r="S465">
        <v>1</v>
      </c>
      <c r="T465" t="s">
        <v>24</v>
      </c>
      <c r="U465">
        <v>3.7358490566037697E-2</v>
      </c>
      <c r="V465">
        <v>0</v>
      </c>
      <c r="W465">
        <v>0</v>
      </c>
      <c r="X465">
        <v>0.101131082006615</v>
      </c>
      <c r="Y465">
        <v>4.7587110202695002E-2</v>
      </c>
      <c r="Z465">
        <v>5.5632513909734498E-2</v>
      </c>
      <c r="AA465">
        <v>0.100294985250737</v>
      </c>
      <c r="AB465">
        <v>1.524200011044741E-2</v>
      </c>
      <c r="AC465">
        <v>2.9999999242136252E-5</v>
      </c>
      <c r="AD465">
        <v>2.8129999991506338E-3</v>
      </c>
      <c r="AE465">
        <v>6.0350000858306878E-2</v>
      </c>
      <c r="AF465">
        <f>0.16*X465 + 0.28*Y465 + 0.28*Z465 + 0.28*AA465</f>
        <v>7.3165063742745035E-2</v>
      </c>
      <c r="AG465">
        <f t="shared" si="21"/>
        <v>2.013276025754749E-2</v>
      </c>
      <c r="AH465">
        <f>IF(T465="IT_Admin", 0.25, IF(AND(T465="HR", AA465&gt;0.6), 0.25, IF(AND(T465="General", Z465&gt;0.7), 0.2, 0.1)))</f>
        <v>0.25</v>
      </c>
      <c r="AI465">
        <f>IF(V465&gt;0.7, 0.1,
 IF(F465&gt;0.5, 0.08,
 IF(E465&gt;0.5, 0.05,
 0)))</f>
        <v>0</v>
      </c>
      <c r="AJ465">
        <f t="shared" si="22"/>
        <v>3.6042451303106751E-2</v>
      </c>
      <c r="AK465">
        <f t="shared" si="23"/>
        <v>4.5053064128883435E-2</v>
      </c>
      <c r="AL465" t="str">
        <f>IF(MAX(X465, Y465, Z465, AA465)&gt;0.9,
 "Critical",
 IF(AK465&lt;=0.2,"Very Low",
 IF(AK465&lt;=0.4,"Low",
 IF(AK465&lt;=0.6,"Medium",
 IF(AK465&lt;=0.8,"High","Critical")))))</f>
        <v>Very Low</v>
      </c>
      <c r="AM465" t="str">
        <f>IF(MAX(X465:AA465)&gt;0.9,"CRITICAL ALERT",
 IF(AK465&gt;0.8,"CRITICAL ALERT",
 IF(AK465&gt;0.6,"ALERT",
 IF(AK465&gt;=0.4,"REVIEW","NO ACTION"))))</f>
        <v>NO ACTION</v>
      </c>
      <c r="AN465" t="str">
        <f>IF(AM465="NO ACTION","",
 IF(_xlfn.TEXTJOIN(", ", TRUE,
  IF(X465&gt;0.7,"Login anomaly",""),
  IF(Y465&gt;0.7,"File anomaly",""),
  IF(Z465&gt;0.7,"Network anomaly",""),
  IF(AA465&gt;0.7,"USB anomaly","")
 )="",
 "General anomaly detected",
 _xlfn.TEXTJOIN(", ", TRUE,
  IF(X465&gt;0.7,"Login anomaly",""),
  IF(Y465&gt;0.7,"File anomaly",""),
  IF(Z465&gt;0.7,"Network anomaly",""),
  IF(AA465&gt;0.7,"USB anomaly","")
 )))</f>
        <v/>
      </c>
    </row>
    <row r="466" spans="1:40" x14ac:dyDescent="0.3">
      <c r="A466" t="s">
        <v>489</v>
      </c>
      <c r="B466">
        <v>0.12892249527410199</v>
      </c>
      <c r="C466">
        <v>0.26831211260041599</v>
      </c>
      <c r="D466">
        <v>7.4788307505895393E-2</v>
      </c>
      <c r="E466">
        <v>0</v>
      </c>
      <c r="F466">
        <v>0</v>
      </c>
      <c r="G466">
        <v>0.99367953101884499</v>
      </c>
      <c r="H466">
        <v>7</v>
      </c>
      <c r="I466">
        <v>8</v>
      </c>
      <c r="J466">
        <v>9.3125327990076806E-2</v>
      </c>
      <c r="K466">
        <v>1.9575856443719401E-2</v>
      </c>
      <c r="L466">
        <v>5.3557534508123297E-2</v>
      </c>
      <c r="M466">
        <v>3.7518037518037501E-3</v>
      </c>
      <c r="N466">
        <v>2.4284158469135401E-2</v>
      </c>
      <c r="O466">
        <v>1064</v>
      </c>
      <c r="P466">
        <v>7.8703703703703706E-2</v>
      </c>
      <c r="Q466">
        <v>7.8859707563378803E-2</v>
      </c>
      <c r="R466">
        <v>0</v>
      </c>
      <c r="S466">
        <v>0</v>
      </c>
      <c r="T466" t="s">
        <v>49</v>
      </c>
      <c r="U466">
        <v>2.9110512129380001E-2</v>
      </c>
      <c r="V466">
        <v>0</v>
      </c>
      <c r="W466">
        <v>0</v>
      </c>
      <c r="X466">
        <v>2.2436492251768601E-2</v>
      </c>
      <c r="Y466">
        <v>5.2689080392817597E-2</v>
      </c>
      <c r="Z466">
        <v>5.6935885609876398E-2</v>
      </c>
      <c r="AA466">
        <v>0</v>
      </c>
      <c r="AB466">
        <v>1.9029999151825901E-2</v>
      </c>
      <c r="AC466">
        <v>6.3999999838415533E-5</v>
      </c>
      <c r="AD466">
        <v>3.4060000907629728E-3</v>
      </c>
      <c r="AE466">
        <v>1.8700000364333389E-3</v>
      </c>
      <c r="AF466">
        <f>0.16*X466 + 0.28*Y466 + 0.28*Z466 + 0.28*AA466</f>
        <v>3.4284829241037297E-2</v>
      </c>
      <c r="AG466">
        <f t="shared" si="21"/>
        <v>4.5399998998618685E-3</v>
      </c>
      <c r="AH466">
        <f>IF(T466="IT_Admin", 0.25, IF(AND(T466="HR", AA466&gt;0.6), 0.25, IF(AND(T466="General", Z466&gt;0.7), 0.2, 0.1)))</f>
        <v>0.1</v>
      </c>
      <c r="AI466">
        <f>IF(V466&gt;0.7, 0.1,
 IF(F466&gt;0.5, 0.08,
 IF(E466&gt;0.5, 0.05,
 0)))</f>
        <v>0</v>
      </c>
      <c r="AJ466">
        <f t="shared" si="22"/>
        <v>1.3463448702214496E-2</v>
      </c>
      <c r="AK466">
        <f t="shared" si="23"/>
        <v>1.4809793572435948E-2</v>
      </c>
      <c r="AL466" t="str">
        <f>IF(MAX(X466, Y466, Z466, AA466)&gt;0.9,
 "Critical",
 IF(AK466&lt;=0.2,"Very Low",
 IF(AK466&lt;=0.4,"Low",
 IF(AK466&lt;=0.6,"Medium",
 IF(AK466&lt;=0.8,"High","Critical")))))</f>
        <v>Very Low</v>
      </c>
      <c r="AM466" t="str">
        <f>IF(MAX(X466:AA466)&gt;0.9,"CRITICAL ALERT",
 IF(AK466&gt;0.8,"CRITICAL ALERT",
 IF(AK466&gt;0.6,"ALERT",
 IF(AK466&gt;=0.4,"REVIEW","NO ACTION"))))</f>
        <v>NO ACTION</v>
      </c>
      <c r="AN466" t="str">
        <f>IF(AM466="NO ACTION","",
 IF(_xlfn.TEXTJOIN(", ", TRUE,
  IF(X466&gt;0.7,"Login anomaly",""),
  IF(Y466&gt;0.7,"File anomaly",""),
  IF(Z466&gt;0.7,"Network anomaly",""),
  IF(AA466&gt;0.7,"USB anomaly","")
 )="",
 "General anomaly detected",
 _xlfn.TEXTJOIN(", ", TRUE,
  IF(X466&gt;0.7,"Login anomaly",""),
  IF(Y466&gt;0.7,"File anomaly",""),
  IF(Z466&gt;0.7,"Network anomaly",""),
  IF(AA466&gt;0.7,"USB anomaly","")
 )))</f>
        <v/>
      </c>
    </row>
    <row r="467" spans="1:40" x14ac:dyDescent="0.3">
      <c r="A467" t="s">
        <v>490</v>
      </c>
      <c r="B467">
        <v>0.12892249527410199</v>
      </c>
      <c r="C467">
        <v>0.36953165208440503</v>
      </c>
      <c r="D467">
        <v>0</v>
      </c>
      <c r="E467">
        <v>0</v>
      </c>
      <c r="F467">
        <v>0</v>
      </c>
      <c r="G467">
        <v>0.99367064580283404</v>
      </c>
      <c r="H467">
        <v>8</v>
      </c>
      <c r="I467">
        <v>8</v>
      </c>
      <c r="J467">
        <v>0.10323934926768701</v>
      </c>
      <c r="K467">
        <v>1.30505709624796E-2</v>
      </c>
      <c r="L467">
        <v>3.2215182121529802E-2</v>
      </c>
      <c r="M467">
        <v>3.1746031746031698E-3</v>
      </c>
      <c r="N467">
        <v>1.8539741084692599E-2</v>
      </c>
      <c r="O467">
        <v>897</v>
      </c>
      <c r="P467">
        <v>8.3052749719416397E-2</v>
      </c>
      <c r="Q467">
        <v>8.3207686104000797E-2</v>
      </c>
      <c r="R467">
        <v>0</v>
      </c>
      <c r="S467">
        <v>0</v>
      </c>
      <c r="T467" t="s">
        <v>24</v>
      </c>
      <c r="U467">
        <v>2.26415094339622E-2</v>
      </c>
      <c r="V467">
        <v>0</v>
      </c>
      <c r="W467">
        <v>0</v>
      </c>
      <c r="X467">
        <v>0</v>
      </c>
      <c r="Y467">
        <v>4.2317383239710203E-2</v>
      </c>
      <c r="Z467">
        <v>5.7247546265526902E-2</v>
      </c>
      <c r="AA467">
        <v>0</v>
      </c>
      <c r="AB467">
        <v>2.4638000875711441E-2</v>
      </c>
      <c r="AC467">
        <v>9.5000003057066351E-5</v>
      </c>
      <c r="AD467">
        <v>3.0650000553578138E-3</v>
      </c>
      <c r="AE467">
        <v>1.428000046871603E-3</v>
      </c>
      <c r="AF467">
        <f>0.16*X467 + 0.28*Y467 + 0.28*Z467 + 0.28*AA467</f>
        <v>2.7878180261466393E-2</v>
      </c>
      <c r="AG467">
        <f t="shared" si="21"/>
        <v>5.2267201695940461E-3</v>
      </c>
      <c r="AH467">
        <f>IF(T467="IT_Admin", 0.25, IF(AND(T467="HR", AA467&gt;0.6), 0.25, IF(AND(T467="General", Z467&gt;0.7), 0.2, 0.1)))</f>
        <v>0.25</v>
      </c>
      <c r="AI467">
        <f>IF(V467&gt;0.7, 0.1,
 IF(F467&gt;0.5, 0.08,
 IF(E467&gt;0.5, 0.05,
 0)))</f>
        <v>0</v>
      </c>
      <c r="AJ467">
        <f t="shared" si="22"/>
        <v>1.2022158197155748E-2</v>
      </c>
      <c r="AK467">
        <f t="shared" si="23"/>
        <v>1.5027697746444685E-2</v>
      </c>
      <c r="AL467" t="str">
        <f>IF(MAX(X467, Y467, Z467, AA467)&gt;0.9,
 "Critical",
 IF(AK467&lt;=0.2,"Very Low",
 IF(AK467&lt;=0.4,"Low",
 IF(AK467&lt;=0.6,"Medium",
 IF(AK467&lt;=0.8,"High","Critical")))))</f>
        <v>Very Low</v>
      </c>
      <c r="AM467" t="str">
        <f>IF(MAX(X467:AA467)&gt;0.9,"CRITICAL ALERT",
 IF(AK467&gt;0.8,"CRITICAL ALERT",
 IF(AK467&gt;0.6,"ALERT",
 IF(AK467&gt;=0.4,"REVIEW","NO ACTION"))))</f>
        <v>NO ACTION</v>
      </c>
      <c r="AN467" t="str">
        <f>IF(AM467="NO ACTION","",
 IF(_xlfn.TEXTJOIN(", ", TRUE,
  IF(X467&gt;0.7,"Login anomaly",""),
  IF(Y467&gt;0.7,"File anomaly",""),
  IF(Z467&gt;0.7,"Network anomaly",""),
  IF(AA467&gt;0.7,"USB anomaly","")
 )="",
 "General anomaly detected",
 _xlfn.TEXTJOIN(", ", TRUE,
  IF(X467&gt;0.7,"Login anomaly",""),
  IF(Y467&gt;0.7,"File anomaly",""),
  IF(Z467&gt;0.7,"Network anomaly",""),
  IF(AA467&gt;0.7,"USB anomaly","")
 )))</f>
        <v/>
      </c>
    </row>
    <row r="468" spans="1:40" x14ac:dyDescent="0.3">
      <c r="A468" t="s">
        <v>491</v>
      </c>
      <c r="B468">
        <v>0.262759924385633</v>
      </c>
      <c r="C468">
        <v>0.64337628123994395</v>
      </c>
      <c r="D468">
        <v>0.395218770525189</v>
      </c>
      <c r="E468">
        <v>0</v>
      </c>
      <c r="F468">
        <v>0</v>
      </c>
      <c r="G468">
        <v>0.41462314961366797</v>
      </c>
      <c r="H468">
        <v>7</v>
      </c>
      <c r="I468">
        <v>16</v>
      </c>
      <c r="J468">
        <v>9.1169314441104904E-2</v>
      </c>
      <c r="K468">
        <v>1.38662316476345E-2</v>
      </c>
      <c r="L468">
        <v>3.8748382384106501E-2</v>
      </c>
      <c r="M468">
        <v>1.7316017316017301E-3</v>
      </c>
      <c r="N468">
        <v>1.14479118654483E-2</v>
      </c>
      <c r="O468">
        <v>875</v>
      </c>
      <c r="P468">
        <v>7.3828563411896697E-2</v>
      </c>
      <c r="Q468">
        <v>7.3985763876713698E-2</v>
      </c>
      <c r="R468">
        <v>0</v>
      </c>
      <c r="S468">
        <v>0</v>
      </c>
      <c r="T468" t="s">
        <v>49</v>
      </c>
      <c r="U468">
        <v>4.1239892183288399E-2</v>
      </c>
      <c r="V468">
        <v>0</v>
      </c>
      <c r="W468">
        <v>0</v>
      </c>
      <c r="X468">
        <v>0.118565631157556</v>
      </c>
      <c r="Y468">
        <v>4.1042427639908702E-2</v>
      </c>
      <c r="Z468">
        <v>4.8876302793317401E-2</v>
      </c>
      <c r="AA468">
        <v>0</v>
      </c>
      <c r="AB468">
        <v>3.9670001715421677E-2</v>
      </c>
      <c r="AC468">
        <v>4.1999999666586518E-5</v>
      </c>
      <c r="AD468">
        <v>3.9280001074075699E-3</v>
      </c>
      <c r="AE468">
        <v>8.4760002791881561E-3</v>
      </c>
      <c r="AF468">
        <f>0.16*X468 + 0.28*Y468 + 0.28*Z468 + 0.28*AA468</f>
        <v>4.4147745506512272E-2</v>
      </c>
      <c r="AG468">
        <f t="shared" si="21"/>
        <v>9.8320803826209176E-3</v>
      </c>
      <c r="AH468">
        <f>IF(T468="IT_Admin", 0.25, IF(AND(T468="HR", AA468&gt;0.6), 0.25, IF(AND(T468="General", Z468&gt;0.7), 0.2, 0.1)))</f>
        <v>0.1</v>
      </c>
      <c r="AI468">
        <f>IF(V468&gt;0.7, 0.1,
 IF(F468&gt;0.5, 0.08,
 IF(E468&gt;0.5, 0.05,
 0)))</f>
        <v>0</v>
      </c>
      <c r="AJ468">
        <f t="shared" si="22"/>
        <v>2.0126779919788323E-2</v>
      </c>
      <c r="AK468">
        <f t="shared" si="23"/>
        <v>2.2139457911767156E-2</v>
      </c>
      <c r="AL468" t="str">
        <f>IF(MAX(X468, Y468, Z468, AA468)&gt;0.9,
 "Critical",
 IF(AK468&lt;=0.2,"Very Low",
 IF(AK468&lt;=0.4,"Low",
 IF(AK468&lt;=0.6,"Medium",
 IF(AK468&lt;=0.8,"High","Critical")))))</f>
        <v>Very Low</v>
      </c>
      <c r="AM468" t="str">
        <f>IF(MAX(X468:AA468)&gt;0.9,"CRITICAL ALERT",
 IF(AK468&gt;0.8,"CRITICAL ALERT",
 IF(AK468&gt;0.6,"ALERT",
 IF(AK468&gt;=0.4,"REVIEW","NO ACTION"))))</f>
        <v>NO ACTION</v>
      </c>
      <c r="AN468" t="str">
        <f>IF(AM468="NO ACTION","",
 IF(_xlfn.TEXTJOIN(", ", TRUE,
  IF(X468&gt;0.7,"Login anomaly",""),
  IF(Y468&gt;0.7,"File anomaly",""),
  IF(Z468&gt;0.7,"Network anomaly",""),
  IF(AA468&gt;0.7,"USB anomaly","")
 )="",
 "General anomaly detected",
 _xlfn.TEXTJOIN(", ", TRUE,
  IF(X468&gt;0.7,"Login anomaly",""),
  IF(Y468&gt;0.7,"File anomaly",""),
  IF(Z468&gt;0.7,"Network anomaly",""),
  IF(AA468&gt;0.7,"USB anomaly","")
 )))</f>
        <v/>
      </c>
    </row>
    <row r="469" spans="1:40" x14ac:dyDescent="0.3">
      <c r="A469" t="s">
        <v>492</v>
      </c>
      <c r="B469">
        <v>0.12892249527410199</v>
      </c>
      <c r="C469">
        <v>0.18476582604220201</v>
      </c>
      <c r="D469">
        <v>0</v>
      </c>
      <c r="E469">
        <v>0</v>
      </c>
      <c r="F469">
        <v>0</v>
      </c>
      <c r="G469">
        <v>0.99368327779668097</v>
      </c>
      <c r="H469">
        <v>7</v>
      </c>
      <c r="I469">
        <v>7</v>
      </c>
      <c r="J469">
        <v>9.0072038547779204E-2</v>
      </c>
      <c r="K469">
        <v>1.2234910277324601E-2</v>
      </c>
      <c r="L469">
        <v>3.4605155517827897E-2</v>
      </c>
      <c r="M469">
        <v>3.1746031746031698E-3</v>
      </c>
      <c r="N469">
        <v>2.1242841211145402E-2</v>
      </c>
      <c r="O469">
        <v>1040</v>
      </c>
      <c r="P469">
        <v>7.3021885521885502E-2</v>
      </c>
      <c r="Q469">
        <v>7.3179283986114493E-2</v>
      </c>
      <c r="R469">
        <v>0</v>
      </c>
      <c r="S469">
        <v>0</v>
      </c>
      <c r="T469" t="s">
        <v>49</v>
      </c>
      <c r="U469">
        <v>2.1226415094339601E-2</v>
      </c>
      <c r="V469">
        <v>0</v>
      </c>
      <c r="W469">
        <v>0</v>
      </c>
      <c r="X469">
        <v>0</v>
      </c>
      <c r="Y469">
        <v>4.1689837831813403E-2</v>
      </c>
      <c r="Z469">
        <v>5.2310267797589502E-2</v>
      </c>
      <c r="AA469">
        <v>0</v>
      </c>
      <c r="AB469">
        <v>3.6621000617742538E-2</v>
      </c>
      <c r="AC469">
        <v>1.0599999950500211E-4</v>
      </c>
      <c r="AD469">
        <v>4.1069998405873784E-3</v>
      </c>
      <c r="AE469">
        <v>1.545000006444752E-3</v>
      </c>
      <c r="AF469">
        <f>0.16*X469 + 0.28*Y469 + 0.28*Z469 + 0.28*AA469</f>
        <v>2.6320029576232817E-2</v>
      </c>
      <c r="AG469">
        <f t="shared" si="21"/>
        <v>7.4716000558692035E-3</v>
      </c>
      <c r="AH469">
        <f>IF(T469="IT_Admin", 0.25, IF(AND(T469="HR", AA469&gt;0.6), 0.25, IF(AND(T469="General", Z469&gt;0.7), 0.2, 0.1)))</f>
        <v>0.1</v>
      </c>
      <c r="AI469">
        <f>IF(V469&gt;0.7, 0.1,
 IF(F469&gt;0.5, 0.08,
 IF(E469&gt;0.5, 0.05,
 0)))</f>
        <v>0</v>
      </c>
      <c r="AJ469">
        <f t="shared" si="22"/>
        <v>1.3126128911978287E-2</v>
      </c>
      <c r="AK469">
        <f t="shared" si="23"/>
        <v>1.4438741803176117E-2</v>
      </c>
      <c r="AL469" t="str">
        <f>IF(MAX(X469, Y469, Z469, AA469)&gt;0.9,
 "Critical",
 IF(AK469&lt;=0.2,"Very Low",
 IF(AK469&lt;=0.4,"Low",
 IF(AK469&lt;=0.6,"Medium",
 IF(AK469&lt;=0.8,"High","Critical")))))</f>
        <v>Very Low</v>
      </c>
      <c r="AM469" t="str">
        <f>IF(MAX(X469:AA469)&gt;0.9,"CRITICAL ALERT",
 IF(AK469&gt;0.8,"CRITICAL ALERT",
 IF(AK469&gt;0.6,"ALERT",
 IF(AK469&gt;=0.4,"REVIEW","NO ACTION"))))</f>
        <v>NO ACTION</v>
      </c>
      <c r="AN469" t="str">
        <f>IF(AM469="NO ACTION","",
 IF(_xlfn.TEXTJOIN(", ", TRUE,
  IF(X469&gt;0.7,"Login anomaly",""),
  IF(Y469&gt;0.7,"File anomaly",""),
  IF(Z469&gt;0.7,"Network anomaly",""),
  IF(AA469&gt;0.7,"USB anomaly","")
 )="",
 "General anomaly detected",
 _xlfn.TEXTJOIN(", ", TRUE,
  IF(X469&gt;0.7,"Login anomaly",""),
  IF(Y469&gt;0.7,"File anomaly",""),
  IF(Z469&gt;0.7,"Network anomaly",""),
  IF(AA469&gt;0.7,"USB anomaly","")
 )))</f>
        <v/>
      </c>
    </row>
    <row r="470" spans="1:40" x14ac:dyDescent="0.3">
      <c r="A470" t="s">
        <v>493</v>
      </c>
      <c r="B470">
        <v>0.238941398865784</v>
      </c>
      <c r="C470">
        <v>0.67515059704729397</v>
      </c>
      <c r="D470">
        <v>0.36569789364894401</v>
      </c>
      <c r="E470">
        <v>0</v>
      </c>
      <c r="F470">
        <v>0</v>
      </c>
      <c r="G470">
        <v>0.47051318195202901</v>
      </c>
      <c r="H470">
        <v>7</v>
      </c>
      <c r="I470">
        <v>17</v>
      </c>
      <c r="J470">
        <v>0.108391775201564</v>
      </c>
      <c r="K470">
        <v>1.8760195758564399E-2</v>
      </c>
      <c r="L470">
        <v>4.4112834609594802E-2</v>
      </c>
      <c r="M470">
        <v>2.8860028860028799E-3</v>
      </c>
      <c r="N470">
        <v>1.6054896160298E-2</v>
      </c>
      <c r="O470">
        <v>1262</v>
      </c>
      <c r="P470">
        <v>8.9155443322110006E-2</v>
      </c>
      <c r="Q470">
        <v>8.9308881798099496E-2</v>
      </c>
      <c r="R470">
        <v>0.184365781710914</v>
      </c>
      <c r="S470">
        <v>1</v>
      </c>
      <c r="T470" t="s">
        <v>24</v>
      </c>
      <c r="U470">
        <v>3.5506003430531702E-2</v>
      </c>
      <c r="V470">
        <v>0</v>
      </c>
      <c r="W470">
        <v>0</v>
      </c>
      <c r="X470">
        <v>0.109709368094683</v>
      </c>
      <c r="Y470">
        <v>4.8551241193199798E-2</v>
      </c>
      <c r="Z470">
        <v>5.9915224457385202E-2</v>
      </c>
      <c r="AA470">
        <v>0.184365781710914</v>
      </c>
      <c r="AB470">
        <v>3.3948998898267753E-2</v>
      </c>
      <c r="AC470">
        <v>3.3000000257743523E-5</v>
      </c>
      <c r="AD470">
        <v>2.103999955579638E-3</v>
      </c>
      <c r="AE470">
        <v>6.4802996814250946E-2</v>
      </c>
      <c r="AF470">
        <f>0.16*X470 + 0.28*Y470 + 0.28*Z470 + 0.28*AA470</f>
        <v>9.954652815636901E-2</v>
      </c>
      <c r="AG470">
        <f t="shared" si="21"/>
        <v>2.4175038919347573E-2</v>
      </c>
      <c r="AH470">
        <f>IF(T470="IT_Admin", 0.25, IF(AND(T470="HR", AA470&gt;0.6), 0.25, IF(AND(T470="General", Z470&gt;0.7), 0.2, 0.1)))</f>
        <v>0.25</v>
      </c>
      <c r="AI470">
        <f>IF(V470&gt;0.7, 0.1,
 IF(F470&gt;0.5, 0.08,
 IF(E470&gt;0.5, 0.05,
 0)))</f>
        <v>0</v>
      </c>
      <c r="AJ470">
        <f t="shared" si="22"/>
        <v>4.6786485690454002E-2</v>
      </c>
      <c r="AK470">
        <f t="shared" si="23"/>
        <v>5.8483107113067506E-2</v>
      </c>
      <c r="AL470" t="str">
        <f>IF(MAX(X470, Y470, Z470, AA470)&gt;0.9,
 "Critical",
 IF(AK470&lt;=0.2,"Very Low",
 IF(AK470&lt;=0.4,"Low",
 IF(AK470&lt;=0.6,"Medium",
 IF(AK470&lt;=0.8,"High","Critical")))))</f>
        <v>Very Low</v>
      </c>
      <c r="AM470" t="str">
        <f>IF(MAX(X470:AA470)&gt;0.9,"CRITICAL ALERT",
 IF(AK470&gt;0.8,"CRITICAL ALERT",
 IF(AK470&gt;0.6,"ALERT",
 IF(AK470&gt;=0.4,"REVIEW","NO ACTION"))))</f>
        <v>NO ACTION</v>
      </c>
      <c r="AN470" t="str">
        <f>IF(AM470="NO ACTION","",
 IF(_xlfn.TEXTJOIN(", ", TRUE,
  IF(X470&gt;0.7,"Login anomaly",""),
  IF(Y470&gt;0.7,"File anomaly",""),
  IF(Z470&gt;0.7,"Network anomaly",""),
  IF(AA470&gt;0.7,"USB anomaly","")
 )="",
 "General anomaly detected",
 _xlfn.TEXTJOIN(", ", TRUE,
  IF(X470&gt;0.7,"Login anomaly",""),
  IF(Y470&gt;0.7,"File anomaly",""),
  IF(Z470&gt;0.7,"Network anomaly",""),
  IF(AA470&gt;0.7,"USB anomaly","")
 )))</f>
        <v/>
      </c>
    </row>
    <row r="471" spans="1:40" x14ac:dyDescent="0.3">
      <c r="A471" t="s">
        <v>494</v>
      </c>
      <c r="B471">
        <v>0.25671077504725898</v>
      </c>
      <c r="C471">
        <v>0.58648947417202801</v>
      </c>
      <c r="D471">
        <v>0.50234836620718004</v>
      </c>
      <c r="E471">
        <v>0.200097608589555</v>
      </c>
      <c r="F471">
        <v>6.1493411420204903E-2</v>
      </c>
      <c r="G471">
        <v>0.42780760492702802</v>
      </c>
      <c r="H471">
        <v>0</v>
      </c>
      <c r="I471">
        <v>23</v>
      </c>
      <c r="J471">
        <v>0.118267258241496</v>
      </c>
      <c r="K471">
        <v>1.5497553017944501E-2</v>
      </c>
      <c r="L471">
        <v>3.3404284179004803E-2</v>
      </c>
      <c r="M471">
        <v>4.6176046176046098E-3</v>
      </c>
      <c r="N471">
        <v>2.3547181035103702E-2</v>
      </c>
      <c r="O471">
        <v>1116</v>
      </c>
      <c r="P471">
        <v>9.5854377104377095E-2</v>
      </c>
      <c r="Q471">
        <v>9.6006171324380205E-2</v>
      </c>
      <c r="R471">
        <v>0.13716814159292001</v>
      </c>
      <c r="S471">
        <v>1</v>
      </c>
      <c r="T471" t="s">
        <v>24</v>
      </c>
      <c r="U471">
        <v>1.8978912319644801E-2</v>
      </c>
      <c r="V471">
        <v>0</v>
      </c>
      <c r="W471">
        <v>6.70339919920242E-2</v>
      </c>
      <c r="X471">
        <v>0.235331157007103</v>
      </c>
      <c r="Y471">
        <v>4.7419748048332697E-2</v>
      </c>
      <c r="Z471">
        <v>6.69314986766677E-2</v>
      </c>
      <c r="AA471">
        <v>0.13716814159292001</v>
      </c>
      <c r="AB471">
        <v>0.1681340038776398</v>
      </c>
      <c r="AC471">
        <v>1.219999976456165E-4</v>
      </c>
      <c r="AD471">
        <v>1.2700000079348679E-3</v>
      </c>
      <c r="AE471">
        <v>5.471000075340271E-2</v>
      </c>
      <c r="AF471">
        <f>0.16*X471 + 0.28*Y471 + 0.28*Z471 + 0.28*AA471</f>
        <v>0.10807841385015421</v>
      </c>
      <c r="AG471">
        <f t="shared" si="21"/>
        <v>4.2610000832937665E-2</v>
      </c>
      <c r="AH471">
        <f>IF(T471="IT_Admin", 0.25, IF(AND(T471="HR", AA471&gt;0.6), 0.25, IF(AND(T471="General", Z471&gt;0.7), 0.2, 0.1)))</f>
        <v>0.25</v>
      </c>
      <c r="AI471">
        <f>IF(V471&gt;0.7, 0.1,
 IF(F471&gt;0.5, 0.08,
 IF(E471&gt;0.5, 0.05,
 0)))</f>
        <v>0</v>
      </c>
      <c r="AJ471">
        <f t="shared" si="22"/>
        <v>6.2250524738102622E-2</v>
      </c>
      <c r="AK471">
        <f t="shared" si="23"/>
        <v>7.7813155922628274E-2</v>
      </c>
      <c r="AL471" t="str">
        <f>IF(MAX(X471, Y471, Z471, AA471)&gt;0.9,
 "Critical",
 IF(AK471&lt;=0.2,"Very Low",
 IF(AK471&lt;=0.4,"Low",
 IF(AK471&lt;=0.6,"Medium",
 IF(AK471&lt;=0.8,"High","Critical")))))</f>
        <v>Very Low</v>
      </c>
      <c r="AM471" t="str">
        <f>IF(MAX(X471:AA471)&gt;0.9,"CRITICAL ALERT",
 IF(AK471&gt;0.8,"CRITICAL ALERT",
 IF(AK471&gt;0.6,"ALERT",
 IF(AK471&gt;=0.4,"REVIEW","NO ACTION"))))</f>
        <v>NO ACTION</v>
      </c>
      <c r="AN471" t="str">
        <f>IF(AM471="NO ACTION","",
 IF(_xlfn.TEXTJOIN(", ", TRUE,
  IF(X471&gt;0.7,"Login anomaly",""),
  IF(Y471&gt;0.7,"File anomaly",""),
  IF(Z471&gt;0.7,"Network anomaly",""),
  IF(AA471&gt;0.7,"USB anomaly","")
 )="",
 "General anomaly detected",
 _xlfn.TEXTJOIN(", ", TRUE,
  IF(X471&gt;0.7,"Login anomaly",""),
  IF(Y471&gt;0.7,"File anomaly",""),
  IF(Z471&gt;0.7,"Network anomaly",""),
  IF(AA471&gt;0.7,"USB anomaly","")
 )))</f>
        <v/>
      </c>
    </row>
    <row r="472" spans="1:40" x14ac:dyDescent="0.3">
      <c r="A472" t="s">
        <v>495</v>
      </c>
      <c r="B472">
        <v>0.12892249527410199</v>
      </c>
      <c r="C472">
        <v>0.18476582604220201</v>
      </c>
      <c r="D472">
        <v>0</v>
      </c>
      <c r="E472">
        <v>0</v>
      </c>
      <c r="F472">
        <v>0</v>
      </c>
      <c r="G472">
        <v>0.99367294739493295</v>
      </c>
      <c r="H472">
        <v>7</v>
      </c>
      <c r="I472">
        <v>7</v>
      </c>
      <c r="J472">
        <v>0.108773436381852</v>
      </c>
      <c r="K472">
        <v>2.0391517128874301E-2</v>
      </c>
      <c r="L472">
        <v>4.7780860244528302E-2</v>
      </c>
      <c r="M472">
        <v>2.0202020202020202E-3</v>
      </c>
      <c r="N472">
        <v>1.1199080520743501E-2</v>
      </c>
      <c r="O472">
        <v>1249</v>
      </c>
      <c r="P472">
        <v>8.9716610549943898E-2</v>
      </c>
      <c r="Q472">
        <v>8.9869911287212001E-2</v>
      </c>
      <c r="R472">
        <v>0</v>
      </c>
      <c r="S472">
        <v>0</v>
      </c>
      <c r="T472" t="s">
        <v>24</v>
      </c>
      <c r="U472">
        <v>5.3066037735849003E-2</v>
      </c>
      <c r="V472">
        <v>0</v>
      </c>
      <c r="W472">
        <v>0</v>
      </c>
      <c r="X472">
        <v>0</v>
      </c>
      <c r="Y472">
        <v>4.9004841554857598E-2</v>
      </c>
      <c r="Z472">
        <v>5.8309598538263702E-2</v>
      </c>
      <c r="AA472">
        <v>0</v>
      </c>
      <c r="AB472">
        <v>3.6789998412132263E-2</v>
      </c>
      <c r="AC472">
        <v>1.270000066142529E-4</v>
      </c>
      <c r="AD472">
        <v>2.5830001104623079E-3</v>
      </c>
      <c r="AE472">
        <v>1.1640000157058239E-3</v>
      </c>
      <c r="AF472">
        <f>0.16*X472 + 0.28*Y472 + 0.28*Z472 + 0.28*AA472</f>
        <v>3.0048043226073969E-2</v>
      </c>
      <c r="AG472">
        <f t="shared" si="21"/>
        <v>6.9711197831202314E-3</v>
      </c>
      <c r="AH472">
        <f>IF(T472="IT_Admin", 0.25, IF(AND(T472="HR", AA472&gt;0.6), 0.25, IF(AND(T472="General", Z472&gt;0.7), 0.2, 0.1)))</f>
        <v>0.25</v>
      </c>
      <c r="AI472">
        <f>IF(V472&gt;0.7, 0.1,
 IF(F472&gt;0.5, 0.08,
 IF(E472&gt;0.5, 0.05,
 0)))</f>
        <v>0</v>
      </c>
      <c r="AJ472">
        <f t="shared" si="22"/>
        <v>1.389419681600635E-2</v>
      </c>
      <c r="AK472">
        <f t="shared" si="23"/>
        <v>1.7367746020007936E-2</v>
      </c>
      <c r="AL472" t="str">
        <f>IF(MAX(X472, Y472, Z472, AA472)&gt;0.9,
 "Critical",
 IF(AK472&lt;=0.2,"Very Low",
 IF(AK472&lt;=0.4,"Low",
 IF(AK472&lt;=0.6,"Medium",
 IF(AK472&lt;=0.8,"High","Critical")))))</f>
        <v>Very Low</v>
      </c>
      <c r="AM472" t="str">
        <f>IF(MAX(X472:AA472)&gt;0.9,"CRITICAL ALERT",
 IF(AK472&gt;0.8,"CRITICAL ALERT",
 IF(AK472&gt;0.6,"ALERT",
 IF(AK472&gt;=0.4,"REVIEW","NO ACTION"))))</f>
        <v>NO ACTION</v>
      </c>
      <c r="AN472" t="str">
        <f>IF(AM472="NO ACTION","",
 IF(_xlfn.TEXTJOIN(", ", TRUE,
  IF(X472&gt;0.7,"Login anomaly",""),
  IF(Y472&gt;0.7,"File anomaly",""),
  IF(Z472&gt;0.7,"Network anomaly",""),
  IF(AA472&gt;0.7,"USB anomaly","")
 )="",
 "General anomaly detected",
 _xlfn.TEXTJOIN(", ", TRUE,
  IF(X472&gt;0.7,"Login anomaly",""),
  IF(Y472&gt;0.7,"File anomaly",""),
  IF(Z472&gt;0.7,"Network anomaly",""),
  IF(AA472&gt;0.7,"USB anomaly","")
 )))</f>
        <v/>
      </c>
    </row>
    <row r="473" spans="1:40" x14ac:dyDescent="0.3">
      <c r="A473" t="s">
        <v>496</v>
      </c>
      <c r="B473">
        <v>0.27826086956521701</v>
      </c>
      <c r="C473">
        <v>0.45791962832621502</v>
      </c>
      <c r="D473">
        <v>0.38338943641666101</v>
      </c>
      <c r="E473">
        <v>0</v>
      </c>
      <c r="F473">
        <v>0.47567567567567498</v>
      </c>
      <c r="G473">
        <v>0.38328734601565201</v>
      </c>
      <c r="H473">
        <v>6</v>
      </c>
      <c r="I473">
        <v>14</v>
      </c>
      <c r="J473">
        <v>7.99103096226325E-2</v>
      </c>
      <c r="K473">
        <v>1.2234910277324601E-2</v>
      </c>
      <c r="L473">
        <v>3.8992594878124003E-2</v>
      </c>
      <c r="M473">
        <v>8.6580086580086504E-4</v>
      </c>
      <c r="N473">
        <v>6.5280354566068797E-3</v>
      </c>
      <c r="O473">
        <v>952</v>
      </c>
      <c r="P473">
        <v>6.4429012345678993E-2</v>
      </c>
      <c r="Q473">
        <v>6.4588519934079006E-2</v>
      </c>
      <c r="R473">
        <v>0</v>
      </c>
      <c r="S473">
        <v>0</v>
      </c>
      <c r="T473" t="s">
        <v>49</v>
      </c>
      <c r="U473">
        <v>6.3679245283018798E-2</v>
      </c>
      <c r="V473">
        <v>0</v>
      </c>
      <c r="W473">
        <v>0</v>
      </c>
      <c r="X473">
        <v>0.30528710119526797</v>
      </c>
      <c r="Y473">
        <v>3.7436770000570503E-2</v>
      </c>
      <c r="Z473">
        <v>4.1268621590050097E-2</v>
      </c>
      <c r="AA473">
        <v>0</v>
      </c>
      <c r="AB473">
        <v>6.4143002033233643E-2</v>
      </c>
      <c r="AC473">
        <v>3.2200000714510679E-4</v>
      </c>
      <c r="AD473">
        <v>5.3369998931884774E-3</v>
      </c>
      <c r="AE473">
        <v>5.8909999206662178E-3</v>
      </c>
      <c r="AF473">
        <f>0.16*X473 + 0.28*Y473 + 0.28*Z473 + 0.28*AA473</f>
        <v>7.0883445836616654E-2</v>
      </c>
      <c r="AG473">
        <f t="shared" si="21"/>
        <v>1.3496880275197328E-2</v>
      </c>
      <c r="AH473">
        <f>IF(T473="IT_Admin", 0.25, IF(AND(T473="HR", AA473&gt;0.6), 0.25, IF(AND(T473="General", Z473&gt;0.7), 0.2, 0.1)))</f>
        <v>0.1</v>
      </c>
      <c r="AI473">
        <f>IF(V473&gt;0.7, 0.1,
 IF(F473&gt;0.5, 0.08,
 IF(E473&gt;0.5, 0.05,
 0)))</f>
        <v>0</v>
      </c>
      <c r="AJ473">
        <f t="shared" si="22"/>
        <v>3.0712849943623124E-2</v>
      </c>
      <c r="AK473">
        <f t="shared" si="23"/>
        <v>3.378413493798544E-2</v>
      </c>
      <c r="AL473" t="str">
        <f>IF(MAX(X473, Y473, Z473, AA473)&gt;0.9,
 "Critical",
 IF(AK473&lt;=0.2,"Very Low",
 IF(AK473&lt;=0.4,"Low",
 IF(AK473&lt;=0.6,"Medium",
 IF(AK473&lt;=0.8,"High","Critical")))))</f>
        <v>Very Low</v>
      </c>
      <c r="AM473" t="str">
        <f>IF(MAX(X473:AA473)&gt;0.9,"CRITICAL ALERT",
 IF(AK473&gt;0.8,"CRITICAL ALERT",
 IF(AK473&gt;0.6,"ALERT",
 IF(AK473&gt;=0.4,"REVIEW","NO ACTION"))))</f>
        <v>NO ACTION</v>
      </c>
      <c r="AN473" t="str">
        <f>IF(AM473="NO ACTION","",
 IF(_xlfn.TEXTJOIN(", ", TRUE,
  IF(X473&gt;0.7,"Login anomaly",""),
  IF(Y473&gt;0.7,"File anomaly",""),
  IF(Z473&gt;0.7,"Network anomaly",""),
  IF(AA473&gt;0.7,"USB anomaly","")
 )="",
 "General anomaly detected",
 _xlfn.TEXTJOIN(", ", TRUE,
  IF(X473&gt;0.7,"Login anomaly",""),
  IF(Y473&gt;0.7,"File anomaly",""),
  IF(Z473&gt;0.7,"Network anomaly",""),
  IF(AA473&gt;0.7,"USB anomaly","")
 )))</f>
        <v/>
      </c>
    </row>
    <row r="474" spans="1:40" x14ac:dyDescent="0.3">
      <c r="A474" t="s">
        <v>497</v>
      </c>
      <c r="B474">
        <v>0.13383742911153099</v>
      </c>
      <c r="C474">
        <v>0.40307851994123001</v>
      </c>
      <c r="D474">
        <v>0.17238403144398901</v>
      </c>
      <c r="E474">
        <v>0</v>
      </c>
      <c r="F474">
        <v>0</v>
      </c>
      <c r="G474">
        <v>0.95209468469550496</v>
      </c>
      <c r="H474">
        <v>8</v>
      </c>
      <c r="I474">
        <v>19</v>
      </c>
      <c r="J474">
        <v>0.12990792424025499</v>
      </c>
      <c r="K474">
        <v>1.71288743882544E-2</v>
      </c>
      <c r="L474">
        <v>3.3618248956505697E-2</v>
      </c>
      <c r="M474">
        <v>1.5873015873015799E-2</v>
      </c>
      <c r="N474">
        <v>7.3703626122980898E-2</v>
      </c>
      <c r="O474">
        <v>1037</v>
      </c>
      <c r="P474">
        <v>0.110585016835016</v>
      </c>
      <c r="Q474">
        <v>0.11073319541358299</v>
      </c>
      <c r="R474">
        <v>0</v>
      </c>
      <c r="S474">
        <v>0</v>
      </c>
      <c r="T474" t="s">
        <v>24</v>
      </c>
      <c r="U474">
        <v>6.3679245283018802E-3</v>
      </c>
      <c r="V474">
        <v>0</v>
      </c>
      <c r="W474">
        <v>0</v>
      </c>
      <c r="X474">
        <v>5.1715209433196803E-2</v>
      </c>
      <c r="Y474">
        <v>6.4901797163198299E-2</v>
      </c>
      <c r="Z474">
        <v>9.5832460550202406E-2</v>
      </c>
      <c r="AA474">
        <v>0</v>
      </c>
      <c r="AB474">
        <v>2.694999985396862E-2</v>
      </c>
      <c r="AC474">
        <v>1.288000028580427E-3</v>
      </c>
      <c r="AD474">
        <v>6.1899999855086207E-4</v>
      </c>
      <c r="AE474">
        <v>3.262999933212996E-3</v>
      </c>
      <c r="AF474">
        <f>0.16*X474 + 0.28*Y474 + 0.28*Z474 + 0.28*AA474</f>
        <v>5.3280025669063688E-2</v>
      </c>
      <c r="AG474">
        <f t="shared" si="21"/>
        <v>5.7595999655313786E-3</v>
      </c>
      <c r="AH474">
        <f>IF(T474="IT_Admin", 0.25, IF(AND(T474="HR", AA474&gt;0.6), 0.25, IF(AND(T474="General", Z474&gt;0.7), 0.2, 0.1)))</f>
        <v>0.25</v>
      </c>
      <c r="AI474">
        <f>IF(V474&gt;0.7, 0.1,
 IF(F474&gt;0.5, 0.08,
 IF(E474&gt;0.5, 0.05,
 0)))</f>
        <v>0</v>
      </c>
      <c r="AJ474">
        <f t="shared" si="22"/>
        <v>2.0015727676591072E-2</v>
      </c>
      <c r="AK474">
        <f t="shared" si="23"/>
        <v>2.501965959573884E-2</v>
      </c>
      <c r="AL474" t="str">
        <f>IF(MAX(X474, Y474, Z474, AA474)&gt;0.9,
 "Critical",
 IF(AK474&lt;=0.2,"Very Low",
 IF(AK474&lt;=0.4,"Low",
 IF(AK474&lt;=0.6,"Medium",
 IF(AK474&lt;=0.8,"High","Critical")))))</f>
        <v>Very Low</v>
      </c>
      <c r="AM474" t="str">
        <f>IF(MAX(X474:AA474)&gt;0.9,"CRITICAL ALERT",
 IF(AK474&gt;0.8,"CRITICAL ALERT",
 IF(AK474&gt;0.6,"ALERT",
 IF(AK474&gt;=0.4,"REVIEW","NO ACTION"))))</f>
        <v>NO ACTION</v>
      </c>
      <c r="AN474" t="str">
        <f>IF(AM474="NO ACTION","",
 IF(_xlfn.TEXTJOIN(", ", TRUE,
  IF(X474&gt;0.7,"Login anomaly",""),
  IF(Y474&gt;0.7,"File anomaly",""),
  IF(Z474&gt;0.7,"Network anomaly",""),
  IF(AA474&gt;0.7,"USB anomaly","")
 )="",
 "General anomaly detected",
 _xlfn.TEXTJOIN(", ", TRUE,
  IF(X474&gt;0.7,"Login anomaly",""),
  IF(Y474&gt;0.7,"File anomaly",""),
  IF(Z474&gt;0.7,"Network anomaly",""),
  IF(AA474&gt;0.7,"USB anomaly","")
 )))</f>
        <v/>
      </c>
    </row>
    <row r="475" spans="1:40" x14ac:dyDescent="0.3">
      <c r="A475" t="s">
        <v>498</v>
      </c>
      <c r="B475">
        <v>0.27410207939508502</v>
      </c>
      <c r="C475">
        <v>0.78696555536493695</v>
      </c>
      <c r="D475">
        <v>0.47761068808395901</v>
      </c>
      <c r="E475">
        <v>0.37494284407864598</v>
      </c>
      <c r="F475">
        <v>4.6639231824417003E-2</v>
      </c>
      <c r="G475">
        <v>0.39132329053907</v>
      </c>
      <c r="H475">
        <v>0</v>
      </c>
      <c r="I475">
        <v>23</v>
      </c>
      <c r="J475">
        <v>9.1503267973856203E-2</v>
      </c>
      <c r="K475">
        <v>1.7944535073409401E-2</v>
      </c>
      <c r="L475">
        <v>4.9962430462661203E-2</v>
      </c>
      <c r="M475">
        <v>2.3088023088023001E-3</v>
      </c>
      <c r="N475">
        <v>1.52083197325006E-2</v>
      </c>
      <c r="O475">
        <v>1052</v>
      </c>
      <c r="P475">
        <v>7.6108305274971894E-2</v>
      </c>
      <c r="Q475">
        <v>7.6264946176233306E-2</v>
      </c>
      <c r="R475">
        <v>0.15339233038347999</v>
      </c>
      <c r="S475">
        <v>1</v>
      </c>
      <c r="T475" t="s">
        <v>49</v>
      </c>
      <c r="U475">
        <v>4.15094339622641E-2</v>
      </c>
      <c r="V475">
        <v>0</v>
      </c>
      <c r="W475">
        <v>7.6043005299464797E-2</v>
      </c>
      <c r="X475">
        <v>0.27442175237854799</v>
      </c>
      <c r="Y475">
        <v>4.7844364745851999E-2</v>
      </c>
      <c r="Z475">
        <v>5.1748311057983401E-2</v>
      </c>
      <c r="AA475">
        <v>0.15339233038347999</v>
      </c>
      <c r="AB475">
        <v>0.24853700399398801</v>
      </c>
      <c r="AC475">
        <v>7.8999997640494257E-5</v>
      </c>
      <c r="AD475">
        <v>2.989999949932098E-3</v>
      </c>
      <c r="AE475">
        <v>5.4414998739957809E-2</v>
      </c>
      <c r="AF475">
        <f>0.16*X475 + 0.28*Y475 + 0.28*Z475 + 0.28*AA475</f>
        <v>0.114743282113016</v>
      </c>
      <c r="AG475">
        <f t="shared" si="21"/>
        <v>5.5861440271546603E-2</v>
      </c>
      <c r="AH475">
        <f>IF(T475="IT_Admin", 0.25, IF(AND(T475="HR", AA475&gt;0.6), 0.25, IF(AND(T475="General", Z475&gt;0.7), 0.2, 0.1)))</f>
        <v>0.1</v>
      </c>
      <c r="AI475">
        <f>IF(V475&gt;0.7, 0.1,
 IF(F475&gt;0.5, 0.08,
 IF(E475&gt;0.5, 0.05,
 0)))</f>
        <v>0</v>
      </c>
      <c r="AJ475">
        <f t="shared" si="22"/>
        <v>7.3525992823987418E-2</v>
      </c>
      <c r="AK475">
        <f t="shared" si="23"/>
        <v>8.0878592106386163E-2</v>
      </c>
      <c r="AL475" t="str">
        <f>IF(MAX(X475, Y475, Z475, AA475)&gt;0.9,
 "Critical",
 IF(AK475&lt;=0.2,"Very Low",
 IF(AK475&lt;=0.4,"Low",
 IF(AK475&lt;=0.6,"Medium",
 IF(AK475&lt;=0.8,"High","Critical")))))</f>
        <v>Very Low</v>
      </c>
      <c r="AM475" t="str">
        <f>IF(MAX(X475:AA475)&gt;0.9,"CRITICAL ALERT",
 IF(AK475&gt;0.8,"CRITICAL ALERT",
 IF(AK475&gt;0.6,"ALERT",
 IF(AK475&gt;=0.4,"REVIEW","NO ACTION"))))</f>
        <v>NO ACTION</v>
      </c>
      <c r="AN475" t="str">
        <f>IF(AM475="NO ACTION","",
 IF(_xlfn.TEXTJOIN(", ", TRUE,
  IF(X475&gt;0.7,"Login anomaly",""),
  IF(Y475&gt;0.7,"File anomaly",""),
  IF(Z475&gt;0.7,"Network anomaly",""),
  IF(AA475&gt;0.7,"USB anomaly","")
 )="",
 "General anomaly detected",
 _xlfn.TEXTJOIN(", ", TRUE,
  IF(X475&gt;0.7,"Login anomaly",""),
  IF(Y475&gt;0.7,"File anomaly",""),
  IF(Z475&gt;0.7,"Network anomaly",""),
  IF(AA475&gt;0.7,"USB anomaly","")
 )))</f>
        <v/>
      </c>
    </row>
    <row r="476" spans="1:40" x14ac:dyDescent="0.3">
      <c r="A476" t="s">
        <v>499</v>
      </c>
      <c r="B476">
        <v>0.23629489603024501</v>
      </c>
      <c r="C476">
        <v>0.60217797040781496</v>
      </c>
      <c r="D476">
        <v>0.38145747803908098</v>
      </c>
      <c r="E476">
        <v>0</v>
      </c>
      <c r="F476">
        <v>0</v>
      </c>
      <c r="G476">
        <v>0.477298953460432</v>
      </c>
      <c r="H476">
        <v>7</v>
      </c>
      <c r="I476">
        <v>13</v>
      </c>
      <c r="J476">
        <v>9.0501407375602305E-2</v>
      </c>
      <c r="K476">
        <v>8.1566068515497494E-3</v>
      </c>
      <c r="L476">
        <v>2.2960939150104501E-2</v>
      </c>
      <c r="M476">
        <v>2.59740259740259E-3</v>
      </c>
      <c r="N476">
        <v>1.72982643014188E-2</v>
      </c>
      <c r="O476">
        <v>1068</v>
      </c>
      <c r="P476">
        <v>7.1303310886644197E-2</v>
      </c>
      <c r="Q476">
        <v>7.1461131175707404E-2</v>
      </c>
      <c r="R476">
        <v>0.10914454277286099</v>
      </c>
      <c r="S476">
        <v>1</v>
      </c>
      <c r="T476" t="s">
        <v>49</v>
      </c>
      <c r="U476">
        <v>1.6981132075471601E-2</v>
      </c>
      <c r="V476">
        <v>0</v>
      </c>
      <c r="W476">
        <v>0</v>
      </c>
      <c r="X476">
        <v>0.114437243411724</v>
      </c>
      <c r="Y476">
        <v>3.4770230340598403E-2</v>
      </c>
      <c r="Z476">
        <v>4.9701292252554E-2</v>
      </c>
      <c r="AA476">
        <v>0.10914454277286099</v>
      </c>
      <c r="AB476">
        <v>2.033999934792519E-2</v>
      </c>
      <c r="AC476">
        <v>2.9399999766610557E-4</v>
      </c>
      <c r="AD476">
        <v>3.9630001410841942E-3</v>
      </c>
      <c r="AE476">
        <v>6.1048999428749078E-2</v>
      </c>
      <c r="AF476">
        <f>0.16*X476 + 0.28*Y476 + 0.28*Z476 + 0.28*AA476</f>
        <v>7.2522457248359595E-2</v>
      </c>
      <c r="AG476">
        <f t="shared" si="21"/>
        <v>2.1540079774567858E-2</v>
      </c>
      <c r="AH476">
        <f>IF(T476="IT_Admin", 0.25, IF(AND(T476="HR", AA476&gt;0.6), 0.25, IF(AND(T476="General", Z476&gt;0.7), 0.2, 0.1)))</f>
        <v>0.1</v>
      </c>
      <c r="AI476">
        <f>IF(V476&gt;0.7, 0.1,
 IF(F476&gt;0.5, 0.08,
 IF(E476&gt;0.5, 0.05,
 0)))</f>
        <v>0</v>
      </c>
      <c r="AJ476">
        <f t="shared" si="22"/>
        <v>3.6834793016705378E-2</v>
      </c>
      <c r="AK476">
        <f t="shared" si="23"/>
        <v>4.0518272318375917E-2</v>
      </c>
      <c r="AL476" t="str">
        <f>IF(MAX(X476, Y476, Z476, AA476)&gt;0.9,
 "Critical",
 IF(AK476&lt;=0.2,"Very Low",
 IF(AK476&lt;=0.4,"Low",
 IF(AK476&lt;=0.6,"Medium",
 IF(AK476&lt;=0.8,"High","Critical")))))</f>
        <v>Very Low</v>
      </c>
      <c r="AM476" t="str">
        <f>IF(MAX(X476:AA476)&gt;0.9,"CRITICAL ALERT",
 IF(AK476&gt;0.8,"CRITICAL ALERT",
 IF(AK476&gt;0.6,"ALERT",
 IF(AK476&gt;=0.4,"REVIEW","NO ACTION"))))</f>
        <v>NO ACTION</v>
      </c>
      <c r="AN476" t="str">
        <f>IF(AM476="NO ACTION","",
 IF(_xlfn.TEXTJOIN(", ", TRUE,
  IF(X476&gt;0.7,"Login anomaly",""),
  IF(Y476&gt;0.7,"File anomaly",""),
  IF(Z476&gt;0.7,"Network anomaly",""),
  IF(AA476&gt;0.7,"USB anomaly","")
 )="",
 "General anomaly detected",
 _xlfn.TEXTJOIN(", ", TRUE,
  IF(X476&gt;0.7,"Login anomaly",""),
  IF(Y476&gt;0.7,"File anomaly",""),
  IF(Z476&gt;0.7,"Network anomaly",""),
  IF(AA476&gt;0.7,"USB anomaly","")
 )))</f>
        <v/>
      </c>
    </row>
    <row r="477" spans="1:40" x14ac:dyDescent="0.3">
      <c r="A477" t="s">
        <v>500</v>
      </c>
      <c r="B477">
        <v>1.4744801512287299E-2</v>
      </c>
      <c r="C477">
        <v>0.54570371877580803</v>
      </c>
      <c r="D477">
        <v>0.34489754713170601</v>
      </c>
      <c r="E477">
        <v>0</v>
      </c>
      <c r="F477">
        <v>0</v>
      </c>
      <c r="G477">
        <v>0.44144593848399599</v>
      </c>
      <c r="H477">
        <v>7</v>
      </c>
      <c r="I477">
        <v>13</v>
      </c>
      <c r="J477">
        <v>8.1103000811029999E-4</v>
      </c>
      <c r="K477">
        <v>0</v>
      </c>
      <c r="L477">
        <v>0</v>
      </c>
      <c r="M477">
        <v>0</v>
      </c>
      <c r="N477">
        <v>0</v>
      </c>
      <c r="O477">
        <v>19</v>
      </c>
      <c r="P477">
        <v>5.9624017957351301E-4</v>
      </c>
      <c r="Q477">
        <v>7.71415547529717E-4</v>
      </c>
      <c r="R477">
        <v>0</v>
      </c>
      <c r="S477">
        <v>0</v>
      </c>
      <c r="T477" t="s">
        <v>49</v>
      </c>
      <c r="U477">
        <v>0</v>
      </c>
      <c r="V477">
        <v>0</v>
      </c>
      <c r="W477">
        <v>0</v>
      </c>
      <c r="X477">
        <v>0.103469264139512</v>
      </c>
      <c r="Y477">
        <v>1.6220600162205999E-4</v>
      </c>
      <c r="Z477">
        <v>3.5774410774410699E-4</v>
      </c>
      <c r="AA477">
        <v>0</v>
      </c>
      <c r="AB477">
        <v>4.0089000016450882E-2</v>
      </c>
      <c r="AC477">
        <v>1.955999992787838E-3</v>
      </c>
      <c r="AD477">
        <v>1.7493000254035E-2</v>
      </c>
      <c r="AE477">
        <v>6.7900000140070924E-3</v>
      </c>
      <c r="AF477">
        <f>0.16*X477 + 0.28*Y477 + 0.28*Z477 + 0.28*AA477</f>
        <v>1.6700668292944448E-2</v>
      </c>
      <c r="AG477">
        <f t="shared" si="21"/>
        <v>1.3761160075664521E-2</v>
      </c>
      <c r="AH477">
        <f>IF(T477="IT_Admin", 0.25, IF(AND(T477="HR", AA477&gt;0.6), 0.25, IF(AND(T477="General", Z477&gt;0.7), 0.2, 0.1)))</f>
        <v>0.1</v>
      </c>
      <c r="AI477">
        <f>IF(V477&gt;0.7, 0.1,
 IF(F477&gt;0.5, 0.08,
 IF(E477&gt;0.5, 0.05,
 0)))</f>
        <v>0</v>
      </c>
      <c r="AJ477">
        <f t="shared" si="22"/>
        <v>1.4643012540848498E-2</v>
      </c>
      <c r="AK477">
        <f t="shared" si="23"/>
        <v>1.610731379493335E-2</v>
      </c>
      <c r="AL477" t="str">
        <f>IF(MAX(X477, Y477, Z477, AA477)&gt;0.9,
 "Critical",
 IF(AK477&lt;=0.2,"Very Low",
 IF(AK477&lt;=0.4,"Low",
 IF(AK477&lt;=0.6,"Medium",
 IF(AK477&lt;=0.8,"High","Critical")))))</f>
        <v>Very Low</v>
      </c>
      <c r="AM477" t="str">
        <f>IF(MAX(X477:AA477)&gt;0.9,"CRITICAL ALERT",
 IF(AK477&gt;0.8,"CRITICAL ALERT",
 IF(AK477&gt;0.6,"ALERT",
 IF(AK477&gt;=0.4,"REVIEW","NO ACTION"))))</f>
        <v>NO ACTION</v>
      </c>
      <c r="AN477" t="str">
        <f>IF(AM477="NO ACTION","",
 IF(_xlfn.TEXTJOIN(", ", TRUE,
  IF(X477&gt;0.7,"Login anomaly",""),
  IF(Y477&gt;0.7,"File anomaly",""),
  IF(Z477&gt;0.7,"Network anomaly",""),
  IF(AA477&gt;0.7,"USB anomaly","")
 )="",
 "General anomaly detected",
 _xlfn.TEXTJOIN(", ", TRUE,
  IF(X477&gt;0.7,"Login anomaly",""),
  IF(Y477&gt;0.7,"File anomaly",""),
  IF(Z477&gt;0.7,"Network anomaly",""),
  IF(AA477&gt;0.7,"USB anomaly","")
 )))</f>
        <v/>
      </c>
    </row>
    <row r="478" spans="1:40" x14ac:dyDescent="0.3">
      <c r="A478" t="s">
        <v>501</v>
      </c>
      <c r="B478">
        <v>0.12892249527410199</v>
      </c>
      <c r="C478">
        <v>0.36953165208440503</v>
      </c>
      <c r="D478">
        <v>0</v>
      </c>
      <c r="E478">
        <v>0</v>
      </c>
      <c r="F478">
        <v>0</v>
      </c>
      <c r="G478">
        <v>0.99368298340699401</v>
      </c>
      <c r="H478">
        <v>8</v>
      </c>
      <c r="I478">
        <v>8</v>
      </c>
      <c r="J478">
        <v>9.7132770383092398E-2</v>
      </c>
      <c r="K478">
        <v>2.36541598694942E-2</v>
      </c>
      <c r="L478">
        <v>6.2051909928538297E-2</v>
      </c>
      <c r="M478">
        <v>2.8860028860028799E-3</v>
      </c>
      <c r="N478">
        <v>1.7911317274374498E-2</v>
      </c>
      <c r="O478">
        <v>1163</v>
      </c>
      <c r="P478">
        <v>8.2982603815937098E-2</v>
      </c>
      <c r="Q478">
        <v>8.3137557417861704E-2</v>
      </c>
      <c r="R478">
        <v>0</v>
      </c>
      <c r="S478">
        <v>0</v>
      </c>
      <c r="T478" t="s">
        <v>24</v>
      </c>
      <c r="U478">
        <v>4.4768439108061699E-2</v>
      </c>
      <c r="V478">
        <v>0</v>
      </c>
      <c r="W478">
        <v>0</v>
      </c>
      <c r="X478">
        <v>0</v>
      </c>
      <c r="Y478">
        <v>5.5825904223200003E-2</v>
      </c>
      <c r="Z478">
        <v>5.6954089199312101E-2</v>
      </c>
      <c r="AA478">
        <v>0</v>
      </c>
      <c r="AB478">
        <v>2.4831000715494159E-2</v>
      </c>
      <c r="AC478">
        <v>1.6199999663513151E-4</v>
      </c>
      <c r="AD478">
        <v>3.0890000052750111E-3</v>
      </c>
      <c r="AE478">
        <v>1.235999981872737E-3</v>
      </c>
      <c r="AF478">
        <f>0.16*X478 + 0.28*Y478 + 0.28*Z478 + 0.28*AA478</f>
        <v>3.1578398158303392E-2</v>
      </c>
      <c r="AG478">
        <f t="shared" si="21"/>
        <v>5.2293201099382711E-3</v>
      </c>
      <c r="AH478">
        <f>IF(T478="IT_Admin", 0.25, IF(AND(T478="HR", AA478&gt;0.6), 0.25, IF(AND(T478="General", Z478&gt;0.7), 0.2, 0.1)))</f>
        <v>0.25</v>
      </c>
      <c r="AI478">
        <f>IF(V478&gt;0.7, 0.1,
 IF(F478&gt;0.5, 0.08,
 IF(E478&gt;0.5, 0.05,
 0)))</f>
        <v>0</v>
      </c>
      <c r="AJ478">
        <f t="shared" si="22"/>
        <v>1.3134043524447808E-2</v>
      </c>
      <c r="AK478">
        <f t="shared" si="23"/>
        <v>1.641755440555976E-2</v>
      </c>
      <c r="AL478" t="str">
        <f>IF(MAX(X478, Y478, Z478, AA478)&gt;0.9,
 "Critical",
 IF(AK478&lt;=0.2,"Very Low",
 IF(AK478&lt;=0.4,"Low",
 IF(AK478&lt;=0.6,"Medium",
 IF(AK478&lt;=0.8,"High","Critical")))))</f>
        <v>Very Low</v>
      </c>
      <c r="AM478" t="str">
        <f>IF(MAX(X478:AA478)&gt;0.9,"CRITICAL ALERT",
 IF(AK478&gt;0.8,"CRITICAL ALERT",
 IF(AK478&gt;0.6,"ALERT",
 IF(AK478&gt;=0.4,"REVIEW","NO ACTION"))))</f>
        <v>NO ACTION</v>
      </c>
      <c r="AN478" t="str">
        <f>IF(AM478="NO ACTION","",
 IF(_xlfn.TEXTJOIN(", ", TRUE,
  IF(X478&gt;0.7,"Login anomaly",""),
  IF(Y478&gt;0.7,"File anomaly",""),
  IF(Z478&gt;0.7,"Network anomaly",""),
  IF(AA478&gt;0.7,"USB anomaly","")
 )="",
 "General anomaly detected",
 _xlfn.TEXTJOIN(", ", TRUE,
  IF(X478&gt;0.7,"Login anomaly",""),
  IF(Y478&gt;0.7,"File anomaly",""),
  IF(Z478&gt;0.7,"Network anomaly",""),
  IF(AA478&gt;0.7,"USB anomaly","")
 )))</f>
        <v/>
      </c>
    </row>
    <row r="479" spans="1:40" x14ac:dyDescent="0.3">
      <c r="A479" t="s">
        <v>502</v>
      </c>
      <c r="B479">
        <v>0.12892249527410199</v>
      </c>
      <c r="C479">
        <v>0.27259653755211899</v>
      </c>
      <c r="D479">
        <v>7.5041536061111899E-2</v>
      </c>
      <c r="E479">
        <v>0</v>
      </c>
      <c r="F479">
        <v>0</v>
      </c>
      <c r="G479">
        <v>0.99367152897189504</v>
      </c>
      <c r="H479">
        <v>7</v>
      </c>
      <c r="I479">
        <v>8</v>
      </c>
      <c r="J479">
        <v>0.115786460569629</v>
      </c>
      <c r="K479">
        <v>2.6101141924959201E-2</v>
      </c>
      <c r="L479">
        <v>5.7462771399340598E-2</v>
      </c>
      <c r="M479">
        <v>4.3290043290043203E-3</v>
      </c>
      <c r="N479">
        <v>2.2547490886306601E-2</v>
      </c>
      <c r="O479">
        <v>1279</v>
      </c>
      <c r="P479">
        <v>9.8449775533108796E-2</v>
      </c>
      <c r="Q479">
        <v>9.8600932711525605E-2</v>
      </c>
      <c r="R479">
        <v>0</v>
      </c>
      <c r="S479">
        <v>0</v>
      </c>
      <c r="T479" t="s">
        <v>24</v>
      </c>
      <c r="U479">
        <v>3.3962264150943298E-2</v>
      </c>
      <c r="V479">
        <v>0</v>
      </c>
      <c r="W479">
        <v>0</v>
      </c>
      <c r="X479">
        <v>2.25124608183335E-2</v>
      </c>
      <c r="Y479">
        <v>5.8652925079488202E-2</v>
      </c>
      <c r="Z479">
        <v>6.8088861674387893E-2</v>
      </c>
      <c r="AA479">
        <v>0</v>
      </c>
      <c r="AB479">
        <v>1.8775999546051029E-2</v>
      </c>
      <c r="AC479">
        <v>1.4099999680183831E-4</v>
      </c>
      <c r="AD479">
        <v>1.6550000291317699E-3</v>
      </c>
      <c r="AE479">
        <v>1.3099999632686381E-3</v>
      </c>
      <c r="AF479">
        <f>0.16*X479 + 0.28*Y479 + 0.28*Z479 + 0.28*AA479</f>
        <v>3.9089694022018673E-2</v>
      </c>
      <c r="AG479">
        <f t="shared" si="21"/>
        <v>3.8738399243447939E-3</v>
      </c>
      <c r="AH479">
        <f>IF(T479="IT_Admin", 0.25, IF(AND(T479="HR", AA479&gt;0.6), 0.25, IF(AND(T479="General", Z479&gt;0.7), 0.2, 0.1)))</f>
        <v>0.25</v>
      </c>
      <c r="AI479">
        <f>IF(V479&gt;0.7, 0.1,
 IF(F479&gt;0.5, 0.08,
 IF(E479&gt;0.5, 0.05,
 0)))</f>
        <v>0</v>
      </c>
      <c r="AJ479">
        <f t="shared" si="22"/>
        <v>1.4438596153646958E-2</v>
      </c>
      <c r="AK479">
        <f t="shared" si="23"/>
        <v>1.8048245192058696E-2</v>
      </c>
      <c r="AL479" t="str">
        <f>IF(MAX(X479, Y479, Z479, AA479)&gt;0.9,
 "Critical",
 IF(AK479&lt;=0.2,"Very Low",
 IF(AK479&lt;=0.4,"Low",
 IF(AK479&lt;=0.6,"Medium",
 IF(AK479&lt;=0.8,"High","Critical")))))</f>
        <v>Very Low</v>
      </c>
      <c r="AM479" t="str">
        <f>IF(MAX(X479:AA479)&gt;0.9,"CRITICAL ALERT",
 IF(AK479&gt;0.8,"CRITICAL ALERT",
 IF(AK479&gt;0.6,"ALERT",
 IF(AK479&gt;=0.4,"REVIEW","NO ACTION"))))</f>
        <v>NO ACTION</v>
      </c>
      <c r="AN479" t="str">
        <f>IF(AM479="NO ACTION","",
 IF(_xlfn.TEXTJOIN(", ", TRUE,
  IF(X479&gt;0.7,"Login anomaly",""),
  IF(Y479&gt;0.7,"File anomaly",""),
  IF(Z479&gt;0.7,"Network anomaly",""),
  IF(AA479&gt;0.7,"USB anomaly","")
 )="",
 "General anomaly detected",
 _xlfn.TEXTJOIN(", ", TRUE,
  IF(X479&gt;0.7,"Login anomaly",""),
  IF(Y479&gt;0.7,"File anomaly",""),
  IF(Z479&gt;0.7,"Network anomaly",""),
  IF(AA479&gt;0.7,"USB anomaly","")
 )))</f>
        <v/>
      </c>
    </row>
    <row r="480" spans="1:40" x14ac:dyDescent="0.3">
      <c r="A480" t="s">
        <v>503</v>
      </c>
      <c r="B480">
        <v>0.12892249527410199</v>
      </c>
      <c r="C480">
        <v>0.18476582604220201</v>
      </c>
      <c r="D480">
        <v>0</v>
      </c>
      <c r="E480">
        <v>0</v>
      </c>
      <c r="F480">
        <v>0</v>
      </c>
      <c r="G480">
        <v>0.99365089493109704</v>
      </c>
      <c r="H480">
        <v>7</v>
      </c>
      <c r="I480">
        <v>7</v>
      </c>
      <c r="J480">
        <v>0.103716425743046</v>
      </c>
      <c r="K480">
        <v>1.7944535073409401E-2</v>
      </c>
      <c r="L480">
        <v>4.40925900778786E-2</v>
      </c>
      <c r="M480">
        <v>4.3290043290043203E-3</v>
      </c>
      <c r="N480">
        <v>2.5165441870352301E-2</v>
      </c>
      <c r="O480">
        <v>1175</v>
      </c>
      <c r="P480">
        <v>8.6069023569023503E-2</v>
      </c>
      <c r="Q480">
        <v>8.62232196079806E-2</v>
      </c>
      <c r="R480">
        <v>0</v>
      </c>
      <c r="S480">
        <v>0</v>
      </c>
      <c r="T480" t="s">
        <v>24</v>
      </c>
      <c r="U480">
        <v>2.33490566037735E-2</v>
      </c>
      <c r="V480">
        <v>0</v>
      </c>
      <c r="W480">
        <v>0</v>
      </c>
      <c r="X480">
        <v>0</v>
      </c>
      <c r="Y480">
        <v>5.03392127486543E-2</v>
      </c>
      <c r="Z480">
        <v>6.1707590889555103E-2</v>
      </c>
      <c r="AA480">
        <v>0</v>
      </c>
      <c r="AB480">
        <v>3.6701999604702003E-2</v>
      </c>
      <c r="AC480">
        <v>5.6000000768108287E-5</v>
      </c>
      <c r="AD480">
        <v>2.647999906912446E-3</v>
      </c>
      <c r="AE480">
        <v>1.226000022143126E-3</v>
      </c>
      <c r="AF480">
        <f>0.16*X480 + 0.28*Y480 + 0.28*Z480 + 0.28*AA480</f>
        <v>3.1373105018698638E-2</v>
      </c>
      <c r="AG480">
        <f t="shared" si="21"/>
        <v>6.9727199171029522E-3</v>
      </c>
      <c r="AH480">
        <f>IF(T480="IT_Admin", 0.25, IF(AND(T480="HR", AA480&gt;0.6), 0.25, IF(AND(T480="General", Z480&gt;0.7), 0.2, 0.1)))</f>
        <v>0.25</v>
      </c>
      <c r="AI480">
        <f>IF(V480&gt;0.7, 0.1,
 IF(F480&gt;0.5, 0.08,
 IF(E480&gt;0.5, 0.05,
 0)))</f>
        <v>0</v>
      </c>
      <c r="AJ480">
        <f t="shared" si="22"/>
        <v>1.4292835447581656E-2</v>
      </c>
      <c r="AK480">
        <f t="shared" si="23"/>
        <v>1.786604430947707E-2</v>
      </c>
      <c r="AL480" t="str">
        <f>IF(MAX(X480, Y480, Z480, AA480)&gt;0.9,
 "Critical",
 IF(AK480&lt;=0.2,"Very Low",
 IF(AK480&lt;=0.4,"Low",
 IF(AK480&lt;=0.6,"Medium",
 IF(AK480&lt;=0.8,"High","Critical")))))</f>
        <v>Very Low</v>
      </c>
      <c r="AM480" t="str">
        <f>IF(MAX(X480:AA480)&gt;0.9,"CRITICAL ALERT",
 IF(AK480&gt;0.8,"CRITICAL ALERT",
 IF(AK480&gt;0.6,"ALERT",
 IF(AK480&gt;=0.4,"REVIEW","NO ACTION"))))</f>
        <v>NO ACTION</v>
      </c>
      <c r="AN480" t="str">
        <f>IF(AM480="NO ACTION","",
 IF(_xlfn.TEXTJOIN(", ", TRUE,
  IF(X480&gt;0.7,"Login anomaly",""),
  IF(Y480&gt;0.7,"File anomaly",""),
  IF(Z480&gt;0.7,"Network anomaly",""),
  IF(AA480&gt;0.7,"USB anomaly","")
 )="",
 "General anomaly detected",
 _xlfn.TEXTJOIN(", ", TRUE,
  IF(X480&gt;0.7,"Login anomaly",""),
  IF(Y480&gt;0.7,"File anomaly",""),
  IF(Z480&gt;0.7,"Network anomaly",""),
  IF(AA480&gt;0.7,"USB anomaly","")
 )))</f>
        <v/>
      </c>
    </row>
    <row r="481" spans="1:40" x14ac:dyDescent="0.3">
      <c r="A481" t="s">
        <v>504</v>
      </c>
      <c r="B481">
        <v>0.26540642722117203</v>
      </c>
      <c r="C481">
        <v>0.62888424926262398</v>
      </c>
      <c r="D481">
        <v>0.38260854944407802</v>
      </c>
      <c r="E481">
        <v>0</v>
      </c>
      <c r="F481">
        <v>0</v>
      </c>
      <c r="G481">
        <v>0.40876492663004599</v>
      </c>
      <c r="H481">
        <v>7</v>
      </c>
      <c r="I481">
        <v>16</v>
      </c>
      <c r="J481">
        <v>0.10285768808740001</v>
      </c>
      <c r="K481">
        <v>2.36541598694942E-2</v>
      </c>
      <c r="L481">
        <v>5.86061768459726E-2</v>
      </c>
      <c r="M481">
        <v>1.1544011544011501E-3</v>
      </c>
      <c r="N481">
        <v>6.7666818245254098E-3</v>
      </c>
      <c r="O481">
        <v>1160</v>
      </c>
      <c r="P481">
        <v>8.6349607182940505E-2</v>
      </c>
      <c r="Q481">
        <v>8.6503734352536901E-2</v>
      </c>
      <c r="R481">
        <v>0.59734513274336198</v>
      </c>
      <c r="S481">
        <v>1</v>
      </c>
      <c r="T481" t="s">
        <v>24</v>
      </c>
      <c r="U481">
        <v>9.8490566037735802E-2</v>
      </c>
      <c r="V481">
        <v>0</v>
      </c>
      <c r="W481">
        <v>0</v>
      </c>
      <c r="X481">
        <v>0.11478256483322299</v>
      </c>
      <c r="Y481">
        <v>5.1904630587823998E-2</v>
      </c>
      <c r="Z481">
        <v>5.45164370395744E-2</v>
      </c>
      <c r="AA481">
        <v>0.59734513274336198</v>
      </c>
      <c r="AB481">
        <v>3.7516999989748001E-2</v>
      </c>
      <c r="AC481">
        <v>1.441000029444695E-3</v>
      </c>
      <c r="AD481">
        <v>2.4280000943690538E-3</v>
      </c>
      <c r="AE481">
        <v>0.34562700986862183</v>
      </c>
      <c r="AF481">
        <f>0.16*X481 + 0.28*Y481 + 0.28*Z481 + 0.28*AA481</f>
        <v>0.21541974647712861</v>
      </c>
      <c r="AG481">
        <f t="shared" si="21"/>
        <v>0.10386160279624165</v>
      </c>
      <c r="AH481">
        <f>IF(T481="IT_Admin", 0.25, IF(AND(T481="HR", AA481&gt;0.6), 0.25, IF(AND(T481="General", Z481&gt;0.7), 0.2, 0.1)))</f>
        <v>0.25</v>
      </c>
      <c r="AI481">
        <f>IF(V481&gt;0.7, 0.1,
 IF(F481&gt;0.5, 0.08,
 IF(E481&gt;0.5, 0.05,
 0)))</f>
        <v>0</v>
      </c>
      <c r="AJ481">
        <f t="shared" si="22"/>
        <v>0.13732904590050773</v>
      </c>
      <c r="AK481">
        <f t="shared" si="23"/>
        <v>0.17166130737563468</v>
      </c>
      <c r="AL481" t="str">
        <f>IF(MAX(X481, Y481, Z481, AA481)&gt;0.9,
 "Critical",
 IF(AK481&lt;=0.2,"Very Low",
 IF(AK481&lt;=0.4,"Low",
 IF(AK481&lt;=0.6,"Medium",
 IF(AK481&lt;=0.8,"High","Critical")))))</f>
        <v>Very Low</v>
      </c>
      <c r="AM481" t="str">
        <f>IF(MAX(X481:AA481)&gt;0.9,"CRITICAL ALERT",
 IF(AK481&gt;0.8,"CRITICAL ALERT",
 IF(AK481&gt;0.6,"ALERT",
 IF(AK481&gt;=0.4,"REVIEW","NO ACTION"))))</f>
        <v>NO ACTION</v>
      </c>
      <c r="AN481" t="str">
        <f>IF(AM481="NO ACTION","",
 IF(_xlfn.TEXTJOIN(", ", TRUE,
  IF(X481&gt;0.7,"Login anomaly",""),
  IF(Y481&gt;0.7,"File anomaly",""),
  IF(Z481&gt;0.7,"Network anomaly",""),
  IF(AA481&gt;0.7,"USB anomaly","")
 )="",
 "General anomaly detected",
 _xlfn.TEXTJOIN(", ", TRUE,
  IF(X481&gt;0.7,"Login anomaly",""),
  IF(Y481&gt;0.7,"File anomaly",""),
  IF(Z481&gt;0.7,"Network anomaly",""),
  IF(AA481&gt;0.7,"USB anomaly","")
 )))</f>
        <v/>
      </c>
    </row>
    <row r="482" spans="1:40" x14ac:dyDescent="0.3">
      <c r="A482" t="s">
        <v>505</v>
      </c>
      <c r="B482">
        <v>0.12892249527410199</v>
      </c>
      <c r="C482">
        <v>0.36953165208440503</v>
      </c>
      <c r="D482">
        <v>0</v>
      </c>
      <c r="E482">
        <v>0</v>
      </c>
      <c r="F482">
        <v>0</v>
      </c>
      <c r="G482">
        <v>0.99367305444572795</v>
      </c>
      <c r="H482">
        <v>8</v>
      </c>
      <c r="I482">
        <v>8</v>
      </c>
      <c r="J482">
        <v>0.10729449930823901</v>
      </c>
      <c r="K482">
        <v>1.2234910277324601E-2</v>
      </c>
      <c r="L482">
        <v>2.90628036358688E-2</v>
      </c>
      <c r="M482">
        <v>2.0202020202020202E-3</v>
      </c>
      <c r="N482">
        <v>1.1353105141925E-2</v>
      </c>
      <c r="O482">
        <v>1035</v>
      </c>
      <c r="P482">
        <v>8.5122053872053793E-2</v>
      </c>
      <c r="Q482">
        <v>8.5276482345103197E-2</v>
      </c>
      <c r="R482">
        <v>0</v>
      </c>
      <c r="S482">
        <v>0</v>
      </c>
      <c r="T482" t="s">
        <v>24</v>
      </c>
      <c r="U482">
        <v>3.1839622641509399E-2</v>
      </c>
      <c r="V482">
        <v>0</v>
      </c>
      <c r="W482">
        <v>0</v>
      </c>
      <c r="X482">
        <v>0</v>
      </c>
      <c r="Y482">
        <v>3.9396233222159703E-2</v>
      </c>
      <c r="Z482">
        <v>5.5614474380002298E-2</v>
      </c>
      <c r="AA482">
        <v>0</v>
      </c>
      <c r="AB482">
        <v>2.4710999801754951E-2</v>
      </c>
      <c r="AC482">
        <v>9.6000003395602107E-5</v>
      </c>
      <c r="AD482">
        <v>3.013999899849296E-3</v>
      </c>
      <c r="AE482">
        <v>1.331000006757677E-3</v>
      </c>
      <c r="AF482">
        <f>0.16*X482 + 0.28*Y482 + 0.28*Z482 + 0.28*AA482</f>
        <v>2.6602998128605365E-2</v>
      </c>
      <c r="AG482">
        <f t="shared" si="21"/>
        <v>5.1972399430815141E-3</v>
      </c>
      <c r="AH482">
        <f>IF(T482="IT_Admin", 0.25, IF(AND(T482="HR", AA482&gt;0.6), 0.25, IF(AND(T482="General", Z482&gt;0.7), 0.2, 0.1)))</f>
        <v>0.25</v>
      </c>
      <c r="AI482">
        <f>IF(V482&gt;0.7, 0.1,
 IF(F482&gt;0.5, 0.08,
 IF(E482&gt;0.5, 0.05,
 0)))</f>
        <v>0</v>
      </c>
      <c r="AJ482">
        <f t="shared" si="22"/>
        <v>1.161896739873867E-2</v>
      </c>
      <c r="AK482">
        <f t="shared" si="23"/>
        <v>1.4523709248423337E-2</v>
      </c>
      <c r="AL482" t="str">
        <f>IF(MAX(X482, Y482, Z482, AA482)&gt;0.9,
 "Critical",
 IF(AK482&lt;=0.2,"Very Low",
 IF(AK482&lt;=0.4,"Low",
 IF(AK482&lt;=0.6,"Medium",
 IF(AK482&lt;=0.8,"High","Critical")))))</f>
        <v>Very Low</v>
      </c>
      <c r="AM482" t="str">
        <f>IF(MAX(X482:AA482)&gt;0.9,"CRITICAL ALERT",
 IF(AK482&gt;0.8,"CRITICAL ALERT",
 IF(AK482&gt;0.6,"ALERT",
 IF(AK482&gt;=0.4,"REVIEW","NO ACTION"))))</f>
        <v>NO ACTION</v>
      </c>
      <c r="AN482" t="str">
        <f>IF(AM482="NO ACTION","",
 IF(_xlfn.TEXTJOIN(", ", TRUE,
  IF(X482&gt;0.7,"Login anomaly",""),
  IF(Y482&gt;0.7,"File anomaly",""),
  IF(Z482&gt;0.7,"Network anomaly",""),
  IF(AA482&gt;0.7,"USB anomaly","")
 )="",
 "General anomaly detected",
 _xlfn.TEXTJOIN(", ", TRUE,
  IF(X482&gt;0.7,"Login anomaly",""),
  IF(Y482&gt;0.7,"File anomaly",""),
  IF(Z482&gt;0.7,"Network anomaly",""),
  IF(AA482&gt;0.7,"USB anomaly","")
 )))</f>
        <v/>
      </c>
    </row>
    <row r="483" spans="1:40" x14ac:dyDescent="0.3">
      <c r="A483" t="s">
        <v>506</v>
      </c>
      <c r="B483">
        <v>0.236672967863894</v>
      </c>
      <c r="C483">
        <v>0.67160911370895904</v>
      </c>
      <c r="D483">
        <v>0.37295559090215302</v>
      </c>
      <c r="E483">
        <v>0</v>
      </c>
      <c r="F483">
        <v>0</v>
      </c>
      <c r="G483">
        <v>0.47642163492723599</v>
      </c>
      <c r="H483">
        <v>7</v>
      </c>
      <c r="I483">
        <v>14</v>
      </c>
      <c r="J483">
        <v>9.1455560326320295E-2</v>
      </c>
      <c r="K483">
        <v>1.71288743882544E-2</v>
      </c>
      <c r="L483">
        <v>4.7716224325363002E-2</v>
      </c>
      <c r="M483">
        <v>2.0202020202020202E-3</v>
      </c>
      <c r="N483">
        <v>1.3314203428667499E-2</v>
      </c>
      <c r="O483">
        <v>1072</v>
      </c>
      <c r="P483">
        <v>7.5582210998877603E-2</v>
      </c>
      <c r="Q483">
        <v>7.5738981030190403E-2</v>
      </c>
      <c r="R483">
        <v>0</v>
      </c>
      <c r="S483">
        <v>0</v>
      </c>
      <c r="T483" t="s">
        <v>49</v>
      </c>
      <c r="U483">
        <v>4.4575471698113198E-2</v>
      </c>
      <c r="V483">
        <v>0</v>
      </c>
      <c r="W483">
        <v>0</v>
      </c>
      <c r="X483">
        <v>0.111886677270645</v>
      </c>
      <c r="Y483">
        <v>4.6143485256545803E-2</v>
      </c>
      <c r="Z483">
        <v>5.0675007970793599E-2</v>
      </c>
      <c r="AA483">
        <v>0</v>
      </c>
      <c r="AB483">
        <v>2.6272999122738842E-2</v>
      </c>
      <c r="AC483">
        <v>4.5000000682193793E-5</v>
      </c>
      <c r="AD483">
        <v>3.7710000760853291E-3</v>
      </c>
      <c r="AE483">
        <v>6.4920000731945038E-3</v>
      </c>
      <c r="AF483">
        <f>0.16*X483 + 0.28*Y483 + 0.28*Z483 + 0.28*AA483</f>
        <v>4.5011046466958235E-2</v>
      </c>
      <c r="AG483">
        <f t="shared" si="21"/>
        <v>7.0899199016275826E-3</v>
      </c>
      <c r="AH483">
        <f>IF(T483="IT_Admin", 0.25, IF(AND(T483="HR", AA483&gt;0.6), 0.25, IF(AND(T483="General", Z483&gt;0.7), 0.2, 0.1)))</f>
        <v>0.1</v>
      </c>
      <c r="AI483">
        <f>IF(V483&gt;0.7, 0.1,
 IF(F483&gt;0.5, 0.08,
 IF(E483&gt;0.5, 0.05,
 0)))</f>
        <v>0</v>
      </c>
      <c r="AJ483">
        <f t="shared" si="22"/>
        <v>1.8466257871226778E-2</v>
      </c>
      <c r="AK483">
        <f t="shared" si="23"/>
        <v>2.0312883658349459E-2</v>
      </c>
      <c r="AL483" t="str">
        <f>IF(MAX(X483, Y483, Z483, AA483)&gt;0.9,
 "Critical",
 IF(AK483&lt;=0.2,"Very Low",
 IF(AK483&lt;=0.4,"Low",
 IF(AK483&lt;=0.6,"Medium",
 IF(AK483&lt;=0.8,"High","Critical")))))</f>
        <v>Very Low</v>
      </c>
      <c r="AM483" t="str">
        <f>IF(MAX(X483:AA483)&gt;0.9,"CRITICAL ALERT",
 IF(AK483&gt;0.8,"CRITICAL ALERT",
 IF(AK483&gt;0.6,"ALERT",
 IF(AK483&gt;=0.4,"REVIEW","NO ACTION"))))</f>
        <v>NO ACTION</v>
      </c>
      <c r="AN483" t="str">
        <f>IF(AM483="NO ACTION","",
 IF(_xlfn.TEXTJOIN(", ", TRUE,
  IF(X483&gt;0.7,"Login anomaly",""),
  IF(Y483&gt;0.7,"File anomaly",""),
  IF(Z483&gt;0.7,"Network anomaly",""),
  IF(AA483&gt;0.7,"USB anomaly","")
 )="",
 "General anomaly detected",
 _xlfn.TEXTJOIN(", ", TRUE,
  IF(X483&gt;0.7,"Login anomaly",""),
  IF(Y483&gt;0.7,"File anomaly",""),
  IF(Z483&gt;0.7,"Network anomaly",""),
  IF(AA483&gt;0.7,"USB anomaly","")
 )))</f>
        <v/>
      </c>
    </row>
    <row r="484" spans="1:40" x14ac:dyDescent="0.3">
      <c r="A484" t="s">
        <v>507</v>
      </c>
      <c r="B484">
        <v>0.14744801512287301</v>
      </c>
      <c r="C484">
        <v>0.37984852561975602</v>
      </c>
      <c r="D484">
        <v>0.27235137701784101</v>
      </c>
      <c r="E484">
        <v>0</v>
      </c>
      <c r="F484">
        <v>0</v>
      </c>
      <c r="G484">
        <v>0.85125879860952103</v>
      </c>
      <c r="H484">
        <v>7</v>
      </c>
      <c r="I484">
        <v>17</v>
      </c>
      <c r="J484">
        <v>8.9404131482276605E-2</v>
      </c>
      <c r="K484">
        <v>1.5497553017944501E-2</v>
      </c>
      <c r="L484">
        <v>4.4159788132329902E-2</v>
      </c>
      <c r="M484">
        <v>3.1746031746031698E-3</v>
      </c>
      <c r="N484">
        <v>2.1401116770994301E-2</v>
      </c>
      <c r="O484">
        <v>1062</v>
      </c>
      <c r="P484">
        <v>7.3933782267115597E-2</v>
      </c>
      <c r="Q484">
        <v>7.4090956905922295E-2</v>
      </c>
      <c r="R484">
        <v>0.370206489675516</v>
      </c>
      <c r="S484">
        <v>1</v>
      </c>
      <c r="T484" t="s">
        <v>49</v>
      </c>
      <c r="U484">
        <v>2.6886792452830099E-2</v>
      </c>
      <c r="V484">
        <v>0</v>
      </c>
      <c r="W484">
        <v>0</v>
      </c>
      <c r="X484">
        <v>8.1705413105352301E-2</v>
      </c>
      <c r="Y484">
        <v>4.6381055393918597E-2</v>
      </c>
      <c r="Z484">
        <v>5.2920716068667099E-2</v>
      </c>
      <c r="AA484">
        <v>0.370206489675516</v>
      </c>
      <c r="AB484">
        <v>9.2860003933310509E-3</v>
      </c>
      <c r="AC484">
        <v>6.1999999161344022E-5</v>
      </c>
      <c r="AD484">
        <v>3.5280000884085889E-3</v>
      </c>
      <c r="AE484">
        <v>0.14586600661277771</v>
      </c>
      <c r="AF484">
        <f>0.16*X484 + 0.28*Y484 + 0.28*Z484 + 0.28*AA484</f>
        <v>0.14453517921552486</v>
      </c>
      <c r="AG484">
        <f t="shared" si="21"/>
        <v>4.3333441939030312E-2</v>
      </c>
      <c r="AH484">
        <f>IF(T484="IT_Admin", 0.25, IF(AND(T484="HR", AA484&gt;0.6), 0.25, IF(AND(T484="General", Z484&gt;0.7), 0.2, 0.1)))</f>
        <v>0.1</v>
      </c>
      <c r="AI484">
        <f>IF(V484&gt;0.7, 0.1,
 IF(F484&gt;0.5, 0.08,
 IF(E484&gt;0.5, 0.05,
 0)))</f>
        <v>0</v>
      </c>
      <c r="AJ484">
        <f t="shared" si="22"/>
        <v>7.3693963121978678E-2</v>
      </c>
      <c r="AK484">
        <f t="shared" si="23"/>
        <v>8.1063359434176557E-2</v>
      </c>
      <c r="AL484" t="str">
        <f>IF(MAX(X484, Y484, Z484, AA484)&gt;0.9,
 "Critical",
 IF(AK484&lt;=0.2,"Very Low",
 IF(AK484&lt;=0.4,"Low",
 IF(AK484&lt;=0.6,"Medium",
 IF(AK484&lt;=0.8,"High","Critical")))))</f>
        <v>Very Low</v>
      </c>
      <c r="AM484" t="str">
        <f>IF(MAX(X484:AA484)&gt;0.9,"CRITICAL ALERT",
 IF(AK484&gt;0.8,"CRITICAL ALERT",
 IF(AK484&gt;0.6,"ALERT",
 IF(AK484&gt;=0.4,"REVIEW","NO ACTION"))))</f>
        <v>NO ACTION</v>
      </c>
      <c r="AN484" t="str">
        <f>IF(AM484="NO ACTION","",
 IF(_xlfn.TEXTJOIN(", ", TRUE,
  IF(X484&gt;0.7,"Login anomaly",""),
  IF(Y484&gt;0.7,"File anomaly",""),
  IF(Z484&gt;0.7,"Network anomaly",""),
  IF(AA484&gt;0.7,"USB anomaly","")
 )="",
 "General anomaly detected",
 _xlfn.TEXTJOIN(", ", TRUE,
  IF(X484&gt;0.7,"Login anomaly",""),
  IF(Y484&gt;0.7,"File anomaly",""),
  IF(Z484&gt;0.7,"Network anomaly",""),
  IF(AA484&gt;0.7,"USB anomaly","")
 )))</f>
        <v/>
      </c>
    </row>
    <row r="485" spans="1:40" x14ac:dyDescent="0.3">
      <c r="A485" t="s">
        <v>508</v>
      </c>
      <c r="B485">
        <v>0.148960302457466</v>
      </c>
      <c r="C485">
        <v>0.45030867150989001</v>
      </c>
      <c r="D485">
        <v>0.40385284644501301</v>
      </c>
      <c r="E485">
        <v>0.57230597431602404</v>
      </c>
      <c r="F485">
        <v>7.0351758793969807E-2</v>
      </c>
      <c r="G485">
        <v>0.842386866129201</v>
      </c>
      <c r="H485">
        <v>0</v>
      </c>
      <c r="I485">
        <v>23</v>
      </c>
      <c r="J485">
        <v>9.4318019178474294E-2</v>
      </c>
      <c r="K485">
        <v>1.6313213703099501E-3</v>
      </c>
      <c r="L485">
        <v>4.4068321153883797E-3</v>
      </c>
      <c r="M485">
        <v>1.44300144300144E-3</v>
      </c>
      <c r="N485">
        <v>9.2222498882438293E-3</v>
      </c>
      <c r="O485">
        <v>336</v>
      </c>
      <c r="P485">
        <v>7.0742143658810305E-2</v>
      </c>
      <c r="Q485">
        <v>7.0900101686594899E-2</v>
      </c>
      <c r="R485">
        <v>0.43952802359881998</v>
      </c>
      <c r="S485">
        <v>1</v>
      </c>
      <c r="T485" t="s">
        <v>49</v>
      </c>
      <c r="U485">
        <v>5.6603773584905596E-3</v>
      </c>
      <c r="V485">
        <v>0</v>
      </c>
      <c r="W485">
        <v>1.0117327112298799E-2</v>
      </c>
      <c r="X485">
        <v>0.32098834974589902</v>
      </c>
      <c r="Y485">
        <v>2.3833694859862201E-2</v>
      </c>
      <c r="Z485">
        <v>4.6134186150583699E-2</v>
      </c>
      <c r="AA485">
        <v>0.43952802359881998</v>
      </c>
      <c r="AB485">
        <v>0.31571701169013983</v>
      </c>
      <c r="AC485">
        <v>9.2700001550838351E-4</v>
      </c>
      <c r="AD485">
        <v>3.6130000371485949E-3</v>
      </c>
      <c r="AE485">
        <v>0.17165599763393399</v>
      </c>
      <c r="AF485">
        <f>0.16*X485 + 0.28*Y485 + 0.28*Z485 + 0.28*AA485</f>
        <v>0.19401698924993832</v>
      </c>
      <c r="AG485">
        <f t="shared" si="21"/>
        <v>9.9849601222667839E-2</v>
      </c>
      <c r="AH485">
        <f>IF(T485="IT_Admin", 0.25, IF(AND(T485="HR", AA485&gt;0.6), 0.25, IF(AND(T485="General", Z485&gt;0.7), 0.2, 0.1)))</f>
        <v>0.1</v>
      </c>
      <c r="AI485">
        <f>IF(V485&gt;0.7, 0.1,
 IF(F485&gt;0.5, 0.08,
 IF(E485&gt;0.5, 0.05,
 0)))</f>
        <v>0.05</v>
      </c>
      <c r="AJ485">
        <f t="shared" si="22"/>
        <v>0.12809981763084899</v>
      </c>
      <c r="AK485">
        <f t="shared" si="23"/>
        <v>0.14731479027547636</v>
      </c>
      <c r="AL485" t="str">
        <f>IF(MAX(X485, Y485, Z485, AA485)&gt;0.9,
 "Critical",
 IF(AK485&lt;=0.2,"Very Low",
 IF(AK485&lt;=0.4,"Low",
 IF(AK485&lt;=0.6,"Medium",
 IF(AK485&lt;=0.8,"High","Critical")))))</f>
        <v>Very Low</v>
      </c>
      <c r="AM485" t="str">
        <f>IF(MAX(X485:AA485)&gt;0.9,"CRITICAL ALERT",
 IF(AK485&gt;0.8,"CRITICAL ALERT",
 IF(AK485&gt;0.6,"ALERT",
 IF(AK485&gt;=0.4,"REVIEW","NO ACTION"))))</f>
        <v>NO ACTION</v>
      </c>
      <c r="AN485" t="str">
        <f>IF(AM485="NO ACTION","",
 IF(_xlfn.TEXTJOIN(", ", TRUE,
  IF(X485&gt;0.7,"Login anomaly",""),
  IF(Y485&gt;0.7,"File anomaly",""),
  IF(Z485&gt;0.7,"Network anomaly",""),
  IF(AA485&gt;0.7,"USB anomaly","")
 )="",
 "General anomaly detected",
 _xlfn.TEXTJOIN(", ", TRUE,
  IF(X485&gt;0.7,"Login anomaly",""),
  IF(Y485&gt;0.7,"File anomaly",""),
  IF(Z485&gt;0.7,"Network anomaly",""),
  IF(AA485&gt;0.7,"USB anomaly","")
 )))</f>
        <v/>
      </c>
    </row>
    <row r="486" spans="1:40" x14ac:dyDescent="0.3">
      <c r="A486" t="s">
        <v>509</v>
      </c>
      <c r="B486">
        <v>0.12892249527410199</v>
      </c>
      <c r="C486">
        <v>0.456826810475359</v>
      </c>
      <c r="D486">
        <v>7.5018780494472401E-2</v>
      </c>
      <c r="E486">
        <v>0</v>
      </c>
      <c r="F486">
        <v>0</v>
      </c>
      <c r="G486">
        <v>0.99368881767533901</v>
      </c>
      <c r="H486">
        <v>8</v>
      </c>
      <c r="I486">
        <v>9</v>
      </c>
      <c r="J486">
        <v>9.4556557416153805E-2</v>
      </c>
      <c r="K486">
        <v>1.38662316476345E-2</v>
      </c>
      <c r="L486">
        <v>3.7363815122268801E-2</v>
      </c>
      <c r="M486">
        <v>3.1746031746031698E-3</v>
      </c>
      <c r="N486">
        <v>2.0237895527276499E-2</v>
      </c>
      <c r="O486">
        <v>1106</v>
      </c>
      <c r="P486">
        <v>7.7020202020202003E-2</v>
      </c>
      <c r="Q486">
        <v>7.7176619096041205E-2</v>
      </c>
      <c r="R486">
        <v>0</v>
      </c>
      <c r="S486">
        <v>0</v>
      </c>
      <c r="T486" t="s">
        <v>49</v>
      </c>
      <c r="U486">
        <v>2.40566037735849E-2</v>
      </c>
      <c r="V486">
        <v>0</v>
      </c>
      <c r="W486">
        <v>0</v>
      </c>
      <c r="X486">
        <v>2.25056341483417E-2</v>
      </c>
      <c r="Y486">
        <v>4.3664587702548101E-2</v>
      </c>
      <c r="Z486">
        <v>5.4307279423031797E-2</v>
      </c>
      <c r="AA486">
        <v>0</v>
      </c>
      <c r="AB486">
        <v>1.3236000202596189E-2</v>
      </c>
      <c r="AC486">
        <v>5.999999848427251E-5</v>
      </c>
      <c r="AD486">
        <v>3.6750000435858961E-3</v>
      </c>
      <c r="AE486">
        <v>1.856000046245754E-3</v>
      </c>
      <c r="AF486">
        <f>0.16*X486 + 0.28*Y486 + 0.28*Z486 + 0.28*AA486</f>
        <v>3.1033024258897045E-2</v>
      </c>
      <c r="AG486">
        <f t="shared" si="21"/>
        <v>3.6832400571438486E-3</v>
      </c>
      <c r="AH486">
        <f>IF(T486="IT_Admin", 0.25, IF(AND(T486="HR", AA486&gt;0.6), 0.25, IF(AND(T486="General", Z486&gt;0.7), 0.2, 0.1)))</f>
        <v>0.1</v>
      </c>
      <c r="AI486">
        <f>IF(V486&gt;0.7, 0.1,
 IF(F486&gt;0.5, 0.08,
 IF(E486&gt;0.5, 0.05,
 0)))</f>
        <v>0</v>
      </c>
      <c r="AJ486">
        <f t="shared" si="22"/>
        <v>1.1888175317669806E-2</v>
      </c>
      <c r="AK486">
        <f t="shared" si="23"/>
        <v>1.3076992849436787E-2</v>
      </c>
      <c r="AL486" t="str">
        <f>IF(MAX(X486, Y486, Z486, AA486)&gt;0.9,
 "Critical",
 IF(AK486&lt;=0.2,"Very Low",
 IF(AK486&lt;=0.4,"Low",
 IF(AK486&lt;=0.6,"Medium",
 IF(AK486&lt;=0.8,"High","Critical")))))</f>
        <v>Very Low</v>
      </c>
      <c r="AM486" t="str">
        <f>IF(MAX(X486:AA486)&gt;0.9,"CRITICAL ALERT",
 IF(AK486&gt;0.8,"CRITICAL ALERT",
 IF(AK486&gt;0.6,"ALERT",
 IF(AK486&gt;=0.4,"REVIEW","NO ACTION"))))</f>
        <v>NO ACTION</v>
      </c>
      <c r="AN486" t="str">
        <f>IF(AM486="NO ACTION","",
 IF(_xlfn.TEXTJOIN(", ", TRUE,
  IF(X486&gt;0.7,"Login anomaly",""),
  IF(Y486&gt;0.7,"File anomaly",""),
  IF(Z486&gt;0.7,"Network anomaly",""),
  IF(AA486&gt;0.7,"USB anomaly","")
 )="",
 "General anomaly detected",
 _xlfn.TEXTJOIN(", ", TRUE,
  IF(X486&gt;0.7,"Login anomaly",""),
  IF(Y486&gt;0.7,"File anomaly",""),
  IF(Z486&gt;0.7,"Network anomaly",""),
  IF(AA486&gt;0.7,"USB anomaly","")
 )))</f>
        <v/>
      </c>
    </row>
    <row r="487" spans="1:40" x14ac:dyDescent="0.3">
      <c r="A487" t="s">
        <v>510</v>
      </c>
      <c r="B487">
        <v>0.22986767485822299</v>
      </c>
      <c r="C487">
        <v>0.73996901900235101</v>
      </c>
      <c r="D487">
        <v>0.38807012007262698</v>
      </c>
      <c r="E487">
        <v>7.4437182280319494E-2</v>
      </c>
      <c r="F487">
        <v>1.9607843137254902E-2</v>
      </c>
      <c r="G487">
        <v>0.44785396946533701</v>
      </c>
      <c r="H487">
        <v>0</v>
      </c>
      <c r="I487">
        <v>23</v>
      </c>
      <c r="J487">
        <v>4.64195410524307E-2</v>
      </c>
      <c r="K487">
        <v>8.1566068515497494E-3</v>
      </c>
      <c r="L487">
        <v>4.4654096383945699E-2</v>
      </c>
      <c r="M487">
        <v>5.7720057720057698E-4</v>
      </c>
      <c r="N487">
        <v>7.4758688255620702E-3</v>
      </c>
      <c r="O487">
        <v>481</v>
      </c>
      <c r="P487">
        <v>3.7913860830527397E-2</v>
      </c>
      <c r="Q487">
        <v>3.8079876573512299E-2</v>
      </c>
      <c r="R487">
        <v>0.92035398230088405</v>
      </c>
      <c r="S487">
        <v>1</v>
      </c>
      <c r="T487" t="s">
        <v>49</v>
      </c>
      <c r="U487">
        <v>5.6603773584905599E-2</v>
      </c>
      <c r="V487">
        <v>0</v>
      </c>
      <c r="W487">
        <v>2.8572974665173601E-2</v>
      </c>
      <c r="X487">
        <v>0.146595327960785</v>
      </c>
      <c r="Y487">
        <v>3.3853717050127602E-2</v>
      </c>
      <c r="Z487">
        <v>2.5738664028541299E-2</v>
      </c>
      <c r="AA487">
        <v>0.92035398230088405</v>
      </c>
      <c r="AB487">
        <v>0.1357039958238602</v>
      </c>
      <c r="AC487">
        <v>3.0000001424923539E-4</v>
      </c>
      <c r="AD487">
        <v>8.1770000979304314E-3</v>
      </c>
      <c r="AE487">
        <v>0.84110897779464722</v>
      </c>
      <c r="AF487">
        <f>0.16*X487 + 0.28*Y487 + 0.28*Z487 + 0.28*AA487</f>
        <v>0.2978402342200005</v>
      </c>
      <c r="AG487">
        <f t="shared" si="21"/>
        <v>0.25959671314572919</v>
      </c>
      <c r="AH487">
        <f>IF(T487="IT_Admin", 0.25, IF(AND(T487="HR", AA487&gt;0.6), 0.25, IF(AND(T487="General", Z487&gt;0.7), 0.2, 0.1)))</f>
        <v>0.1</v>
      </c>
      <c r="AI487">
        <f>IF(V487&gt;0.7, 0.1,
 IF(F487&gt;0.5, 0.08,
 IF(E487&gt;0.5, 0.05,
 0)))</f>
        <v>0</v>
      </c>
      <c r="AJ487">
        <f t="shared" si="22"/>
        <v>0.27106976946801054</v>
      </c>
      <c r="AK487">
        <f t="shared" si="23"/>
        <v>0.29817674641481162</v>
      </c>
      <c r="AL487" t="str">
        <f>IF(MAX(X487, Y487, Z487, AA487)&gt;0.9,
 "Critical",
 IF(AK487&lt;=0.2,"Very Low",
 IF(AK487&lt;=0.4,"Low",
 IF(AK487&lt;=0.6,"Medium",
 IF(AK487&lt;=0.8,"High","Critical")))))</f>
        <v>Critical</v>
      </c>
      <c r="AM487" t="str">
        <f>IF(MAX(X487:AA487)&gt;0.9,"CRITICAL ALERT",
 IF(AK487&gt;0.8,"CRITICAL ALERT",
 IF(AK487&gt;0.6,"ALERT",
 IF(AK487&gt;=0.4,"REVIEW","NO ACTION"))))</f>
        <v>CRITICAL ALERT</v>
      </c>
      <c r="AN487" t="str">
        <f>IF(AM487="NO ACTION","",
 IF(_xlfn.TEXTJOIN(", ", TRUE,
  IF(X487&gt;0.7,"Login anomaly",""),
  IF(Y487&gt;0.7,"File anomaly",""),
  IF(Z487&gt;0.7,"Network anomaly",""),
  IF(AA487&gt;0.7,"USB anomaly","")
 )="",
 "General anomaly detected",
 _xlfn.TEXTJOIN(", ", TRUE,
  IF(X487&gt;0.7,"Login anomaly",""),
  IF(Y487&gt;0.7,"File anomaly",""),
  IF(Z487&gt;0.7,"Network anomaly",""),
  IF(AA487&gt;0.7,"USB anomaly","")
 )))</f>
        <v>USB anomaly</v>
      </c>
    </row>
    <row r="488" spans="1:40" x14ac:dyDescent="0.3">
      <c r="A488" t="s">
        <v>511</v>
      </c>
      <c r="B488">
        <v>0.10056710775047201</v>
      </c>
      <c r="C488">
        <v>0.26619965307561699</v>
      </c>
      <c r="D488">
        <v>7.4633396232086605E-2</v>
      </c>
      <c r="E488">
        <v>0</v>
      </c>
      <c r="F488">
        <v>0</v>
      </c>
      <c r="G488">
        <v>0.99870216739429996</v>
      </c>
      <c r="H488">
        <v>7</v>
      </c>
      <c r="I488">
        <v>8</v>
      </c>
      <c r="J488">
        <v>3.6162396832212201E-2</v>
      </c>
      <c r="K488">
        <v>4.8939641109298502E-3</v>
      </c>
      <c r="L488">
        <v>3.4342101911008303E-2</v>
      </c>
      <c r="M488">
        <v>2.88600288600288E-4</v>
      </c>
      <c r="N488">
        <v>4.7912186837481699E-3</v>
      </c>
      <c r="O488">
        <v>436</v>
      </c>
      <c r="P488">
        <v>2.8829966329966299E-2</v>
      </c>
      <c r="Q488">
        <v>2.8998211718503399E-2</v>
      </c>
      <c r="R488">
        <v>0</v>
      </c>
      <c r="S488">
        <v>0</v>
      </c>
      <c r="T488" t="s">
        <v>49</v>
      </c>
      <c r="U488">
        <v>5.0943396226415097E-2</v>
      </c>
      <c r="V488">
        <v>0</v>
      </c>
      <c r="W488">
        <v>0</v>
      </c>
      <c r="X488">
        <v>2.23900188696259E-2</v>
      </c>
      <c r="Y488">
        <v>2.5840895927070999E-2</v>
      </c>
      <c r="Z488">
        <v>1.9214467271479001E-2</v>
      </c>
      <c r="AA488">
        <v>0</v>
      </c>
      <c r="AB488">
        <v>2.2887000814080238E-2</v>
      </c>
      <c r="AC488">
        <v>3.8199999835342169E-4</v>
      </c>
      <c r="AD488">
        <v>1.150299981236458E-2</v>
      </c>
      <c r="AE488">
        <v>2.187999896705151E-3</v>
      </c>
      <c r="AF488">
        <f>0.16*X488 + 0.28*Y488 + 0.28*Z488 + 0.28*AA488</f>
        <v>1.6197904714734146E-2</v>
      </c>
      <c r="AG488">
        <f t="shared" si="21"/>
        <v>7.6023600483313214E-3</v>
      </c>
      <c r="AH488">
        <f>IF(T488="IT_Admin", 0.25, IF(AND(T488="HR", AA488&gt;0.6), 0.25, IF(AND(T488="General", Z488&gt;0.7), 0.2, 0.1)))</f>
        <v>0.1</v>
      </c>
      <c r="AI488">
        <f>IF(V488&gt;0.7, 0.1,
 IF(F488&gt;0.5, 0.08,
 IF(E488&gt;0.5, 0.05,
 0)))</f>
        <v>0</v>
      </c>
      <c r="AJ488">
        <f t="shared" si="22"/>
        <v>1.0181023448252169E-2</v>
      </c>
      <c r="AK488">
        <f t="shared" si="23"/>
        <v>1.1199125793077387E-2</v>
      </c>
      <c r="AL488" t="str">
        <f>IF(MAX(X488, Y488, Z488, AA488)&gt;0.9,
 "Critical",
 IF(AK488&lt;=0.2,"Very Low",
 IF(AK488&lt;=0.4,"Low",
 IF(AK488&lt;=0.6,"Medium",
 IF(AK488&lt;=0.8,"High","Critical")))))</f>
        <v>Very Low</v>
      </c>
      <c r="AM488" t="str">
        <f>IF(MAX(X488:AA488)&gt;0.9,"CRITICAL ALERT",
 IF(AK488&gt;0.8,"CRITICAL ALERT",
 IF(AK488&gt;0.6,"ALERT",
 IF(AK488&gt;=0.4,"REVIEW","NO ACTION"))))</f>
        <v>NO ACTION</v>
      </c>
      <c r="AN488" t="str">
        <f>IF(AM488="NO ACTION","",
 IF(_xlfn.TEXTJOIN(", ", TRUE,
  IF(X488&gt;0.7,"Login anomaly",""),
  IF(Y488&gt;0.7,"File anomaly",""),
  IF(Z488&gt;0.7,"Network anomaly",""),
  IF(AA488&gt;0.7,"USB anomaly","")
 )="",
 "General anomaly detected",
 _xlfn.TEXTJOIN(", ", TRUE,
  IF(X488&gt;0.7,"Login anomaly",""),
  IF(Y488&gt;0.7,"File anomaly",""),
  IF(Z488&gt;0.7,"Network anomaly",""),
  IF(AA488&gt;0.7,"USB anomaly","")
 )))</f>
        <v/>
      </c>
    </row>
    <row r="489" spans="1:40" x14ac:dyDescent="0.3">
      <c r="A489" t="s">
        <v>512</v>
      </c>
      <c r="B489">
        <v>0.12892249527410199</v>
      </c>
      <c r="C489">
        <v>0.36953165208440503</v>
      </c>
      <c r="D489">
        <v>0</v>
      </c>
      <c r="E489">
        <v>0</v>
      </c>
      <c r="F489">
        <v>0</v>
      </c>
      <c r="G489">
        <v>0.99367460668226004</v>
      </c>
      <c r="H489">
        <v>8</v>
      </c>
      <c r="I489">
        <v>8</v>
      </c>
      <c r="J489">
        <v>8.98812079576356E-2</v>
      </c>
      <c r="K489">
        <v>1.9575856443719401E-2</v>
      </c>
      <c r="L489">
        <v>5.5485492341131398E-2</v>
      </c>
      <c r="M489">
        <v>2.0202020202020202E-3</v>
      </c>
      <c r="N489">
        <v>1.3546796712492801E-2</v>
      </c>
      <c r="O489">
        <v>1039</v>
      </c>
      <c r="P489">
        <v>7.54769921436588E-2</v>
      </c>
      <c r="Q489">
        <v>7.5633788000981805E-2</v>
      </c>
      <c r="R489">
        <v>0</v>
      </c>
      <c r="S489">
        <v>0</v>
      </c>
      <c r="T489" t="s">
        <v>49</v>
      </c>
      <c r="U489">
        <v>5.0943396226415097E-2</v>
      </c>
      <c r="V489">
        <v>0</v>
      </c>
      <c r="W489">
        <v>0</v>
      </c>
      <c r="X489">
        <v>0</v>
      </c>
      <c r="Y489">
        <v>4.9783026775840698E-2</v>
      </c>
      <c r="Z489">
        <v>5.0704913971192402E-2</v>
      </c>
      <c r="AA489">
        <v>0</v>
      </c>
      <c r="AB489">
        <v>2.463600039482117E-2</v>
      </c>
      <c r="AC489">
        <v>1.230000052601099E-4</v>
      </c>
      <c r="AD489">
        <v>3.994000144302845E-3</v>
      </c>
      <c r="AE489">
        <v>1.444999943487346E-3</v>
      </c>
      <c r="AF489">
        <f>0.16*X489 + 0.28*Y489 + 0.28*Z489 + 0.28*AA489</f>
        <v>2.8136623409169271E-2</v>
      </c>
      <c r="AG489">
        <f t="shared" si="21"/>
        <v>5.4991200892254713E-3</v>
      </c>
      <c r="AH489">
        <f>IF(T489="IT_Admin", 0.25, IF(AND(T489="HR", AA489&gt;0.6), 0.25, IF(AND(T489="General", Z489&gt;0.7), 0.2, 0.1)))</f>
        <v>0.1</v>
      </c>
      <c r="AI489">
        <f>IF(V489&gt;0.7, 0.1,
 IF(F489&gt;0.5, 0.08,
 IF(E489&gt;0.5, 0.05,
 0)))</f>
        <v>0</v>
      </c>
      <c r="AJ489">
        <f t="shared" si="22"/>
        <v>1.2290371085208611E-2</v>
      </c>
      <c r="AK489">
        <f t="shared" si="23"/>
        <v>1.3519408193729474E-2</v>
      </c>
      <c r="AL489" t="str">
        <f>IF(MAX(X489, Y489, Z489, AA489)&gt;0.9,
 "Critical",
 IF(AK489&lt;=0.2,"Very Low",
 IF(AK489&lt;=0.4,"Low",
 IF(AK489&lt;=0.6,"Medium",
 IF(AK489&lt;=0.8,"High","Critical")))))</f>
        <v>Very Low</v>
      </c>
      <c r="AM489" t="str">
        <f>IF(MAX(X489:AA489)&gt;0.9,"CRITICAL ALERT",
 IF(AK489&gt;0.8,"CRITICAL ALERT",
 IF(AK489&gt;0.6,"ALERT",
 IF(AK489&gt;=0.4,"REVIEW","NO ACTION"))))</f>
        <v>NO ACTION</v>
      </c>
      <c r="AN489" t="str">
        <f>IF(AM489="NO ACTION","",
 IF(_xlfn.TEXTJOIN(", ", TRUE,
  IF(X489&gt;0.7,"Login anomaly",""),
  IF(Y489&gt;0.7,"File anomaly",""),
  IF(Z489&gt;0.7,"Network anomaly",""),
  IF(AA489&gt;0.7,"USB anomaly","")
 )="",
 "General anomaly detected",
 _xlfn.TEXTJOIN(", ", TRUE,
  IF(X489&gt;0.7,"Login anomaly",""),
  IF(Y489&gt;0.7,"File anomaly",""),
  IF(Z489&gt;0.7,"Network anomaly",""),
  IF(AA489&gt;0.7,"USB anomaly","")
 )))</f>
        <v/>
      </c>
    </row>
    <row r="490" spans="1:40" x14ac:dyDescent="0.3">
      <c r="A490" t="s">
        <v>513</v>
      </c>
      <c r="B490">
        <v>0.23705103969754199</v>
      </c>
      <c r="C490">
        <v>0.586507051604646</v>
      </c>
      <c r="D490">
        <v>0.36611906630163099</v>
      </c>
      <c r="E490">
        <v>0</v>
      </c>
      <c r="F490">
        <v>0</v>
      </c>
      <c r="G490">
        <v>0.47541799317542799</v>
      </c>
      <c r="H490">
        <v>7</v>
      </c>
      <c r="I490">
        <v>13</v>
      </c>
      <c r="J490">
        <v>8.6875626162873906E-2</v>
      </c>
      <c r="K490">
        <v>7.34094616639478E-3</v>
      </c>
      <c r="L490">
        <v>2.1524937369741998E-2</v>
      </c>
      <c r="M490">
        <v>2.3088023088023001E-3</v>
      </c>
      <c r="N490">
        <v>1.6016209663526199E-2</v>
      </c>
      <c r="O490">
        <v>1033</v>
      </c>
      <c r="P490">
        <v>6.8146745230078506E-2</v>
      </c>
      <c r="Q490">
        <v>6.8305340299449402E-2</v>
      </c>
      <c r="R490">
        <v>0</v>
      </c>
      <c r="S490">
        <v>0</v>
      </c>
      <c r="T490" t="s">
        <v>49</v>
      </c>
      <c r="U490">
        <v>1.6981132075471601E-2</v>
      </c>
      <c r="V490">
        <v>0</v>
      </c>
      <c r="W490">
        <v>0</v>
      </c>
      <c r="X490">
        <v>0.109835719890489</v>
      </c>
      <c r="Y490">
        <v>3.2942456816503603E-2</v>
      </c>
      <c r="Z490">
        <v>4.7294531003457603E-2</v>
      </c>
      <c r="AA490">
        <v>0</v>
      </c>
      <c r="AB490">
        <v>1.9324000924825668E-2</v>
      </c>
      <c r="AC490">
        <v>3.3700000494718552E-4</v>
      </c>
      <c r="AD490">
        <v>4.6020001173019409E-3</v>
      </c>
      <c r="AE490">
        <v>5.8760000392794609E-3</v>
      </c>
      <c r="AF490">
        <f>0.16*X490 + 0.28*Y490 + 0.28*Z490 + 0.28*AA490</f>
        <v>4.0040071772067379E-2</v>
      </c>
      <c r="AG490">
        <f t="shared" si="21"/>
        <v>6.1200401932001115E-3</v>
      </c>
      <c r="AH490">
        <f>IF(T490="IT_Admin", 0.25, IF(AND(T490="HR", AA490&gt;0.6), 0.25, IF(AND(T490="General", Z490&gt;0.7), 0.2, 0.1)))</f>
        <v>0.1</v>
      </c>
      <c r="AI490">
        <f>IF(V490&gt;0.7, 0.1,
 IF(F490&gt;0.5, 0.08,
 IF(E490&gt;0.5, 0.05,
 0)))</f>
        <v>0</v>
      </c>
      <c r="AJ490">
        <f t="shared" si="22"/>
        <v>1.6296049666860289E-2</v>
      </c>
      <c r="AK490">
        <f t="shared" si="23"/>
        <v>1.7925654633546319E-2</v>
      </c>
      <c r="AL490" t="str">
        <f>IF(MAX(X490, Y490, Z490, AA490)&gt;0.9,
 "Critical",
 IF(AK490&lt;=0.2,"Very Low",
 IF(AK490&lt;=0.4,"Low",
 IF(AK490&lt;=0.6,"Medium",
 IF(AK490&lt;=0.8,"High","Critical")))))</f>
        <v>Very Low</v>
      </c>
      <c r="AM490" t="str">
        <f>IF(MAX(X490:AA490)&gt;0.9,"CRITICAL ALERT",
 IF(AK490&gt;0.8,"CRITICAL ALERT",
 IF(AK490&gt;0.6,"ALERT",
 IF(AK490&gt;=0.4,"REVIEW","NO ACTION"))))</f>
        <v>NO ACTION</v>
      </c>
      <c r="AN490" t="str">
        <f>IF(AM490="NO ACTION","",
 IF(_xlfn.TEXTJOIN(", ", TRUE,
  IF(X490&gt;0.7,"Login anomaly",""),
  IF(Y490&gt;0.7,"File anomaly",""),
  IF(Z490&gt;0.7,"Network anomaly",""),
  IF(AA490&gt;0.7,"USB anomaly","")
 )="",
 "General anomaly detected",
 _xlfn.TEXTJOIN(", ", TRUE,
  IF(X490&gt;0.7,"Login anomaly",""),
  IF(Y490&gt;0.7,"File anomaly",""),
  IF(Z490&gt;0.7,"Network anomaly",""),
  IF(AA490&gt;0.7,"USB anomaly","")
 )))</f>
        <v/>
      </c>
    </row>
    <row r="491" spans="1:40" x14ac:dyDescent="0.3">
      <c r="A491" t="s">
        <v>514</v>
      </c>
      <c r="B491">
        <v>0.26805293005670999</v>
      </c>
      <c r="C491">
        <v>0.82457904413224203</v>
      </c>
      <c r="D491">
        <v>0.52844614746663598</v>
      </c>
      <c r="E491">
        <v>0.51114227832320402</v>
      </c>
      <c r="F491">
        <v>7.2931276297335201E-2</v>
      </c>
      <c r="G491">
        <v>0.40398871726943902</v>
      </c>
      <c r="H491">
        <v>0</v>
      </c>
      <c r="I491">
        <v>23</v>
      </c>
      <c r="J491">
        <v>8.3917752015648106E-2</v>
      </c>
      <c r="K491">
        <v>1.1419249592169599E-2</v>
      </c>
      <c r="L491">
        <v>3.4660084336110203E-2</v>
      </c>
      <c r="M491">
        <v>1.7316017316017301E-3</v>
      </c>
      <c r="N491">
        <v>1.24343532506797E-2</v>
      </c>
      <c r="O491">
        <v>866</v>
      </c>
      <c r="P491">
        <v>6.7445286195286197E-2</v>
      </c>
      <c r="Q491">
        <v>6.7604053438058795E-2</v>
      </c>
      <c r="R491">
        <v>2.9498525073746298E-2</v>
      </c>
      <c r="S491">
        <v>1</v>
      </c>
      <c r="T491" t="s">
        <v>49</v>
      </c>
      <c r="U491">
        <v>3.3962264150943298E-2</v>
      </c>
      <c r="V491">
        <v>0</v>
      </c>
      <c r="W491">
        <v>8.2491225515010994E-2</v>
      </c>
      <c r="X491">
        <v>0.34104903825588601</v>
      </c>
      <c r="Y491">
        <v>3.7843898546388602E-2</v>
      </c>
      <c r="Z491">
        <v>4.5440913017443602E-2</v>
      </c>
      <c r="AA491">
        <v>2.9498525073746298E-2</v>
      </c>
      <c r="AB491">
        <v>0.34517300128936768</v>
      </c>
      <c r="AC491">
        <v>7.8999997640494257E-5</v>
      </c>
      <c r="AD491">
        <v>3.9070001803338528E-3</v>
      </c>
      <c r="AE491">
        <v>6.5176002681255341E-2</v>
      </c>
      <c r="AF491">
        <f>0.16*X491 + 0.28*Y491 + 0.28*Z491 + 0.28*AA491</f>
        <v>8.6147180379463742E-2</v>
      </c>
      <c r="AG491">
        <f t="shared" si="21"/>
        <v>7.4593041006883146E-2</v>
      </c>
      <c r="AH491">
        <f>IF(T491="IT_Admin", 0.25, IF(AND(T491="HR", AA491&gt;0.6), 0.25, IF(AND(T491="General", Z491&gt;0.7), 0.2, 0.1)))</f>
        <v>0.1</v>
      </c>
      <c r="AI491">
        <f>IF(V491&gt;0.7, 0.1,
 IF(F491&gt;0.5, 0.08,
 IF(E491&gt;0.5, 0.05,
 0)))</f>
        <v>0.05</v>
      </c>
      <c r="AJ491">
        <f t="shared" si="22"/>
        <v>7.8059282818657316E-2</v>
      </c>
      <c r="AK491">
        <f t="shared" si="23"/>
        <v>8.976817524145593E-2</v>
      </c>
      <c r="AL491" t="str">
        <f>IF(MAX(X491, Y491, Z491, AA491)&gt;0.9,
 "Critical",
 IF(AK491&lt;=0.2,"Very Low",
 IF(AK491&lt;=0.4,"Low",
 IF(AK491&lt;=0.6,"Medium",
 IF(AK491&lt;=0.8,"High","Critical")))))</f>
        <v>Very Low</v>
      </c>
      <c r="AM491" t="str">
        <f>IF(MAX(X491:AA491)&gt;0.9,"CRITICAL ALERT",
 IF(AK491&gt;0.8,"CRITICAL ALERT",
 IF(AK491&gt;0.6,"ALERT",
 IF(AK491&gt;=0.4,"REVIEW","NO ACTION"))))</f>
        <v>NO ACTION</v>
      </c>
      <c r="AN491" t="str">
        <f>IF(AM491="NO ACTION","",
 IF(_xlfn.TEXTJOIN(", ", TRUE,
  IF(X491&gt;0.7,"Login anomaly",""),
  IF(Y491&gt;0.7,"File anomaly",""),
  IF(Z491&gt;0.7,"Network anomaly",""),
  IF(AA491&gt;0.7,"USB anomaly","")
 )="",
 "General anomaly detected",
 _xlfn.TEXTJOIN(", ", TRUE,
  IF(X491&gt;0.7,"Login anomaly",""),
  IF(Y491&gt;0.7,"File anomaly",""),
  IF(Z491&gt;0.7,"Network anomaly",""),
  IF(AA491&gt;0.7,"USB anomaly","")
 )))</f>
        <v/>
      </c>
    </row>
    <row r="492" spans="1:40" x14ac:dyDescent="0.3">
      <c r="A492" t="s">
        <v>515</v>
      </c>
      <c r="B492">
        <v>0.12892249527410199</v>
      </c>
      <c r="C492">
        <v>0.18476582604220201</v>
      </c>
      <c r="D492">
        <v>0</v>
      </c>
      <c r="E492">
        <v>0</v>
      </c>
      <c r="F492">
        <v>0</v>
      </c>
      <c r="G492">
        <v>0.99367043170124303</v>
      </c>
      <c r="H492">
        <v>7</v>
      </c>
      <c r="I492">
        <v>7</v>
      </c>
      <c r="J492">
        <v>9.6655693907733403E-2</v>
      </c>
      <c r="K492">
        <v>2.9363784665579099E-2</v>
      </c>
      <c r="L492">
        <v>7.7409228236630198E-2</v>
      </c>
      <c r="M492">
        <v>1.1544011544011501E-3</v>
      </c>
      <c r="N492">
        <v>7.1998027684881402E-3</v>
      </c>
      <c r="O492">
        <v>1090</v>
      </c>
      <c r="P492">
        <v>8.4245230078563396E-2</v>
      </c>
      <c r="Q492">
        <v>8.43998737683649E-2</v>
      </c>
      <c r="R492">
        <v>0</v>
      </c>
      <c r="S492">
        <v>0</v>
      </c>
      <c r="T492" t="s">
        <v>24</v>
      </c>
      <c r="U492">
        <v>0.122264150943396</v>
      </c>
      <c r="V492">
        <v>0</v>
      </c>
      <c r="W492">
        <v>0</v>
      </c>
      <c r="X492">
        <v>0</v>
      </c>
      <c r="Y492">
        <v>6.0195693730408201E-2</v>
      </c>
      <c r="Z492">
        <v>5.3427059154533302E-2</v>
      </c>
      <c r="AA492">
        <v>0</v>
      </c>
      <c r="AB492">
        <v>3.6903999745845788E-2</v>
      </c>
      <c r="AC492">
        <v>2.967000007629395E-3</v>
      </c>
      <c r="AD492">
        <v>3.2019999343901868E-3</v>
      </c>
      <c r="AE492">
        <v>1.184999942779541E-3</v>
      </c>
      <c r="AF492">
        <f>0.16*X492 + 0.28*Y492 + 0.28*Z492 + 0.28*AA492</f>
        <v>3.1814370807783626E-2</v>
      </c>
      <c r="AG492">
        <f t="shared" si="21"/>
        <v>7.963759927079081E-3</v>
      </c>
      <c r="AH492">
        <f>IF(T492="IT_Admin", 0.25, IF(AND(T492="HR", AA492&gt;0.6), 0.25, IF(AND(T492="General", Z492&gt;0.7), 0.2, 0.1)))</f>
        <v>0.25</v>
      </c>
      <c r="AI492">
        <f>IF(V492&gt;0.7, 0.1,
 IF(F492&gt;0.5, 0.08,
 IF(E492&gt;0.5, 0.05,
 0)))</f>
        <v>0</v>
      </c>
      <c r="AJ492">
        <f t="shared" si="22"/>
        <v>1.5118943191290445E-2</v>
      </c>
      <c r="AK492">
        <f t="shared" si="23"/>
        <v>1.8898678989113057E-2</v>
      </c>
      <c r="AL492" t="str">
        <f>IF(MAX(X492, Y492, Z492, AA492)&gt;0.9,
 "Critical",
 IF(AK492&lt;=0.2,"Very Low",
 IF(AK492&lt;=0.4,"Low",
 IF(AK492&lt;=0.6,"Medium",
 IF(AK492&lt;=0.8,"High","Critical")))))</f>
        <v>Very Low</v>
      </c>
      <c r="AM492" t="str">
        <f>IF(MAX(X492:AA492)&gt;0.9,"CRITICAL ALERT",
 IF(AK492&gt;0.8,"CRITICAL ALERT",
 IF(AK492&gt;0.6,"ALERT",
 IF(AK492&gt;=0.4,"REVIEW","NO ACTION"))))</f>
        <v>NO ACTION</v>
      </c>
      <c r="AN492" t="str">
        <f>IF(AM492="NO ACTION","",
 IF(_xlfn.TEXTJOIN(", ", TRUE,
  IF(X492&gt;0.7,"Login anomaly",""),
  IF(Y492&gt;0.7,"File anomaly",""),
  IF(Z492&gt;0.7,"Network anomaly",""),
  IF(AA492&gt;0.7,"USB anomaly","")
 )="",
 "General anomaly detected",
 _xlfn.TEXTJOIN(", ", TRUE,
  IF(X492&gt;0.7,"Login anomaly",""),
  IF(Y492&gt;0.7,"File anomaly",""),
  IF(Z492&gt;0.7,"Network anomaly",""),
  IF(AA492&gt;0.7,"USB anomaly","")
 )))</f>
        <v/>
      </c>
    </row>
    <row r="493" spans="1:40" x14ac:dyDescent="0.3">
      <c r="A493" t="s">
        <v>516</v>
      </c>
      <c r="B493">
        <v>0.12892249527410199</v>
      </c>
      <c r="C493">
        <v>0.18476582604220201</v>
      </c>
      <c r="D493">
        <v>0</v>
      </c>
      <c r="E493">
        <v>0</v>
      </c>
      <c r="F493">
        <v>0</v>
      </c>
      <c r="G493">
        <v>0.99367342912351198</v>
      </c>
      <c r="H493">
        <v>7</v>
      </c>
      <c r="I493">
        <v>7</v>
      </c>
      <c r="J493">
        <v>6.22584800343495E-2</v>
      </c>
      <c r="K493">
        <v>2.0391517128874301E-2</v>
      </c>
      <c r="L493">
        <v>8.3342950884539899E-2</v>
      </c>
      <c r="M493">
        <v>2.8860028860028799E-3</v>
      </c>
      <c r="N493">
        <v>2.79061057687011E-2</v>
      </c>
      <c r="O493">
        <v>599</v>
      </c>
      <c r="P493">
        <v>5.5941358024691301E-2</v>
      </c>
      <c r="Q493">
        <v>5.6102948911252101E-2</v>
      </c>
      <c r="R493">
        <v>0</v>
      </c>
      <c r="S493">
        <v>0</v>
      </c>
      <c r="T493" t="s">
        <v>49</v>
      </c>
      <c r="U493">
        <v>3.8593481989708397E-2</v>
      </c>
      <c r="V493">
        <v>0</v>
      </c>
      <c r="W493">
        <v>0</v>
      </c>
      <c r="X493">
        <v>0</v>
      </c>
      <c r="Y493">
        <v>6.2495003179750201E-2</v>
      </c>
      <c r="Z493">
        <v>4.4727257122295201E-2</v>
      </c>
      <c r="AA493">
        <v>0</v>
      </c>
      <c r="AB493">
        <v>3.6743000149726868E-2</v>
      </c>
      <c r="AC493">
        <v>5.0500000361353159E-4</v>
      </c>
      <c r="AD493">
        <v>6.147999782115221E-3</v>
      </c>
      <c r="AE493">
        <v>1.9460000330582259E-3</v>
      </c>
      <c r="AF493">
        <f>0.16*X493 + 0.28*Y493 + 0.28*Z493 + 0.28*AA493</f>
        <v>3.0022232884572717E-2</v>
      </c>
      <c r="AG493">
        <f t="shared" si="21"/>
        <v>8.2865999732166535E-3</v>
      </c>
      <c r="AH493">
        <f>IF(T493="IT_Admin", 0.25, IF(AND(T493="HR", AA493&gt;0.6), 0.25, IF(AND(T493="General", Z493&gt;0.7), 0.2, 0.1)))</f>
        <v>0.1</v>
      </c>
      <c r="AI493">
        <f>IF(V493&gt;0.7, 0.1,
 IF(F493&gt;0.5, 0.08,
 IF(E493&gt;0.5, 0.05,
 0)))</f>
        <v>0</v>
      </c>
      <c r="AJ493">
        <f t="shared" si="22"/>
        <v>1.4807289846623471E-2</v>
      </c>
      <c r="AK493">
        <f t="shared" si="23"/>
        <v>1.6288018831285819E-2</v>
      </c>
      <c r="AL493" t="str">
        <f>IF(MAX(X493, Y493, Z493, AA493)&gt;0.9,
 "Critical",
 IF(AK493&lt;=0.2,"Very Low",
 IF(AK493&lt;=0.4,"Low",
 IF(AK493&lt;=0.6,"Medium",
 IF(AK493&lt;=0.8,"High","Critical")))))</f>
        <v>Very Low</v>
      </c>
      <c r="AM493" t="str">
        <f>IF(MAX(X493:AA493)&gt;0.9,"CRITICAL ALERT",
 IF(AK493&gt;0.8,"CRITICAL ALERT",
 IF(AK493&gt;0.6,"ALERT",
 IF(AK493&gt;=0.4,"REVIEW","NO ACTION"))))</f>
        <v>NO ACTION</v>
      </c>
      <c r="AN493" t="str">
        <f>IF(AM493="NO ACTION","",
 IF(_xlfn.TEXTJOIN(", ", TRUE,
  IF(X493&gt;0.7,"Login anomaly",""),
  IF(Y493&gt;0.7,"File anomaly",""),
  IF(Z493&gt;0.7,"Network anomaly",""),
  IF(AA493&gt;0.7,"USB anomaly","")
 )="",
 "General anomaly detected",
 _xlfn.TEXTJOIN(", ", TRUE,
  IF(X493&gt;0.7,"Login anomaly",""),
  IF(Y493&gt;0.7,"File anomaly",""),
  IF(Z493&gt;0.7,"Network anomaly",""),
  IF(AA493&gt;0.7,"USB anomaly","")
 )))</f>
        <v/>
      </c>
    </row>
    <row r="494" spans="1:40" x14ac:dyDescent="0.3">
      <c r="A494" t="s">
        <v>517</v>
      </c>
      <c r="B494">
        <v>0.12892249527410199</v>
      </c>
      <c r="C494">
        <v>0.18476582604220201</v>
      </c>
      <c r="D494">
        <v>0</v>
      </c>
      <c r="E494">
        <v>0</v>
      </c>
      <c r="F494">
        <v>0</v>
      </c>
      <c r="G494">
        <v>0.99368343837287398</v>
      </c>
      <c r="H494">
        <v>7</v>
      </c>
      <c r="I494">
        <v>7</v>
      </c>
      <c r="J494">
        <v>8.3154429655073706E-2</v>
      </c>
      <c r="K494">
        <v>1.0603588907014599E-2</v>
      </c>
      <c r="L494">
        <v>3.2478957747453401E-2</v>
      </c>
      <c r="M494">
        <v>8.6580086580086504E-4</v>
      </c>
      <c r="N494">
        <v>6.2740844205374999E-3</v>
      </c>
      <c r="O494">
        <v>1058</v>
      </c>
      <c r="P494">
        <v>6.6112514029180697E-2</v>
      </c>
      <c r="Q494">
        <v>6.6271608401416604E-2</v>
      </c>
      <c r="R494">
        <v>0</v>
      </c>
      <c r="S494">
        <v>0</v>
      </c>
      <c r="T494" t="s">
        <v>49</v>
      </c>
      <c r="U494">
        <v>5.5188679245283E-2</v>
      </c>
      <c r="V494">
        <v>0</v>
      </c>
      <c r="W494">
        <v>0</v>
      </c>
      <c r="X494">
        <v>0</v>
      </c>
      <c r="Y494">
        <v>3.4752590130902698E-2</v>
      </c>
      <c r="Z494">
        <v>4.2177142185723403E-2</v>
      </c>
      <c r="AA494">
        <v>0</v>
      </c>
      <c r="AB494">
        <v>3.6596000194549561E-2</v>
      </c>
      <c r="AC494">
        <v>2.5799998547881842E-4</v>
      </c>
      <c r="AD494">
        <v>5.3559998050332069E-3</v>
      </c>
      <c r="AE494">
        <v>1.3579999795183539E-3</v>
      </c>
      <c r="AF494">
        <f>0.16*X494 + 0.28*Y494 + 0.28*Z494 + 0.28*AA494</f>
        <v>2.1540325048655311E-2</v>
      </c>
      <c r="AG494">
        <f t="shared" si="21"/>
        <v>7.8075199667364363E-3</v>
      </c>
      <c r="AH494">
        <f>IF(T494="IT_Admin", 0.25, IF(AND(T494="HR", AA494&gt;0.6), 0.25, IF(AND(T494="General", Z494&gt;0.7), 0.2, 0.1)))</f>
        <v>0.1</v>
      </c>
      <c r="AI494">
        <f>IF(V494&gt;0.7, 0.1,
 IF(F494&gt;0.5, 0.08,
 IF(E494&gt;0.5, 0.05,
 0)))</f>
        <v>0</v>
      </c>
      <c r="AJ494">
        <f t="shared" si="22"/>
        <v>1.19273614913121E-2</v>
      </c>
      <c r="AK494">
        <f t="shared" si="23"/>
        <v>1.312009764044331E-2</v>
      </c>
      <c r="AL494" t="str">
        <f>IF(MAX(X494, Y494, Z494, AA494)&gt;0.9,
 "Critical",
 IF(AK494&lt;=0.2,"Very Low",
 IF(AK494&lt;=0.4,"Low",
 IF(AK494&lt;=0.6,"Medium",
 IF(AK494&lt;=0.8,"High","Critical")))))</f>
        <v>Very Low</v>
      </c>
      <c r="AM494" t="str">
        <f>IF(MAX(X494:AA494)&gt;0.9,"CRITICAL ALERT",
 IF(AK494&gt;0.8,"CRITICAL ALERT",
 IF(AK494&gt;0.6,"ALERT",
 IF(AK494&gt;=0.4,"REVIEW","NO ACTION"))))</f>
        <v>NO ACTION</v>
      </c>
      <c r="AN494" t="str">
        <f>IF(AM494="NO ACTION","",
 IF(_xlfn.TEXTJOIN(", ", TRUE,
  IF(X494&gt;0.7,"Login anomaly",""),
  IF(Y494&gt;0.7,"File anomaly",""),
  IF(Z494&gt;0.7,"Network anomaly",""),
  IF(AA494&gt;0.7,"USB anomaly","")
 )="",
 "General anomaly detected",
 _xlfn.TEXTJOIN(", ", TRUE,
  IF(X494&gt;0.7,"Login anomaly",""),
  IF(Y494&gt;0.7,"File anomaly",""),
  IF(Z494&gt;0.7,"Network anomaly",""),
  IF(AA494&gt;0.7,"USB anomaly","")
 )))</f>
        <v/>
      </c>
    </row>
    <row r="495" spans="1:40" x14ac:dyDescent="0.3">
      <c r="A495" t="s">
        <v>518</v>
      </c>
      <c r="B495">
        <v>0.12892249527410199</v>
      </c>
      <c r="C495">
        <v>0.18476582604220201</v>
      </c>
      <c r="D495">
        <v>0</v>
      </c>
      <c r="E495">
        <v>0</v>
      </c>
      <c r="F495">
        <v>0</v>
      </c>
      <c r="G495">
        <v>0.99367610539339501</v>
      </c>
      <c r="H495">
        <v>7</v>
      </c>
      <c r="I495">
        <v>7</v>
      </c>
      <c r="J495">
        <v>8.5730642622012299E-2</v>
      </c>
      <c r="K495">
        <v>1.4681892332789499E-2</v>
      </c>
      <c r="L495">
        <v>4.3623236001275198E-2</v>
      </c>
      <c r="M495">
        <v>2.3088023088023001E-3</v>
      </c>
      <c r="N495">
        <v>1.6229522111874999E-2</v>
      </c>
      <c r="O495">
        <v>967</v>
      </c>
      <c r="P495">
        <v>7.0461560044893304E-2</v>
      </c>
      <c r="Q495">
        <v>7.0619586942038598E-2</v>
      </c>
      <c r="R495">
        <v>0.96460176991150404</v>
      </c>
      <c r="S495">
        <v>1</v>
      </c>
      <c r="T495" t="s">
        <v>49</v>
      </c>
      <c r="U495">
        <v>3.3962264150943298E-2</v>
      </c>
      <c r="V495">
        <v>0</v>
      </c>
      <c r="W495">
        <v>0</v>
      </c>
      <c r="X495">
        <v>0</v>
      </c>
      <c r="Y495">
        <v>4.3826603158602602E-2</v>
      </c>
      <c r="Z495">
        <v>4.8768744871685997E-2</v>
      </c>
      <c r="AA495">
        <v>0.96460176991150404</v>
      </c>
      <c r="AB495">
        <v>4.1221998631954193E-2</v>
      </c>
      <c r="AC495">
        <v>3.600000127335079E-5</v>
      </c>
      <c r="AD495">
        <v>3.9510000497102737E-3</v>
      </c>
      <c r="AE495">
        <v>0.97254300117492676</v>
      </c>
      <c r="AF495">
        <f>0.16*X495 + 0.28*Y495 + 0.28*Z495 + 0.28*AA495</f>
        <v>0.29601519302370194</v>
      </c>
      <c r="AG495">
        <f t="shared" si="21"/>
        <v>0.28002392012436761</v>
      </c>
      <c r="AH495">
        <f>IF(T495="IT_Admin", 0.25, IF(AND(T495="HR", AA495&gt;0.6), 0.25, IF(AND(T495="General", Z495&gt;0.7), 0.2, 0.1)))</f>
        <v>0.1</v>
      </c>
      <c r="AI495">
        <f>IF(V495&gt;0.7, 0.1,
 IF(F495&gt;0.5, 0.08,
 IF(E495&gt;0.5, 0.05,
 0)))</f>
        <v>0</v>
      </c>
      <c r="AJ495">
        <f t="shared" si="22"/>
        <v>0.28482130199416789</v>
      </c>
      <c r="AK495">
        <f t="shared" si="23"/>
        <v>0.3133034321935847</v>
      </c>
      <c r="AL495" t="str">
        <f>IF(MAX(X495, Y495, Z495, AA495)&gt;0.9,
 "Critical",
 IF(AK495&lt;=0.2,"Very Low",
 IF(AK495&lt;=0.4,"Low",
 IF(AK495&lt;=0.6,"Medium",
 IF(AK495&lt;=0.8,"High","Critical")))))</f>
        <v>Critical</v>
      </c>
      <c r="AM495" t="str">
        <f>IF(MAX(X495:AA495)&gt;0.9,"CRITICAL ALERT",
 IF(AK495&gt;0.8,"CRITICAL ALERT",
 IF(AK495&gt;0.6,"ALERT",
 IF(AK495&gt;=0.4,"REVIEW","NO ACTION"))))</f>
        <v>CRITICAL ALERT</v>
      </c>
      <c r="AN495" t="str">
        <f>IF(AM495="NO ACTION","",
 IF(_xlfn.TEXTJOIN(", ", TRUE,
  IF(X495&gt;0.7,"Login anomaly",""),
  IF(Y495&gt;0.7,"File anomaly",""),
  IF(Z495&gt;0.7,"Network anomaly",""),
  IF(AA495&gt;0.7,"USB anomaly","")
 )="",
 "General anomaly detected",
 _xlfn.TEXTJOIN(", ", TRUE,
  IF(X495&gt;0.7,"Login anomaly",""),
  IF(Y495&gt;0.7,"File anomaly",""),
  IF(Z495&gt;0.7,"Network anomaly",""),
  IF(AA495&gt;0.7,"USB anomaly","")
 )))</f>
        <v>USB anomaly</v>
      </c>
    </row>
    <row r="496" spans="1:40" x14ac:dyDescent="0.3">
      <c r="A496" t="s">
        <v>519</v>
      </c>
      <c r="B496">
        <v>0.25482041587901699</v>
      </c>
      <c r="C496">
        <v>0.51859788636919102</v>
      </c>
      <c r="D496">
        <v>0.36707345388086299</v>
      </c>
      <c r="E496">
        <v>0</v>
      </c>
      <c r="F496">
        <v>0.224188790560471</v>
      </c>
      <c r="G496">
        <v>0.43202333439984197</v>
      </c>
      <c r="H496">
        <v>6</v>
      </c>
      <c r="I496">
        <v>14</v>
      </c>
      <c r="J496">
        <v>8.9690377367491997E-2</v>
      </c>
      <c r="K496">
        <v>1.71288743882544E-2</v>
      </c>
      <c r="L496">
        <v>4.8652829259070399E-2</v>
      </c>
      <c r="M496">
        <v>2.59740259740259E-3</v>
      </c>
      <c r="N496">
        <v>1.7454269868062901E-2</v>
      </c>
      <c r="O496">
        <v>1029</v>
      </c>
      <c r="P496">
        <v>7.4565095398428705E-2</v>
      </c>
      <c r="Q496">
        <v>7.4722115081173907E-2</v>
      </c>
      <c r="R496">
        <v>0.59734513274336198</v>
      </c>
      <c r="S496">
        <v>1</v>
      </c>
      <c r="T496" t="s">
        <v>49</v>
      </c>
      <c r="U496">
        <v>3.5660377358490501E-2</v>
      </c>
      <c r="V496">
        <v>0</v>
      </c>
      <c r="W496">
        <v>0.35594780673972398</v>
      </c>
      <c r="X496">
        <v>0.19979755238844699</v>
      </c>
      <c r="Y496">
        <v>4.7500771063452497E-2</v>
      </c>
      <c r="Z496">
        <v>5.1720765186282401E-2</v>
      </c>
      <c r="AA496">
        <v>0.59734513274336198</v>
      </c>
      <c r="AB496">
        <v>3.089799918234348E-2</v>
      </c>
      <c r="AC496">
        <v>5.5000000429572538E-5</v>
      </c>
      <c r="AD496">
        <v>3.2099999953061338E-3</v>
      </c>
      <c r="AE496">
        <v>0.33915799856185908</v>
      </c>
      <c r="AF496">
        <f>0.16*X496 + 0.28*Y496 + 0.28*Z496 + 0.28*AA496</f>
        <v>0.22700627570021867</v>
      </c>
      <c r="AG496">
        <f t="shared" si="21"/>
        <v>0.10082211946530151</v>
      </c>
      <c r="AH496">
        <f>IF(T496="IT_Admin", 0.25, IF(AND(T496="HR", AA496&gt;0.6), 0.25, IF(AND(T496="General", Z496&gt;0.7), 0.2, 0.1)))</f>
        <v>0.1</v>
      </c>
      <c r="AI496">
        <f>IF(V496&gt;0.7, 0.1,
 IF(F496&gt;0.5, 0.08,
 IF(E496&gt;0.5, 0.05,
 0)))</f>
        <v>0</v>
      </c>
      <c r="AJ496">
        <f t="shared" si="22"/>
        <v>0.13867736633577665</v>
      </c>
      <c r="AK496">
        <f t="shared" si="23"/>
        <v>0.15254510296935433</v>
      </c>
      <c r="AL496" t="str">
        <f>IF(MAX(X496, Y496, Z496, AA496)&gt;0.9,
 "Critical",
 IF(AK496&lt;=0.2,"Very Low",
 IF(AK496&lt;=0.4,"Low",
 IF(AK496&lt;=0.6,"Medium",
 IF(AK496&lt;=0.8,"High","Critical")))))</f>
        <v>Very Low</v>
      </c>
      <c r="AM496" t="str">
        <f>IF(MAX(X496:AA496)&gt;0.9,"CRITICAL ALERT",
 IF(AK496&gt;0.8,"CRITICAL ALERT",
 IF(AK496&gt;0.6,"ALERT",
 IF(AK496&gt;=0.4,"REVIEW","NO ACTION"))))</f>
        <v>NO ACTION</v>
      </c>
      <c r="AN496" t="str">
        <f>IF(AM496="NO ACTION","",
 IF(_xlfn.TEXTJOIN(", ", TRUE,
  IF(X496&gt;0.7,"Login anomaly",""),
  IF(Y496&gt;0.7,"File anomaly",""),
  IF(Z496&gt;0.7,"Network anomaly",""),
  IF(AA496&gt;0.7,"USB anomaly","")
 )="",
 "General anomaly detected",
 _xlfn.TEXTJOIN(", ", TRUE,
  IF(X496&gt;0.7,"Login anomaly",""),
  IF(Y496&gt;0.7,"File anomaly",""),
  IF(Z496&gt;0.7,"Network anomaly",""),
  IF(AA496&gt;0.7,"USB anomaly","")
 )))</f>
        <v/>
      </c>
    </row>
    <row r="497" spans="1:40" x14ac:dyDescent="0.3">
      <c r="A497" t="s">
        <v>520</v>
      </c>
      <c r="B497">
        <v>0.12892249527410199</v>
      </c>
      <c r="C497">
        <v>0.28759202488308</v>
      </c>
      <c r="D497">
        <v>7.4651206918551496E-2</v>
      </c>
      <c r="E497">
        <v>0</v>
      </c>
      <c r="F497">
        <v>0</v>
      </c>
      <c r="G497">
        <v>0.99368863033644705</v>
      </c>
      <c r="H497">
        <v>7</v>
      </c>
      <c r="I497">
        <v>8</v>
      </c>
      <c r="J497">
        <v>0.106149515767377</v>
      </c>
      <c r="K497">
        <v>1.7944535073409401E-2</v>
      </c>
      <c r="L497">
        <v>4.3084194520043702E-2</v>
      </c>
      <c r="M497">
        <v>3.4632034632034602E-3</v>
      </c>
      <c r="N497">
        <v>1.9671927474618E-2</v>
      </c>
      <c r="O497">
        <v>1240</v>
      </c>
      <c r="P497">
        <v>8.7436868686868702E-2</v>
      </c>
      <c r="Q497">
        <v>8.7590728987692407E-2</v>
      </c>
      <c r="R497">
        <v>0</v>
      </c>
      <c r="S497">
        <v>0</v>
      </c>
      <c r="T497" t="s">
        <v>24</v>
      </c>
      <c r="U497">
        <v>2.8737300435413601E-2</v>
      </c>
      <c r="V497">
        <v>0</v>
      </c>
      <c r="W497">
        <v>0</v>
      </c>
      <c r="X497">
        <v>2.23953620755654E-2</v>
      </c>
      <c r="Y497">
        <v>4.8673578655882802E-2</v>
      </c>
      <c r="Z497">
        <v>6.0330892201968397E-2</v>
      </c>
      <c r="AA497">
        <v>0</v>
      </c>
      <c r="AB497">
        <v>1.777100004255772E-2</v>
      </c>
      <c r="AC497">
        <v>1.2999999853491319E-5</v>
      </c>
      <c r="AD497">
        <v>2.6209999341517691E-3</v>
      </c>
      <c r="AE497">
        <v>1.3330000219866629E-3</v>
      </c>
      <c r="AF497">
        <f>0.16*X497 + 0.28*Y497 + 0.28*Z497 + 0.28*AA497</f>
        <v>3.41045097722888E-2</v>
      </c>
      <c r="AG497">
        <f t="shared" si="21"/>
        <v>3.9541199944869744E-3</v>
      </c>
      <c r="AH497">
        <f>IF(T497="IT_Admin", 0.25, IF(AND(T497="HR", AA497&gt;0.6), 0.25, IF(AND(T497="General", Z497&gt;0.7), 0.2, 0.1)))</f>
        <v>0.25</v>
      </c>
      <c r="AI497">
        <f>IF(V497&gt;0.7, 0.1,
 IF(F497&gt;0.5, 0.08,
 IF(E497&gt;0.5, 0.05,
 0)))</f>
        <v>0</v>
      </c>
      <c r="AJ497">
        <f t="shared" si="22"/>
        <v>1.2999236927827522E-2</v>
      </c>
      <c r="AK497">
        <f t="shared" si="23"/>
        <v>1.6249046159784404E-2</v>
      </c>
      <c r="AL497" t="str">
        <f>IF(MAX(X497, Y497, Z497, AA497)&gt;0.9,
 "Critical",
 IF(AK497&lt;=0.2,"Very Low",
 IF(AK497&lt;=0.4,"Low",
 IF(AK497&lt;=0.6,"Medium",
 IF(AK497&lt;=0.8,"High","Critical")))))</f>
        <v>Very Low</v>
      </c>
      <c r="AM497" t="str">
        <f>IF(MAX(X497:AA497)&gt;0.9,"CRITICAL ALERT",
 IF(AK497&gt;0.8,"CRITICAL ALERT",
 IF(AK497&gt;0.6,"ALERT",
 IF(AK497&gt;=0.4,"REVIEW","NO ACTION"))))</f>
        <v>NO ACTION</v>
      </c>
      <c r="AN497" t="str">
        <f>IF(AM497="NO ACTION","",
 IF(_xlfn.TEXTJOIN(", ", TRUE,
  IF(X497&gt;0.7,"Login anomaly",""),
  IF(Y497&gt;0.7,"File anomaly",""),
  IF(Z497&gt;0.7,"Network anomaly",""),
  IF(AA497&gt;0.7,"USB anomaly","")
 )="",
 "General anomaly detected",
 _xlfn.TEXTJOIN(", ", TRUE,
  IF(X497&gt;0.7,"Login anomaly",""),
  IF(Y497&gt;0.7,"File anomaly",""),
  IF(Z497&gt;0.7,"Network anomaly",""),
  IF(AA497&gt;0.7,"USB anomaly","")
 )))</f>
        <v/>
      </c>
    </row>
    <row r="498" spans="1:40" x14ac:dyDescent="0.3">
      <c r="A498" t="s">
        <v>521</v>
      </c>
      <c r="B498">
        <v>0.12892249527410199</v>
      </c>
      <c r="C498">
        <v>0.36953165208440503</v>
      </c>
      <c r="D498">
        <v>0</v>
      </c>
      <c r="E498">
        <v>0</v>
      </c>
      <c r="F498">
        <v>0</v>
      </c>
      <c r="G498">
        <v>0.99366312548446301</v>
      </c>
      <c r="H498">
        <v>8</v>
      </c>
      <c r="I498">
        <v>8</v>
      </c>
      <c r="J498">
        <v>0.12461237536377</v>
      </c>
      <c r="K498">
        <v>1.9575856443719401E-2</v>
      </c>
      <c r="L498">
        <v>4.0050475747954603E-2</v>
      </c>
      <c r="M498">
        <v>3.4632034632034602E-3</v>
      </c>
      <c r="N498">
        <v>1.6762857572945399E-2</v>
      </c>
      <c r="O498">
        <v>1318</v>
      </c>
      <c r="P498">
        <v>0.101711560044893</v>
      </c>
      <c r="Q498">
        <v>0.101861916616992</v>
      </c>
      <c r="R498">
        <v>0</v>
      </c>
      <c r="S498">
        <v>0</v>
      </c>
      <c r="T498" t="s">
        <v>24</v>
      </c>
      <c r="U498">
        <v>3.1349782293178502E-2</v>
      </c>
      <c r="V498">
        <v>0</v>
      </c>
      <c r="W498">
        <v>0</v>
      </c>
      <c r="X498">
        <v>0</v>
      </c>
      <c r="Y498">
        <v>4.9976570218615103E-2</v>
      </c>
      <c r="Z498">
        <v>6.7732079056114197E-2</v>
      </c>
      <c r="AA498">
        <v>0</v>
      </c>
      <c r="AB498">
        <v>2.481699921190739E-2</v>
      </c>
      <c r="AC498">
        <v>9.0000003183376975E-6</v>
      </c>
      <c r="AD498">
        <v>1.5109999803826211E-3</v>
      </c>
      <c r="AE498">
        <v>1.163000008091331E-3</v>
      </c>
      <c r="AF498">
        <f>0.16*X498 + 0.28*Y498 + 0.28*Z498 + 0.28*AA498</f>
        <v>3.2958421796924209E-2</v>
      </c>
      <c r="AG498">
        <f t="shared" si="21"/>
        <v>4.7219598707670231E-3</v>
      </c>
      <c r="AH498">
        <f>IF(T498="IT_Admin", 0.25, IF(AND(T498="HR", AA498&gt;0.6), 0.25, IF(AND(T498="General", Z498&gt;0.7), 0.2, 0.1)))</f>
        <v>0.25</v>
      </c>
      <c r="AI498">
        <f>IF(V498&gt;0.7, 0.1,
 IF(F498&gt;0.5, 0.08,
 IF(E498&gt;0.5, 0.05,
 0)))</f>
        <v>0</v>
      </c>
      <c r="AJ498">
        <f t="shared" si="22"/>
        <v>1.3192898448614179E-2</v>
      </c>
      <c r="AK498">
        <f t="shared" si="23"/>
        <v>1.6491123060767724E-2</v>
      </c>
      <c r="AL498" t="str">
        <f>IF(MAX(X498, Y498, Z498, AA498)&gt;0.9,
 "Critical",
 IF(AK498&lt;=0.2,"Very Low",
 IF(AK498&lt;=0.4,"Low",
 IF(AK498&lt;=0.6,"Medium",
 IF(AK498&lt;=0.8,"High","Critical")))))</f>
        <v>Very Low</v>
      </c>
      <c r="AM498" t="str">
        <f>IF(MAX(X498:AA498)&gt;0.9,"CRITICAL ALERT",
 IF(AK498&gt;0.8,"CRITICAL ALERT",
 IF(AK498&gt;0.6,"ALERT",
 IF(AK498&gt;=0.4,"REVIEW","NO ACTION"))))</f>
        <v>NO ACTION</v>
      </c>
      <c r="AN498" t="str">
        <f>IF(AM498="NO ACTION","",
 IF(_xlfn.TEXTJOIN(", ", TRUE,
  IF(X498&gt;0.7,"Login anomaly",""),
  IF(Y498&gt;0.7,"File anomaly",""),
  IF(Z498&gt;0.7,"Network anomaly",""),
  IF(AA498&gt;0.7,"USB anomaly","")
 )="",
 "General anomaly detected",
 _xlfn.TEXTJOIN(", ", TRUE,
  IF(X498&gt;0.7,"Login anomaly",""),
  IF(Y498&gt;0.7,"File anomaly",""),
  IF(Z498&gt;0.7,"Network anomaly",""),
  IF(AA498&gt;0.7,"USB anomaly","")
 )))</f>
        <v/>
      </c>
    </row>
    <row r="499" spans="1:40" x14ac:dyDescent="0.3">
      <c r="A499" t="s">
        <v>522</v>
      </c>
      <c r="B499">
        <v>7.5614366729678598E-3</v>
      </c>
      <c r="C499">
        <v>0.27714873906330401</v>
      </c>
      <c r="D499">
        <v>7.6637438353128196E-2</v>
      </c>
      <c r="E499">
        <v>0</v>
      </c>
      <c r="F499">
        <v>0</v>
      </c>
      <c r="G499">
        <v>0.92377096212028198</v>
      </c>
      <c r="H499">
        <v>7</v>
      </c>
      <c r="I499">
        <v>8</v>
      </c>
      <c r="J499">
        <v>5.7249177043080005E-4</v>
      </c>
      <c r="K499">
        <v>0</v>
      </c>
      <c r="L499">
        <v>0</v>
      </c>
      <c r="M499">
        <v>0</v>
      </c>
      <c r="N499">
        <v>0</v>
      </c>
      <c r="O499">
        <v>15</v>
      </c>
      <c r="P499">
        <v>4.2087542087541999E-4</v>
      </c>
      <c r="Q499">
        <v>5.9609383218205397E-4</v>
      </c>
      <c r="R499">
        <v>0</v>
      </c>
      <c r="S499">
        <v>0</v>
      </c>
      <c r="T499" t="s">
        <v>49</v>
      </c>
      <c r="U499">
        <v>0</v>
      </c>
      <c r="V499">
        <v>0</v>
      </c>
      <c r="W499">
        <v>0</v>
      </c>
      <c r="X499">
        <v>2.29912315059384E-2</v>
      </c>
      <c r="Y499">
        <v>1.1449835408616E-4</v>
      </c>
      <c r="Z499">
        <v>2.5252525252525198E-4</v>
      </c>
      <c r="AA499">
        <v>0</v>
      </c>
      <c r="AB499">
        <v>3.9632998406887048E-2</v>
      </c>
      <c r="AC499">
        <v>1.9720001146197319E-3</v>
      </c>
      <c r="AD499">
        <v>1.7870999872684479E-2</v>
      </c>
      <c r="AE499">
        <v>3.0199999455362558E-3</v>
      </c>
      <c r="AF499">
        <f>0.16*X499 + 0.28*Y499 + 0.28*Z499 + 0.28*AA499</f>
        <v>3.7813636508013393E-3</v>
      </c>
      <c r="AG499">
        <f t="shared" si="21"/>
        <v>1.274291972629726E-2</v>
      </c>
      <c r="AH499">
        <f>IF(T499="IT_Admin", 0.25, IF(AND(T499="HR", AA499&gt;0.6), 0.25, IF(AND(T499="General", Z499&gt;0.7), 0.2, 0.1)))</f>
        <v>0.1</v>
      </c>
      <c r="AI499">
        <f>IF(V499&gt;0.7, 0.1,
 IF(F499&gt;0.5, 0.08,
 IF(E499&gt;0.5, 0.05,
 0)))</f>
        <v>0</v>
      </c>
      <c r="AJ499">
        <f t="shared" si="22"/>
        <v>1.0054452903648483E-2</v>
      </c>
      <c r="AK499">
        <f t="shared" si="23"/>
        <v>1.1059898194013332E-2</v>
      </c>
      <c r="AL499" t="str">
        <f>IF(MAX(X499, Y499, Z499, AA499)&gt;0.9,
 "Critical",
 IF(AK499&lt;=0.2,"Very Low",
 IF(AK499&lt;=0.4,"Low",
 IF(AK499&lt;=0.6,"Medium",
 IF(AK499&lt;=0.8,"High","Critical")))))</f>
        <v>Very Low</v>
      </c>
      <c r="AM499" t="str">
        <f>IF(MAX(X499:AA499)&gt;0.9,"CRITICAL ALERT",
 IF(AK499&gt;0.8,"CRITICAL ALERT",
 IF(AK499&gt;0.6,"ALERT",
 IF(AK499&gt;=0.4,"REVIEW","NO ACTION"))))</f>
        <v>NO ACTION</v>
      </c>
      <c r="AN499" t="str">
        <f>IF(AM499="NO ACTION","",
 IF(_xlfn.TEXTJOIN(", ", TRUE,
  IF(X499&gt;0.7,"Login anomaly",""),
  IF(Y499&gt;0.7,"File anomaly",""),
  IF(Z499&gt;0.7,"Network anomaly",""),
  IF(AA499&gt;0.7,"USB anomaly","")
 )="",
 "General anomaly detected",
 _xlfn.TEXTJOIN(", ", TRUE,
  IF(X499&gt;0.7,"Login anomaly",""),
  IF(Y499&gt;0.7,"File anomaly",""),
  IF(Z499&gt;0.7,"Network anomaly",""),
  IF(AA499&gt;0.7,"USB anomaly","")
 )))</f>
        <v/>
      </c>
    </row>
    <row r="500" spans="1:40" x14ac:dyDescent="0.3">
      <c r="A500" t="s">
        <v>523</v>
      </c>
      <c r="B500">
        <v>0.12892249527410199</v>
      </c>
      <c r="C500">
        <v>0.18476582604220201</v>
      </c>
      <c r="D500">
        <v>0</v>
      </c>
      <c r="E500">
        <v>0</v>
      </c>
      <c r="F500">
        <v>0</v>
      </c>
      <c r="G500">
        <v>0.993685632914178</v>
      </c>
      <c r="H500">
        <v>7</v>
      </c>
      <c r="I500">
        <v>7</v>
      </c>
      <c r="J500">
        <v>9.4222603883402506E-2</v>
      </c>
      <c r="K500">
        <v>2.77324632952691E-2</v>
      </c>
      <c r="L500">
        <v>7.4991818836311203E-2</v>
      </c>
      <c r="M500">
        <v>4.0404040404040404E-3</v>
      </c>
      <c r="N500">
        <v>2.5848382818079701E-2</v>
      </c>
      <c r="O500">
        <v>979</v>
      </c>
      <c r="P500">
        <v>8.3157968574635199E-2</v>
      </c>
      <c r="Q500">
        <v>8.3312879133209394E-2</v>
      </c>
      <c r="R500">
        <v>0</v>
      </c>
      <c r="S500">
        <v>0</v>
      </c>
      <c r="T500" t="s">
        <v>49</v>
      </c>
      <c r="U500">
        <v>3.8490566037735797E-2</v>
      </c>
      <c r="V500">
        <v>0</v>
      </c>
      <c r="W500">
        <v>0</v>
      </c>
      <c r="X500">
        <v>0</v>
      </c>
      <c r="Y500">
        <v>6.4094945040260004E-2</v>
      </c>
      <c r="Z500">
        <v>6.0234134272012997E-2</v>
      </c>
      <c r="AA500">
        <v>0</v>
      </c>
      <c r="AB500">
        <v>3.6653999239206307E-2</v>
      </c>
      <c r="AC500">
        <v>4.2299999040551478E-4</v>
      </c>
      <c r="AD500">
        <v>2.9190001077950001E-3</v>
      </c>
      <c r="AE500">
        <v>1.6499999910593031E-3</v>
      </c>
      <c r="AF500">
        <f>0.16*X500 + 0.28*Y500 + 0.28*Z500 + 0.28*AA500</f>
        <v>3.4812142207436447E-2</v>
      </c>
      <c r="AG500">
        <f t="shared" si="21"/>
        <v>7.2623999032657583E-3</v>
      </c>
      <c r="AH500">
        <f>IF(T500="IT_Admin", 0.25, IF(AND(T500="HR", AA500&gt;0.6), 0.25, IF(AND(T500="General", Z500&gt;0.7), 0.2, 0.1)))</f>
        <v>0.1</v>
      </c>
      <c r="AI500">
        <f>IF(V500&gt;0.7, 0.1,
 IF(F500&gt;0.5, 0.08,
 IF(E500&gt;0.5, 0.05,
 0)))</f>
        <v>0</v>
      </c>
      <c r="AJ500">
        <f t="shared" si="22"/>
        <v>1.5527322594516965E-2</v>
      </c>
      <c r="AK500">
        <f t="shared" si="23"/>
        <v>1.7080054853968664E-2</v>
      </c>
      <c r="AL500" t="str">
        <f>IF(MAX(X500, Y500, Z500, AA500)&gt;0.9,
 "Critical",
 IF(AK500&lt;=0.2,"Very Low",
 IF(AK500&lt;=0.4,"Low",
 IF(AK500&lt;=0.6,"Medium",
 IF(AK500&lt;=0.8,"High","Critical")))))</f>
        <v>Very Low</v>
      </c>
      <c r="AM500" t="str">
        <f>IF(MAX(X500:AA500)&gt;0.9,"CRITICAL ALERT",
 IF(AK500&gt;0.8,"CRITICAL ALERT",
 IF(AK500&gt;0.6,"ALERT",
 IF(AK500&gt;=0.4,"REVIEW","NO ACTION"))))</f>
        <v>NO ACTION</v>
      </c>
      <c r="AN500" t="str">
        <f>IF(AM500="NO ACTION","",
 IF(_xlfn.TEXTJOIN(", ", TRUE,
  IF(X500&gt;0.7,"Login anomaly",""),
  IF(Y500&gt;0.7,"File anomaly",""),
  IF(Z500&gt;0.7,"Network anomaly",""),
  IF(AA500&gt;0.7,"USB anomaly","")
 )="",
 "General anomaly detected",
 _xlfn.TEXTJOIN(", ", TRUE,
  IF(X500&gt;0.7,"Login anomaly",""),
  IF(Y500&gt;0.7,"File anomaly",""),
  IF(Z500&gt;0.7,"Network anomaly",""),
  IF(AA500&gt;0.7,"USB anomaly","")
 )))</f>
        <v/>
      </c>
    </row>
    <row r="501" spans="1:40" x14ac:dyDescent="0.3">
      <c r="A501" t="s">
        <v>524</v>
      </c>
      <c r="B501">
        <v>0.235538752362948</v>
      </c>
      <c r="C501">
        <v>0.76175384420908099</v>
      </c>
      <c r="D501">
        <v>0.36466893870164102</v>
      </c>
      <c r="E501">
        <v>0</v>
      </c>
      <c r="F501">
        <v>0</v>
      </c>
      <c r="G501">
        <v>0.47910378094825601</v>
      </c>
      <c r="H501">
        <v>8</v>
      </c>
      <c r="I501">
        <v>16</v>
      </c>
      <c r="J501">
        <v>9.6226325079910302E-2</v>
      </c>
      <c r="K501">
        <v>1.38662316476345E-2</v>
      </c>
      <c r="L501">
        <v>3.6717062634989202E-2</v>
      </c>
      <c r="M501">
        <v>4.9062049062049001E-3</v>
      </c>
      <c r="N501">
        <v>3.0735359815478501E-2</v>
      </c>
      <c r="O501">
        <v>929</v>
      </c>
      <c r="P501">
        <v>7.9089506172839497E-2</v>
      </c>
      <c r="Q501">
        <v>7.9245415337143604E-2</v>
      </c>
      <c r="R501">
        <v>0.656342182890855</v>
      </c>
      <c r="S501">
        <v>1</v>
      </c>
      <c r="T501" t="s">
        <v>24</v>
      </c>
      <c r="U501">
        <v>1.60377358490566E-2</v>
      </c>
      <c r="V501">
        <v>0</v>
      </c>
      <c r="W501">
        <v>0</v>
      </c>
      <c r="X501">
        <v>0.109400681610492</v>
      </c>
      <c r="Y501">
        <v>4.6824404278120201E-2</v>
      </c>
      <c r="Z501">
        <v>5.9747847629895101E-2</v>
      </c>
      <c r="AA501">
        <v>0.656342182890855</v>
      </c>
      <c r="AB501">
        <v>4.0886998176574707E-2</v>
      </c>
      <c r="AC501">
        <v>1.900000061141327E-4</v>
      </c>
      <c r="AD501">
        <v>2.600000007078052E-3</v>
      </c>
      <c r="AE501">
        <v>0.42144399881362921</v>
      </c>
      <c r="AF501">
        <f>0.16*X501 + 0.28*Y501 + 0.28*Z501 + 0.28*AA501</f>
        <v>0.23112015080136245</v>
      </c>
      <c r="AG501">
        <f t="shared" si="21"/>
        <v>0.12532743937976196</v>
      </c>
      <c r="AH501">
        <f>IF(T501="IT_Admin", 0.25, IF(AND(T501="HR", AA501&gt;0.6), 0.25, IF(AND(T501="General", Z501&gt;0.7), 0.2, 0.1)))</f>
        <v>0.25</v>
      </c>
      <c r="AI501">
        <f>IF(V501&gt;0.7, 0.1,
 IF(F501&gt;0.5, 0.08,
 IF(E501&gt;0.5, 0.05,
 0)))</f>
        <v>0</v>
      </c>
      <c r="AJ501">
        <f t="shared" si="22"/>
        <v>0.15706525280624212</v>
      </c>
      <c r="AK501">
        <f t="shared" si="23"/>
        <v>0.19633156600780266</v>
      </c>
      <c r="AL501" t="str">
        <f>IF(MAX(X501, Y501, Z501, AA501)&gt;0.9,
 "Critical",
 IF(AK501&lt;=0.2,"Very Low",
 IF(AK501&lt;=0.4,"Low",
 IF(AK501&lt;=0.6,"Medium",
 IF(AK501&lt;=0.8,"High","Critical")))))</f>
        <v>Very Low</v>
      </c>
      <c r="AM501" t="str">
        <f>IF(MAX(X501:AA501)&gt;0.9,"CRITICAL ALERT",
 IF(AK501&gt;0.8,"CRITICAL ALERT",
 IF(AK501&gt;0.6,"ALERT",
 IF(AK501&gt;=0.4,"REVIEW","NO ACTION"))))</f>
        <v>NO ACTION</v>
      </c>
      <c r="AN501" t="str">
        <f>IF(AM501="NO ACTION","",
 IF(_xlfn.TEXTJOIN(", ", TRUE,
  IF(X501&gt;0.7,"Login anomaly",""),
  IF(Y501&gt;0.7,"File anomaly",""),
  IF(Z501&gt;0.7,"Network anomaly",""),
  IF(AA501&gt;0.7,"USB anomaly","")
 )="",
 "General anomaly detected",
 _xlfn.TEXTJOIN(", ", TRUE,
  IF(X501&gt;0.7,"Login anomaly",""),
  IF(Y501&gt;0.7,"File anomaly",""),
  IF(Z501&gt;0.7,"Network anomaly",""),
  IF(AA501&gt;0.7,"USB anomaly","")
 )))</f>
        <v/>
      </c>
    </row>
    <row r="502" spans="1:40" x14ac:dyDescent="0.3">
      <c r="A502" t="s">
        <v>525</v>
      </c>
      <c r="B502">
        <v>0.26351606805292999</v>
      </c>
      <c r="C502">
        <v>0.70796149607611403</v>
      </c>
      <c r="D502">
        <v>0.39284078686318102</v>
      </c>
      <c r="E502">
        <v>0</v>
      </c>
      <c r="F502">
        <v>9.9857346647646197E-3</v>
      </c>
      <c r="G502">
        <v>0.41297632705909798</v>
      </c>
      <c r="H502">
        <v>3</v>
      </c>
      <c r="I502">
        <v>23</v>
      </c>
      <c r="J502">
        <v>7.5139544869042493E-2</v>
      </c>
      <c r="K502">
        <v>0</v>
      </c>
      <c r="L502">
        <v>0</v>
      </c>
      <c r="M502">
        <v>2.88600288600288E-4</v>
      </c>
      <c r="N502">
        <v>2.3137340858859802E-3</v>
      </c>
      <c r="O502">
        <v>309</v>
      </c>
      <c r="P502">
        <v>5.5380190796857402E-2</v>
      </c>
      <c r="Q502">
        <v>5.5541919422139603E-2</v>
      </c>
      <c r="R502">
        <v>8.8495575221238902E-3</v>
      </c>
      <c r="S502">
        <v>1</v>
      </c>
      <c r="T502" t="s">
        <v>49</v>
      </c>
      <c r="U502">
        <v>0</v>
      </c>
      <c r="V502">
        <v>0</v>
      </c>
      <c r="W502">
        <v>0</v>
      </c>
      <c r="X502">
        <v>0.12184652992486</v>
      </c>
      <c r="Y502">
        <v>1.5722029199574199E-2</v>
      </c>
      <c r="Z502">
        <v>3.41536081124688E-2</v>
      </c>
      <c r="AA502">
        <v>8.8495575221238902E-3</v>
      </c>
      <c r="AB502">
        <v>9.7985997796058655E-2</v>
      </c>
      <c r="AC502">
        <v>1.428000046871603E-3</v>
      </c>
      <c r="AD502">
        <v>6.2310001812875271E-3</v>
      </c>
      <c r="AE502">
        <v>7.1491003036499023E-2</v>
      </c>
      <c r="AF502">
        <f>0.16*X502 + 0.28*Y502 + 0.28*Z502 + 0.28*AA502</f>
        <v>3.5938499341544333E-2</v>
      </c>
      <c r="AG502">
        <f t="shared" si="21"/>
        <v>3.7839760561473673E-2</v>
      </c>
      <c r="AH502">
        <f>IF(T502="IT_Admin", 0.25, IF(AND(T502="HR", AA502&gt;0.6), 0.25, IF(AND(T502="General", Z502&gt;0.7), 0.2, 0.1)))</f>
        <v>0.1</v>
      </c>
      <c r="AI502">
        <f>IF(V502&gt;0.7, 0.1,
 IF(F502&gt;0.5, 0.08,
 IF(E502&gt;0.5, 0.05,
 0)))</f>
        <v>0</v>
      </c>
      <c r="AJ502">
        <f t="shared" si="22"/>
        <v>3.7269382195494867E-2</v>
      </c>
      <c r="AK502">
        <f t="shared" si="23"/>
        <v>4.0996320415044356E-2</v>
      </c>
      <c r="AL502" t="str">
        <f>IF(MAX(X502, Y502, Z502, AA502)&gt;0.9,
 "Critical",
 IF(AK502&lt;=0.2,"Very Low",
 IF(AK502&lt;=0.4,"Low",
 IF(AK502&lt;=0.6,"Medium",
 IF(AK502&lt;=0.8,"High","Critical")))))</f>
        <v>Very Low</v>
      </c>
      <c r="AM502" t="str">
        <f>IF(MAX(X502:AA502)&gt;0.9,"CRITICAL ALERT",
 IF(AK502&gt;0.8,"CRITICAL ALERT",
 IF(AK502&gt;0.6,"ALERT",
 IF(AK502&gt;=0.4,"REVIEW","NO ACTION"))))</f>
        <v>NO ACTION</v>
      </c>
      <c r="AN502" t="str">
        <f>IF(AM502="NO ACTION","",
 IF(_xlfn.TEXTJOIN(", ", TRUE,
  IF(X502&gt;0.7,"Login anomaly",""),
  IF(Y502&gt;0.7,"File anomaly",""),
  IF(Z502&gt;0.7,"Network anomaly",""),
  IF(AA502&gt;0.7,"USB anomaly","")
 )="",
 "General anomaly detected",
 _xlfn.TEXTJOIN(", ", TRUE,
  IF(X502&gt;0.7,"Login anomaly",""),
  IF(Y502&gt;0.7,"File anomaly",""),
  IF(Z502&gt;0.7,"Network anomaly",""),
  IF(AA502&gt;0.7,"USB anomaly","")
 )))</f>
        <v/>
      </c>
    </row>
    <row r="503" spans="1:40" x14ac:dyDescent="0.3">
      <c r="A503" t="s">
        <v>526</v>
      </c>
      <c r="B503">
        <v>0.236672967863894</v>
      </c>
      <c r="C503">
        <v>0.65958467106176799</v>
      </c>
      <c r="D503">
        <v>0.36325095778856298</v>
      </c>
      <c r="E503">
        <v>0</v>
      </c>
      <c r="F503">
        <v>0</v>
      </c>
      <c r="G503">
        <v>0.47634492494826702</v>
      </c>
      <c r="H503">
        <v>7</v>
      </c>
      <c r="I503">
        <v>14</v>
      </c>
      <c r="J503">
        <v>8.7638948523448307E-2</v>
      </c>
      <c r="K503">
        <v>1.1419249592169599E-2</v>
      </c>
      <c r="L503">
        <v>3.3192393468457301E-2</v>
      </c>
      <c r="M503">
        <v>2.0202020202020202E-3</v>
      </c>
      <c r="N503">
        <v>1.3892453306133999E-2</v>
      </c>
      <c r="O503">
        <v>988</v>
      </c>
      <c r="P503">
        <v>7.03212682379349E-2</v>
      </c>
      <c r="Q503">
        <v>7.0479329569760496E-2</v>
      </c>
      <c r="R503">
        <v>0</v>
      </c>
      <c r="S503">
        <v>0</v>
      </c>
      <c r="T503" t="s">
        <v>49</v>
      </c>
      <c r="U503">
        <v>2.9716981132075399E-2</v>
      </c>
      <c r="V503">
        <v>0</v>
      </c>
      <c r="W503">
        <v>0</v>
      </c>
      <c r="X503">
        <v>0.108975287336569</v>
      </c>
      <c r="Y503">
        <v>3.8291722430758499E-2</v>
      </c>
      <c r="Z503">
        <v>4.7749742265214501E-2</v>
      </c>
      <c r="AA503">
        <v>0</v>
      </c>
      <c r="AB503">
        <v>2.4646999314427379E-2</v>
      </c>
      <c r="AC503">
        <v>8.1999998656101525E-5</v>
      </c>
      <c r="AD503">
        <v>4.3620001524686813E-3</v>
      </c>
      <c r="AE503">
        <v>6.5640001557767391E-3</v>
      </c>
      <c r="AF503">
        <f>0.16*X503 + 0.28*Y503 + 0.28*Z503 + 0.28*AA503</f>
        <v>4.1527656088723483E-2</v>
      </c>
      <c r="AG503">
        <f t="shared" si="21"/>
        <v>7.0257599762408073E-3</v>
      </c>
      <c r="AH503">
        <f>IF(T503="IT_Admin", 0.25, IF(AND(T503="HR", AA503&gt;0.6), 0.25, IF(AND(T503="General", Z503&gt;0.7), 0.2, 0.1)))</f>
        <v>0.1</v>
      </c>
      <c r="AI503">
        <f>IF(V503&gt;0.7, 0.1,
 IF(F503&gt;0.5, 0.08,
 IF(E503&gt;0.5, 0.05,
 0)))</f>
        <v>0</v>
      </c>
      <c r="AJ503">
        <f t="shared" si="22"/>
        <v>1.737632880998561E-2</v>
      </c>
      <c r="AK503">
        <f t="shared" si="23"/>
        <v>1.9113961690984171E-2</v>
      </c>
      <c r="AL503" t="str">
        <f>IF(MAX(X503, Y503, Z503, AA503)&gt;0.9,
 "Critical",
 IF(AK503&lt;=0.2,"Very Low",
 IF(AK503&lt;=0.4,"Low",
 IF(AK503&lt;=0.6,"Medium",
 IF(AK503&lt;=0.8,"High","Critical")))))</f>
        <v>Very Low</v>
      </c>
      <c r="AM503" t="str">
        <f>IF(MAX(X503:AA503)&gt;0.9,"CRITICAL ALERT",
 IF(AK503&gt;0.8,"CRITICAL ALERT",
 IF(AK503&gt;0.6,"ALERT",
 IF(AK503&gt;=0.4,"REVIEW","NO ACTION"))))</f>
        <v>NO ACTION</v>
      </c>
      <c r="AN503" t="str">
        <f>IF(AM503="NO ACTION","",
 IF(_xlfn.TEXTJOIN(", ", TRUE,
  IF(X503&gt;0.7,"Login anomaly",""),
  IF(Y503&gt;0.7,"File anomaly",""),
  IF(Z503&gt;0.7,"Network anomaly",""),
  IF(AA503&gt;0.7,"USB anomaly","")
 )="",
 "General anomaly detected",
 _xlfn.TEXTJOIN(", ", TRUE,
  IF(X503&gt;0.7,"Login anomaly",""),
  IF(Y503&gt;0.7,"File anomaly",""),
  IF(Z503&gt;0.7,"Network anomaly",""),
  IF(AA503&gt;0.7,"USB anomaly","")
 )))</f>
        <v/>
      </c>
    </row>
    <row r="504" spans="1:40" x14ac:dyDescent="0.3">
      <c r="A504" t="s">
        <v>527</v>
      </c>
      <c r="B504">
        <v>0.12892249527410199</v>
      </c>
      <c r="C504">
        <v>0.18476582604220201</v>
      </c>
      <c r="D504">
        <v>0</v>
      </c>
      <c r="E504">
        <v>0</v>
      </c>
      <c r="F504">
        <v>0</v>
      </c>
      <c r="G504">
        <v>0.99365785323279299</v>
      </c>
      <c r="H504">
        <v>7</v>
      </c>
      <c r="I504">
        <v>7</v>
      </c>
      <c r="J504">
        <v>9.0739945613281803E-2</v>
      </c>
      <c r="K504">
        <v>1.30505709624796E-2</v>
      </c>
      <c r="L504">
        <v>3.6641179874985899E-2</v>
      </c>
      <c r="M504">
        <v>3.1746031746031698E-3</v>
      </c>
      <c r="N504">
        <v>2.10868895714202E-2</v>
      </c>
      <c r="O504">
        <v>1068</v>
      </c>
      <c r="P504">
        <v>7.3863636363636298E-2</v>
      </c>
      <c r="Q504">
        <v>7.40208282197833E-2</v>
      </c>
      <c r="R504">
        <v>0</v>
      </c>
      <c r="S504">
        <v>0</v>
      </c>
      <c r="T504" t="s">
        <v>49</v>
      </c>
      <c r="U504">
        <v>2.26415094339622E-2</v>
      </c>
      <c r="V504">
        <v>0</v>
      </c>
      <c r="W504">
        <v>0</v>
      </c>
      <c r="X504">
        <v>0</v>
      </c>
      <c r="Y504">
        <v>4.2794645931575399E-2</v>
      </c>
      <c r="Z504">
        <v>5.2752937646749903E-2</v>
      </c>
      <c r="AA504">
        <v>0</v>
      </c>
      <c r="AB504">
        <v>3.6616001278162003E-2</v>
      </c>
      <c r="AC504">
        <v>7.7999997301958501E-5</v>
      </c>
      <c r="AD504">
        <v>4.0130000561475754E-3</v>
      </c>
      <c r="AE504">
        <v>1.53200002387166E-3</v>
      </c>
      <c r="AF504">
        <f>0.16*X504 + 0.28*Y504 + 0.28*Z504 + 0.28*AA504</f>
        <v>2.6753323401931088E-2</v>
      </c>
      <c r="AG504">
        <f t="shared" si="21"/>
        <v>7.4330002261558548E-3</v>
      </c>
      <c r="AH504">
        <f>IF(T504="IT_Admin", 0.25, IF(AND(T504="HR", AA504&gt;0.6), 0.25, IF(AND(T504="General", Z504&gt;0.7), 0.2, 0.1)))</f>
        <v>0.1</v>
      </c>
      <c r="AI504">
        <f>IF(V504&gt;0.7, 0.1,
 IF(F504&gt;0.5, 0.08,
 IF(E504&gt;0.5, 0.05,
 0)))</f>
        <v>0</v>
      </c>
      <c r="AJ504">
        <f t="shared" si="22"/>
        <v>1.3229097178888424E-2</v>
      </c>
      <c r="AK504">
        <f t="shared" si="23"/>
        <v>1.4552006896777266E-2</v>
      </c>
      <c r="AL504" t="str">
        <f>IF(MAX(X504, Y504, Z504, AA504)&gt;0.9,
 "Critical",
 IF(AK504&lt;=0.2,"Very Low",
 IF(AK504&lt;=0.4,"Low",
 IF(AK504&lt;=0.6,"Medium",
 IF(AK504&lt;=0.8,"High","Critical")))))</f>
        <v>Very Low</v>
      </c>
      <c r="AM504" t="str">
        <f>IF(MAX(X504:AA504)&gt;0.9,"CRITICAL ALERT",
 IF(AK504&gt;0.8,"CRITICAL ALERT",
 IF(AK504&gt;0.6,"ALERT",
 IF(AK504&gt;=0.4,"REVIEW","NO ACTION"))))</f>
        <v>NO ACTION</v>
      </c>
      <c r="AN504" t="str">
        <f>IF(AM504="NO ACTION","",
 IF(_xlfn.TEXTJOIN(", ", TRUE,
  IF(X504&gt;0.7,"Login anomaly",""),
  IF(Y504&gt;0.7,"File anomaly",""),
  IF(Z504&gt;0.7,"Network anomaly",""),
  IF(AA504&gt;0.7,"USB anomaly","")
 )="",
 "General anomaly detected",
 _xlfn.TEXTJOIN(", ", TRUE,
  IF(X504&gt;0.7,"Login anomaly",""),
  IF(Y504&gt;0.7,"File anomaly",""),
  IF(Z504&gt;0.7,"Network anomaly",""),
  IF(AA504&gt;0.7,"USB anomaly","")
 )))</f>
        <v/>
      </c>
    </row>
    <row r="505" spans="1:40" x14ac:dyDescent="0.3">
      <c r="A505" t="s">
        <v>528</v>
      </c>
      <c r="B505">
        <v>0.240075614366729</v>
      </c>
      <c r="C505">
        <v>0.77202622149089395</v>
      </c>
      <c r="D505">
        <v>0.36656257828236299</v>
      </c>
      <c r="E505">
        <v>0</v>
      </c>
      <c r="F505">
        <v>0</v>
      </c>
      <c r="G505">
        <v>0.46758626439647699</v>
      </c>
      <c r="H505">
        <v>8</v>
      </c>
      <c r="I505">
        <v>14</v>
      </c>
      <c r="J505">
        <v>6.8603597156624202E-2</v>
      </c>
      <c r="K505">
        <v>1.2234910277324601E-2</v>
      </c>
      <c r="L505">
        <v>4.5396784057691097E-2</v>
      </c>
      <c r="M505">
        <v>3.1746031746031698E-3</v>
      </c>
      <c r="N505">
        <v>2.78674278674278E-2</v>
      </c>
      <c r="O505">
        <v>626</v>
      </c>
      <c r="P505">
        <v>5.7239057239057201E-2</v>
      </c>
      <c r="Q505">
        <v>5.7400329604824801E-2</v>
      </c>
      <c r="R505">
        <v>0.30678466076696098</v>
      </c>
      <c r="S505">
        <v>1</v>
      </c>
      <c r="T505" t="s">
        <v>49</v>
      </c>
      <c r="U505">
        <v>2.1226415094339601E-2</v>
      </c>
      <c r="V505">
        <v>0</v>
      </c>
      <c r="W505">
        <v>0</v>
      </c>
      <c r="X505">
        <v>0.109968773484709</v>
      </c>
      <c r="Y505">
        <v>4.4779339820398799E-2</v>
      </c>
      <c r="Z505">
        <v>4.5490405490405401E-2</v>
      </c>
      <c r="AA505">
        <v>0.30678466076696098</v>
      </c>
      <c r="AB505">
        <v>3.866099938750267E-2</v>
      </c>
      <c r="AC505">
        <v>1.449999981559813E-4</v>
      </c>
      <c r="AD505">
        <v>5.2869999781250954E-3</v>
      </c>
      <c r="AE505">
        <v>0.10585200041532521</v>
      </c>
      <c r="AF505">
        <f>0.16*X505 + 0.28*Y505 + 0.28*Z505 + 0.28*AA505</f>
        <v>0.1287702374593277</v>
      </c>
      <c r="AG505">
        <f t="shared" si="21"/>
        <v>3.7345280011650189E-2</v>
      </c>
      <c r="AH505">
        <f>IF(T505="IT_Admin", 0.25, IF(AND(T505="HR", AA505&gt;0.6), 0.25, IF(AND(T505="General", Z505&gt;0.7), 0.2, 0.1)))</f>
        <v>0.1</v>
      </c>
      <c r="AI505">
        <f>IF(V505&gt;0.7, 0.1,
 IF(F505&gt;0.5, 0.08,
 IF(E505&gt;0.5, 0.05,
 0)))</f>
        <v>0</v>
      </c>
      <c r="AJ505">
        <f t="shared" si="22"/>
        <v>6.4772767245953433E-2</v>
      </c>
      <c r="AK505">
        <f t="shared" si="23"/>
        <v>7.1250043970548779E-2</v>
      </c>
      <c r="AL505" t="str">
        <f>IF(MAX(X505, Y505, Z505, AA505)&gt;0.9,
 "Critical",
 IF(AK505&lt;=0.2,"Very Low",
 IF(AK505&lt;=0.4,"Low",
 IF(AK505&lt;=0.6,"Medium",
 IF(AK505&lt;=0.8,"High","Critical")))))</f>
        <v>Very Low</v>
      </c>
      <c r="AM505" t="str">
        <f>IF(MAX(X505:AA505)&gt;0.9,"CRITICAL ALERT",
 IF(AK505&gt;0.8,"CRITICAL ALERT",
 IF(AK505&gt;0.6,"ALERT",
 IF(AK505&gt;=0.4,"REVIEW","NO ACTION"))))</f>
        <v>NO ACTION</v>
      </c>
      <c r="AN505" t="str">
        <f>IF(AM505="NO ACTION","",
 IF(_xlfn.TEXTJOIN(", ", TRUE,
  IF(X505&gt;0.7,"Login anomaly",""),
  IF(Y505&gt;0.7,"File anomaly",""),
  IF(Z505&gt;0.7,"Network anomaly",""),
  IF(AA505&gt;0.7,"USB anomaly","")
 )="",
 "General anomaly detected",
 _xlfn.TEXTJOIN(", ", TRUE,
  IF(X505&gt;0.7,"Login anomaly",""),
  IF(Y505&gt;0.7,"File anomaly",""),
  IF(Z505&gt;0.7,"Network anomaly",""),
  IF(AA505&gt;0.7,"USB anomaly","")
 )))</f>
        <v/>
      </c>
    </row>
    <row r="506" spans="1:40" x14ac:dyDescent="0.3">
      <c r="A506" t="s">
        <v>529</v>
      </c>
      <c r="B506">
        <v>0.91795841209829798</v>
      </c>
      <c r="C506">
        <v>0.91851103488907504</v>
      </c>
      <c r="D506">
        <v>0.97491210501029602</v>
      </c>
      <c r="E506">
        <v>0</v>
      </c>
      <c r="F506">
        <v>0.37047697368421001</v>
      </c>
      <c r="G506">
        <v>1.31988330996472E-2</v>
      </c>
      <c r="H506">
        <v>0</v>
      </c>
      <c r="I506">
        <v>23</v>
      </c>
      <c r="J506">
        <v>4.7421401650684598E-2</v>
      </c>
      <c r="K506">
        <v>9.7879282218597003E-3</v>
      </c>
      <c r="L506">
        <v>5.2458506022220901E-2</v>
      </c>
      <c r="M506">
        <v>8.6580086580086504E-4</v>
      </c>
      <c r="N506">
        <v>1.0978077644744301E-2</v>
      </c>
      <c r="O506">
        <v>537</v>
      </c>
      <c r="P506">
        <v>3.9492143658810298E-2</v>
      </c>
      <c r="Q506">
        <v>3.96577720116413E-2</v>
      </c>
      <c r="R506">
        <v>0</v>
      </c>
      <c r="S506">
        <v>0</v>
      </c>
      <c r="T506" t="s">
        <v>49</v>
      </c>
      <c r="U506">
        <v>5.0943396226415097E-2</v>
      </c>
      <c r="V506">
        <v>0</v>
      </c>
      <c r="W506">
        <v>0</v>
      </c>
      <c r="X506">
        <v>0.440664420976773</v>
      </c>
      <c r="Y506">
        <v>3.9006956634670603E-2</v>
      </c>
      <c r="Z506">
        <v>2.8086517253183899E-2</v>
      </c>
      <c r="AA506">
        <v>0</v>
      </c>
      <c r="AB506">
        <v>0.90940302610397339</v>
      </c>
      <c r="AC506">
        <v>1.9900000188499689E-4</v>
      </c>
      <c r="AD506">
        <v>8.0930003896355629E-3</v>
      </c>
      <c r="AE506">
        <v>1.8109999597072601E-2</v>
      </c>
      <c r="AF506">
        <f>0.16*X506 + 0.28*Y506 + 0.28*Z506 + 0.28*AA506</f>
        <v>8.9292480044882952E-2</v>
      </c>
      <c r="AG506">
        <f t="shared" si="21"/>
        <v>0.15289704417344183</v>
      </c>
      <c r="AH506">
        <f>IF(T506="IT_Admin", 0.25, IF(AND(T506="HR", AA506&gt;0.6), 0.25, IF(AND(T506="General", Z506&gt;0.7), 0.2, 0.1)))</f>
        <v>0.1</v>
      </c>
      <c r="AI506">
        <f>IF(V506&gt;0.7, 0.1,
 IF(F506&gt;0.5, 0.08,
 IF(E506&gt;0.5, 0.05,
 0)))</f>
        <v>0</v>
      </c>
      <c r="AJ506">
        <f t="shared" si="22"/>
        <v>0.13381567493487417</v>
      </c>
      <c r="AK506">
        <f t="shared" si="23"/>
        <v>0.1471972424283616</v>
      </c>
      <c r="AL506" t="str">
        <f>IF(MAX(X506, Y506, Z506, AA506)&gt;0.9,
 "Critical",
 IF(AK506&lt;=0.2,"Very Low",
 IF(AK506&lt;=0.4,"Low",
 IF(AK506&lt;=0.6,"Medium",
 IF(AK506&lt;=0.8,"High","Critical")))))</f>
        <v>Very Low</v>
      </c>
      <c r="AM506" t="str">
        <f>IF(MAX(X506:AA506)&gt;0.9,"CRITICAL ALERT",
 IF(AK506&gt;0.8,"CRITICAL ALERT",
 IF(AK506&gt;0.6,"ALERT",
 IF(AK506&gt;=0.4,"REVIEW","NO ACTION"))))</f>
        <v>NO ACTION</v>
      </c>
      <c r="AN506" t="str">
        <f>IF(AM506="NO ACTION","",
 IF(_xlfn.TEXTJOIN(", ", TRUE,
  IF(X506&gt;0.7,"Login anomaly",""),
  IF(Y506&gt;0.7,"File anomaly",""),
  IF(Z506&gt;0.7,"Network anomaly",""),
  IF(AA506&gt;0.7,"USB anomaly","")
 )="",
 "General anomaly detected",
 _xlfn.TEXTJOIN(", ", TRUE,
  IF(X506&gt;0.7,"Login anomaly",""),
  IF(Y506&gt;0.7,"File anomaly",""),
  IF(Z506&gt;0.7,"Network anomaly",""),
  IF(AA506&gt;0.7,"USB anomaly","")
 )))</f>
        <v/>
      </c>
    </row>
    <row r="507" spans="1:40" x14ac:dyDescent="0.3">
      <c r="A507" t="s">
        <v>530</v>
      </c>
      <c r="B507">
        <v>0.12892249527410199</v>
      </c>
      <c r="C507">
        <v>0.36953165208440503</v>
      </c>
      <c r="D507">
        <v>0</v>
      </c>
      <c r="E507">
        <v>0</v>
      </c>
      <c r="F507">
        <v>0</v>
      </c>
      <c r="G507">
        <v>0.993675784241009</v>
      </c>
      <c r="H507">
        <v>8</v>
      </c>
      <c r="I507">
        <v>8</v>
      </c>
      <c r="J507">
        <v>7.4376222508468107E-2</v>
      </c>
      <c r="K507">
        <v>1.4681892332789499E-2</v>
      </c>
      <c r="L507">
        <v>5.02615545232084E-2</v>
      </c>
      <c r="M507">
        <v>2.3088023088023001E-3</v>
      </c>
      <c r="N507">
        <v>1.86992319984647E-2</v>
      </c>
      <c r="O507">
        <v>844</v>
      </c>
      <c r="P507">
        <v>6.2114197530864203E-2</v>
      </c>
      <c r="Q507">
        <v>6.2274273291489803E-2</v>
      </c>
      <c r="R507">
        <v>0</v>
      </c>
      <c r="S507">
        <v>0</v>
      </c>
      <c r="T507" t="s">
        <v>49</v>
      </c>
      <c r="U507">
        <v>3.3962264150943298E-2</v>
      </c>
      <c r="V507">
        <v>0</v>
      </c>
      <c r="W507">
        <v>0</v>
      </c>
      <c r="X507">
        <v>0</v>
      </c>
      <c r="Y507">
        <v>4.5615791362837201E-2</v>
      </c>
      <c r="Z507">
        <v>4.47482113179044E-2</v>
      </c>
      <c r="AA507">
        <v>0</v>
      </c>
      <c r="AB507">
        <v>2.4659000337123871E-2</v>
      </c>
      <c r="AC507">
        <v>1.8999999156221751E-5</v>
      </c>
      <c r="AD507">
        <v>5.5459998548030853E-3</v>
      </c>
      <c r="AE507">
        <v>1.786999986506999E-3</v>
      </c>
      <c r="AF507">
        <f>0.16*X507 + 0.28*Y507 + 0.28*Z507 + 0.28*AA507</f>
        <v>2.5301920750607651E-2</v>
      </c>
      <c r="AG507">
        <f t="shared" si="21"/>
        <v>6.0040000092703855E-3</v>
      </c>
      <c r="AH507">
        <f>IF(T507="IT_Admin", 0.25, IF(AND(T507="HR", AA507&gt;0.6), 0.25, IF(AND(T507="General", Z507&gt;0.7), 0.2, 0.1)))</f>
        <v>0.1</v>
      </c>
      <c r="AI507">
        <f>IF(V507&gt;0.7, 0.1,
 IF(F507&gt;0.5, 0.08,
 IF(E507&gt;0.5, 0.05,
 0)))</f>
        <v>0</v>
      </c>
      <c r="AJ507">
        <f t="shared" si="22"/>
        <v>1.1793376231671565E-2</v>
      </c>
      <c r="AK507">
        <f t="shared" si="23"/>
        <v>1.2972713854838723E-2</v>
      </c>
      <c r="AL507" t="str">
        <f>IF(MAX(X507, Y507, Z507, AA507)&gt;0.9,
 "Critical",
 IF(AK507&lt;=0.2,"Very Low",
 IF(AK507&lt;=0.4,"Low",
 IF(AK507&lt;=0.6,"Medium",
 IF(AK507&lt;=0.8,"High","Critical")))))</f>
        <v>Very Low</v>
      </c>
      <c r="AM507" t="str">
        <f>IF(MAX(X507:AA507)&gt;0.9,"CRITICAL ALERT",
 IF(AK507&gt;0.8,"CRITICAL ALERT",
 IF(AK507&gt;0.6,"ALERT",
 IF(AK507&gt;=0.4,"REVIEW","NO ACTION"))))</f>
        <v>NO ACTION</v>
      </c>
      <c r="AN507" t="str">
        <f>IF(AM507="NO ACTION","",
 IF(_xlfn.TEXTJOIN(", ", TRUE,
  IF(X507&gt;0.7,"Login anomaly",""),
  IF(Y507&gt;0.7,"File anomaly",""),
  IF(Z507&gt;0.7,"Network anomaly",""),
  IF(AA507&gt;0.7,"USB anomaly","")
 )="",
 "General anomaly detected",
 _xlfn.TEXTJOIN(", ", TRUE,
  IF(X507&gt;0.7,"Login anomaly",""),
  IF(Y507&gt;0.7,"File anomaly",""),
  IF(Z507&gt;0.7,"Network anomaly",""),
  IF(AA507&gt;0.7,"USB anomaly","")
 )))</f>
        <v/>
      </c>
    </row>
    <row r="508" spans="1:40" x14ac:dyDescent="0.3">
      <c r="A508" t="s">
        <v>531</v>
      </c>
      <c r="B508">
        <v>0.261625708884688</v>
      </c>
      <c r="C508">
        <v>0.77145041735436903</v>
      </c>
      <c r="D508">
        <v>0.35180621324381101</v>
      </c>
      <c r="E508">
        <v>0</v>
      </c>
      <c r="F508">
        <v>0</v>
      </c>
      <c r="G508">
        <v>0.41706957391855898</v>
      </c>
      <c r="H508">
        <v>8</v>
      </c>
      <c r="I508">
        <v>16</v>
      </c>
      <c r="J508">
        <v>9.6178617432374394E-2</v>
      </c>
      <c r="K508">
        <v>1.6313213703099499E-2</v>
      </c>
      <c r="L508">
        <v>4.3217918123205197E-2</v>
      </c>
      <c r="M508">
        <v>2.8860028860028799E-3</v>
      </c>
      <c r="N508">
        <v>1.80885693008404E-2</v>
      </c>
      <c r="O508">
        <v>1105</v>
      </c>
      <c r="P508">
        <v>7.9124579124579097E-2</v>
      </c>
      <c r="Q508">
        <v>7.9280479680213095E-2</v>
      </c>
      <c r="R508">
        <v>0</v>
      </c>
      <c r="S508">
        <v>0</v>
      </c>
      <c r="T508" t="s">
        <v>24</v>
      </c>
      <c r="U508">
        <v>3.08747855917667E-2</v>
      </c>
      <c r="V508">
        <v>0</v>
      </c>
      <c r="W508">
        <v>0</v>
      </c>
      <c r="X508">
        <v>0.105541863973143</v>
      </c>
      <c r="Y508">
        <v>4.6271253338329599E-2</v>
      </c>
      <c r="Z508">
        <v>5.4710175195083602E-2</v>
      </c>
      <c r="AA508">
        <v>0</v>
      </c>
      <c r="AB508">
        <v>5.0376001745462418E-2</v>
      </c>
      <c r="AC508">
        <v>2.3000000510364771E-5</v>
      </c>
      <c r="AD508">
        <v>3.2269998919218779E-3</v>
      </c>
      <c r="AE508">
        <v>7.9399999231100082E-3</v>
      </c>
      <c r="AF508">
        <f>0.16*X508 + 0.28*Y508 + 0.28*Z508 + 0.28*AA508</f>
        <v>4.5161498225058577E-2</v>
      </c>
      <c r="AG508">
        <f t="shared" si="21"/>
        <v>1.1193360227625819E-2</v>
      </c>
      <c r="AH508">
        <f>IF(T508="IT_Admin", 0.25, IF(AND(T508="HR", AA508&gt;0.6), 0.25, IF(AND(T508="General", Z508&gt;0.7), 0.2, 0.1)))</f>
        <v>0.25</v>
      </c>
      <c r="AI508">
        <f>IF(V508&gt;0.7, 0.1,
 IF(F508&gt;0.5, 0.08,
 IF(E508&gt;0.5, 0.05,
 0)))</f>
        <v>0</v>
      </c>
      <c r="AJ508">
        <f t="shared" si="22"/>
        <v>2.1383801626855645E-2</v>
      </c>
      <c r="AK508">
        <f t="shared" si="23"/>
        <v>2.6729752033569556E-2</v>
      </c>
      <c r="AL508" t="str">
        <f>IF(MAX(X508, Y508, Z508, AA508)&gt;0.9,
 "Critical",
 IF(AK508&lt;=0.2,"Very Low",
 IF(AK508&lt;=0.4,"Low",
 IF(AK508&lt;=0.6,"Medium",
 IF(AK508&lt;=0.8,"High","Critical")))))</f>
        <v>Very Low</v>
      </c>
      <c r="AM508" t="str">
        <f>IF(MAX(X508:AA508)&gt;0.9,"CRITICAL ALERT",
 IF(AK508&gt;0.8,"CRITICAL ALERT",
 IF(AK508&gt;0.6,"ALERT",
 IF(AK508&gt;=0.4,"REVIEW","NO ACTION"))))</f>
        <v>NO ACTION</v>
      </c>
      <c r="AN508" t="str">
        <f>IF(AM508="NO ACTION","",
 IF(_xlfn.TEXTJOIN(", ", TRUE,
  IF(X508&gt;0.7,"Login anomaly",""),
  IF(Y508&gt;0.7,"File anomaly",""),
  IF(Z508&gt;0.7,"Network anomaly",""),
  IF(AA508&gt;0.7,"USB anomaly","")
 )="",
 "General anomaly detected",
 _xlfn.TEXTJOIN(", ", TRUE,
  IF(X508&gt;0.7,"Login anomaly",""),
  IF(Y508&gt;0.7,"File anomaly",""),
  IF(Z508&gt;0.7,"Network anomaly",""),
  IF(AA508&gt;0.7,"USB anomaly","")
 )))</f>
        <v/>
      </c>
    </row>
    <row r="509" spans="1:40" x14ac:dyDescent="0.3">
      <c r="A509" t="s">
        <v>532</v>
      </c>
      <c r="B509">
        <v>0.12892249527410199</v>
      </c>
      <c r="C509">
        <v>0.18476582604220201</v>
      </c>
      <c r="D509">
        <v>0</v>
      </c>
      <c r="E509">
        <v>0</v>
      </c>
      <c r="F509">
        <v>0</v>
      </c>
      <c r="G509">
        <v>0.99367152897189504</v>
      </c>
      <c r="H509">
        <v>7</v>
      </c>
      <c r="I509">
        <v>7</v>
      </c>
      <c r="J509">
        <v>0.10586326988216201</v>
      </c>
      <c r="K509">
        <v>1.7944535073409401E-2</v>
      </c>
      <c r="L509">
        <v>4.3200428857777702E-2</v>
      </c>
      <c r="M509">
        <v>4.0404040404040404E-3</v>
      </c>
      <c r="N509">
        <v>2.3012499091635701E-2</v>
      </c>
      <c r="O509">
        <v>1177</v>
      </c>
      <c r="P509">
        <v>8.7507014590347904E-2</v>
      </c>
      <c r="Q509">
        <v>8.7660857673831402E-2</v>
      </c>
      <c r="R509">
        <v>0</v>
      </c>
      <c r="S509">
        <v>0</v>
      </c>
      <c r="T509" t="s">
        <v>24</v>
      </c>
      <c r="U509">
        <v>2.4905660377358401E-2</v>
      </c>
      <c r="V509">
        <v>0</v>
      </c>
      <c r="W509">
        <v>0</v>
      </c>
      <c r="X509">
        <v>0</v>
      </c>
      <c r="Y509">
        <v>4.9676618132812003E-2</v>
      </c>
      <c r="Z509">
        <v>6.1709208390863003E-2</v>
      </c>
      <c r="AA509">
        <v>0</v>
      </c>
      <c r="AB509">
        <v>3.6706998944282532E-2</v>
      </c>
      <c r="AC509">
        <v>3.7999998312443488E-5</v>
      </c>
      <c r="AD509">
        <v>2.554999897256494E-3</v>
      </c>
      <c r="AE509">
        <v>1.2219999916851521E-3</v>
      </c>
      <c r="AF509">
        <f>0.16*X509 + 0.28*Y509 + 0.28*Z509 + 0.28*AA509</f>
        <v>3.1188031426629004E-2</v>
      </c>
      <c r="AG509">
        <f t="shared" si="21"/>
        <v>6.9413197995163503E-3</v>
      </c>
      <c r="AH509">
        <f>IF(T509="IT_Admin", 0.25, IF(AND(T509="HR", AA509&gt;0.6), 0.25, IF(AND(T509="General", Z509&gt;0.7), 0.2, 0.1)))</f>
        <v>0.25</v>
      </c>
      <c r="AI509">
        <f>IF(V509&gt;0.7, 0.1,
 IF(F509&gt;0.5, 0.08,
 IF(E509&gt;0.5, 0.05,
 0)))</f>
        <v>0</v>
      </c>
      <c r="AJ509">
        <f t="shared" si="22"/>
        <v>1.4215333287650147E-2</v>
      </c>
      <c r="AK509">
        <f t="shared" si="23"/>
        <v>1.7769166609562684E-2</v>
      </c>
      <c r="AL509" t="str">
        <f>IF(MAX(X509, Y509, Z509, AA509)&gt;0.9,
 "Critical",
 IF(AK509&lt;=0.2,"Very Low",
 IF(AK509&lt;=0.4,"Low",
 IF(AK509&lt;=0.6,"Medium",
 IF(AK509&lt;=0.8,"High","Critical")))))</f>
        <v>Very Low</v>
      </c>
      <c r="AM509" t="str">
        <f>IF(MAX(X509:AA509)&gt;0.9,"CRITICAL ALERT",
 IF(AK509&gt;0.8,"CRITICAL ALERT",
 IF(AK509&gt;0.6,"ALERT",
 IF(AK509&gt;=0.4,"REVIEW","NO ACTION"))))</f>
        <v>NO ACTION</v>
      </c>
      <c r="AN509" t="str">
        <f>IF(AM509="NO ACTION","",
 IF(_xlfn.TEXTJOIN(", ", TRUE,
  IF(X509&gt;0.7,"Login anomaly",""),
  IF(Y509&gt;0.7,"File anomaly",""),
  IF(Z509&gt;0.7,"Network anomaly",""),
  IF(AA509&gt;0.7,"USB anomaly","")
 )="",
 "General anomaly detected",
 _xlfn.TEXTJOIN(", ", TRUE,
  IF(X509&gt;0.7,"Login anomaly",""),
  IF(Y509&gt;0.7,"File anomaly",""),
  IF(Z509&gt;0.7,"Network anomaly",""),
  IF(AA509&gt;0.7,"USB anomaly","")
 )))</f>
        <v/>
      </c>
    </row>
    <row r="510" spans="1:40" x14ac:dyDescent="0.3">
      <c r="A510" t="s">
        <v>533</v>
      </c>
      <c r="B510">
        <v>0.247258979206049</v>
      </c>
      <c r="C510">
        <v>0.67841069258048803</v>
      </c>
      <c r="D510">
        <v>0.36091165373860501</v>
      </c>
      <c r="E510">
        <v>0</v>
      </c>
      <c r="F510">
        <v>0</v>
      </c>
      <c r="G510">
        <v>0.44970392982644197</v>
      </c>
      <c r="H510">
        <v>7</v>
      </c>
      <c r="I510">
        <v>14</v>
      </c>
      <c r="J510">
        <v>7.3517484852821904E-2</v>
      </c>
      <c r="K510">
        <v>1.0603588907014599E-2</v>
      </c>
      <c r="L510">
        <v>3.6722650803718303E-2</v>
      </c>
      <c r="M510">
        <v>2.3088023088023001E-3</v>
      </c>
      <c r="N510">
        <v>1.8916946213194501E-2</v>
      </c>
      <c r="O510">
        <v>901</v>
      </c>
      <c r="P510">
        <v>5.97292368125701E-2</v>
      </c>
      <c r="Q510">
        <v>5.9889897962761597E-2</v>
      </c>
      <c r="R510">
        <v>0.69321533923303802</v>
      </c>
      <c r="S510">
        <v>1</v>
      </c>
      <c r="T510" t="s">
        <v>49</v>
      </c>
      <c r="U510">
        <v>2.4528301886792399E-2</v>
      </c>
      <c r="V510">
        <v>0</v>
      </c>
      <c r="W510">
        <v>0</v>
      </c>
      <c r="X510">
        <v>0.10827349612158101</v>
      </c>
      <c r="Y510">
        <v>3.8739906236381898E-2</v>
      </c>
      <c r="Z510">
        <v>4.3404320572819899E-2</v>
      </c>
      <c r="AA510">
        <v>0.69321533923303802</v>
      </c>
      <c r="AB510">
        <v>2.8157999739050869E-2</v>
      </c>
      <c r="AC510">
        <v>1.100000008591451E-4</v>
      </c>
      <c r="AD510">
        <v>5.0510000437498093E-3</v>
      </c>
      <c r="AE510">
        <v>0.47418698668479919</v>
      </c>
      <c r="AF510">
        <f>0.16*X510 + 0.28*Y510 + 0.28*Z510 + 0.28*AA510</f>
        <v>0.23442443787128014</v>
      </c>
      <c r="AG510">
        <f t="shared" si="21"/>
        <v>0.13872271624248242</v>
      </c>
      <c r="AH510">
        <f>IF(T510="IT_Admin", 0.25, IF(AND(T510="HR", AA510&gt;0.6), 0.25, IF(AND(T510="General", Z510&gt;0.7), 0.2, 0.1)))</f>
        <v>0.1</v>
      </c>
      <c r="AI510">
        <f>IF(V510&gt;0.7, 0.1,
 IF(F510&gt;0.5, 0.08,
 IF(E510&gt;0.5, 0.05,
 0)))</f>
        <v>0</v>
      </c>
      <c r="AJ510">
        <f t="shared" si="22"/>
        <v>0.16743323273112173</v>
      </c>
      <c r="AK510">
        <f t="shared" si="23"/>
        <v>0.18417655600423391</v>
      </c>
      <c r="AL510" t="str">
        <f>IF(MAX(X510, Y510, Z510, AA510)&gt;0.9,
 "Critical",
 IF(AK510&lt;=0.2,"Very Low",
 IF(AK510&lt;=0.4,"Low",
 IF(AK510&lt;=0.6,"Medium",
 IF(AK510&lt;=0.8,"High","Critical")))))</f>
        <v>Very Low</v>
      </c>
      <c r="AM510" t="str">
        <f>IF(MAX(X510:AA510)&gt;0.9,"CRITICAL ALERT",
 IF(AK510&gt;0.8,"CRITICAL ALERT",
 IF(AK510&gt;0.6,"ALERT",
 IF(AK510&gt;=0.4,"REVIEW","NO ACTION"))))</f>
        <v>NO ACTION</v>
      </c>
      <c r="AN510" t="str">
        <f>IF(AM510="NO ACTION","",
 IF(_xlfn.TEXTJOIN(", ", TRUE,
  IF(X510&gt;0.7,"Login anomaly",""),
  IF(Y510&gt;0.7,"File anomaly",""),
  IF(Z510&gt;0.7,"Network anomaly",""),
  IF(AA510&gt;0.7,"USB anomaly","")
 )="",
 "General anomaly detected",
 _xlfn.TEXTJOIN(", ", TRUE,
  IF(X510&gt;0.7,"Login anomaly",""),
  IF(Y510&gt;0.7,"File anomaly",""),
  IF(Z510&gt;0.7,"Network anomaly",""),
  IF(AA510&gt;0.7,"USB anomaly","")
 )))</f>
        <v/>
      </c>
    </row>
    <row r="511" spans="1:40" x14ac:dyDescent="0.3">
      <c r="A511" t="s">
        <v>534</v>
      </c>
      <c r="B511">
        <v>0.12892249527410199</v>
      </c>
      <c r="C511">
        <v>0.18476582604220201</v>
      </c>
      <c r="D511">
        <v>0</v>
      </c>
      <c r="E511">
        <v>0</v>
      </c>
      <c r="F511">
        <v>0</v>
      </c>
      <c r="G511">
        <v>0.99366320577255896</v>
      </c>
      <c r="H511">
        <v>7</v>
      </c>
      <c r="I511">
        <v>7</v>
      </c>
      <c r="J511">
        <v>0.106626592242736</v>
      </c>
      <c r="K511">
        <v>4.0783034257748704E-3</v>
      </c>
      <c r="L511">
        <v>9.7481487195310006E-3</v>
      </c>
      <c r="M511">
        <v>1.1544011544011501E-3</v>
      </c>
      <c r="N511">
        <v>6.5280354566068797E-3</v>
      </c>
      <c r="O511">
        <v>400</v>
      </c>
      <c r="P511">
        <v>8.0702861952861901E-2</v>
      </c>
      <c r="Q511">
        <v>8.0858375118342096E-2</v>
      </c>
      <c r="R511">
        <v>0</v>
      </c>
      <c r="S511">
        <v>0</v>
      </c>
      <c r="T511" t="s">
        <v>24</v>
      </c>
      <c r="U511">
        <v>1.6981132075471601E-2</v>
      </c>
      <c r="V511">
        <v>0</v>
      </c>
      <c r="W511">
        <v>0</v>
      </c>
      <c r="X511">
        <v>0</v>
      </c>
      <c r="Y511">
        <v>2.81578034452948E-2</v>
      </c>
      <c r="Z511">
        <v>5.1032931354359899E-2</v>
      </c>
      <c r="AA511">
        <v>0</v>
      </c>
      <c r="AB511">
        <v>3.6887001246213913E-2</v>
      </c>
      <c r="AC511">
        <v>6.3299998873844743E-4</v>
      </c>
      <c r="AD511">
        <v>3.5560000687837601E-3</v>
      </c>
      <c r="AE511">
        <v>2.216000109910965E-3</v>
      </c>
      <c r="AF511">
        <f>0.16*X511 + 0.28*Y511 + 0.28*Z511 + 0.28*AA511</f>
        <v>2.2173405743903318E-2</v>
      </c>
      <c r="AG511">
        <f t="shared" si="21"/>
        <v>7.695320246275515E-3</v>
      </c>
      <c r="AH511">
        <f>IF(T511="IT_Admin", 0.25, IF(AND(T511="HR", AA511&gt;0.6), 0.25, IF(AND(T511="General", Z511&gt;0.7), 0.2, 0.1)))</f>
        <v>0.25</v>
      </c>
      <c r="AI511">
        <f>IF(V511&gt;0.7, 0.1,
 IF(F511&gt;0.5, 0.08,
 IF(E511&gt;0.5, 0.05,
 0)))</f>
        <v>0</v>
      </c>
      <c r="AJ511">
        <f t="shared" si="22"/>
        <v>1.2038745895563856E-2</v>
      </c>
      <c r="AK511">
        <f t="shared" si="23"/>
        <v>1.504843236945482E-2</v>
      </c>
      <c r="AL511" t="str">
        <f>IF(MAX(X511, Y511, Z511, AA511)&gt;0.9,
 "Critical",
 IF(AK511&lt;=0.2,"Very Low",
 IF(AK511&lt;=0.4,"Low",
 IF(AK511&lt;=0.6,"Medium",
 IF(AK511&lt;=0.8,"High","Critical")))))</f>
        <v>Very Low</v>
      </c>
      <c r="AM511" t="str">
        <f>IF(MAX(X511:AA511)&gt;0.9,"CRITICAL ALERT",
 IF(AK511&gt;0.8,"CRITICAL ALERT",
 IF(AK511&gt;0.6,"ALERT",
 IF(AK511&gt;=0.4,"REVIEW","NO ACTION"))))</f>
        <v>NO ACTION</v>
      </c>
      <c r="AN511" t="str">
        <f>IF(AM511="NO ACTION","",
 IF(_xlfn.TEXTJOIN(", ", TRUE,
  IF(X511&gt;0.7,"Login anomaly",""),
  IF(Y511&gt;0.7,"File anomaly",""),
  IF(Z511&gt;0.7,"Network anomaly",""),
  IF(AA511&gt;0.7,"USB anomaly","")
 )="",
 "General anomaly detected",
 _xlfn.TEXTJOIN(", ", TRUE,
  IF(X511&gt;0.7,"Login anomaly",""),
  IF(Y511&gt;0.7,"File anomaly",""),
  IF(Z511&gt;0.7,"Network anomaly",""),
  IF(AA511&gt;0.7,"USB anomaly","")
 )))</f>
        <v/>
      </c>
    </row>
    <row r="512" spans="1:40" x14ac:dyDescent="0.3">
      <c r="A512" t="s">
        <v>535</v>
      </c>
      <c r="B512">
        <v>0.26086956521739102</v>
      </c>
      <c r="C512">
        <v>0.61712850830810595</v>
      </c>
      <c r="D512">
        <v>0.54042617501998202</v>
      </c>
      <c r="E512">
        <v>0.525136087095741</v>
      </c>
      <c r="F512">
        <v>7.34870317002881E-2</v>
      </c>
      <c r="G512">
        <v>0.41863568616614</v>
      </c>
      <c r="H512">
        <v>0</v>
      </c>
      <c r="I512">
        <v>23</v>
      </c>
      <c r="J512">
        <v>8.9833500310099706E-2</v>
      </c>
      <c r="K512">
        <v>1.1419249592169599E-2</v>
      </c>
      <c r="L512">
        <v>3.2383680492001299E-2</v>
      </c>
      <c r="M512">
        <v>1.7316017316017301E-3</v>
      </c>
      <c r="N512">
        <v>1.16176902193851E-2</v>
      </c>
      <c r="O512">
        <v>1043</v>
      </c>
      <c r="P512">
        <v>7.1794332210998804E-2</v>
      </c>
      <c r="Q512">
        <v>7.1952031978680803E-2</v>
      </c>
      <c r="R512">
        <v>8.9970501474926204E-2</v>
      </c>
      <c r="S512">
        <v>1</v>
      </c>
      <c r="T512" t="s">
        <v>49</v>
      </c>
      <c r="U512">
        <v>3.3962264150943298E-2</v>
      </c>
      <c r="V512">
        <v>0</v>
      </c>
      <c r="W512">
        <v>7.7660688839383304E-2</v>
      </c>
      <c r="X512">
        <v>0.349063491314832</v>
      </c>
      <c r="Y512">
        <v>3.7643847373836102E-2</v>
      </c>
      <c r="Z512">
        <v>4.7723675414353302E-2</v>
      </c>
      <c r="AA512">
        <v>8.9970501474926204E-2</v>
      </c>
      <c r="AB512">
        <v>0.33622699975967407</v>
      </c>
      <c r="AC512">
        <v>8.800000068731606E-5</v>
      </c>
      <c r="AD512">
        <v>3.451999975368381E-3</v>
      </c>
      <c r="AE512">
        <v>5.4505001753568649E-2</v>
      </c>
      <c r="AF512">
        <f>0.16*X512 + 0.28*Y512 + 0.28*Z512 + 0.28*AA512</f>
        <v>0.10494480540404549</v>
      </c>
      <c r="AG512">
        <f t="shared" si="21"/>
        <v>7.0048920445842669E-2</v>
      </c>
      <c r="AH512">
        <f>IF(T512="IT_Admin", 0.25, IF(AND(T512="HR", AA512&gt;0.6), 0.25, IF(AND(T512="General", Z512&gt;0.7), 0.2, 0.1)))</f>
        <v>0.1</v>
      </c>
      <c r="AI512">
        <f>IF(V512&gt;0.7, 0.1,
 IF(F512&gt;0.5, 0.08,
 IF(E512&gt;0.5, 0.05,
 0)))</f>
        <v>0.05</v>
      </c>
      <c r="AJ512">
        <f t="shared" si="22"/>
        <v>8.0517685933303509E-2</v>
      </c>
      <c r="AK512">
        <f t="shared" si="23"/>
        <v>9.2595338823299053E-2</v>
      </c>
      <c r="AL512" t="str">
        <f>IF(MAX(X512, Y512, Z512, AA512)&gt;0.9,
 "Critical",
 IF(AK512&lt;=0.2,"Very Low",
 IF(AK512&lt;=0.4,"Low",
 IF(AK512&lt;=0.6,"Medium",
 IF(AK512&lt;=0.8,"High","Critical")))))</f>
        <v>Very Low</v>
      </c>
      <c r="AM512" t="str">
        <f>IF(MAX(X512:AA512)&gt;0.9,"CRITICAL ALERT",
 IF(AK512&gt;0.8,"CRITICAL ALERT",
 IF(AK512&gt;0.6,"ALERT",
 IF(AK512&gt;=0.4,"REVIEW","NO ACTION"))))</f>
        <v>NO ACTION</v>
      </c>
      <c r="AN512" t="str">
        <f>IF(AM512="NO ACTION","",
 IF(_xlfn.TEXTJOIN(", ", TRUE,
  IF(X512&gt;0.7,"Login anomaly",""),
  IF(Y512&gt;0.7,"File anomaly",""),
  IF(Z512&gt;0.7,"Network anomaly",""),
  IF(AA512&gt;0.7,"USB anomaly","")
 )="",
 "General anomaly detected",
 _xlfn.TEXTJOIN(", ", TRUE,
  IF(X512&gt;0.7,"Login anomaly",""),
  IF(Y512&gt;0.7,"File anomaly",""),
  IF(Z512&gt;0.7,"Network anomaly",""),
  IF(AA512&gt;0.7,"USB anomaly","")
 )))</f>
        <v/>
      </c>
    </row>
    <row r="513" spans="1:40" x14ac:dyDescent="0.3">
      <c r="A513" t="s">
        <v>536</v>
      </c>
      <c r="B513">
        <v>0.27183364839319402</v>
      </c>
      <c r="C513">
        <v>0.63045268720071101</v>
      </c>
      <c r="D513">
        <v>0.38361326653390798</v>
      </c>
      <c r="E513">
        <v>0</v>
      </c>
      <c r="F513">
        <v>0</v>
      </c>
      <c r="G513">
        <v>0.396002715089948</v>
      </c>
      <c r="H513">
        <v>7</v>
      </c>
      <c r="I513">
        <v>15</v>
      </c>
      <c r="J513">
        <v>8.2486522589571107E-2</v>
      </c>
      <c r="K513">
        <v>8.9722675367047301E-3</v>
      </c>
      <c r="L513">
        <v>2.7704081251354502E-2</v>
      </c>
      <c r="M513">
        <v>5.7720057720057698E-4</v>
      </c>
      <c r="N513">
        <v>4.2164934898498898E-3</v>
      </c>
      <c r="O513">
        <v>867</v>
      </c>
      <c r="P513">
        <v>6.4779741863075196E-2</v>
      </c>
      <c r="Q513">
        <v>6.4939163364774302E-2</v>
      </c>
      <c r="R513">
        <v>0</v>
      </c>
      <c r="S513">
        <v>0</v>
      </c>
      <c r="T513" t="s">
        <v>49</v>
      </c>
      <c r="U513">
        <v>6.2264150943396199E-2</v>
      </c>
      <c r="V513">
        <v>0</v>
      </c>
      <c r="W513">
        <v>0</v>
      </c>
      <c r="X513">
        <v>0.115083979960172</v>
      </c>
      <c r="Y513">
        <v>3.16142931905464E-2</v>
      </c>
      <c r="Z513">
        <v>4.0554442513784997E-2</v>
      </c>
      <c r="AA513">
        <v>0</v>
      </c>
      <c r="AB513">
        <v>3.8304999470710747E-2</v>
      </c>
      <c r="AC513">
        <v>4.0399999124929309E-4</v>
      </c>
      <c r="AD513">
        <v>5.2749998867511749E-3</v>
      </c>
      <c r="AE513">
        <v>7.9399999231100082E-3</v>
      </c>
      <c r="AF513">
        <f>0.16*X513 + 0.28*Y513 + 0.28*Z513 + 0.28*AA513</f>
        <v>3.8620682790840313E-2</v>
      </c>
      <c r="AG513">
        <f t="shared" si="21"/>
        <v>9.9421198596246537E-3</v>
      </c>
      <c r="AH513">
        <f>IF(T513="IT_Admin", 0.25, IF(AND(T513="HR", AA513&gt;0.6), 0.25, IF(AND(T513="General", Z513&gt;0.7), 0.2, 0.1)))</f>
        <v>0.1</v>
      </c>
      <c r="AI513">
        <f>IF(V513&gt;0.7, 0.1,
 IF(F513&gt;0.5, 0.08,
 IF(E513&gt;0.5, 0.05,
 0)))</f>
        <v>0</v>
      </c>
      <c r="AJ513">
        <f t="shared" si="22"/>
        <v>1.854568873898935E-2</v>
      </c>
      <c r="AK513">
        <f t="shared" si="23"/>
        <v>2.0400257612888287E-2</v>
      </c>
      <c r="AL513" t="str">
        <f>IF(MAX(X513, Y513, Z513, AA513)&gt;0.9,
 "Critical",
 IF(AK513&lt;=0.2,"Very Low",
 IF(AK513&lt;=0.4,"Low",
 IF(AK513&lt;=0.6,"Medium",
 IF(AK513&lt;=0.8,"High","Critical")))))</f>
        <v>Very Low</v>
      </c>
      <c r="AM513" t="str">
        <f>IF(MAX(X513:AA513)&gt;0.9,"CRITICAL ALERT",
 IF(AK513&gt;0.8,"CRITICAL ALERT",
 IF(AK513&gt;0.6,"ALERT",
 IF(AK513&gt;=0.4,"REVIEW","NO ACTION"))))</f>
        <v>NO ACTION</v>
      </c>
      <c r="AN513" t="str">
        <f>IF(AM513="NO ACTION","",
 IF(_xlfn.TEXTJOIN(", ", TRUE,
  IF(X513&gt;0.7,"Login anomaly",""),
  IF(Y513&gt;0.7,"File anomaly",""),
  IF(Z513&gt;0.7,"Network anomaly",""),
  IF(AA513&gt;0.7,"USB anomaly","")
 )="",
 "General anomaly detected",
 _xlfn.TEXTJOIN(", ", TRUE,
  IF(X513&gt;0.7,"Login anomaly",""),
  IF(Y513&gt;0.7,"File anomaly",""),
  IF(Z513&gt;0.7,"Network anomaly",""),
  IF(AA513&gt;0.7,"USB anomaly","")
 )))</f>
        <v/>
      </c>
    </row>
    <row r="514" spans="1:40" x14ac:dyDescent="0.3">
      <c r="A514" t="s">
        <v>537</v>
      </c>
      <c r="B514">
        <v>0.12892249527410199</v>
      </c>
      <c r="C514">
        <v>0.36953165208440503</v>
      </c>
      <c r="D514">
        <v>0</v>
      </c>
      <c r="E514">
        <v>0</v>
      </c>
      <c r="F514">
        <v>0</v>
      </c>
      <c r="G514">
        <v>0.99369050372536505</v>
      </c>
      <c r="H514">
        <v>8</v>
      </c>
      <c r="I514">
        <v>8</v>
      </c>
      <c r="J514">
        <v>9.6560278612661601E-2</v>
      </c>
      <c r="K514">
        <v>9.7879282218597003E-3</v>
      </c>
      <c r="L514">
        <v>2.58285103579096E-2</v>
      </c>
      <c r="M514">
        <v>2.3088023088023001E-3</v>
      </c>
      <c r="N514">
        <v>1.44137993324784E-2</v>
      </c>
      <c r="O514">
        <v>1115</v>
      </c>
      <c r="P514">
        <v>7.6318742985409596E-2</v>
      </c>
      <c r="Q514">
        <v>7.64753322346505E-2</v>
      </c>
      <c r="R514">
        <v>0.116519174041297</v>
      </c>
      <c r="S514">
        <v>1</v>
      </c>
      <c r="T514" t="s">
        <v>24</v>
      </c>
      <c r="U514">
        <v>2.26415094339622E-2</v>
      </c>
      <c r="V514">
        <v>0</v>
      </c>
      <c r="W514">
        <v>0</v>
      </c>
      <c r="X514">
        <v>0</v>
      </c>
      <c r="Y514">
        <v>3.6550450701230697E-2</v>
      </c>
      <c r="Z514">
        <v>5.1556765524237103E-2</v>
      </c>
      <c r="AA514">
        <v>0.116519174041297</v>
      </c>
      <c r="AB514">
        <v>2.5438999757170681E-2</v>
      </c>
      <c r="AC514">
        <v>1.9200000679120419E-4</v>
      </c>
      <c r="AD514">
        <v>3.789999987930059E-3</v>
      </c>
      <c r="AE514">
        <v>6.9879002869129181E-2</v>
      </c>
      <c r="AF514">
        <f>0.16*X514 + 0.28*Y514 + 0.28*Z514 + 0.28*AA514</f>
        <v>5.7295389274694145E-2</v>
      </c>
      <c r="AG514">
        <f t="shared" si="21"/>
        <v>2.4751320763025435E-2</v>
      </c>
      <c r="AH514">
        <f>IF(T514="IT_Admin", 0.25, IF(AND(T514="HR", AA514&gt;0.6), 0.25, IF(AND(T514="General", Z514&gt;0.7), 0.2, 0.1)))</f>
        <v>0.25</v>
      </c>
      <c r="AI514">
        <f>IF(V514&gt;0.7, 0.1,
 IF(F514&gt;0.5, 0.08,
 IF(E514&gt;0.5, 0.05,
 0)))</f>
        <v>0</v>
      </c>
      <c r="AJ514">
        <f t="shared" si="22"/>
        <v>3.4514541316526044E-2</v>
      </c>
      <c r="AK514">
        <f t="shared" si="23"/>
        <v>4.3143176645657554E-2</v>
      </c>
      <c r="AL514" t="str">
        <f>IF(MAX(X514, Y514, Z514, AA514)&gt;0.9,
 "Critical",
 IF(AK514&lt;=0.2,"Very Low",
 IF(AK514&lt;=0.4,"Low",
 IF(AK514&lt;=0.6,"Medium",
 IF(AK514&lt;=0.8,"High","Critical")))))</f>
        <v>Very Low</v>
      </c>
      <c r="AM514" t="str">
        <f>IF(MAX(X514:AA514)&gt;0.9,"CRITICAL ALERT",
 IF(AK514&gt;0.8,"CRITICAL ALERT",
 IF(AK514&gt;0.6,"ALERT",
 IF(AK514&gt;=0.4,"REVIEW","NO ACTION"))))</f>
        <v>NO ACTION</v>
      </c>
      <c r="AN514" t="str">
        <f>IF(AM514="NO ACTION","",
 IF(_xlfn.TEXTJOIN(", ", TRUE,
  IF(X514&gt;0.7,"Login anomaly",""),
  IF(Y514&gt;0.7,"File anomaly",""),
  IF(Z514&gt;0.7,"Network anomaly",""),
  IF(AA514&gt;0.7,"USB anomaly","")
 )="",
 "General anomaly detected",
 _xlfn.TEXTJOIN(", ", TRUE,
  IF(X514&gt;0.7,"Login anomaly",""),
  IF(Y514&gt;0.7,"File anomaly",""),
  IF(Z514&gt;0.7,"Network anomaly",""),
  IF(AA514&gt;0.7,"USB anomaly","")
 )))</f>
        <v/>
      </c>
    </row>
    <row r="515" spans="1:40" x14ac:dyDescent="0.3">
      <c r="A515" t="s">
        <v>538</v>
      </c>
      <c r="B515">
        <v>0.12892249527410199</v>
      </c>
      <c r="C515">
        <v>0.18476582604220201</v>
      </c>
      <c r="D515">
        <v>0</v>
      </c>
      <c r="E515">
        <v>0</v>
      </c>
      <c r="F515">
        <v>0</v>
      </c>
      <c r="G515">
        <v>0.99367051198933998</v>
      </c>
      <c r="H515">
        <v>7</v>
      </c>
      <c r="I515">
        <v>7</v>
      </c>
      <c r="J515">
        <v>0.105147655169123</v>
      </c>
      <c r="K515">
        <v>8.1566068515497494E-3</v>
      </c>
      <c r="L515">
        <v>1.9769898715934299E-2</v>
      </c>
      <c r="M515">
        <v>3.7518037518037501E-3</v>
      </c>
      <c r="N515">
        <v>2.1513851572701699E-2</v>
      </c>
      <c r="O515">
        <v>1214</v>
      </c>
      <c r="P515">
        <v>8.2631874298540894E-2</v>
      </c>
      <c r="Q515">
        <v>8.2786913987166394E-2</v>
      </c>
      <c r="R515">
        <v>0</v>
      </c>
      <c r="S515">
        <v>0</v>
      </c>
      <c r="T515" t="s">
        <v>24</v>
      </c>
      <c r="U515">
        <v>1.21293800539083E-2</v>
      </c>
      <c r="V515">
        <v>0</v>
      </c>
      <c r="W515">
        <v>0</v>
      </c>
      <c r="X515">
        <v>0</v>
      </c>
      <c r="Y515">
        <v>3.7368635863602402E-2</v>
      </c>
      <c r="Z515">
        <v>5.81846652082052E-2</v>
      </c>
      <c r="AA515">
        <v>0</v>
      </c>
      <c r="AB515">
        <v>3.667299821972847E-2</v>
      </c>
      <c r="AC515">
        <v>3.7100000190548599E-4</v>
      </c>
      <c r="AD515">
        <v>3.0539999715983872E-3</v>
      </c>
      <c r="AE515">
        <v>1.186999958008528E-3</v>
      </c>
      <c r="AF515">
        <f>0.16*X515 + 0.28*Y515 + 0.28*Z515 + 0.28*AA515</f>
        <v>2.675492430010613E-2</v>
      </c>
      <c r="AG515">
        <f t="shared" ref="AG515:AG578" si="24">0.16*AB515 + 0.28*AC515 + 0.28*AD515 + 0.28*AE515</f>
        <v>7.1590396959800278E-3</v>
      </c>
      <c r="AH515">
        <f>IF(T515="IT_Admin", 0.25, IF(AND(T515="HR", AA515&gt;0.6), 0.25, IF(AND(T515="General", Z515&gt;0.7), 0.2, 0.1)))</f>
        <v>0.25</v>
      </c>
      <c r="AI515">
        <f>IF(V515&gt;0.7, 0.1,
 IF(F515&gt;0.5, 0.08,
 IF(E515&gt;0.5, 0.05,
 0)))</f>
        <v>0</v>
      </c>
      <c r="AJ515">
        <f t="shared" ref="AJ515:AJ578" si="25">0.3*AF515+0.7*AG515</f>
        <v>1.3037805077217858E-2</v>
      </c>
      <c r="AK515">
        <f t="shared" ref="AK515:AK578" si="26">MIN(1,AJ515*(1+AH515+AI515))</f>
        <v>1.6297256346522324E-2</v>
      </c>
      <c r="AL515" t="str">
        <f>IF(MAX(X515, Y515, Z515, AA515)&gt;0.9,
 "Critical",
 IF(AK515&lt;=0.2,"Very Low",
 IF(AK515&lt;=0.4,"Low",
 IF(AK515&lt;=0.6,"Medium",
 IF(AK515&lt;=0.8,"High","Critical")))))</f>
        <v>Very Low</v>
      </c>
      <c r="AM515" t="str">
        <f>IF(MAX(X515:AA515)&gt;0.9,"CRITICAL ALERT",
 IF(AK515&gt;0.8,"CRITICAL ALERT",
 IF(AK515&gt;0.6,"ALERT",
 IF(AK515&gt;=0.4,"REVIEW","NO ACTION"))))</f>
        <v>NO ACTION</v>
      </c>
      <c r="AN515" t="str">
        <f>IF(AM515="NO ACTION","",
 IF(_xlfn.TEXTJOIN(", ", TRUE,
  IF(X515&gt;0.7,"Login anomaly",""),
  IF(Y515&gt;0.7,"File anomaly",""),
  IF(Z515&gt;0.7,"Network anomaly",""),
  IF(AA515&gt;0.7,"USB anomaly","")
 )="",
 "General anomaly detected",
 _xlfn.TEXTJOIN(", ", TRUE,
  IF(X515&gt;0.7,"Login anomaly",""),
  IF(Y515&gt;0.7,"File anomaly",""),
  IF(Z515&gt;0.7,"Network anomaly",""),
  IF(AA515&gt;0.7,"USB anomaly","")
 )))</f>
        <v/>
      </c>
    </row>
    <row r="516" spans="1:40" x14ac:dyDescent="0.3">
      <c r="A516" t="s">
        <v>539</v>
      </c>
      <c r="B516">
        <v>0.12892249527410199</v>
      </c>
      <c r="C516">
        <v>0.36953165208440503</v>
      </c>
      <c r="D516">
        <v>0</v>
      </c>
      <c r="E516">
        <v>0</v>
      </c>
      <c r="F516">
        <v>0</v>
      </c>
      <c r="G516">
        <v>0.99366754132976898</v>
      </c>
      <c r="H516">
        <v>8</v>
      </c>
      <c r="I516">
        <v>8</v>
      </c>
      <c r="J516">
        <v>0.115881875864701</v>
      </c>
      <c r="K516">
        <v>1.8760195758564399E-2</v>
      </c>
      <c r="L516">
        <v>4.1267429912098398E-2</v>
      </c>
      <c r="M516">
        <v>4.9062049062049001E-3</v>
      </c>
      <c r="N516">
        <v>2.55328256149948E-2</v>
      </c>
      <c r="O516">
        <v>1175</v>
      </c>
      <c r="P516">
        <v>9.5643939393939406E-2</v>
      </c>
      <c r="Q516">
        <v>9.5795785265962996E-2</v>
      </c>
      <c r="R516">
        <v>0</v>
      </c>
      <c r="S516">
        <v>0</v>
      </c>
      <c r="T516" t="s">
        <v>24</v>
      </c>
      <c r="U516">
        <v>2.1698113207547099E-2</v>
      </c>
      <c r="V516">
        <v>0</v>
      </c>
      <c r="W516">
        <v>0</v>
      </c>
      <c r="X516">
        <v>0</v>
      </c>
      <c r="Y516">
        <v>5.1469937813487798E-2</v>
      </c>
      <c r="Z516">
        <v>6.75994938823615E-2</v>
      </c>
      <c r="AA516">
        <v>0</v>
      </c>
      <c r="AB516">
        <v>2.4740999564528469E-2</v>
      </c>
      <c r="AC516">
        <v>7.4000003223773092E-5</v>
      </c>
      <c r="AD516">
        <v>1.82400003541261E-3</v>
      </c>
      <c r="AE516">
        <v>1.262999954633415E-3</v>
      </c>
      <c r="AF516">
        <f>0.16*X516 + 0.28*Y516 + 0.28*Z516 + 0.28*AA516</f>
        <v>3.3339440874837804E-2</v>
      </c>
      <c r="AG516">
        <f t="shared" si="24"/>
        <v>4.8436399284400985E-3</v>
      </c>
      <c r="AH516">
        <f>IF(T516="IT_Admin", 0.25, IF(AND(T516="HR", AA516&gt;0.6), 0.25, IF(AND(T516="General", Z516&gt;0.7), 0.2, 0.1)))</f>
        <v>0.25</v>
      </c>
      <c r="AI516">
        <f>IF(V516&gt;0.7, 0.1,
 IF(F516&gt;0.5, 0.08,
 IF(E516&gt;0.5, 0.05,
 0)))</f>
        <v>0</v>
      </c>
      <c r="AJ516">
        <f t="shared" si="25"/>
        <v>1.339238021235941E-2</v>
      </c>
      <c r="AK516">
        <f t="shared" si="26"/>
        <v>1.6740475265449264E-2</v>
      </c>
      <c r="AL516" t="str">
        <f>IF(MAX(X516, Y516, Z516, AA516)&gt;0.9,
 "Critical",
 IF(AK516&lt;=0.2,"Very Low",
 IF(AK516&lt;=0.4,"Low",
 IF(AK516&lt;=0.6,"Medium",
 IF(AK516&lt;=0.8,"High","Critical")))))</f>
        <v>Very Low</v>
      </c>
      <c r="AM516" t="str">
        <f>IF(MAX(X516:AA516)&gt;0.9,"CRITICAL ALERT",
 IF(AK516&gt;0.8,"CRITICAL ALERT",
 IF(AK516&gt;0.6,"ALERT",
 IF(AK516&gt;=0.4,"REVIEW","NO ACTION"))))</f>
        <v>NO ACTION</v>
      </c>
      <c r="AN516" t="str">
        <f>IF(AM516="NO ACTION","",
 IF(_xlfn.TEXTJOIN(", ", TRUE,
  IF(X516&gt;0.7,"Login anomaly",""),
  IF(Y516&gt;0.7,"File anomaly",""),
  IF(Z516&gt;0.7,"Network anomaly",""),
  IF(AA516&gt;0.7,"USB anomaly","")
 )="",
 "General anomaly detected",
 _xlfn.TEXTJOIN(", ", TRUE,
  IF(X516&gt;0.7,"Login anomaly",""),
  IF(Y516&gt;0.7,"File anomaly",""),
  IF(Z516&gt;0.7,"Network anomaly",""),
  IF(AA516&gt;0.7,"USB anomaly","")
 )))</f>
        <v/>
      </c>
    </row>
    <row r="517" spans="1:40" x14ac:dyDescent="0.3">
      <c r="A517" t="s">
        <v>540</v>
      </c>
      <c r="B517">
        <v>0.12892249527410199</v>
      </c>
      <c r="C517">
        <v>0.18476582604220201</v>
      </c>
      <c r="D517">
        <v>0</v>
      </c>
      <c r="E517">
        <v>0</v>
      </c>
      <c r="F517">
        <v>0</v>
      </c>
      <c r="G517">
        <v>0.99366762161786604</v>
      </c>
      <c r="H517">
        <v>7</v>
      </c>
      <c r="I517">
        <v>7</v>
      </c>
      <c r="J517">
        <v>7.0511903058060196E-2</v>
      </c>
      <c r="K517">
        <v>1.30505709624796E-2</v>
      </c>
      <c r="L517">
        <v>4.7117147688198399E-2</v>
      </c>
      <c r="M517">
        <v>5.7720057720057698E-4</v>
      </c>
      <c r="N517">
        <v>4.9301414102492901E-3</v>
      </c>
      <c r="O517">
        <v>799</v>
      </c>
      <c r="P517">
        <v>5.7730078563411898E-2</v>
      </c>
      <c r="Q517">
        <v>5.7891230407798297E-2</v>
      </c>
      <c r="R517">
        <v>0</v>
      </c>
      <c r="S517">
        <v>0</v>
      </c>
      <c r="T517" t="s">
        <v>49</v>
      </c>
      <c r="U517">
        <v>9.0566037735848995E-2</v>
      </c>
      <c r="V517">
        <v>0</v>
      </c>
      <c r="W517">
        <v>0</v>
      </c>
      <c r="X517">
        <v>0</v>
      </c>
      <c r="Y517">
        <v>3.9139996878785999E-2</v>
      </c>
      <c r="Z517">
        <v>3.6610103702146797E-2</v>
      </c>
      <c r="AA517">
        <v>0</v>
      </c>
      <c r="AB517">
        <v>3.6628998816013343E-2</v>
      </c>
      <c r="AC517">
        <v>1.066999975591898E-3</v>
      </c>
      <c r="AD517">
        <v>6.5700002014636993E-3</v>
      </c>
      <c r="AE517">
        <v>1.4029999729245899E-3</v>
      </c>
      <c r="AF517">
        <f>0.16*X517 + 0.28*Y517 + 0.28*Z517 + 0.28*AA517</f>
        <v>2.1210028162661182E-2</v>
      </c>
      <c r="AG517">
        <f t="shared" si="24"/>
        <v>8.3918398525565877E-3</v>
      </c>
      <c r="AH517">
        <f>IF(T517="IT_Admin", 0.25, IF(AND(T517="HR", AA517&gt;0.6), 0.25, IF(AND(T517="General", Z517&gt;0.7), 0.2, 0.1)))</f>
        <v>0.1</v>
      </c>
      <c r="AI517">
        <f>IF(V517&gt;0.7, 0.1,
 IF(F517&gt;0.5, 0.08,
 IF(E517&gt;0.5, 0.05,
 0)))</f>
        <v>0</v>
      </c>
      <c r="AJ517">
        <f t="shared" si="25"/>
        <v>1.2237296345587966E-2</v>
      </c>
      <c r="AK517">
        <f t="shared" si="26"/>
        <v>1.3461025980146764E-2</v>
      </c>
      <c r="AL517" t="str">
        <f>IF(MAX(X517, Y517, Z517, AA517)&gt;0.9,
 "Critical",
 IF(AK517&lt;=0.2,"Very Low",
 IF(AK517&lt;=0.4,"Low",
 IF(AK517&lt;=0.6,"Medium",
 IF(AK517&lt;=0.8,"High","Critical")))))</f>
        <v>Very Low</v>
      </c>
      <c r="AM517" t="str">
        <f>IF(MAX(X517:AA517)&gt;0.9,"CRITICAL ALERT",
 IF(AK517&gt;0.8,"CRITICAL ALERT",
 IF(AK517&gt;0.6,"ALERT",
 IF(AK517&gt;=0.4,"REVIEW","NO ACTION"))))</f>
        <v>NO ACTION</v>
      </c>
      <c r="AN517" t="str">
        <f>IF(AM517="NO ACTION","",
 IF(_xlfn.TEXTJOIN(", ", TRUE,
  IF(X517&gt;0.7,"Login anomaly",""),
  IF(Y517&gt;0.7,"File anomaly",""),
  IF(Z517&gt;0.7,"Network anomaly",""),
  IF(AA517&gt;0.7,"USB anomaly","")
 )="",
 "General anomaly detected",
 _xlfn.TEXTJOIN(", ", TRUE,
  IF(X517&gt;0.7,"Login anomaly",""),
  IF(Y517&gt;0.7,"File anomaly",""),
  IF(Z517&gt;0.7,"Network anomaly",""),
  IF(AA517&gt;0.7,"USB anomaly","")
 )))</f>
        <v/>
      </c>
    </row>
    <row r="518" spans="1:40" x14ac:dyDescent="0.3">
      <c r="A518" t="s">
        <v>541</v>
      </c>
      <c r="B518">
        <v>0.12892249527410199</v>
      </c>
      <c r="C518">
        <v>0.18476582604220201</v>
      </c>
      <c r="D518">
        <v>0</v>
      </c>
      <c r="E518">
        <v>0</v>
      </c>
      <c r="F518">
        <v>0</v>
      </c>
      <c r="G518">
        <v>0.99367939720535103</v>
      </c>
      <c r="H518">
        <v>7</v>
      </c>
      <c r="I518">
        <v>7</v>
      </c>
      <c r="J518">
        <v>9.8802538046848895E-2</v>
      </c>
      <c r="K518">
        <v>1.5497553017944501E-2</v>
      </c>
      <c r="L518">
        <v>3.9969288006092403E-2</v>
      </c>
      <c r="M518">
        <v>5.7720057720057698E-4</v>
      </c>
      <c r="N518">
        <v>3.5218688397879098E-3</v>
      </c>
      <c r="O518">
        <v>836</v>
      </c>
      <c r="P518">
        <v>7.9580527497194103E-2</v>
      </c>
      <c r="Q518">
        <v>7.97363161401171E-2</v>
      </c>
      <c r="R518">
        <v>0</v>
      </c>
      <c r="S518">
        <v>0</v>
      </c>
      <c r="T518" t="s">
        <v>24</v>
      </c>
      <c r="U518">
        <v>0.10754716981132</v>
      </c>
      <c r="V518">
        <v>0</v>
      </c>
      <c r="W518">
        <v>0</v>
      </c>
      <c r="X518">
        <v>0</v>
      </c>
      <c r="Y518">
        <v>4.0801712264352301E-2</v>
      </c>
      <c r="Z518">
        <v>4.9157064034231597E-2</v>
      </c>
      <c r="AA518">
        <v>0</v>
      </c>
      <c r="AB518">
        <v>3.6747999489307397E-2</v>
      </c>
      <c r="AC518">
        <v>1.7760000191628931E-3</v>
      </c>
      <c r="AD518">
        <v>3.7839999422430992E-3</v>
      </c>
      <c r="AE518">
        <v>1.32599996868521E-3</v>
      </c>
      <c r="AF518">
        <f>0.16*X518 + 0.28*Y518 + 0.28*Z518 + 0.28*AA518</f>
        <v>2.5188457363603492E-2</v>
      </c>
      <c r="AG518">
        <f t="shared" si="24"/>
        <v>7.8077598987147208E-3</v>
      </c>
      <c r="AH518">
        <f>IF(T518="IT_Admin", 0.25, IF(AND(T518="HR", AA518&gt;0.6), 0.25, IF(AND(T518="General", Z518&gt;0.7), 0.2, 0.1)))</f>
        <v>0.25</v>
      </c>
      <c r="AI518">
        <f>IF(V518&gt;0.7, 0.1,
 IF(F518&gt;0.5, 0.08,
 IF(E518&gt;0.5, 0.05,
 0)))</f>
        <v>0</v>
      </c>
      <c r="AJ518">
        <f t="shared" si="25"/>
        <v>1.3021969138181351E-2</v>
      </c>
      <c r="AK518">
        <f t="shared" si="26"/>
        <v>1.627746142272669E-2</v>
      </c>
      <c r="AL518" t="str">
        <f>IF(MAX(X518, Y518, Z518, AA518)&gt;0.9,
 "Critical",
 IF(AK518&lt;=0.2,"Very Low",
 IF(AK518&lt;=0.4,"Low",
 IF(AK518&lt;=0.6,"Medium",
 IF(AK518&lt;=0.8,"High","Critical")))))</f>
        <v>Very Low</v>
      </c>
      <c r="AM518" t="str">
        <f>IF(MAX(X518:AA518)&gt;0.9,"CRITICAL ALERT",
 IF(AK518&gt;0.8,"CRITICAL ALERT",
 IF(AK518&gt;0.6,"ALERT",
 IF(AK518&gt;=0.4,"REVIEW","NO ACTION"))))</f>
        <v>NO ACTION</v>
      </c>
      <c r="AN518" t="str">
        <f>IF(AM518="NO ACTION","",
 IF(_xlfn.TEXTJOIN(", ", TRUE,
  IF(X518&gt;0.7,"Login anomaly",""),
  IF(Y518&gt;0.7,"File anomaly",""),
  IF(Z518&gt;0.7,"Network anomaly",""),
  IF(AA518&gt;0.7,"USB anomaly","")
 )="",
 "General anomaly detected",
 _xlfn.TEXTJOIN(", ", TRUE,
  IF(X518&gt;0.7,"Login anomaly",""),
  IF(Y518&gt;0.7,"File anomaly",""),
  IF(Z518&gt;0.7,"Network anomaly",""),
  IF(AA518&gt;0.7,"USB anomaly","")
 )))</f>
        <v/>
      </c>
    </row>
    <row r="519" spans="1:40" x14ac:dyDescent="0.3">
      <c r="A519" t="s">
        <v>542</v>
      </c>
      <c r="B519">
        <v>0.12892249527410199</v>
      </c>
      <c r="C519">
        <v>0.36953165208440503</v>
      </c>
      <c r="D519">
        <v>0</v>
      </c>
      <c r="E519">
        <v>0</v>
      </c>
      <c r="F519">
        <v>0</v>
      </c>
      <c r="G519">
        <v>0.99369419697780403</v>
      </c>
      <c r="H519">
        <v>8</v>
      </c>
      <c r="I519">
        <v>8</v>
      </c>
      <c r="J519">
        <v>0.11163589523400599</v>
      </c>
      <c r="K519">
        <v>2.36541598694942E-2</v>
      </c>
      <c r="L519">
        <v>5.4007653801341898E-2</v>
      </c>
      <c r="M519">
        <v>2.8860028860028799E-3</v>
      </c>
      <c r="N519">
        <v>1.55893384038373E-2</v>
      </c>
      <c r="O519">
        <v>1246</v>
      </c>
      <c r="P519">
        <v>9.36447811447811E-2</v>
      </c>
      <c r="Q519">
        <v>9.3797117710999606E-2</v>
      </c>
      <c r="R519">
        <v>0</v>
      </c>
      <c r="S519">
        <v>0</v>
      </c>
      <c r="T519" t="s">
        <v>24</v>
      </c>
      <c r="U519">
        <v>4.4768439108061699E-2</v>
      </c>
      <c r="V519">
        <v>0</v>
      </c>
      <c r="W519">
        <v>0</v>
      </c>
      <c r="X519">
        <v>0</v>
      </c>
      <c r="Y519">
        <v>5.4007807468623298E-2</v>
      </c>
      <c r="Z519">
        <v>6.24226040484036E-2</v>
      </c>
      <c r="AA519">
        <v>0</v>
      </c>
      <c r="AB519">
        <v>2.4845000356435779E-2</v>
      </c>
      <c r="AC519">
        <v>9.6999996458180249E-5</v>
      </c>
      <c r="AD519">
        <v>2.1510000806301828E-3</v>
      </c>
      <c r="AE519">
        <v>1.186999958008528E-3</v>
      </c>
      <c r="AF519">
        <f>0.16*X519 + 0.28*Y519 + 0.28*Z519 + 0.28*AA519</f>
        <v>3.2600515224767534E-2</v>
      </c>
      <c r="AG519">
        <f t="shared" si="24"/>
        <v>4.9370000668568547E-3</v>
      </c>
      <c r="AH519">
        <f>IF(T519="IT_Admin", 0.25, IF(AND(T519="HR", AA519&gt;0.6), 0.25, IF(AND(T519="General", Z519&gt;0.7), 0.2, 0.1)))</f>
        <v>0.25</v>
      </c>
      <c r="AI519">
        <f>IF(V519&gt;0.7, 0.1,
 IF(F519&gt;0.5, 0.08,
 IF(E519&gt;0.5, 0.05,
 0)))</f>
        <v>0</v>
      </c>
      <c r="AJ519">
        <f t="shared" si="25"/>
        <v>1.3236054614230058E-2</v>
      </c>
      <c r="AK519">
        <f t="shared" si="26"/>
        <v>1.6545068267787573E-2</v>
      </c>
      <c r="AL519" t="str">
        <f>IF(MAX(X519, Y519, Z519, AA519)&gt;0.9,
 "Critical",
 IF(AK519&lt;=0.2,"Very Low",
 IF(AK519&lt;=0.4,"Low",
 IF(AK519&lt;=0.6,"Medium",
 IF(AK519&lt;=0.8,"High","Critical")))))</f>
        <v>Very Low</v>
      </c>
      <c r="AM519" t="str">
        <f>IF(MAX(X519:AA519)&gt;0.9,"CRITICAL ALERT",
 IF(AK519&gt;0.8,"CRITICAL ALERT",
 IF(AK519&gt;0.6,"ALERT",
 IF(AK519&gt;=0.4,"REVIEW","NO ACTION"))))</f>
        <v>NO ACTION</v>
      </c>
      <c r="AN519" t="str">
        <f>IF(AM519="NO ACTION","",
 IF(_xlfn.TEXTJOIN(", ", TRUE,
  IF(X519&gt;0.7,"Login anomaly",""),
  IF(Y519&gt;0.7,"File anomaly",""),
  IF(Z519&gt;0.7,"Network anomaly",""),
  IF(AA519&gt;0.7,"USB anomaly","")
 )="",
 "General anomaly detected",
 _xlfn.TEXTJOIN(", ", TRUE,
  IF(X519&gt;0.7,"Login anomaly",""),
  IF(Y519&gt;0.7,"File anomaly",""),
  IF(Z519&gt;0.7,"Network anomaly",""),
  IF(AA519&gt;0.7,"USB anomaly","")
 )))</f>
        <v/>
      </c>
    </row>
    <row r="520" spans="1:40" x14ac:dyDescent="0.3">
      <c r="A520" t="s">
        <v>543</v>
      </c>
      <c r="B520">
        <v>0.12892249527410199</v>
      </c>
      <c r="C520">
        <v>0.18476582604220201</v>
      </c>
      <c r="D520">
        <v>0</v>
      </c>
      <c r="E520">
        <v>0</v>
      </c>
      <c r="F520">
        <v>0</v>
      </c>
      <c r="G520">
        <v>0.99367642654578103</v>
      </c>
      <c r="H520">
        <v>7</v>
      </c>
      <c r="I520">
        <v>7</v>
      </c>
      <c r="J520">
        <v>0.107246791660703</v>
      </c>
      <c r="K520">
        <v>1.8760195758564399E-2</v>
      </c>
      <c r="L520">
        <v>4.4582744964956698E-2</v>
      </c>
      <c r="M520">
        <v>4.0404040404040404E-3</v>
      </c>
      <c r="N520">
        <v>2.2716288495249801E-2</v>
      </c>
      <c r="O520">
        <v>1253</v>
      </c>
      <c r="P520">
        <v>8.8874859708193005E-2</v>
      </c>
      <c r="Q520">
        <v>8.9028367053543195E-2</v>
      </c>
      <c r="R520">
        <v>0</v>
      </c>
      <c r="S520">
        <v>0</v>
      </c>
      <c r="T520" t="s">
        <v>24</v>
      </c>
      <c r="U520">
        <v>2.6037735849056599E-2</v>
      </c>
      <c r="V520">
        <v>0</v>
      </c>
      <c r="W520">
        <v>0</v>
      </c>
      <c r="X520">
        <v>0</v>
      </c>
      <c r="Y520">
        <v>5.0555617363193903E-2</v>
      </c>
      <c r="Z520">
        <v>6.24114312230157E-2</v>
      </c>
      <c r="AA520">
        <v>0</v>
      </c>
      <c r="AB520">
        <v>3.6736998707056052E-2</v>
      </c>
      <c r="AC520">
        <v>3.3000000257743523E-5</v>
      </c>
      <c r="AD520">
        <v>2.436999930068851E-3</v>
      </c>
      <c r="AE520">
        <v>1.184000051580369E-3</v>
      </c>
      <c r="AF520">
        <f>0.16*X520 + 0.28*Y520 + 0.28*Z520 + 0.28*AA520</f>
        <v>3.1630773604138691E-2</v>
      </c>
      <c r="AG520">
        <f t="shared" si="24"/>
        <v>6.901039788062919E-3</v>
      </c>
      <c r="AH520">
        <f>IF(T520="IT_Admin", 0.25, IF(AND(T520="HR", AA520&gt;0.6), 0.25, IF(AND(T520="General", Z520&gt;0.7), 0.2, 0.1)))</f>
        <v>0.25</v>
      </c>
      <c r="AI520">
        <f>IF(V520&gt;0.7, 0.1,
 IF(F520&gt;0.5, 0.08,
 IF(E520&gt;0.5, 0.05,
 0)))</f>
        <v>0</v>
      </c>
      <c r="AJ520">
        <f t="shared" si="25"/>
        <v>1.4319959932885651E-2</v>
      </c>
      <c r="AK520">
        <f t="shared" si="26"/>
        <v>1.7899949916107064E-2</v>
      </c>
      <c r="AL520" t="str">
        <f>IF(MAX(X520, Y520, Z520, AA520)&gt;0.9,
 "Critical",
 IF(AK520&lt;=0.2,"Very Low",
 IF(AK520&lt;=0.4,"Low",
 IF(AK520&lt;=0.6,"Medium",
 IF(AK520&lt;=0.8,"High","Critical")))))</f>
        <v>Very Low</v>
      </c>
      <c r="AM520" t="str">
        <f>IF(MAX(X520:AA520)&gt;0.9,"CRITICAL ALERT",
 IF(AK520&gt;0.8,"CRITICAL ALERT",
 IF(AK520&gt;0.6,"ALERT",
 IF(AK520&gt;=0.4,"REVIEW","NO ACTION"))))</f>
        <v>NO ACTION</v>
      </c>
      <c r="AN520" t="str">
        <f>IF(AM520="NO ACTION","",
 IF(_xlfn.TEXTJOIN(", ", TRUE,
  IF(X520&gt;0.7,"Login anomaly",""),
  IF(Y520&gt;0.7,"File anomaly",""),
  IF(Z520&gt;0.7,"Network anomaly",""),
  IF(AA520&gt;0.7,"USB anomaly","")
 )="",
 "General anomaly detected",
 _xlfn.TEXTJOIN(", ", TRUE,
  IF(X520&gt;0.7,"Login anomaly",""),
  IF(Y520&gt;0.7,"File anomaly",""),
  IF(Z520&gt;0.7,"Network anomaly",""),
  IF(AA520&gt;0.7,"USB anomaly","")
 )))</f>
        <v/>
      </c>
    </row>
    <row r="521" spans="1:40" x14ac:dyDescent="0.3">
      <c r="A521" t="s">
        <v>544</v>
      </c>
      <c r="B521">
        <v>0.28128544423440399</v>
      </c>
      <c r="C521">
        <v>0.72720667362064795</v>
      </c>
      <c r="D521">
        <v>0.37872429342152403</v>
      </c>
      <c r="E521">
        <v>0</v>
      </c>
      <c r="F521">
        <v>0</v>
      </c>
      <c r="G521">
        <v>0.37763658943761802</v>
      </c>
      <c r="H521">
        <v>7</v>
      </c>
      <c r="I521">
        <v>16</v>
      </c>
      <c r="J521">
        <v>7.5330375459186097E-2</v>
      </c>
      <c r="K521">
        <v>1.7944535073409401E-2</v>
      </c>
      <c r="L521">
        <v>6.0655147588192897E-2</v>
      </c>
      <c r="M521">
        <v>2.0202020202020202E-3</v>
      </c>
      <c r="N521">
        <v>1.61552392612998E-2</v>
      </c>
      <c r="O521">
        <v>607</v>
      </c>
      <c r="P521">
        <v>6.4078282828282804E-2</v>
      </c>
      <c r="Q521">
        <v>6.4237876503383695E-2</v>
      </c>
      <c r="R521">
        <v>0</v>
      </c>
      <c r="S521">
        <v>0</v>
      </c>
      <c r="T521" t="s">
        <v>49</v>
      </c>
      <c r="U521">
        <v>4.6698113207547097E-2</v>
      </c>
      <c r="V521">
        <v>0</v>
      </c>
      <c r="W521">
        <v>0</v>
      </c>
      <c r="X521">
        <v>0.113617288026457</v>
      </c>
      <c r="Y521">
        <v>5.0240220664323598E-2</v>
      </c>
      <c r="Z521">
        <v>4.4909065401489603E-2</v>
      </c>
      <c r="AA521">
        <v>0</v>
      </c>
      <c r="AB521">
        <v>5.1486000418663018E-2</v>
      </c>
      <c r="AC521">
        <v>1.5500000154133889E-4</v>
      </c>
      <c r="AD521">
        <v>4.9439999274909496E-3</v>
      </c>
      <c r="AE521">
        <v>9.2989997938275337E-3</v>
      </c>
      <c r="AF521">
        <f>0.16*X521 + 0.28*Y521 + 0.28*Z521 + 0.28*AA521</f>
        <v>4.4820566182660816E-2</v>
      </c>
      <c r="AG521">
        <f t="shared" si="24"/>
        <v>1.2269199989386834E-2</v>
      </c>
      <c r="AH521">
        <f>IF(T521="IT_Admin", 0.25, IF(AND(T521="HR", AA521&gt;0.6), 0.25, IF(AND(T521="General", Z521&gt;0.7), 0.2, 0.1)))</f>
        <v>0.1</v>
      </c>
      <c r="AI521">
        <f>IF(V521&gt;0.7, 0.1,
 IF(F521&gt;0.5, 0.08,
 IF(E521&gt;0.5, 0.05,
 0)))</f>
        <v>0</v>
      </c>
      <c r="AJ521">
        <f t="shared" si="25"/>
        <v>2.2034609847369029E-2</v>
      </c>
      <c r="AK521">
        <f t="shared" si="26"/>
        <v>2.4238070832105933E-2</v>
      </c>
      <c r="AL521" t="str">
        <f>IF(MAX(X521, Y521, Z521, AA521)&gt;0.9,
 "Critical",
 IF(AK521&lt;=0.2,"Very Low",
 IF(AK521&lt;=0.4,"Low",
 IF(AK521&lt;=0.6,"Medium",
 IF(AK521&lt;=0.8,"High","Critical")))))</f>
        <v>Very Low</v>
      </c>
      <c r="AM521" t="str">
        <f>IF(MAX(X521:AA521)&gt;0.9,"CRITICAL ALERT",
 IF(AK521&gt;0.8,"CRITICAL ALERT",
 IF(AK521&gt;0.6,"ALERT",
 IF(AK521&gt;=0.4,"REVIEW","NO ACTION"))))</f>
        <v>NO ACTION</v>
      </c>
      <c r="AN521" t="str">
        <f>IF(AM521="NO ACTION","",
 IF(_xlfn.TEXTJOIN(", ", TRUE,
  IF(X521&gt;0.7,"Login anomaly",""),
  IF(Y521&gt;0.7,"File anomaly",""),
  IF(Z521&gt;0.7,"Network anomaly",""),
  IF(AA521&gt;0.7,"USB anomaly","")
 )="",
 "General anomaly detected",
 _xlfn.TEXTJOIN(", ", TRUE,
  IF(X521&gt;0.7,"Login anomaly",""),
  IF(Y521&gt;0.7,"File anomaly",""),
  IF(Z521&gt;0.7,"Network anomaly",""),
  IF(AA521&gt;0.7,"USB anomaly","")
 )))</f>
        <v/>
      </c>
    </row>
    <row r="522" spans="1:40" x14ac:dyDescent="0.3">
      <c r="A522" t="s">
        <v>545</v>
      </c>
      <c r="B522">
        <v>0.93270321361058595</v>
      </c>
      <c r="C522">
        <v>0.93646588642353101</v>
      </c>
      <c r="D522">
        <v>0.97010880253098797</v>
      </c>
      <c r="E522">
        <v>0</v>
      </c>
      <c r="F522">
        <v>0.378389316066369</v>
      </c>
      <c r="G522">
        <v>1.0785071021511701E-2</v>
      </c>
      <c r="H522">
        <v>0</v>
      </c>
      <c r="I522">
        <v>23</v>
      </c>
      <c r="J522">
        <v>4.60378798721435E-2</v>
      </c>
      <c r="K522">
        <v>8.9722675367047301E-3</v>
      </c>
      <c r="L522">
        <v>4.9524615350359499E-2</v>
      </c>
      <c r="M522">
        <v>1.1544011544011501E-3</v>
      </c>
      <c r="N522">
        <v>1.50750509513396E-2</v>
      </c>
      <c r="O522">
        <v>591</v>
      </c>
      <c r="P522">
        <v>3.8264590347923601E-2</v>
      </c>
      <c r="Q522">
        <v>3.8430520004207699E-2</v>
      </c>
      <c r="R522">
        <v>0</v>
      </c>
      <c r="S522">
        <v>0</v>
      </c>
      <c r="T522" t="s">
        <v>49</v>
      </c>
      <c r="U522">
        <v>3.7358490566037697E-2</v>
      </c>
      <c r="V522">
        <v>0</v>
      </c>
      <c r="W522">
        <v>0</v>
      </c>
      <c r="X522">
        <v>0.44238836718584401</v>
      </c>
      <c r="Y522">
        <v>3.8492398935010302E-2</v>
      </c>
      <c r="Z522">
        <v>2.8988774589290001E-2</v>
      </c>
      <c r="AA522">
        <v>0</v>
      </c>
      <c r="AB522">
        <v>0.93139398097991943</v>
      </c>
      <c r="AC522">
        <v>1.100000008591451E-4</v>
      </c>
      <c r="AD522">
        <v>8.14799964427948E-3</v>
      </c>
      <c r="AE522">
        <v>1.8008999526500698E-2</v>
      </c>
      <c r="AF522">
        <f>0.16*X522 + 0.28*Y522 + 0.28*Z522 + 0.28*AA522</f>
        <v>8.9676867336539137E-2</v>
      </c>
      <c r="AG522">
        <f t="shared" si="24"/>
        <v>0.15637779672484611</v>
      </c>
      <c r="AH522">
        <f>IF(T522="IT_Admin", 0.25, IF(AND(T522="HR", AA522&gt;0.6), 0.25, IF(AND(T522="General", Z522&gt;0.7), 0.2, 0.1)))</f>
        <v>0.1</v>
      </c>
      <c r="AI522">
        <f>IF(V522&gt;0.7, 0.1,
 IF(F522&gt;0.5, 0.08,
 IF(E522&gt;0.5, 0.05,
 0)))</f>
        <v>0</v>
      </c>
      <c r="AJ522">
        <f t="shared" si="25"/>
        <v>0.136367517908354</v>
      </c>
      <c r="AK522">
        <f t="shared" si="26"/>
        <v>0.1500042696991894</v>
      </c>
      <c r="AL522" t="str">
        <f>IF(MAX(X522, Y522, Z522, AA522)&gt;0.9,
 "Critical",
 IF(AK522&lt;=0.2,"Very Low",
 IF(AK522&lt;=0.4,"Low",
 IF(AK522&lt;=0.6,"Medium",
 IF(AK522&lt;=0.8,"High","Critical")))))</f>
        <v>Very Low</v>
      </c>
      <c r="AM522" t="str">
        <f>IF(MAX(X522:AA522)&gt;0.9,"CRITICAL ALERT",
 IF(AK522&gt;0.8,"CRITICAL ALERT",
 IF(AK522&gt;0.6,"ALERT",
 IF(AK522&gt;=0.4,"REVIEW","NO ACTION"))))</f>
        <v>NO ACTION</v>
      </c>
      <c r="AN522" t="str">
        <f>IF(AM522="NO ACTION","",
 IF(_xlfn.TEXTJOIN(", ", TRUE,
  IF(X522&gt;0.7,"Login anomaly",""),
  IF(Y522&gt;0.7,"File anomaly",""),
  IF(Z522&gt;0.7,"Network anomaly",""),
  IF(AA522&gt;0.7,"USB anomaly","")
 )="",
 "General anomaly detected",
 _xlfn.TEXTJOIN(", ", TRUE,
  IF(X522&gt;0.7,"Login anomaly",""),
  IF(Y522&gt;0.7,"File anomaly",""),
  IF(Z522&gt;0.7,"Network anomaly",""),
  IF(AA522&gt;0.7,"USB anomaly","")
 )))</f>
        <v/>
      </c>
    </row>
    <row r="523" spans="1:40" x14ac:dyDescent="0.3">
      <c r="A523" t="s">
        <v>546</v>
      </c>
      <c r="B523">
        <v>0.12892249527410199</v>
      </c>
      <c r="C523">
        <v>0.28277204681241402</v>
      </c>
      <c r="D523">
        <v>7.4993488433305694E-2</v>
      </c>
      <c r="E523">
        <v>0</v>
      </c>
      <c r="F523">
        <v>0</v>
      </c>
      <c r="G523">
        <v>0.99367061904013498</v>
      </c>
      <c r="H523">
        <v>7</v>
      </c>
      <c r="I523">
        <v>8</v>
      </c>
      <c r="J523">
        <v>8.7686656170984201E-2</v>
      </c>
      <c r="K523">
        <v>1.8760195758564399E-2</v>
      </c>
      <c r="L523">
        <v>5.4500772873601402E-2</v>
      </c>
      <c r="M523">
        <v>2.59740259740259E-3</v>
      </c>
      <c r="N523">
        <v>1.7852034021323199E-2</v>
      </c>
      <c r="O523">
        <v>1019</v>
      </c>
      <c r="P523">
        <v>7.3793490460157096E-2</v>
      </c>
      <c r="Q523">
        <v>7.3950699533644207E-2</v>
      </c>
      <c r="R523">
        <v>0</v>
      </c>
      <c r="S523">
        <v>0</v>
      </c>
      <c r="T523" t="s">
        <v>49</v>
      </c>
      <c r="U523">
        <v>3.90566037735849E-2</v>
      </c>
      <c r="V523">
        <v>0</v>
      </c>
      <c r="W523">
        <v>0</v>
      </c>
      <c r="X523">
        <v>2.2498046529991701E-2</v>
      </c>
      <c r="Y523">
        <v>5.0143327877394499E-2</v>
      </c>
      <c r="Z523">
        <v>5.1416907884623497E-2</v>
      </c>
      <c r="AA523">
        <v>0</v>
      </c>
      <c r="AB523">
        <v>1.801400072872639E-2</v>
      </c>
      <c r="AC523">
        <v>4.0999999328050762E-5</v>
      </c>
      <c r="AD523">
        <v>4.0959999896585941E-3</v>
      </c>
      <c r="AE523">
        <v>1.8700000364333389E-3</v>
      </c>
      <c r="AF523">
        <f>0.16*X523 + 0.28*Y523 + 0.28*Z523 + 0.28*AA523</f>
        <v>3.2036553458163711E-2</v>
      </c>
      <c r="AG523">
        <f t="shared" si="24"/>
        <v>4.5642001237138179E-3</v>
      </c>
      <c r="AH523">
        <f>IF(T523="IT_Admin", 0.25, IF(AND(T523="HR", AA523&gt;0.6), 0.25, IF(AND(T523="General", Z523&gt;0.7), 0.2, 0.1)))</f>
        <v>0.1</v>
      </c>
      <c r="AI523">
        <f>IF(V523&gt;0.7, 0.1,
 IF(F523&gt;0.5, 0.08,
 IF(E523&gt;0.5, 0.05,
 0)))</f>
        <v>0</v>
      </c>
      <c r="AJ523">
        <f t="shared" si="25"/>
        <v>1.2805906124048786E-2</v>
      </c>
      <c r="AK523">
        <f t="shared" si="26"/>
        <v>1.4086496736453666E-2</v>
      </c>
      <c r="AL523" t="str">
        <f>IF(MAX(X523, Y523, Z523, AA523)&gt;0.9,
 "Critical",
 IF(AK523&lt;=0.2,"Very Low",
 IF(AK523&lt;=0.4,"Low",
 IF(AK523&lt;=0.6,"Medium",
 IF(AK523&lt;=0.8,"High","Critical")))))</f>
        <v>Very Low</v>
      </c>
      <c r="AM523" t="str">
        <f>IF(MAX(X523:AA523)&gt;0.9,"CRITICAL ALERT",
 IF(AK523&gt;0.8,"CRITICAL ALERT",
 IF(AK523&gt;0.6,"ALERT",
 IF(AK523&gt;=0.4,"REVIEW","NO ACTION"))))</f>
        <v>NO ACTION</v>
      </c>
      <c r="AN523" t="str">
        <f>IF(AM523="NO ACTION","",
 IF(_xlfn.TEXTJOIN(", ", TRUE,
  IF(X523&gt;0.7,"Login anomaly",""),
  IF(Y523&gt;0.7,"File anomaly",""),
  IF(Z523&gt;0.7,"Network anomaly",""),
  IF(AA523&gt;0.7,"USB anomaly","")
 )="",
 "General anomaly detected",
 _xlfn.TEXTJOIN(", ", TRUE,
  IF(X523&gt;0.7,"Login anomaly",""),
  IF(Y523&gt;0.7,"File anomaly",""),
  IF(Z523&gt;0.7,"Network anomaly",""),
  IF(AA523&gt;0.7,"USB anomaly","")
 )))</f>
        <v/>
      </c>
    </row>
    <row r="524" spans="1:40" x14ac:dyDescent="0.3">
      <c r="A524" t="s">
        <v>547</v>
      </c>
      <c r="B524">
        <v>0.12892249527410199</v>
      </c>
      <c r="C524">
        <v>0.36953165208440503</v>
      </c>
      <c r="D524">
        <v>0</v>
      </c>
      <c r="E524">
        <v>0</v>
      </c>
      <c r="F524">
        <v>0</v>
      </c>
      <c r="G524">
        <v>0.99369625770561398</v>
      </c>
      <c r="H524">
        <v>8</v>
      </c>
      <c r="I524">
        <v>8</v>
      </c>
      <c r="J524">
        <v>9.1932636801679304E-2</v>
      </c>
      <c r="K524">
        <v>1.7944535073409401E-2</v>
      </c>
      <c r="L524">
        <v>4.9729686221375503E-2</v>
      </c>
      <c r="M524">
        <v>1.44300144300144E-3</v>
      </c>
      <c r="N524">
        <v>9.4609209516041803E-3</v>
      </c>
      <c r="O524">
        <v>1092</v>
      </c>
      <c r="P524">
        <v>7.6003086419752994E-2</v>
      </c>
      <c r="Q524">
        <v>7.6159753147024695E-2</v>
      </c>
      <c r="R524">
        <v>0</v>
      </c>
      <c r="S524">
        <v>0</v>
      </c>
      <c r="T524" t="s">
        <v>49</v>
      </c>
      <c r="U524">
        <v>6.2264150943396199E-2</v>
      </c>
      <c r="V524">
        <v>0</v>
      </c>
      <c r="W524">
        <v>0</v>
      </c>
      <c r="X524">
        <v>0</v>
      </c>
      <c r="Y524">
        <v>4.6089646756504898E-2</v>
      </c>
      <c r="Z524">
        <v>4.9386220232493498E-2</v>
      </c>
      <c r="AA524">
        <v>0</v>
      </c>
      <c r="AB524">
        <v>2.467099949717522E-2</v>
      </c>
      <c r="AC524">
        <v>2.6000000070780521E-4</v>
      </c>
      <c r="AD524">
        <v>4.0359999984502792E-3</v>
      </c>
      <c r="AE524">
        <v>1.39999995008111E-3</v>
      </c>
      <c r="AF524">
        <f>0.16*X524 + 0.28*Y524 + 0.28*Z524 + 0.28*AA524</f>
        <v>2.6733242756919552E-2</v>
      </c>
      <c r="AG524">
        <f t="shared" si="24"/>
        <v>5.5422399053350101E-3</v>
      </c>
      <c r="AH524">
        <f>IF(T524="IT_Admin", 0.25, IF(AND(T524="HR", AA524&gt;0.6), 0.25, IF(AND(T524="General", Z524&gt;0.7), 0.2, 0.1)))</f>
        <v>0.1</v>
      </c>
      <c r="AI524">
        <f>IF(V524&gt;0.7, 0.1,
 IF(F524&gt;0.5, 0.08,
 IF(E524&gt;0.5, 0.05,
 0)))</f>
        <v>0</v>
      </c>
      <c r="AJ524">
        <f t="shared" si="25"/>
        <v>1.1899540760810371E-2</v>
      </c>
      <c r="AK524">
        <f t="shared" si="26"/>
        <v>1.308949483689141E-2</v>
      </c>
      <c r="AL524" t="str">
        <f>IF(MAX(X524, Y524, Z524, AA524)&gt;0.9,
 "Critical",
 IF(AK524&lt;=0.2,"Very Low",
 IF(AK524&lt;=0.4,"Low",
 IF(AK524&lt;=0.6,"Medium",
 IF(AK524&lt;=0.8,"High","Critical")))))</f>
        <v>Very Low</v>
      </c>
      <c r="AM524" t="str">
        <f>IF(MAX(X524:AA524)&gt;0.9,"CRITICAL ALERT",
 IF(AK524&gt;0.8,"CRITICAL ALERT",
 IF(AK524&gt;0.6,"ALERT",
 IF(AK524&gt;=0.4,"REVIEW","NO ACTION"))))</f>
        <v>NO ACTION</v>
      </c>
      <c r="AN524" t="str">
        <f>IF(AM524="NO ACTION","",
 IF(_xlfn.TEXTJOIN(", ", TRUE,
  IF(X524&gt;0.7,"Login anomaly",""),
  IF(Y524&gt;0.7,"File anomaly",""),
  IF(Z524&gt;0.7,"Network anomaly",""),
  IF(AA524&gt;0.7,"USB anomaly","")
 )="",
 "General anomaly detected",
 _xlfn.TEXTJOIN(", ", TRUE,
  IF(X524&gt;0.7,"Login anomaly",""),
  IF(Y524&gt;0.7,"File anomaly",""),
  IF(Z524&gt;0.7,"Network anomaly",""),
  IF(AA524&gt;0.7,"USB anomaly","")
 )))</f>
        <v/>
      </c>
    </row>
    <row r="525" spans="1:40" x14ac:dyDescent="0.3">
      <c r="A525" t="s">
        <v>548</v>
      </c>
      <c r="B525">
        <v>0.12892249527410199</v>
      </c>
      <c r="C525">
        <v>0.27366764379004499</v>
      </c>
      <c r="D525">
        <v>7.5079446679057096E-2</v>
      </c>
      <c r="E525">
        <v>0</v>
      </c>
      <c r="F525">
        <v>0</v>
      </c>
      <c r="G525">
        <v>0.99365565869148897</v>
      </c>
      <c r="H525">
        <v>7</v>
      </c>
      <c r="I525">
        <v>8</v>
      </c>
      <c r="J525">
        <v>0.139640284337579</v>
      </c>
      <c r="K525">
        <v>1.8760195758564399E-2</v>
      </c>
      <c r="L525">
        <v>3.4258159756496397E-2</v>
      </c>
      <c r="M525">
        <v>4.9062049062049001E-3</v>
      </c>
      <c r="N525">
        <v>2.1196076925954099E-2</v>
      </c>
      <c r="O525">
        <v>1540</v>
      </c>
      <c r="P525">
        <v>0.11311026936026899</v>
      </c>
      <c r="Q525">
        <v>0.11325782811459</v>
      </c>
      <c r="R525">
        <v>0</v>
      </c>
      <c r="S525">
        <v>0</v>
      </c>
      <c r="T525" t="s">
        <v>24</v>
      </c>
      <c r="U525">
        <v>2.1698113207547099E-2</v>
      </c>
      <c r="V525">
        <v>0</v>
      </c>
      <c r="W525">
        <v>0</v>
      </c>
      <c r="X525">
        <v>2.2523834003717099E-2</v>
      </c>
      <c r="Y525">
        <v>5.1415959823550302E-2</v>
      </c>
      <c r="Z525">
        <v>7.6344592386543203E-2</v>
      </c>
      <c r="AA525">
        <v>0</v>
      </c>
      <c r="AB525">
        <v>1.8729999661445621E-2</v>
      </c>
      <c r="AC525">
        <v>7.6999996963422745E-5</v>
      </c>
      <c r="AD525">
        <v>7.7099999180063605E-4</v>
      </c>
      <c r="AE525">
        <v>1.180000021122396E-3</v>
      </c>
      <c r="AF525">
        <f>0.16*X525 + 0.28*Y525 + 0.28*Z525 + 0.28*AA525</f>
        <v>3.9376768059420919E-2</v>
      </c>
      <c r="AG525">
        <f t="shared" si="24"/>
        <v>3.5646399485995072E-3</v>
      </c>
      <c r="AH525">
        <f>IF(T525="IT_Admin", 0.25, IF(AND(T525="HR", AA525&gt;0.6), 0.25, IF(AND(T525="General", Z525&gt;0.7), 0.2, 0.1)))</f>
        <v>0.25</v>
      </c>
      <c r="AI525">
        <f>IF(V525&gt;0.7, 0.1,
 IF(F525&gt;0.5, 0.08,
 IF(E525&gt;0.5, 0.05,
 0)))</f>
        <v>0</v>
      </c>
      <c r="AJ525">
        <f t="shared" si="25"/>
        <v>1.4308278381845931E-2</v>
      </c>
      <c r="AK525">
        <f t="shared" si="26"/>
        <v>1.7885347977307411E-2</v>
      </c>
      <c r="AL525" t="str">
        <f>IF(MAX(X525, Y525, Z525, AA525)&gt;0.9,
 "Critical",
 IF(AK525&lt;=0.2,"Very Low",
 IF(AK525&lt;=0.4,"Low",
 IF(AK525&lt;=0.6,"Medium",
 IF(AK525&lt;=0.8,"High","Critical")))))</f>
        <v>Very Low</v>
      </c>
      <c r="AM525" t="str">
        <f>IF(MAX(X525:AA525)&gt;0.9,"CRITICAL ALERT",
 IF(AK525&gt;0.8,"CRITICAL ALERT",
 IF(AK525&gt;0.6,"ALERT",
 IF(AK525&gt;=0.4,"REVIEW","NO ACTION"))))</f>
        <v>NO ACTION</v>
      </c>
      <c r="AN525" t="str">
        <f>IF(AM525="NO ACTION","",
 IF(_xlfn.TEXTJOIN(", ", TRUE,
  IF(X525&gt;0.7,"Login anomaly",""),
  IF(Y525&gt;0.7,"File anomaly",""),
  IF(Z525&gt;0.7,"Network anomaly",""),
  IF(AA525&gt;0.7,"USB anomaly","")
 )="",
 "General anomaly detected",
 _xlfn.TEXTJOIN(", ", TRUE,
  IF(X525&gt;0.7,"Login anomaly",""),
  IF(Y525&gt;0.7,"File anomaly",""),
  IF(Z525&gt;0.7,"Network anomaly",""),
  IF(AA525&gt;0.7,"USB anomaly","")
 )))</f>
        <v/>
      </c>
    </row>
    <row r="526" spans="1:40" x14ac:dyDescent="0.3">
      <c r="A526" t="s">
        <v>549</v>
      </c>
      <c r="B526">
        <v>0.12892249527410199</v>
      </c>
      <c r="C526">
        <v>0.18476582604220201</v>
      </c>
      <c r="D526">
        <v>0</v>
      </c>
      <c r="E526">
        <v>0</v>
      </c>
      <c r="F526">
        <v>0</v>
      </c>
      <c r="G526">
        <v>0.993669013278205</v>
      </c>
      <c r="H526">
        <v>7</v>
      </c>
      <c r="I526">
        <v>7</v>
      </c>
      <c r="J526">
        <v>6.7744859500978E-2</v>
      </c>
      <c r="K526">
        <v>1.4681892332789499E-2</v>
      </c>
      <c r="L526">
        <v>5.5164260543366997E-2</v>
      </c>
      <c r="M526">
        <v>4.6176046176046098E-3</v>
      </c>
      <c r="N526">
        <v>4.1046454520138699E-2</v>
      </c>
      <c r="O526">
        <v>796</v>
      </c>
      <c r="P526">
        <v>5.8361391694724998E-2</v>
      </c>
      <c r="Q526">
        <v>5.8522388583049798E-2</v>
      </c>
      <c r="R526">
        <v>0</v>
      </c>
      <c r="S526">
        <v>0</v>
      </c>
      <c r="T526" t="s">
        <v>49</v>
      </c>
      <c r="U526">
        <v>1.7980022197558201E-2</v>
      </c>
      <c r="V526">
        <v>0</v>
      </c>
      <c r="W526">
        <v>0</v>
      </c>
      <c r="X526">
        <v>0</v>
      </c>
      <c r="Y526">
        <v>5.34450385279207E-2</v>
      </c>
      <c r="Z526">
        <v>5.1435416824890501E-2</v>
      </c>
      <c r="AA526">
        <v>0</v>
      </c>
      <c r="AB526">
        <v>3.6690998822450638E-2</v>
      </c>
      <c r="AC526">
        <v>2.8599999495781958E-4</v>
      </c>
      <c r="AD526">
        <v>5.4729999974370003E-3</v>
      </c>
      <c r="AE526">
        <v>1.7760000191628931E-3</v>
      </c>
      <c r="AF526">
        <f>0.16*X526 + 0.28*Y526 + 0.28*Z526 + 0.28*AA526</f>
        <v>2.936652749878714E-2</v>
      </c>
      <c r="AG526">
        <f t="shared" si="24"/>
        <v>7.9803598148282633E-3</v>
      </c>
      <c r="AH526">
        <f>IF(T526="IT_Admin", 0.25, IF(AND(T526="HR", AA526&gt;0.6), 0.25, IF(AND(T526="General", Z526&gt;0.7), 0.2, 0.1)))</f>
        <v>0.1</v>
      </c>
      <c r="AI526">
        <f>IF(V526&gt;0.7, 0.1,
 IF(F526&gt;0.5, 0.08,
 IF(E526&gt;0.5, 0.05,
 0)))</f>
        <v>0</v>
      </c>
      <c r="AJ526">
        <f t="shared" si="25"/>
        <v>1.4396210120015926E-2</v>
      </c>
      <c r="AK526">
        <f t="shared" si="26"/>
        <v>1.583583113201752E-2</v>
      </c>
      <c r="AL526" t="str">
        <f>IF(MAX(X526, Y526, Z526, AA526)&gt;0.9,
 "Critical",
 IF(AK526&lt;=0.2,"Very Low",
 IF(AK526&lt;=0.4,"Low",
 IF(AK526&lt;=0.6,"Medium",
 IF(AK526&lt;=0.8,"High","Critical")))))</f>
        <v>Very Low</v>
      </c>
      <c r="AM526" t="str">
        <f>IF(MAX(X526:AA526)&gt;0.9,"CRITICAL ALERT",
 IF(AK526&gt;0.8,"CRITICAL ALERT",
 IF(AK526&gt;0.6,"ALERT",
 IF(AK526&gt;=0.4,"REVIEW","NO ACTION"))))</f>
        <v>NO ACTION</v>
      </c>
      <c r="AN526" t="str">
        <f>IF(AM526="NO ACTION","",
 IF(_xlfn.TEXTJOIN(", ", TRUE,
  IF(X526&gt;0.7,"Login anomaly",""),
  IF(Y526&gt;0.7,"File anomaly",""),
  IF(Z526&gt;0.7,"Network anomaly",""),
  IF(AA526&gt;0.7,"USB anomaly","")
 )="",
 "General anomaly detected",
 _xlfn.TEXTJOIN(", ", TRUE,
  IF(X526&gt;0.7,"Login anomaly",""),
  IF(Y526&gt;0.7,"File anomaly",""),
  IF(Z526&gt;0.7,"Network anomaly",""),
  IF(AA526&gt;0.7,"USB anomaly","")
 )))</f>
        <v/>
      </c>
    </row>
    <row r="527" spans="1:40" x14ac:dyDescent="0.3">
      <c r="A527" t="s">
        <v>550</v>
      </c>
      <c r="B527">
        <v>0.26011342155009398</v>
      </c>
      <c r="C527">
        <v>0.791128818732726</v>
      </c>
      <c r="D527">
        <v>0.41696559118731302</v>
      </c>
      <c r="E527">
        <v>0.13166345536287699</v>
      </c>
      <c r="F527">
        <v>1.1560693641618399E-2</v>
      </c>
      <c r="G527">
        <v>0.42033435742626302</v>
      </c>
      <c r="H527">
        <v>0</v>
      </c>
      <c r="I527">
        <v>20</v>
      </c>
      <c r="J527">
        <v>0.10676971518534401</v>
      </c>
      <c r="K527">
        <v>1.7944535073409401E-2</v>
      </c>
      <c r="L527">
        <v>4.2834486749753702E-2</v>
      </c>
      <c r="M527">
        <v>3.1746031746031698E-3</v>
      </c>
      <c r="N527">
        <v>1.7928086675300201E-2</v>
      </c>
      <c r="O527">
        <v>1180</v>
      </c>
      <c r="P527">
        <v>8.7752525252525193E-2</v>
      </c>
      <c r="Q527">
        <v>8.7906308075318199E-2</v>
      </c>
      <c r="R527">
        <v>0.199115044247787</v>
      </c>
      <c r="S527">
        <v>1</v>
      </c>
      <c r="T527" t="s">
        <v>24</v>
      </c>
      <c r="U527">
        <v>3.1132075471698099E-2</v>
      </c>
      <c r="V527">
        <v>0</v>
      </c>
      <c r="W527">
        <v>1.6160016012663501E-2</v>
      </c>
      <c r="X527">
        <v>0.16921299142170401</v>
      </c>
      <c r="Y527">
        <v>4.8149612414535699E-2</v>
      </c>
      <c r="Z527">
        <v>5.9822749821635199E-2</v>
      </c>
      <c r="AA527">
        <v>0.199115044247787</v>
      </c>
      <c r="AB527">
        <v>0.1374820023775101</v>
      </c>
      <c r="AC527">
        <v>4.1999999666586518E-5</v>
      </c>
      <c r="AD527">
        <v>2.0429999567568302E-3</v>
      </c>
      <c r="AE527">
        <v>6.3670001924037933E-2</v>
      </c>
      <c r="AF527">
        <f>0.16*X527 + 0.28*Y527 + 0.28*Z527 + 0.28*AA527</f>
        <v>0.11305855244298085</v>
      </c>
      <c r="AG527">
        <f t="shared" si="24"/>
        <v>4.0408520906930798E-2</v>
      </c>
      <c r="AH527">
        <f>IF(T527="IT_Admin", 0.25, IF(AND(T527="HR", AA527&gt;0.6), 0.25, IF(AND(T527="General", Z527&gt;0.7), 0.2, 0.1)))</f>
        <v>0.25</v>
      </c>
      <c r="AI527">
        <f>IF(V527&gt;0.7, 0.1,
 IF(F527&gt;0.5, 0.08,
 IF(E527&gt;0.5, 0.05,
 0)))</f>
        <v>0</v>
      </c>
      <c r="AJ527">
        <f t="shared" si="25"/>
        <v>6.2203530367745813E-2</v>
      </c>
      <c r="AK527">
        <f t="shared" si="26"/>
        <v>7.7754412959682273E-2</v>
      </c>
      <c r="AL527" t="str">
        <f>IF(MAX(X527, Y527, Z527, AA527)&gt;0.9,
 "Critical",
 IF(AK527&lt;=0.2,"Very Low",
 IF(AK527&lt;=0.4,"Low",
 IF(AK527&lt;=0.6,"Medium",
 IF(AK527&lt;=0.8,"High","Critical")))))</f>
        <v>Very Low</v>
      </c>
      <c r="AM527" t="str">
        <f>IF(MAX(X527:AA527)&gt;0.9,"CRITICAL ALERT",
 IF(AK527&gt;0.8,"CRITICAL ALERT",
 IF(AK527&gt;0.6,"ALERT",
 IF(AK527&gt;=0.4,"REVIEW","NO ACTION"))))</f>
        <v>NO ACTION</v>
      </c>
      <c r="AN527" t="str">
        <f>IF(AM527="NO ACTION","",
 IF(_xlfn.TEXTJOIN(", ", TRUE,
  IF(X527&gt;0.7,"Login anomaly",""),
  IF(Y527&gt;0.7,"File anomaly",""),
  IF(Z527&gt;0.7,"Network anomaly",""),
  IF(AA527&gt;0.7,"USB anomaly","")
 )="",
 "General anomaly detected",
 _xlfn.TEXTJOIN(", ", TRUE,
  IF(X527&gt;0.7,"Login anomaly",""),
  IF(Y527&gt;0.7,"File anomaly",""),
  IF(Z527&gt;0.7,"Network anomaly",""),
  IF(AA527&gt;0.7,"USB anomaly","")
 )))</f>
        <v/>
      </c>
    </row>
    <row r="528" spans="1:40" x14ac:dyDescent="0.3">
      <c r="A528" t="s">
        <v>551</v>
      </c>
      <c r="B528">
        <v>0.12892249527410199</v>
      </c>
      <c r="C528">
        <v>0.26991877195730402</v>
      </c>
      <c r="D528">
        <v>7.4902366299490403E-2</v>
      </c>
      <c r="E528">
        <v>0</v>
      </c>
      <c r="F528">
        <v>0</v>
      </c>
      <c r="G528">
        <v>0.99366189440031605</v>
      </c>
      <c r="H528">
        <v>7</v>
      </c>
      <c r="I528">
        <v>8</v>
      </c>
      <c r="J528">
        <v>9.4127188588330704E-2</v>
      </c>
      <c r="K528">
        <v>8.9722675367047301E-3</v>
      </c>
      <c r="L528">
        <v>2.42865909453229E-2</v>
      </c>
      <c r="M528">
        <v>1.7316017316017301E-3</v>
      </c>
      <c r="N528">
        <v>1.108907944095E-2</v>
      </c>
      <c r="O528">
        <v>882</v>
      </c>
      <c r="P528">
        <v>7.3898709315375996E-2</v>
      </c>
      <c r="Q528">
        <v>7.4055892562852804E-2</v>
      </c>
      <c r="R528">
        <v>0</v>
      </c>
      <c r="S528">
        <v>0</v>
      </c>
      <c r="T528" t="s">
        <v>49</v>
      </c>
      <c r="U528">
        <v>2.6684636118598299E-2</v>
      </c>
      <c r="V528">
        <v>0</v>
      </c>
      <c r="W528">
        <v>0</v>
      </c>
      <c r="X528">
        <v>2.2470709889847101E-2</v>
      </c>
      <c r="Y528">
        <v>3.4295457022612601E-2</v>
      </c>
      <c r="Z528">
        <v>4.8774857365605599E-2</v>
      </c>
      <c r="AA528">
        <v>0</v>
      </c>
      <c r="AB528">
        <v>1.8976999446749691E-2</v>
      </c>
      <c r="AC528">
        <v>2.1499999274965381E-4</v>
      </c>
      <c r="AD528">
        <v>4.2289998382329941E-3</v>
      </c>
      <c r="AE528">
        <v>2.0270000677555799E-3</v>
      </c>
      <c r="AF528">
        <f>0.16*X528 + 0.28*Y528 + 0.28*Z528 + 0.28*AA528</f>
        <v>2.6855001611076634E-2</v>
      </c>
      <c r="AG528">
        <f t="shared" si="24"/>
        <v>4.8481998831266544E-3</v>
      </c>
      <c r="AH528">
        <f>IF(T528="IT_Admin", 0.25, IF(AND(T528="HR", AA528&gt;0.6), 0.25, IF(AND(T528="General", Z528&gt;0.7), 0.2, 0.1)))</f>
        <v>0.1</v>
      </c>
      <c r="AI528">
        <f>IF(V528&gt;0.7, 0.1,
 IF(F528&gt;0.5, 0.08,
 IF(E528&gt;0.5, 0.05,
 0)))</f>
        <v>0</v>
      </c>
      <c r="AJ528">
        <f t="shared" si="25"/>
        <v>1.1450240401511647E-2</v>
      </c>
      <c r="AK528">
        <f t="shared" si="26"/>
        <v>1.2595264441662812E-2</v>
      </c>
      <c r="AL528" t="str">
        <f>IF(MAX(X528, Y528, Z528, AA528)&gt;0.9,
 "Critical",
 IF(AK528&lt;=0.2,"Very Low",
 IF(AK528&lt;=0.4,"Low",
 IF(AK528&lt;=0.6,"Medium",
 IF(AK528&lt;=0.8,"High","Critical")))))</f>
        <v>Very Low</v>
      </c>
      <c r="AM528" t="str">
        <f>IF(MAX(X528:AA528)&gt;0.9,"CRITICAL ALERT",
 IF(AK528&gt;0.8,"CRITICAL ALERT",
 IF(AK528&gt;0.6,"ALERT",
 IF(AK528&gt;=0.4,"REVIEW","NO ACTION"))))</f>
        <v>NO ACTION</v>
      </c>
      <c r="AN528" t="str">
        <f>IF(AM528="NO ACTION","",
 IF(_xlfn.TEXTJOIN(", ", TRUE,
  IF(X528&gt;0.7,"Login anomaly",""),
  IF(Y528&gt;0.7,"File anomaly",""),
  IF(Z528&gt;0.7,"Network anomaly",""),
  IF(AA528&gt;0.7,"USB anomaly","")
 )="",
 "General anomaly detected",
 _xlfn.TEXTJOIN(", ", TRUE,
  IF(X528&gt;0.7,"Login anomaly",""),
  IF(Y528&gt;0.7,"File anomaly",""),
  IF(Z528&gt;0.7,"Network anomaly",""),
  IF(AA528&gt;0.7,"USB anomaly","")
 )))</f>
        <v/>
      </c>
    </row>
    <row r="529" spans="1:40" x14ac:dyDescent="0.3">
      <c r="A529" t="s">
        <v>552</v>
      </c>
      <c r="B529">
        <v>0.17164461247637</v>
      </c>
      <c r="C529">
        <v>0.37275900275763102</v>
      </c>
      <c r="D529">
        <v>0.318094835963318</v>
      </c>
      <c r="E529">
        <v>0</v>
      </c>
      <c r="F529">
        <v>0</v>
      </c>
      <c r="G529">
        <v>0.71182092497066296</v>
      </c>
      <c r="H529">
        <v>7</v>
      </c>
      <c r="I529">
        <v>15</v>
      </c>
      <c r="J529">
        <v>7.3899146033109098E-2</v>
      </c>
      <c r="K529">
        <v>1.5497553017944501E-2</v>
      </c>
      <c r="L529">
        <v>5.3395265058332003E-2</v>
      </c>
      <c r="M529">
        <v>2.8860028860028799E-3</v>
      </c>
      <c r="N529">
        <v>2.35244520958806E-2</v>
      </c>
      <c r="O529">
        <v>913</v>
      </c>
      <c r="P529">
        <v>6.23947811447811E-2</v>
      </c>
      <c r="Q529">
        <v>6.2554788036046097E-2</v>
      </c>
      <c r="R529">
        <v>0</v>
      </c>
      <c r="S529">
        <v>0</v>
      </c>
      <c r="T529" t="s">
        <v>49</v>
      </c>
      <c r="U529">
        <v>2.93310463121783E-2</v>
      </c>
      <c r="V529">
        <v>0</v>
      </c>
      <c r="W529">
        <v>0</v>
      </c>
      <c r="X529">
        <v>9.5428450788995506E-2</v>
      </c>
      <c r="Y529">
        <v>4.8534797364551997E-2</v>
      </c>
      <c r="Z529">
        <v>4.6846649525220899E-2</v>
      </c>
      <c r="AA529">
        <v>0</v>
      </c>
      <c r="AB529">
        <v>4.9120001494884491E-3</v>
      </c>
      <c r="AC529">
        <v>6.2999999499879777E-5</v>
      </c>
      <c r="AD529">
        <v>5.1890001632273197E-3</v>
      </c>
      <c r="AE529">
        <v>4.8190001398324966E-3</v>
      </c>
      <c r="AF529">
        <f>0.16*X529 + 0.28*Y529 + 0.28*Z529 + 0.28*AA529</f>
        <v>4.1975357255375698E-2</v>
      </c>
      <c r="AG529">
        <f t="shared" si="24"/>
        <v>3.6058001086348669E-3</v>
      </c>
      <c r="AH529">
        <f>IF(T529="IT_Admin", 0.25, IF(AND(T529="HR", AA529&gt;0.6), 0.25, IF(AND(T529="General", Z529&gt;0.7), 0.2, 0.1)))</f>
        <v>0.1</v>
      </c>
      <c r="AI529">
        <f>IF(V529&gt;0.7, 0.1,
 IF(F529&gt;0.5, 0.08,
 IF(E529&gt;0.5, 0.05,
 0)))</f>
        <v>0</v>
      </c>
      <c r="AJ529">
        <f t="shared" si="25"/>
        <v>1.5116667252657116E-2</v>
      </c>
      <c r="AK529">
        <f t="shared" si="26"/>
        <v>1.6628333977922828E-2</v>
      </c>
      <c r="AL529" t="str">
        <f>IF(MAX(X529, Y529, Z529, AA529)&gt;0.9,
 "Critical",
 IF(AK529&lt;=0.2,"Very Low",
 IF(AK529&lt;=0.4,"Low",
 IF(AK529&lt;=0.6,"Medium",
 IF(AK529&lt;=0.8,"High","Critical")))))</f>
        <v>Very Low</v>
      </c>
      <c r="AM529" t="str">
        <f>IF(MAX(X529:AA529)&gt;0.9,"CRITICAL ALERT",
 IF(AK529&gt;0.8,"CRITICAL ALERT",
 IF(AK529&gt;0.6,"ALERT",
 IF(AK529&gt;=0.4,"REVIEW","NO ACTION"))))</f>
        <v>NO ACTION</v>
      </c>
      <c r="AN529" t="str">
        <f>IF(AM529="NO ACTION","",
 IF(_xlfn.TEXTJOIN(", ", TRUE,
  IF(X529&gt;0.7,"Login anomaly",""),
  IF(Y529&gt;0.7,"File anomaly",""),
  IF(Z529&gt;0.7,"Network anomaly",""),
  IF(AA529&gt;0.7,"USB anomaly","")
 )="",
 "General anomaly detected",
 _xlfn.TEXTJOIN(", ", TRUE,
  IF(X529&gt;0.7,"Login anomaly",""),
  IF(Y529&gt;0.7,"File anomaly",""),
  IF(Z529&gt;0.7,"Network anomaly",""),
  IF(AA529&gt;0.7,"USB anomaly","")
 )))</f>
        <v/>
      </c>
    </row>
    <row r="530" spans="1:40" x14ac:dyDescent="0.3">
      <c r="A530" t="s">
        <v>553</v>
      </c>
      <c r="B530">
        <v>0.17240075614366701</v>
      </c>
      <c r="C530">
        <v>0.36149835529996099</v>
      </c>
      <c r="D530">
        <v>0.289541309166925</v>
      </c>
      <c r="E530">
        <v>0</v>
      </c>
      <c r="F530">
        <v>0</v>
      </c>
      <c r="G530">
        <v>0.707596735063999</v>
      </c>
      <c r="H530">
        <v>7</v>
      </c>
      <c r="I530">
        <v>14</v>
      </c>
      <c r="J530">
        <v>5.7630838223367203E-2</v>
      </c>
      <c r="K530">
        <v>8.9722675367047301E-3</v>
      </c>
      <c r="L530">
        <v>3.9603360997402103E-2</v>
      </c>
      <c r="M530">
        <v>2.3088023088023001E-3</v>
      </c>
      <c r="N530">
        <v>2.4110139196701401E-2</v>
      </c>
      <c r="O530">
        <v>729</v>
      </c>
      <c r="P530">
        <v>4.7348484848484799E-2</v>
      </c>
      <c r="Q530">
        <v>4.75121848592166E-2</v>
      </c>
      <c r="R530">
        <v>0</v>
      </c>
      <c r="S530">
        <v>0</v>
      </c>
      <c r="T530" t="s">
        <v>49</v>
      </c>
      <c r="U530">
        <v>2.0754716981132001E-2</v>
      </c>
      <c r="V530">
        <v>0</v>
      </c>
      <c r="W530">
        <v>0</v>
      </c>
      <c r="X530">
        <v>8.6862392750077705E-2</v>
      </c>
      <c r="Y530">
        <v>3.8560889902384897E-2</v>
      </c>
      <c r="Z530">
        <v>3.8053146587771397E-2</v>
      </c>
      <c r="AA530">
        <v>0</v>
      </c>
      <c r="AB530">
        <v>1.8850000342354181E-3</v>
      </c>
      <c r="AC530">
        <v>1.500000071246177E-4</v>
      </c>
      <c r="AD530">
        <v>7.3389997705817223E-3</v>
      </c>
      <c r="AE530">
        <v>4.6810000203549862E-3</v>
      </c>
      <c r="AF530">
        <f>0.16*X530 + 0.28*Y530 + 0.28*Z530 + 0.28*AA530</f>
        <v>3.5349913057256196E-2</v>
      </c>
      <c r="AG530">
        <f t="shared" si="24"/>
        <v>3.7091999489348385E-3</v>
      </c>
      <c r="AH530">
        <f>IF(T530="IT_Admin", 0.25, IF(AND(T530="HR", AA530&gt;0.6), 0.25, IF(AND(T530="General", Z530&gt;0.7), 0.2, 0.1)))</f>
        <v>0.1</v>
      </c>
      <c r="AI530">
        <f>IF(V530&gt;0.7, 0.1,
 IF(F530&gt;0.5, 0.08,
 IF(E530&gt;0.5, 0.05,
 0)))</f>
        <v>0</v>
      </c>
      <c r="AJ530">
        <f t="shared" si="25"/>
        <v>1.3201413881431246E-2</v>
      </c>
      <c r="AK530">
        <f t="shared" si="26"/>
        <v>1.4521555269574372E-2</v>
      </c>
      <c r="AL530" t="str">
        <f>IF(MAX(X530, Y530, Z530, AA530)&gt;0.9,
 "Critical",
 IF(AK530&lt;=0.2,"Very Low",
 IF(AK530&lt;=0.4,"Low",
 IF(AK530&lt;=0.6,"Medium",
 IF(AK530&lt;=0.8,"High","Critical")))))</f>
        <v>Very Low</v>
      </c>
      <c r="AM530" t="str">
        <f>IF(MAX(X530:AA530)&gt;0.9,"CRITICAL ALERT",
 IF(AK530&gt;0.8,"CRITICAL ALERT",
 IF(AK530&gt;0.6,"ALERT",
 IF(AK530&gt;=0.4,"REVIEW","NO ACTION"))))</f>
        <v>NO ACTION</v>
      </c>
      <c r="AN530" t="str">
        <f>IF(AM530="NO ACTION","",
 IF(_xlfn.TEXTJOIN(", ", TRUE,
  IF(X530&gt;0.7,"Login anomaly",""),
  IF(Y530&gt;0.7,"File anomaly",""),
  IF(Z530&gt;0.7,"Network anomaly",""),
  IF(AA530&gt;0.7,"USB anomaly","")
 )="",
 "General anomaly detected",
 _xlfn.TEXTJOIN(", ", TRUE,
  IF(X530&gt;0.7,"Login anomaly",""),
  IF(Y530&gt;0.7,"File anomaly",""),
  IF(Z530&gt;0.7,"Network anomaly",""),
  IF(AA530&gt;0.7,"USB anomaly","")
 )))</f>
        <v/>
      </c>
    </row>
    <row r="531" spans="1:40" x14ac:dyDescent="0.3">
      <c r="A531" t="s">
        <v>554</v>
      </c>
      <c r="B531">
        <v>0.22722117202268399</v>
      </c>
      <c r="C531">
        <v>0.65263565330939999</v>
      </c>
      <c r="D531">
        <v>0.36645455204285599</v>
      </c>
      <c r="E531">
        <v>0</v>
      </c>
      <c r="F531">
        <v>0</v>
      </c>
      <c r="G531">
        <v>0.50196678468489198</v>
      </c>
      <c r="H531">
        <v>7</v>
      </c>
      <c r="I531">
        <v>14</v>
      </c>
      <c r="J531">
        <v>0.114689184676303</v>
      </c>
      <c r="K531">
        <v>1.30505709624796E-2</v>
      </c>
      <c r="L531">
        <v>2.9005699469322601E-2</v>
      </c>
      <c r="M531">
        <v>3.4632034632034602E-3</v>
      </c>
      <c r="N531">
        <v>1.8210210987296901E-2</v>
      </c>
      <c r="O531">
        <v>1221</v>
      </c>
      <c r="P531">
        <v>9.1610549943883193E-2</v>
      </c>
      <c r="Q531">
        <v>9.1763385812966794E-2</v>
      </c>
      <c r="R531">
        <v>0</v>
      </c>
      <c r="S531">
        <v>0</v>
      </c>
      <c r="T531" t="s">
        <v>24</v>
      </c>
      <c r="U531">
        <v>2.0899854862119E-2</v>
      </c>
      <c r="V531">
        <v>0</v>
      </c>
      <c r="W531">
        <v>0</v>
      </c>
      <c r="X531">
        <v>0.109936365612857</v>
      </c>
      <c r="Y531">
        <v>4.2903749966111099E-2</v>
      </c>
      <c r="Z531">
        <v>6.2250414361248702E-2</v>
      </c>
      <c r="AA531">
        <v>0</v>
      </c>
      <c r="AB531">
        <v>2.148899994790554E-2</v>
      </c>
      <c r="AC531">
        <v>1.2399999832268799E-4</v>
      </c>
      <c r="AD531">
        <v>2.0880000665783882E-3</v>
      </c>
      <c r="AE531">
        <v>6.8620000965893269E-3</v>
      </c>
      <c r="AF531">
        <f>0.16*X531 + 0.28*Y531 + 0.28*Z531 + 0.28*AA531</f>
        <v>4.7032984509717865E-2</v>
      </c>
      <c r="AG531">
        <f t="shared" si="24"/>
        <v>5.9789600368821997E-3</v>
      </c>
      <c r="AH531">
        <f>IF(T531="IT_Admin", 0.25, IF(AND(T531="HR", AA531&gt;0.6), 0.25, IF(AND(T531="General", Z531&gt;0.7), 0.2, 0.1)))</f>
        <v>0.25</v>
      </c>
      <c r="AI531">
        <f>IF(V531&gt;0.7, 0.1,
 IF(F531&gt;0.5, 0.08,
 IF(E531&gt;0.5, 0.05,
 0)))</f>
        <v>0</v>
      </c>
      <c r="AJ531">
        <f t="shared" si="25"/>
        <v>1.82951673787329E-2</v>
      </c>
      <c r="AK531">
        <f t="shared" si="26"/>
        <v>2.2868959223416127E-2</v>
      </c>
      <c r="AL531" t="str">
        <f>IF(MAX(X531, Y531, Z531, AA531)&gt;0.9,
 "Critical",
 IF(AK531&lt;=0.2,"Very Low",
 IF(AK531&lt;=0.4,"Low",
 IF(AK531&lt;=0.6,"Medium",
 IF(AK531&lt;=0.8,"High","Critical")))))</f>
        <v>Very Low</v>
      </c>
      <c r="AM531" t="str">
        <f>IF(MAX(X531:AA531)&gt;0.9,"CRITICAL ALERT",
 IF(AK531&gt;0.8,"CRITICAL ALERT",
 IF(AK531&gt;0.6,"ALERT",
 IF(AK531&gt;=0.4,"REVIEW","NO ACTION"))))</f>
        <v>NO ACTION</v>
      </c>
      <c r="AN531" t="str">
        <f>IF(AM531="NO ACTION","",
 IF(_xlfn.TEXTJOIN(", ", TRUE,
  IF(X531&gt;0.7,"Login anomaly",""),
  IF(Y531&gt;0.7,"File anomaly",""),
  IF(Z531&gt;0.7,"Network anomaly",""),
  IF(AA531&gt;0.7,"USB anomaly","")
 )="",
 "General anomaly detected",
 _xlfn.TEXTJOIN(", ", TRUE,
  IF(X531&gt;0.7,"Login anomaly",""),
  IF(Y531&gt;0.7,"File anomaly",""),
  IF(Z531&gt;0.7,"Network anomaly",""),
  IF(AA531&gt;0.7,"USB anomaly","")
 )))</f>
        <v/>
      </c>
    </row>
    <row r="532" spans="1:40" x14ac:dyDescent="0.3">
      <c r="A532" t="s">
        <v>555</v>
      </c>
      <c r="B532">
        <v>0.12892249527410199</v>
      </c>
      <c r="C532">
        <v>0.36953165208440503</v>
      </c>
      <c r="D532">
        <v>0</v>
      </c>
      <c r="E532">
        <v>0</v>
      </c>
      <c r="F532">
        <v>0</v>
      </c>
      <c r="G532">
        <v>0.99365680948753898</v>
      </c>
      <c r="H532">
        <v>8</v>
      </c>
      <c r="I532">
        <v>8</v>
      </c>
      <c r="J532">
        <v>8.9976623252707402E-2</v>
      </c>
      <c r="K532">
        <v>6.5252854812398002E-3</v>
      </c>
      <c r="L532">
        <v>1.8475602861342699E-2</v>
      </c>
      <c r="M532">
        <v>9.23520923520923E-3</v>
      </c>
      <c r="N532">
        <v>6.1862715696665897E-2</v>
      </c>
      <c r="O532">
        <v>618</v>
      </c>
      <c r="P532">
        <v>7.3442760942760907E-2</v>
      </c>
      <c r="Q532">
        <v>7.3600056102948896E-2</v>
      </c>
      <c r="R532">
        <v>0</v>
      </c>
      <c r="S532">
        <v>0</v>
      </c>
      <c r="T532" t="s">
        <v>49</v>
      </c>
      <c r="U532">
        <v>4.11663807890223E-3</v>
      </c>
      <c r="V532">
        <v>0</v>
      </c>
      <c r="W532">
        <v>0</v>
      </c>
      <c r="X532">
        <v>0</v>
      </c>
      <c r="Y532">
        <v>4.57919407902126E-2</v>
      </c>
      <c r="Z532">
        <v>6.8810742844322897E-2</v>
      </c>
      <c r="AA532">
        <v>0</v>
      </c>
      <c r="AB532">
        <v>2.5198999792337421E-2</v>
      </c>
      <c r="AC532">
        <v>1.0010000551119449E-3</v>
      </c>
      <c r="AD532">
        <v>3.2259998843073841E-3</v>
      </c>
      <c r="AE532">
        <v>2.9249999206513171E-3</v>
      </c>
      <c r="AF532">
        <f>0.16*X532 + 0.28*Y532 + 0.28*Z532 + 0.28*AA532</f>
        <v>3.2088751417669939E-2</v>
      </c>
      <c r="AG532">
        <f t="shared" si="24"/>
        <v>6.0343999275937693E-3</v>
      </c>
      <c r="AH532">
        <f>IF(T532="IT_Admin", 0.25, IF(AND(T532="HR", AA532&gt;0.6), 0.25, IF(AND(T532="General", Z532&gt;0.7), 0.2, 0.1)))</f>
        <v>0.1</v>
      </c>
      <c r="AI532">
        <f>IF(V532&gt;0.7, 0.1,
 IF(F532&gt;0.5, 0.08,
 IF(E532&gt;0.5, 0.05,
 0)))</f>
        <v>0</v>
      </c>
      <c r="AJ532">
        <f t="shared" si="25"/>
        <v>1.385070537461662E-2</v>
      </c>
      <c r="AK532">
        <f t="shared" si="26"/>
        <v>1.5235775912078284E-2</v>
      </c>
      <c r="AL532" t="str">
        <f>IF(MAX(X532, Y532, Z532, AA532)&gt;0.9,
 "Critical",
 IF(AK532&lt;=0.2,"Very Low",
 IF(AK532&lt;=0.4,"Low",
 IF(AK532&lt;=0.6,"Medium",
 IF(AK532&lt;=0.8,"High","Critical")))))</f>
        <v>Very Low</v>
      </c>
      <c r="AM532" t="str">
        <f>IF(MAX(X532:AA532)&gt;0.9,"CRITICAL ALERT",
 IF(AK532&gt;0.8,"CRITICAL ALERT",
 IF(AK532&gt;0.6,"ALERT",
 IF(AK532&gt;=0.4,"REVIEW","NO ACTION"))))</f>
        <v>NO ACTION</v>
      </c>
      <c r="AN532" t="str">
        <f>IF(AM532="NO ACTION","",
 IF(_xlfn.TEXTJOIN(", ", TRUE,
  IF(X532&gt;0.7,"Login anomaly",""),
  IF(Y532&gt;0.7,"File anomaly",""),
  IF(Z532&gt;0.7,"Network anomaly",""),
  IF(AA532&gt;0.7,"USB anomaly","")
 )="",
 "General anomaly detected",
 _xlfn.TEXTJOIN(", ", TRUE,
  IF(X532&gt;0.7,"Login anomaly",""),
  IF(Y532&gt;0.7,"File anomaly",""),
  IF(Z532&gt;0.7,"Network anomaly",""),
  IF(AA532&gt;0.7,"USB anomaly","")
 )))</f>
        <v/>
      </c>
    </row>
    <row r="533" spans="1:40" x14ac:dyDescent="0.3">
      <c r="A533" t="s">
        <v>556</v>
      </c>
      <c r="B533">
        <v>0.275992438563327</v>
      </c>
      <c r="C533">
        <v>0.733777088437358</v>
      </c>
      <c r="D533">
        <v>0.38677604146639</v>
      </c>
      <c r="E533">
        <v>0</v>
      </c>
      <c r="F533">
        <v>0</v>
      </c>
      <c r="G533">
        <v>0.38770383892092902</v>
      </c>
      <c r="H533">
        <v>7</v>
      </c>
      <c r="I533">
        <v>17</v>
      </c>
      <c r="J533">
        <v>9.13124373837126E-2</v>
      </c>
      <c r="K533">
        <v>1.2234910277324601E-2</v>
      </c>
      <c r="L533">
        <v>3.4136299841192402E-2</v>
      </c>
      <c r="M533">
        <v>1.1544011544011501E-3</v>
      </c>
      <c r="N533">
        <v>7.6200101213128799E-3</v>
      </c>
      <c r="O533">
        <v>615</v>
      </c>
      <c r="P533">
        <v>7.29517396184063E-2</v>
      </c>
      <c r="Q533">
        <v>7.3109155299975401E-2</v>
      </c>
      <c r="R533">
        <v>0</v>
      </c>
      <c r="S533">
        <v>0</v>
      </c>
      <c r="T533" t="s">
        <v>49</v>
      </c>
      <c r="U533">
        <v>5.0943396226415097E-2</v>
      </c>
      <c r="V533">
        <v>0</v>
      </c>
      <c r="W533">
        <v>0</v>
      </c>
      <c r="X533">
        <v>0.116032812439917</v>
      </c>
      <c r="Y533">
        <v>3.7616640433732598E-2</v>
      </c>
      <c r="Z533">
        <v>4.6819047819568901E-2</v>
      </c>
      <c r="AA533">
        <v>0</v>
      </c>
      <c r="AB533">
        <v>5.4230999201536179E-2</v>
      </c>
      <c r="AC533">
        <v>1.4299999747890979E-4</v>
      </c>
      <c r="AD533">
        <v>4.0649999864399433E-3</v>
      </c>
      <c r="AE533">
        <v>9.8240002989768982E-3</v>
      </c>
      <c r="AF533">
        <f>0.16*X533 + 0.28*Y533 + 0.28*Z533 + 0.28*AA533</f>
        <v>4.220724270131114E-2</v>
      </c>
      <c r="AG533">
        <f t="shared" si="24"/>
        <v>1.2605919951456598E-2</v>
      </c>
      <c r="AH533">
        <f>IF(T533="IT_Admin", 0.25, IF(AND(T533="HR", AA533&gt;0.6), 0.25, IF(AND(T533="General", Z533&gt;0.7), 0.2, 0.1)))</f>
        <v>0.1</v>
      </c>
      <c r="AI533">
        <f>IF(V533&gt;0.7, 0.1,
 IF(F533&gt;0.5, 0.08,
 IF(E533&gt;0.5, 0.05,
 0)))</f>
        <v>0</v>
      </c>
      <c r="AJ533">
        <f t="shared" si="25"/>
        <v>2.148631677641296E-2</v>
      </c>
      <c r="AK533">
        <f t="shared" si="26"/>
        <v>2.3634948454054259E-2</v>
      </c>
      <c r="AL533" t="str">
        <f>IF(MAX(X533, Y533, Z533, AA533)&gt;0.9,
 "Critical",
 IF(AK533&lt;=0.2,"Very Low",
 IF(AK533&lt;=0.4,"Low",
 IF(AK533&lt;=0.6,"Medium",
 IF(AK533&lt;=0.8,"High","Critical")))))</f>
        <v>Very Low</v>
      </c>
      <c r="AM533" t="str">
        <f>IF(MAX(X533:AA533)&gt;0.9,"CRITICAL ALERT",
 IF(AK533&gt;0.8,"CRITICAL ALERT",
 IF(AK533&gt;0.6,"ALERT",
 IF(AK533&gt;=0.4,"REVIEW","NO ACTION"))))</f>
        <v>NO ACTION</v>
      </c>
      <c r="AN533" t="str">
        <f>IF(AM533="NO ACTION","",
 IF(_xlfn.TEXTJOIN(", ", TRUE,
  IF(X533&gt;0.7,"Login anomaly",""),
  IF(Y533&gt;0.7,"File anomaly",""),
  IF(Z533&gt;0.7,"Network anomaly",""),
  IF(AA533&gt;0.7,"USB anomaly","")
 )="",
 "General anomaly detected",
 _xlfn.TEXTJOIN(", ", TRUE,
  IF(X533&gt;0.7,"Login anomaly",""),
  IF(Y533&gt;0.7,"File anomaly",""),
  IF(Z533&gt;0.7,"Network anomaly",""),
  IF(AA533&gt;0.7,"USB anomaly","")
 )))</f>
        <v/>
      </c>
    </row>
    <row r="534" spans="1:40" x14ac:dyDescent="0.3">
      <c r="A534" t="s">
        <v>557</v>
      </c>
      <c r="B534">
        <v>0.2351606805293</v>
      </c>
      <c r="C534">
        <v>0.740834222629279</v>
      </c>
      <c r="D534">
        <v>0.34415284999038898</v>
      </c>
      <c r="E534">
        <v>0</v>
      </c>
      <c r="F534">
        <v>0</v>
      </c>
      <c r="G534">
        <v>0.48033798575439501</v>
      </c>
      <c r="H534">
        <v>8</v>
      </c>
      <c r="I534">
        <v>14</v>
      </c>
      <c r="J534">
        <v>0.102523734554649</v>
      </c>
      <c r="K534">
        <v>1.38662316476345E-2</v>
      </c>
      <c r="L534">
        <v>3.4466991944265599E-2</v>
      </c>
      <c r="M534">
        <v>4.0404040404040404E-3</v>
      </c>
      <c r="N534">
        <v>2.3760351894056599E-2</v>
      </c>
      <c r="O534">
        <v>1133</v>
      </c>
      <c r="P534">
        <v>8.32982603815937E-2</v>
      </c>
      <c r="Q534">
        <v>8.3453136505487496E-2</v>
      </c>
      <c r="R534">
        <v>0.86578171091445399</v>
      </c>
      <c r="S534">
        <v>1</v>
      </c>
      <c r="T534" t="s">
        <v>24</v>
      </c>
      <c r="U534">
        <v>1.9245283018867899E-2</v>
      </c>
      <c r="V534">
        <v>0</v>
      </c>
      <c r="W534">
        <v>0</v>
      </c>
      <c r="X534">
        <v>0.103245854997116</v>
      </c>
      <c r="Y534">
        <v>4.4866348451279597E-2</v>
      </c>
      <c r="Z534">
        <v>5.9483096986578797E-2</v>
      </c>
      <c r="AA534">
        <v>0.86578171091445399</v>
      </c>
      <c r="AB534">
        <v>3.2520998269319527E-2</v>
      </c>
      <c r="AC534">
        <v>1.270000066142529E-4</v>
      </c>
      <c r="AD534">
        <v>2.327000023797154E-3</v>
      </c>
      <c r="AE534">
        <v>0.75812900066375732</v>
      </c>
      <c r="AF534">
        <f>0.16*X534 + 0.28*Y534 + 0.28*Z534 + 0.28*AA534</f>
        <v>0.28815606057818605</v>
      </c>
      <c r="AG534">
        <f t="shared" si="24"/>
        <v>0.21816659991745838</v>
      </c>
      <c r="AH534">
        <f>IF(T534="IT_Admin", 0.25, IF(AND(T534="HR", AA534&gt;0.6), 0.25, IF(AND(T534="General", Z534&gt;0.7), 0.2, 0.1)))</f>
        <v>0.25</v>
      </c>
      <c r="AI534">
        <f>IF(V534&gt;0.7, 0.1,
 IF(F534&gt;0.5, 0.08,
 IF(E534&gt;0.5, 0.05,
 0)))</f>
        <v>0</v>
      </c>
      <c r="AJ534">
        <f t="shared" si="25"/>
        <v>0.23916343811567667</v>
      </c>
      <c r="AK534">
        <f t="shared" si="26"/>
        <v>0.29895429764459586</v>
      </c>
      <c r="AL534" t="str">
        <f>IF(MAX(X534, Y534, Z534, AA534)&gt;0.9,
 "Critical",
 IF(AK534&lt;=0.2,"Very Low",
 IF(AK534&lt;=0.4,"Low",
 IF(AK534&lt;=0.6,"Medium",
 IF(AK534&lt;=0.8,"High","Critical")))))</f>
        <v>Low</v>
      </c>
      <c r="AM534" t="str">
        <f>IF(MAX(X534:AA534)&gt;0.9,"CRITICAL ALERT",
 IF(AK534&gt;0.8,"CRITICAL ALERT",
 IF(AK534&gt;0.6,"ALERT",
 IF(AK534&gt;=0.4,"REVIEW","NO ACTION"))))</f>
        <v>NO ACTION</v>
      </c>
      <c r="AN534" t="str">
        <f>IF(AM534="NO ACTION","",
 IF(_xlfn.TEXTJOIN(", ", TRUE,
  IF(X534&gt;0.7,"Login anomaly",""),
  IF(Y534&gt;0.7,"File anomaly",""),
  IF(Z534&gt;0.7,"Network anomaly",""),
  IF(AA534&gt;0.7,"USB anomaly","")
 )="",
 "General anomaly detected",
 _xlfn.TEXTJOIN(", ", TRUE,
  IF(X534&gt;0.7,"Login anomaly",""),
  IF(Y534&gt;0.7,"File anomaly",""),
  IF(Z534&gt;0.7,"Network anomaly",""),
  IF(AA534&gt;0.7,"USB anomaly","")
 )))</f>
        <v/>
      </c>
    </row>
    <row r="535" spans="1:40" x14ac:dyDescent="0.3">
      <c r="A535" t="s">
        <v>558</v>
      </c>
      <c r="B535">
        <v>0.238941398865784</v>
      </c>
      <c r="C535">
        <v>0.60194149616264703</v>
      </c>
      <c r="D535">
        <v>0.38172274225291702</v>
      </c>
      <c r="E535">
        <v>0</v>
      </c>
      <c r="F535">
        <v>0</v>
      </c>
      <c r="G535">
        <v>0.47050151088657999</v>
      </c>
      <c r="H535">
        <v>7</v>
      </c>
      <c r="I535">
        <v>16</v>
      </c>
      <c r="J535">
        <v>9.1646390916463899E-2</v>
      </c>
      <c r="K535">
        <v>1.5497553017944501E-2</v>
      </c>
      <c r="L535">
        <v>4.3082160903763198E-2</v>
      </c>
      <c r="M535">
        <v>3.7518037518037501E-3</v>
      </c>
      <c r="N535">
        <v>2.46750249865514E-2</v>
      </c>
      <c r="O535">
        <v>1038</v>
      </c>
      <c r="P535">
        <v>7.5862794612794604E-2</v>
      </c>
      <c r="Q535">
        <v>7.6019495774746607E-2</v>
      </c>
      <c r="R535">
        <v>0.20796460176991099</v>
      </c>
      <c r="S535">
        <v>1</v>
      </c>
      <c r="T535" t="s">
        <v>49</v>
      </c>
      <c r="U535">
        <v>2.3045822102425801E-2</v>
      </c>
      <c r="V535">
        <v>0</v>
      </c>
      <c r="W535">
        <v>0</v>
      </c>
      <c r="X535">
        <v>0.114516822675875</v>
      </c>
      <c r="Y535">
        <v>4.7272866131139797E-2</v>
      </c>
      <c r="Z535">
        <v>5.53876867622973E-2</v>
      </c>
      <c r="AA535">
        <v>0.20796460176991099</v>
      </c>
      <c r="AB535">
        <v>2.7391999959945679E-2</v>
      </c>
      <c r="AC535">
        <v>9.899999713525176E-5</v>
      </c>
      <c r="AD535">
        <v>3.212000010535121E-3</v>
      </c>
      <c r="AE535">
        <v>7.0909999310970306E-2</v>
      </c>
      <c r="AF535">
        <f>0.16*X535 + 0.28*Y535 + 0.28*Z535 + 0.28*AA535</f>
        <v>0.10529773493387748</v>
      </c>
      <c r="AG535">
        <f t="shared" si="24"/>
        <v>2.5164599802810699E-2</v>
      </c>
      <c r="AH535">
        <f>IF(T535="IT_Admin", 0.25, IF(AND(T535="HR", AA535&gt;0.6), 0.25, IF(AND(T535="General", Z535&gt;0.7), 0.2, 0.1)))</f>
        <v>0.1</v>
      </c>
      <c r="AI535">
        <f>IF(V535&gt;0.7, 0.1,
 IF(F535&gt;0.5, 0.08,
 IF(E535&gt;0.5, 0.05,
 0)))</f>
        <v>0</v>
      </c>
      <c r="AJ535">
        <f t="shared" si="25"/>
        <v>4.9204540342130731E-2</v>
      </c>
      <c r="AK535">
        <f t="shared" si="26"/>
        <v>5.4124994376343806E-2</v>
      </c>
      <c r="AL535" t="str">
        <f>IF(MAX(X535, Y535, Z535, AA535)&gt;0.9,
 "Critical",
 IF(AK535&lt;=0.2,"Very Low",
 IF(AK535&lt;=0.4,"Low",
 IF(AK535&lt;=0.6,"Medium",
 IF(AK535&lt;=0.8,"High","Critical")))))</f>
        <v>Very Low</v>
      </c>
      <c r="AM535" t="str">
        <f>IF(MAX(X535:AA535)&gt;0.9,"CRITICAL ALERT",
 IF(AK535&gt;0.8,"CRITICAL ALERT",
 IF(AK535&gt;0.6,"ALERT",
 IF(AK535&gt;=0.4,"REVIEW","NO ACTION"))))</f>
        <v>NO ACTION</v>
      </c>
      <c r="AN535" t="str">
        <f>IF(AM535="NO ACTION","",
 IF(_xlfn.TEXTJOIN(", ", TRUE,
  IF(X535&gt;0.7,"Login anomaly",""),
  IF(Y535&gt;0.7,"File anomaly",""),
  IF(Z535&gt;0.7,"Network anomaly",""),
  IF(AA535&gt;0.7,"USB anomaly","")
 )="",
 "General anomaly detected",
 _xlfn.TEXTJOIN(", ", TRUE,
  IF(X535&gt;0.7,"Login anomaly",""),
  IF(Y535&gt;0.7,"File anomaly",""),
  IF(Z535&gt;0.7,"Network anomaly",""),
  IF(AA535&gt;0.7,"USB anomaly","")
 )))</f>
        <v/>
      </c>
    </row>
    <row r="536" spans="1:40" x14ac:dyDescent="0.3">
      <c r="A536" t="s">
        <v>559</v>
      </c>
      <c r="B536">
        <v>0.257088846880907</v>
      </c>
      <c r="C536">
        <v>0.64316875995100098</v>
      </c>
      <c r="D536">
        <v>0.40127326119988699</v>
      </c>
      <c r="E536">
        <v>0</v>
      </c>
      <c r="F536">
        <v>0</v>
      </c>
      <c r="G536">
        <v>0.42698591131831798</v>
      </c>
      <c r="H536">
        <v>7</v>
      </c>
      <c r="I536">
        <v>17</v>
      </c>
      <c r="J536">
        <v>9.4699680358761501E-2</v>
      </c>
      <c r="K536">
        <v>1.9575856443719401E-2</v>
      </c>
      <c r="L536">
        <v>5.2669394488641899E-2</v>
      </c>
      <c r="M536">
        <v>3.1746031746031698E-3</v>
      </c>
      <c r="N536">
        <v>2.0207386137034301E-2</v>
      </c>
      <c r="O536">
        <v>1135</v>
      </c>
      <c r="P536">
        <v>7.9580527497194103E-2</v>
      </c>
      <c r="Q536">
        <v>7.97363161401171E-2</v>
      </c>
      <c r="R536">
        <v>0.19469026548672499</v>
      </c>
      <c r="S536">
        <v>1</v>
      </c>
      <c r="T536" t="s">
        <v>49</v>
      </c>
      <c r="U536">
        <v>3.3962264150943298E-2</v>
      </c>
      <c r="V536">
        <v>0</v>
      </c>
      <c r="W536">
        <v>0</v>
      </c>
      <c r="X536">
        <v>0.120381978359966</v>
      </c>
      <c r="Y536">
        <v>5.1336849157183499E-2</v>
      </c>
      <c r="Z536">
        <v>5.5831270953130202E-2</v>
      </c>
      <c r="AA536">
        <v>0.19469026548672499</v>
      </c>
      <c r="AB536">
        <v>4.084400087594986E-2</v>
      </c>
      <c r="AC536">
        <v>8.6000000010244548E-5</v>
      </c>
      <c r="AD536">
        <v>2.9249999206513171E-3</v>
      </c>
      <c r="AE536">
        <v>6.7760996520519257E-2</v>
      </c>
      <c r="AF536">
        <f>0.16*X536 + 0.28*Y536 + 0.28*Z536 + 0.28*AA536</f>
        <v>0.1037814645047654</v>
      </c>
      <c r="AG536">
        <f t="shared" si="24"/>
        <v>2.6351199143682606E-2</v>
      </c>
      <c r="AH536">
        <f>IF(T536="IT_Admin", 0.25, IF(AND(T536="HR", AA536&gt;0.6), 0.25, IF(AND(T536="General", Z536&gt;0.7), 0.2, 0.1)))</f>
        <v>0.1</v>
      </c>
      <c r="AI536">
        <f>IF(V536&gt;0.7, 0.1,
 IF(F536&gt;0.5, 0.08,
 IF(E536&gt;0.5, 0.05,
 0)))</f>
        <v>0</v>
      </c>
      <c r="AJ536">
        <f t="shared" si="25"/>
        <v>4.9580278752007441E-2</v>
      </c>
      <c r="AK536">
        <f t="shared" si="26"/>
        <v>5.453830662720819E-2</v>
      </c>
      <c r="AL536" t="str">
        <f>IF(MAX(X536, Y536, Z536, AA536)&gt;0.9,
 "Critical",
 IF(AK536&lt;=0.2,"Very Low",
 IF(AK536&lt;=0.4,"Low",
 IF(AK536&lt;=0.6,"Medium",
 IF(AK536&lt;=0.8,"High","Critical")))))</f>
        <v>Very Low</v>
      </c>
      <c r="AM536" t="str">
        <f>IF(MAX(X536:AA536)&gt;0.9,"CRITICAL ALERT",
 IF(AK536&gt;0.8,"CRITICAL ALERT",
 IF(AK536&gt;0.6,"ALERT",
 IF(AK536&gt;=0.4,"REVIEW","NO ACTION"))))</f>
        <v>NO ACTION</v>
      </c>
      <c r="AN536" t="str">
        <f>IF(AM536="NO ACTION","",
 IF(_xlfn.TEXTJOIN(", ", TRUE,
  IF(X536&gt;0.7,"Login anomaly",""),
  IF(Y536&gt;0.7,"File anomaly",""),
  IF(Z536&gt;0.7,"Network anomaly",""),
  IF(AA536&gt;0.7,"USB anomaly","")
 )="",
 "General anomaly detected",
 _xlfn.TEXTJOIN(", ", TRUE,
  IF(X536&gt;0.7,"Login anomaly",""),
  IF(Y536&gt;0.7,"File anomaly",""),
  IF(Z536&gt;0.7,"Network anomaly",""),
  IF(AA536&gt;0.7,"USB anomaly","")
 )))</f>
        <v/>
      </c>
    </row>
    <row r="537" spans="1:40" x14ac:dyDescent="0.3">
      <c r="A537" t="s">
        <v>560</v>
      </c>
      <c r="B537">
        <v>0.12892249527410199</v>
      </c>
      <c r="C537">
        <v>0.18476582604220201</v>
      </c>
      <c r="D537">
        <v>0</v>
      </c>
      <c r="E537">
        <v>0</v>
      </c>
      <c r="F537">
        <v>0</v>
      </c>
      <c r="G537">
        <v>0.99365790675819099</v>
      </c>
      <c r="H537">
        <v>7</v>
      </c>
      <c r="I537">
        <v>7</v>
      </c>
      <c r="J537">
        <v>7.8574495491627303E-2</v>
      </c>
      <c r="K537">
        <v>4.8939641109298502E-3</v>
      </c>
      <c r="L537">
        <v>1.5861394526694501E-2</v>
      </c>
      <c r="M537">
        <v>2.0202020202020202E-3</v>
      </c>
      <c r="N537">
        <v>1.54902536258468E-2</v>
      </c>
      <c r="O537">
        <v>822</v>
      </c>
      <c r="P537">
        <v>6.0851571268237897E-2</v>
      </c>
      <c r="Q537">
        <v>6.1011956940986697E-2</v>
      </c>
      <c r="R537">
        <v>0</v>
      </c>
      <c r="S537">
        <v>0</v>
      </c>
      <c r="T537" t="s">
        <v>49</v>
      </c>
      <c r="U537">
        <v>1.27358490566037E-2</v>
      </c>
      <c r="V537">
        <v>0</v>
      </c>
      <c r="W537">
        <v>0</v>
      </c>
      <c r="X537">
        <v>0</v>
      </c>
      <c r="Y537">
        <v>2.8292672449426699E-2</v>
      </c>
      <c r="Z537">
        <v>4.2707044211281499E-2</v>
      </c>
      <c r="AA537">
        <v>0</v>
      </c>
      <c r="AB537">
        <v>3.6639999598264687E-2</v>
      </c>
      <c r="AC537">
        <v>5.5699999211356044E-4</v>
      </c>
      <c r="AD537">
        <v>5.8109997771680364E-3</v>
      </c>
      <c r="AE537">
        <v>1.6120000509545209E-3</v>
      </c>
      <c r="AF537">
        <f>0.16*X537 + 0.28*Y537 + 0.28*Z537 + 0.28*AA537</f>
        <v>1.9879920664998298E-2</v>
      </c>
      <c r="AG537">
        <f t="shared" si="24"/>
        <v>8.0967998853884639E-3</v>
      </c>
      <c r="AH537">
        <f>IF(T537="IT_Admin", 0.25, IF(AND(T537="HR", AA537&gt;0.6), 0.25, IF(AND(T537="General", Z537&gt;0.7), 0.2, 0.1)))</f>
        <v>0.1</v>
      </c>
      <c r="AI537">
        <f>IF(V537&gt;0.7, 0.1,
 IF(F537&gt;0.5, 0.08,
 IF(E537&gt;0.5, 0.05,
 0)))</f>
        <v>0</v>
      </c>
      <c r="AJ537">
        <f t="shared" si="25"/>
        <v>1.1631736119271412E-2</v>
      </c>
      <c r="AK537">
        <f t="shared" si="26"/>
        <v>1.2794909731198555E-2</v>
      </c>
      <c r="AL537" t="str">
        <f>IF(MAX(X537, Y537, Z537, AA537)&gt;0.9,
 "Critical",
 IF(AK537&lt;=0.2,"Very Low",
 IF(AK537&lt;=0.4,"Low",
 IF(AK537&lt;=0.6,"Medium",
 IF(AK537&lt;=0.8,"High","Critical")))))</f>
        <v>Very Low</v>
      </c>
      <c r="AM537" t="str">
        <f>IF(MAX(X537:AA537)&gt;0.9,"CRITICAL ALERT",
 IF(AK537&gt;0.8,"CRITICAL ALERT",
 IF(AK537&gt;0.6,"ALERT",
 IF(AK537&gt;=0.4,"REVIEW","NO ACTION"))))</f>
        <v>NO ACTION</v>
      </c>
      <c r="AN537" t="str">
        <f>IF(AM537="NO ACTION","",
 IF(_xlfn.TEXTJOIN(", ", TRUE,
  IF(X537&gt;0.7,"Login anomaly",""),
  IF(Y537&gt;0.7,"File anomaly",""),
  IF(Z537&gt;0.7,"Network anomaly",""),
  IF(AA537&gt;0.7,"USB anomaly","")
 )="",
 "General anomaly detected",
 _xlfn.TEXTJOIN(", ", TRUE,
  IF(X537&gt;0.7,"Login anomaly",""),
  IF(Y537&gt;0.7,"File anomaly",""),
  IF(Z537&gt;0.7,"Network anomaly",""),
  IF(AA537&gt;0.7,"USB anomaly","")
 )))</f>
        <v/>
      </c>
    </row>
    <row r="538" spans="1:40" x14ac:dyDescent="0.3">
      <c r="A538" t="s">
        <v>561</v>
      </c>
      <c r="B538">
        <v>0.12892249527410199</v>
      </c>
      <c r="C538">
        <v>0.36953165208440503</v>
      </c>
      <c r="D538">
        <v>0</v>
      </c>
      <c r="E538">
        <v>0</v>
      </c>
      <c r="F538">
        <v>0</v>
      </c>
      <c r="G538">
        <v>0.99365046672791602</v>
      </c>
      <c r="H538">
        <v>8</v>
      </c>
      <c r="I538">
        <v>8</v>
      </c>
      <c r="J538">
        <v>0.120461810028147</v>
      </c>
      <c r="K538">
        <v>1.38662316476345E-2</v>
      </c>
      <c r="L538">
        <v>2.93446247620348E-2</v>
      </c>
      <c r="M538">
        <v>4.0404040404040404E-3</v>
      </c>
      <c r="N538">
        <v>2.02291691619754E-2</v>
      </c>
      <c r="O538">
        <v>1348</v>
      </c>
      <c r="P538">
        <v>9.6485690235690202E-2</v>
      </c>
      <c r="Q538">
        <v>9.6637329499631802E-2</v>
      </c>
      <c r="R538">
        <v>0</v>
      </c>
      <c r="S538">
        <v>0</v>
      </c>
      <c r="T538" t="s">
        <v>24</v>
      </c>
      <c r="U538">
        <v>1.9245283018867899E-2</v>
      </c>
      <c r="V538">
        <v>0</v>
      </c>
      <c r="W538">
        <v>0</v>
      </c>
      <c r="X538">
        <v>0</v>
      </c>
      <c r="Y538">
        <v>4.4833425135239503E-2</v>
      </c>
      <c r="Z538">
        <v>6.5983081806204297E-2</v>
      </c>
      <c r="AA538">
        <v>0</v>
      </c>
      <c r="AB538">
        <v>2.4790000170469281E-2</v>
      </c>
      <c r="AC538">
        <v>1.270000066142529E-4</v>
      </c>
      <c r="AD538">
        <v>1.8439999548718331E-3</v>
      </c>
      <c r="AE538">
        <v>1.15999998524785E-3</v>
      </c>
      <c r="AF538">
        <f>0.16*X538 + 0.28*Y538 + 0.28*Z538 + 0.28*AA538</f>
        <v>3.1028621943604263E-2</v>
      </c>
      <c r="AG538">
        <f t="shared" si="24"/>
        <v>4.8430800123605879E-3</v>
      </c>
      <c r="AH538">
        <f>IF(T538="IT_Admin", 0.25, IF(AND(T538="HR", AA538&gt;0.6), 0.25, IF(AND(T538="General", Z538&gt;0.7), 0.2, 0.1)))</f>
        <v>0.25</v>
      </c>
      <c r="AI538">
        <f>IF(V538&gt;0.7, 0.1,
 IF(F538&gt;0.5, 0.08,
 IF(E538&gt;0.5, 0.05,
 0)))</f>
        <v>0</v>
      </c>
      <c r="AJ538">
        <f t="shared" si="25"/>
        <v>1.2698742591733689E-2</v>
      </c>
      <c r="AK538">
        <f t="shared" si="26"/>
        <v>1.5873428239667111E-2</v>
      </c>
      <c r="AL538" t="str">
        <f>IF(MAX(X538, Y538, Z538, AA538)&gt;0.9,
 "Critical",
 IF(AK538&lt;=0.2,"Very Low",
 IF(AK538&lt;=0.4,"Low",
 IF(AK538&lt;=0.6,"Medium",
 IF(AK538&lt;=0.8,"High","Critical")))))</f>
        <v>Very Low</v>
      </c>
      <c r="AM538" t="str">
        <f>IF(MAX(X538:AA538)&gt;0.9,"CRITICAL ALERT",
 IF(AK538&gt;0.8,"CRITICAL ALERT",
 IF(AK538&gt;0.6,"ALERT",
 IF(AK538&gt;=0.4,"REVIEW","NO ACTION"))))</f>
        <v>NO ACTION</v>
      </c>
      <c r="AN538" t="str">
        <f>IF(AM538="NO ACTION","",
 IF(_xlfn.TEXTJOIN(", ", TRUE,
  IF(X538&gt;0.7,"Login anomaly",""),
  IF(Y538&gt;0.7,"File anomaly",""),
  IF(Z538&gt;0.7,"Network anomaly",""),
  IF(AA538&gt;0.7,"USB anomaly","")
 )="",
 "General anomaly detected",
 _xlfn.TEXTJOIN(", ", TRUE,
  IF(X538&gt;0.7,"Login anomaly",""),
  IF(Y538&gt;0.7,"File anomaly",""),
  IF(Z538&gt;0.7,"Network anomaly",""),
  IF(AA538&gt;0.7,"USB anomaly","")
 )))</f>
        <v/>
      </c>
    </row>
    <row r="539" spans="1:40" x14ac:dyDescent="0.3">
      <c r="A539" t="s">
        <v>562</v>
      </c>
      <c r="B539">
        <v>0.12892249527410199</v>
      </c>
      <c r="C539">
        <v>0.55429747812660801</v>
      </c>
      <c r="D539">
        <v>0</v>
      </c>
      <c r="E539">
        <v>0</v>
      </c>
      <c r="F539">
        <v>0</v>
      </c>
      <c r="G539">
        <v>0.99366887946471105</v>
      </c>
      <c r="H539">
        <v>9</v>
      </c>
      <c r="I539">
        <v>9</v>
      </c>
      <c r="J539">
        <v>0.11798101235628</v>
      </c>
      <c r="K539">
        <v>2.0391517128874301E-2</v>
      </c>
      <c r="L539">
        <v>4.4059429240818099E-2</v>
      </c>
      <c r="M539">
        <v>2.59740259740259E-3</v>
      </c>
      <c r="N539">
        <v>1.32773602507258E-2</v>
      </c>
      <c r="O539">
        <v>1323</v>
      </c>
      <c r="P539">
        <v>9.6766273849607107E-2</v>
      </c>
      <c r="Q539">
        <v>9.6917844244188006E-2</v>
      </c>
      <c r="R539">
        <v>0</v>
      </c>
      <c r="S539">
        <v>0</v>
      </c>
      <c r="T539" t="s">
        <v>24</v>
      </c>
      <c r="U539">
        <v>4.2452830188679201E-2</v>
      </c>
      <c r="V539">
        <v>0</v>
      </c>
      <c r="W539">
        <v>0</v>
      </c>
      <c r="X539">
        <v>0</v>
      </c>
      <c r="Y539">
        <v>4.96091251668829E-2</v>
      </c>
      <c r="Z539">
        <v>6.3370708410054599E-2</v>
      </c>
      <c r="AA539">
        <v>0</v>
      </c>
      <c r="AB539">
        <v>2.9200000688433651E-2</v>
      </c>
      <c r="AC539">
        <v>2.9999999242136252E-5</v>
      </c>
      <c r="AD539">
        <v>1.938999979756773E-3</v>
      </c>
      <c r="AE539">
        <v>1.1579999700188639E-3</v>
      </c>
      <c r="AF539">
        <f>0.16*X539 + 0.28*Y539 + 0.28*Z539 + 0.28*AA539</f>
        <v>3.1634353401542505E-2</v>
      </c>
      <c r="AG539">
        <f t="shared" si="24"/>
        <v>5.5475600958743605E-3</v>
      </c>
      <c r="AH539">
        <f>IF(T539="IT_Admin", 0.25, IF(AND(T539="HR", AA539&gt;0.6), 0.25, IF(AND(T539="General", Z539&gt;0.7), 0.2, 0.1)))</f>
        <v>0.25</v>
      </c>
      <c r="AI539">
        <f>IF(V539&gt;0.7, 0.1,
 IF(F539&gt;0.5, 0.08,
 IF(E539&gt;0.5, 0.05,
 0)))</f>
        <v>0</v>
      </c>
      <c r="AJ539">
        <f t="shared" si="25"/>
        <v>1.3373598087574804E-2</v>
      </c>
      <c r="AK539">
        <f t="shared" si="26"/>
        <v>1.6716997609468504E-2</v>
      </c>
      <c r="AL539" t="str">
        <f>IF(MAX(X539, Y539, Z539, AA539)&gt;0.9,
 "Critical",
 IF(AK539&lt;=0.2,"Very Low",
 IF(AK539&lt;=0.4,"Low",
 IF(AK539&lt;=0.6,"Medium",
 IF(AK539&lt;=0.8,"High","Critical")))))</f>
        <v>Very Low</v>
      </c>
      <c r="AM539" t="str">
        <f>IF(MAX(X539:AA539)&gt;0.9,"CRITICAL ALERT",
 IF(AK539&gt;0.8,"CRITICAL ALERT",
 IF(AK539&gt;0.6,"ALERT",
 IF(AK539&gt;=0.4,"REVIEW","NO ACTION"))))</f>
        <v>NO ACTION</v>
      </c>
      <c r="AN539" t="str">
        <f>IF(AM539="NO ACTION","",
 IF(_xlfn.TEXTJOIN(", ", TRUE,
  IF(X539&gt;0.7,"Login anomaly",""),
  IF(Y539&gt;0.7,"File anomaly",""),
  IF(Z539&gt;0.7,"Network anomaly",""),
  IF(AA539&gt;0.7,"USB anomaly","")
 )="",
 "General anomaly detected",
 _xlfn.TEXTJOIN(", ", TRUE,
  IF(X539&gt;0.7,"Login anomaly",""),
  IF(Y539&gt;0.7,"File anomaly",""),
  IF(Z539&gt;0.7,"Network anomaly",""),
  IF(AA539&gt;0.7,"USB anomaly","")
 )))</f>
        <v/>
      </c>
    </row>
    <row r="540" spans="1:40" x14ac:dyDescent="0.3">
      <c r="A540" t="s">
        <v>563</v>
      </c>
      <c r="B540">
        <v>0.12892249527410199</v>
      </c>
      <c r="C540">
        <v>0.28277204681241402</v>
      </c>
      <c r="D540">
        <v>7.4993488433305694E-2</v>
      </c>
      <c r="E540">
        <v>0</v>
      </c>
      <c r="F540">
        <v>0</v>
      </c>
      <c r="G540">
        <v>0.99369205596189703</v>
      </c>
      <c r="H540">
        <v>7</v>
      </c>
      <c r="I540">
        <v>8</v>
      </c>
      <c r="J540">
        <v>0.100424598063069</v>
      </c>
      <c r="K540">
        <v>1.71288743882544E-2</v>
      </c>
      <c r="L540">
        <v>4.3464731352297503E-2</v>
      </c>
      <c r="M540">
        <v>4.9062049062049001E-3</v>
      </c>
      <c r="N540">
        <v>2.94535059463969E-2</v>
      </c>
      <c r="O540">
        <v>1205</v>
      </c>
      <c r="P540">
        <v>8.3578843995510604E-2</v>
      </c>
      <c r="Q540">
        <v>8.3733651250043797E-2</v>
      </c>
      <c r="R540">
        <v>0</v>
      </c>
      <c r="S540">
        <v>0</v>
      </c>
      <c r="T540" t="s">
        <v>24</v>
      </c>
      <c r="U540">
        <v>1.98113207547169E-2</v>
      </c>
      <c r="V540">
        <v>0</v>
      </c>
      <c r="W540">
        <v>0</v>
      </c>
      <c r="X540">
        <v>2.2498046529991701E-2</v>
      </c>
      <c r="Y540">
        <v>5.0653337072681701E-2</v>
      </c>
      <c r="Z540">
        <v>6.19287087758651E-2</v>
      </c>
      <c r="AA540">
        <v>0</v>
      </c>
      <c r="AB540">
        <v>1.8017999827861789E-2</v>
      </c>
      <c r="AC540">
        <v>1.080000001820736E-4</v>
      </c>
      <c r="AD540">
        <v>2.803999930620193E-3</v>
      </c>
      <c r="AE540">
        <v>1.362000009976327E-3</v>
      </c>
      <c r="AF540">
        <f>0.16*X540 + 0.28*Y540 + 0.28*Z540 + 0.28*AA540</f>
        <v>3.5122660282391777E-2</v>
      </c>
      <c r="AG540">
        <f t="shared" si="24"/>
        <v>4.0795999558758921E-3</v>
      </c>
      <c r="AH540">
        <f>IF(T540="IT_Admin", 0.25, IF(AND(T540="HR", AA540&gt;0.6), 0.25, IF(AND(T540="General", Z540&gt;0.7), 0.2, 0.1)))</f>
        <v>0.25</v>
      </c>
      <c r="AI540">
        <f>IF(V540&gt;0.7, 0.1,
 IF(F540&gt;0.5, 0.08,
 IF(E540&gt;0.5, 0.05,
 0)))</f>
        <v>0</v>
      </c>
      <c r="AJ540">
        <f t="shared" si="25"/>
        <v>1.3392518053830658E-2</v>
      </c>
      <c r="AK540">
        <f t="shared" si="26"/>
        <v>1.6740647567288321E-2</v>
      </c>
      <c r="AL540" t="str">
        <f>IF(MAX(X540, Y540, Z540, AA540)&gt;0.9,
 "Critical",
 IF(AK540&lt;=0.2,"Very Low",
 IF(AK540&lt;=0.4,"Low",
 IF(AK540&lt;=0.6,"Medium",
 IF(AK540&lt;=0.8,"High","Critical")))))</f>
        <v>Very Low</v>
      </c>
      <c r="AM540" t="str">
        <f>IF(MAX(X540:AA540)&gt;0.9,"CRITICAL ALERT",
 IF(AK540&gt;0.8,"CRITICAL ALERT",
 IF(AK540&gt;0.6,"ALERT",
 IF(AK540&gt;=0.4,"REVIEW","NO ACTION"))))</f>
        <v>NO ACTION</v>
      </c>
      <c r="AN540" t="str">
        <f>IF(AM540="NO ACTION","",
 IF(_xlfn.TEXTJOIN(", ", TRUE,
  IF(X540&gt;0.7,"Login anomaly",""),
  IF(Y540&gt;0.7,"File anomaly",""),
  IF(Z540&gt;0.7,"Network anomaly",""),
  IF(AA540&gt;0.7,"USB anomaly","")
 )="",
 "General anomaly detected",
 _xlfn.TEXTJOIN(", ", TRUE,
  IF(X540&gt;0.7,"Login anomaly",""),
  IF(Y540&gt;0.7,"File anomaly",""),
  IF(Z540&gt;0.7,"Network anomaly",""),
  IF(AA540&gt;0.7,"USB anomaly","")
 )))</f>
        <v/>
      </c>
    </row>
    <row r="541" spans="1:40" x14ac:dyDescent="0.3">
      <c r="A541" t="s">
        <v>564</v>
      </c>
      <c r="B541">
        <v>0.12892249527410199</v>
      </c>
      <c r="C541">
        <v>0.28009428121759899</v>
      </c>
      <c r="D541">
        <v>7.50946055673926E-2</v>
      </c>
      <c r="E541">
        <v>0</v>
      </c>
      <c r="F541">
        <v>0</v>
      </c>
      <c r="G541">
        <v>0.99367920986645897</v>
      </c>
      <c r="H541">
        <v>7</v>
      </c>
      <c r="I541">
        <v>8</v>
      </c>
      <c r="J541">
        <v>9.2982205047469096E-2</v>
      </c>
      <c r="K541">
        <v>9.7879282218597003E-3</v>
      </c>
      <c r="L541">
        <v>2.6819881021596E-2</v>
      </c>
      <c r="M541">
        <v>1.1544011544011501E-3</v>
      </c>
      <c r="N541">
        <v>7.4835206872054302E-3</v>
      </c>
      <c r="O541">
        <v>926</v>
      </c>
      <c r="P541">
        <v>7.3127104377104304E-2</v>
      </c>
      <c r="Q541">
        <v>7.3284477015323105E-2</v>
      </c>
      <c r="R541">
        <v>0</v>
      </c>
      <c r="S541">
        <v>0</v>
      </c>
      <c r="T541" t="s">
        <v>49</v>
      </c>
      <c r="U541">
        <v>4.0754716981131998E-2</v>
      </c>
      <c r="V541">
        <v>0</v>
      </c>
      <c r="W541">
        <v>0</v>
      </c>
      <c r="X541">
        <v>2.2528381670217701E-2</v>
      </c>
      <c r="Y541">
        <v>3.42514377264534E-2</v>
      </c>
      <c r="Z541">
        <v>4.68696709011448E-2</v>
      </c>
      <c r="AA541">
        <v>0</v>
      </c>
      <c r="AB541">
        <v>1.8178999423980709E-2</v>
      </c>
      <c r="AC541">
        <v>1.8000000272877509E-4</v>
      </c>
      <c r="AD541">
        <v>4.4379997998476028E-3</v>
      </c>
      <c r="AE541">
        <v>1.823000027798116E-3</v>
      </c>
      <c r="AF541">
        <f>0.16*X541 + 0.28*Y541 + 0.28*Z541 + 0.28*AA541</f>
        <v>2.631845148296233E-2</v>
      </c>
      <c r="AG541">
        <f t="shared" si="24"/>
        <v>4.7121198603417725E-3</v>
      </c>
      <c r="AH541">
        <f>IF(T541="IT_Admin", 0.25, IF(AND(T541="HR", AA541&gt;0.6), 0.25, IF(AND(T541="General", Z541&gt;0.7), 0.2, 0.1)))</f>
        <v>0.1</v>
      </c>
      <c r="AI541">
        <f>IF(V541&gt;0.7, 0.1,
 IF(F541&gt;0.5, 0.08,
 IF(E541&gt;0.5, 0.05,
 0)))</f>
        <v>0</v>
      </c>
      <c r="AJ541">
        <f t="shared" si="25"/>
        <v>1.119401934712794E-2</v>
      </c>
      <c r="AK541">
        <f t="shared" si="26"/>
        <v>1.2313421281840736E-2</v>
      </c>
      <c r="AL541" t="str">
        <f>IF(MAX(X541, Y541, Z541, AA541)&gt;0.9,
 "Critical",
 IF(AK541&lt;=0.2,"Very Low",
 IF(AK541&lt;=0.4,"Low",
 IF(AK541&lt;=0.6,"Medium",
 IF(AK541&lt;=0.8,"High","Critical")))))</f>
        <v>Very Low</v>
      </c>
      <c r="AM541" t="str">
        <f>IF(MAX(X541:AA541)&gt;0.9,"CRITICAL ALERT",
 IF(AK541&gt;0.8,"CRITICAL ALERT",
 IF(AK541&gt;0.6,"ALERT",
 IF(AK541&gt;=0.4,"REVIEW","NO ACTION"))))</f>
        <v>NO ACTION</v>
      </c>
      <c r="AN541" t="str">
        <f>IF(AM541="NO ACTION","",
 IF(_xlfn.TEXTJOIN(", ", TRUE,
  IF(X541&gt;0.7,"Login anomaly",""),
  IF(Y541&gt;0.7,"File anomaly",""),
  IF(Z541&gt;0.7,"Network anomaly",""),
  IF(AA541&gt;0.7,"USB anomaly","")
 )="",
 "General anomaly detected",
 _xlfn.TEXTJOIN(", ", TRUE,
  IF(X541&gt;0.7,"Login anomaly",""),
  IF(Y541&gt;0.7,"File anomaly",""),
  IF(Z541&gt;0.7,"Network anomaly",""),
  IF(AA541&gt;0.7,"USB anomaly","")
 )))</f>
        <v/>
      </c>
    </row>
    <row r="542" spans="1:40" x14ac:dyDescent="0.3">
      <c r="A542" t="s">
        <v>565</v>
      </c>
      <c r="B542">
        <v>0.12892249527410199</v>
      </c>
      <c r="C542">
        <v>0.46164678854602498</v>
      </c>
      <c r="D542">
        <v>7.5132489407342906E-2</v>
      </c>
      <c r="E542">
        <v>0</v>
      </c>
      <c r="F542">
        <v>0</v>
      </c>
      <c r="G542">
        <v>0.99366095770585705</v>
      </c>
      <c r="H542">
        <v>8</v>
      </c>
      <c r="I542">
        <v>9</v>
      </c>
      <c r="J542">
        <v>7.5902867229616894E-2</v>
      </c>
      <c r="K542">
        <v>2.0391517128874301E-2</v>
      </c>
      <c r="L542">
        <v>6.8408061189691199E-2</v>
      </c>
      <c r="M542">
        <v>1.7316017316017301E-3</v>
      </c>
      <c r="N542">
        <v>1.3743232540224999E-2</v>
      </c>
      <c r="O542">
        <v>919</v>
      </c>
      <c r="P542">
        <v>6.5411054994388304E-2</v>
      </c>
      <c r="Q542">
        <v>6.55703215400259E-2</v>
      </c>
      <c r="R542">
        <v>0</v>
      </c>
      <c r="S542">
        <v>0</v>
      </c>
      <c r="T542" t="s">
        <v>49</v>
      </c>
      <c r="U542">
        <v>6.0646900269541698E-2</v>
      </c>
      <c r="V542">
        <v>0</v>
      </c>
      <c r="W542">
        <v>0</v>
      </c>
      <c r="X542">
        <v>2.2539746822202798E-2</v>
      </c>
      <c r="Y542">
        <v>5.3507573802836501E-2</v>
      </c>
      <c r="Z542">
        <v>4.4743926012723E-2</v>
      </c>
      <c r="AA542">
        <v>0</v>
      </c>
      <c r="AB542">
        <v>1.321600005030632E-2</v>
      </c>
      <c r="AC542">
        <v>3.8199999835342169E-4</v>
      </c>
      <c r="AD542">
        <v>5.2419998683035374E-3</v>
      </c>
      <c r="AE542">
        <v>2.0139999687671661E-3</v>
      </c>
      <c r="AF542">
        <f>0.16*X542 + 0.28*Y542 + 0.28*Z542 + 0.28*AA542</f>
        <v>3.111677943990911E-2</v>
      </c>
      <c r="AG542">
        <f t="shared" si="24"/>
        <v>4.2531999619677668E-3</v>
      </c>
      <c r="AH542">
        <f>IF(T542="IT_Admin", 0.25, IF(AND(T542="HR", AA542&gt;0.6), 0.25, IF(AND(T542="General", Z542&gt;0.7), 0.2, 0.1)))</f>
        <v>0.1</v>
      </c>
      <c r="AI542">
        <f>IF(V542&gt;0.7, 0.1,
 IF(F542&gt;0.5, 0.08,
 IF(E542&gt;0.5, 0.05,
 0)))</f>
        <v>0</v>
      </c>
      <c r="AJ542">
        <f t="shared" si="25"/>
        <v>1.2312273805350171E-2</v>
      </c>
      <c r="AK542">
        <f t="shared" si="26"/>
        <v>1.3543501185885189E-2</v>
      </c>
      <c r="AL542" t="str">
        <f>IF(MAX(X542, Y542, Z542, AA542)&gt;0.9,
 "Critical",
 IF(AK542&lt;=0.2,"Very Low",
 IF(AK542&lt;=0.4,"Low",
 IF(AK542&lt;=0.6,"Medium",
 IF(AK542&lt;=0.8,"High","Critical")))))</f>
        <v>Very Low</v>
      </c>
      <c r="AM542" t="str">
        <f>IF(MAX(X542:AA542)&gt;0.9,"CRITICAL ALERT",
 IF(AK542&gt;0.8,"CRITICAL ALERT",
 IF(AK542&gt;0.6,"ALERT",
 IF(AK542&gt;=0.4,"REVIEW","NO ACTION"))))</f>
        <v>NO ACTION</v>
      </c>
      <c r="AN542" t="str">
        <f>IF(AM542="NO ACTION","",
 IF(_xlfn.TEXTJOIN(", ", TRUE,
  IF(X542&gt;0.7,"Login anomaly",""),
  IF(Y542&gt;0.7,"File anomaly",""),
  IF(Z542&gt;0.7,"Network anomaly",""),
  IF(AA542&gt;0.7,"USB anomaly","")
 )="",
 "General anomaly detected",
 _xlfn.TEXTJOIN(", ", TRUE,
  IF(X542&gt;0.7,"Login anomaly",""),
  IF(Y542&gt;0.7,"File anomaly",""),
  IF(Z542&gt;0.7,"Network anomaly",""),
  IF(AA542&gt;0.7,"USB anomaly","")
 )))</f>
        <v/>
      </c>
    </row>
    <row r="543" spans="1:40" x14ac:dyDescent="0.3">
      <c r="A543" t="s">
        <v>566</v>
      </c>
      <c r="B543">
        <v>6.8431001890359097E-2</v>
      </c>
      <c r="C543">
        <v>0.27165570099177899</v>
      </c>
      <c r="D543">
        <v>7.5094332461340702E-2</v>
      </c>
      <c r="E543">
        <v>0</v>
      </c>
      <c r="F543">
        <v>0</v>
      </c>
      <c r="G543">
        <v>0.98400933130637902</v>
      </c>
      <c r="H543">
        <v>7</v>
      </c>
      <c r="I543">
        <v>8</v>
      </c>
      <c r="J543">
        <v>2.2374886694337098E-2</v>
      </c>
      <c r="K543">
        <v>8.1566068515497503E-4</v>
      </c>
      <c r="L543">
        <v>9.2134401399786708E-3</v>
      </c>
      <c r="M543">
        <v>5.7720057720057698E-4</v>
      </c>
      <c r="N543">
        <v>1.5424893905906499E-2</v>
      </c>
      <c r="O543">
        <v>311</v>
      </c>
      <c r="P543">
        <v>1.70805274971941E-2</v>
      </c>
      <c r="Q543">
        <v>1.7251656790209999E-2</v>
      </c>
      <c r="R543">
        <v>0</v>
      </c>
      <c r="S543">
        <v>0</v>
      </c>
      <c r="T543" t="s">
        <v>49</v>
      </c>
      <c r="U543">
        <v>5.6603773584905596E-3</v>
      </c>
      <c r="V543">
        <v>0</v>
      </c>
      <c r="W543">
        <v>0</v>
      </c>
      <c r="X543">
        <v>2.2528299738402199E-2</v>
      </c>
      <c r="Y543">
        <v>1.37091655806287E-2</v>
      </c>
      <c r="Z543">
        <v>1.6418274060679101E-2</v>
      </c>
      <c r="AA543">
        <v>0</v>
      </c>
      <c r="AB543">
        <v>2.7323000133037571E-2</v>
      </c>
      <c r="AC543">
        <v>1.1309999972581859E-3</v>
      </c>
      <c r="AD543">
        <v>1.3369999825954441E-2</v>
      </c>
      <c r="AE543">
        <v>2.622999949380755E-3</v>
      </c>
      <c r="AF543">
        <f>0.16*X543 + 0.28*Y543 + 0.28*Z543 + 0.28*AA543</f>
        <v>1.2040211057710536E-2</v>
      </c>
      <c r="AG543">
        <f t="shared" si="24"/>
        <v>9.1663999576121584E-3</v>
      </c>
      <c r="AH543">
        <f>IF(T543="IT_Admin", 0.25, IF(AND(T543="HR", AA543&gt;0.6), 0.25, IF(AND(T543="General", Z543&gt;0.7), 0.2, 0.1)))</f>
        <v>0.1</v>
      </c>
      <c r="AI543">
        <f>IF(V543&gt;0.7, 0.1,
 IF(F543&gt;0.5, 0.08,
 IF(E543&gt;0.5, 0.05,
 0)))</f>
        <v>0</v>
      </c>
      <c r="AJ543">
        <f t="shared" si="25"/>
        <v>1.0028543287641672E-2</v>
      </c>
      <c r="AK543">
        <f t="shared" si="26"/>
        <v>1.103139761640584E-2</v>
      </c>
      <c r="AL543" t="str">
        <f>IF(MAX(X543, Y543, Z543, AA543)&gt;0.9,
 "Critical",
 IF(AK543&lt;=0.2,"Very Low",
 IF(AK543&lt;=0.4,"Low",
 IF(AK543&lt;=0.6,"Medium",
 IF(AK543&lt;=0.8,"High","Critical")))))</f>
        <v>Very Low</v>
      </c>
      <c r="AM543" t="str">
        <f>IF(MAX(X543:AA543)&gt;0.9,"CRITICAL ALERT",
 IF(AK543&gt;0.8,"CRITICAL ALERT",
 IF(AK543&gt;0.6,"ALERT",
 IF(AK543&gt;=0.4,"REVIEW","NO ACTION"))))</f>
        <v>NO ACTION</v>
      </c>
      <c r="AN543" t="str">
        <f>IF(AM543="NO ACTION","",
 IF(_xlfn.TEXTJOIN(", ", TRUE,
  IF(X543&gt;0.7,"Login anomaly",""),
  IF(Y543&gt;0.7,"File anomaly",""),
  IF(Z543&gt;0.7,"Network anomaly",""),
  IF(AA543&gt;0.7,"USB anomaly","")
 )="",
 "General anomaly detected",
 _xlfn.TEXTJOIN(", ", TRUE,
  IF(X543&gt;0.7,"Login anomaly",""),
  IF(Y543&gt;0.7,"File anomaly",""),
  IF(Z543&gt;0.7,"Network anomaly",""),
  IF(AA543&gt;0.7,"USB anomaly","")
 )))</f>
        <v/>
      </c>
    </row>
    <row r="544" spans="1:40" x14ac:dyDescent="0.3">
      <c r="A544" t="s">
        <v>567</v>
      </c>
      <c r="B544">
        <v>0.12892249527410199</v>
      </c>
      <c r="C544">
        <v>0</v>
      </c>
      <c r="D544">
        <v>0</v>
      </c>
      <c r="E544">
        <v>0</v>
      </c>
      <c r="F544">
        <v>1</v>
      </c>
      <c r="G544">
        <v>0.99366317900986001</v>
      </c>
      <c r="H544">
        <v>6</v>
      </c>
      <c r="I544">
        <v>6</v>
      </c>
      <c r="J544">
        <v>0.102953103382472</v>
      </c>
      <c r="K544">
        <v>1.6313213703099499E-2</v>
      </c>
      <c r="L544">
        <v>4.0380680779934203E-2</v>
      </c>
      <c r="M544">
        <v>2.8860028860028799E-3</v>
      </c>
      <c r="N544">
        <v>1.6901062670826798E-2</v>
      </c>
      <c r="O544">
        <v>1239</v>
      </c>
      <c r="P544">
        <v>8.4104938271604895E-2</v>
      </c>
      <c r="Q544">
        <v>8.4259616396086798E-2</v>
      </c>
      <c r="R544">
        <v>0</v>
      </c>
      <c r="S544">
        <v>0</v>
      </c>
      <c r="T544" t="s">
        <v>24</v>
      </c>
      <c r="U544">
        <v>3.08747855917667E-2</v>
      </c>
      <c r="V544">
        <v>0</v>
      </c>
      <c r="W544">
        <v>0</v>
      </c>
      <c r="X544">
        <v>0.4</v>
      </c>
      <c r="Y544">
        <v>4.58512798677096E-2</v>
      </c>
      <c r="Z544">
        <v>5.7223388031293697E-2</v>
      </c>
      <c r="AA544">
        <v>0</v>
      </c>
      <c r="AB544">
        <v>0.1188130006194115</v>
      </c>
      <c r="AC544">
        <v>0</v>
      </c>
      <c r="AD544">
        <v>3.1500000040978189E-3</v>
      </c>
      <c r="AE544">
        <v>2.5300000561401248E-4</v>
      </c>
      <c r="AF544">
        <f>0.16*X544 + 0.28*Y544 + 0.28*Z544 + 0.28*AA544</f>
        <v>9.2860907011720922E-2</v>
      </c>
      <c r="AG544">
        <f t="shared" si="24"/>
        <v>1.9962920101825151E-2</v>
      </c>
      <c r="AH544">
        <f>IF(T544="IT_Admin", 0.25, IF(AND(T544="HR", AA544&gt;0.6), 0.25, IF(AND(T544="General", Z544&gt;0.7), 0.2, 0.1)))</f>
        <v>0.25</v>
      </c>
      <c r="AI544">
        <f>IF(V544&gt;0.7, 0.1,
 IF(F544&gt;0.5, 0.08,
 IF(E544&gt;0.5, 0.05,
 0)))</f>
        <v>0.08</v>
      </c>
      <c r="AJ544">
        <f t="shared" si="25"/>
        <v>4.1832316174793882E-2</v>
      </c>
      <c r="AK544">
        <f t="shared" si="26"/>
        <v>5.5636980512475863E-2</v>
      </c>
      <c r="AL544" t="str">
        <f>IF(MAX(X544, Y544, Z544, AA544)&gt;0.9,
 "Critical",
 IF(AK544&lt;=0.2,"Very Low",
 IF(AK544&lt;=0.4,"Low",
 IF(AK544&lt;=0.6,"Medium",
 IF(AK544&lt;=0.8,"High","Critical")))))</f>
        <v>Very Low</v>
      </c>
      <c r="AM544" t="str">
        <f>IF(MAX(X544:AA544)&gt;0.9,"CRITICAL ALERT",
 IF(AK544&gt;0.8,"CRITICAL ALERT",
 IF(AK544&gt;0.6,"ALERT",
 IF(AK544&gt;=0.4,"REVIEW","NO ACTION"))))</f>
        <v>NO ACTION</v>
      </c>
      <c r="AN544" t="str">
        <f>IF(AM544="NO ACTION","",
 IF(_xlfn.TEXTJOIN(", ", TRUE,
  IF(X544&gt;0.7,"Login anomaly",""),
  IF(Y544&gt;0.7,"File anomaly",""),
  IF(Z544&gt;0.7,"Network anomaly",""),
  IF(AA544&gt;0.7,"USB anomaly","")
 )="",
 "General anomaly detected",
 _xlfn.TEXTJOIN(", ", TRUE,
  IF(X544&gt;0.7,"Login anomaly",""),
  IF(Y544&gt;0.7,"File anomaly",""),
  IF(Z544&gt;0.7,"Network anomaly",""),
  IF(AA544&gt;0.7,"USB anomaly","")
 )))</f>
        <v/>
      </c>
    </row>
    <row r="545" spans="1:40" x14ac:dyDescent="0.3">
      <c r="A545" t="s">
        <v>568</v>
      </c>
      <c r="B545">
        <v>0.12892249527410199</v>
      </c>
      <c r="C545">
        <v>0.27580985626589599</v>
      </c>
      <c r="D545">
        <v>7.5124914167671697E-2</v>
      </c>
      <c r="E545">
        <v>0</v>
      </c>
      <c r="F545">
        <v>0</v>
      </c>
      <c r="G545">
        <v>0.99369786346754396</v>
      </c>
      <c r="H545">
        <v>7</v>
      </c>
      <c r="I545">
        <v>8</v>
      </c>
      <c r="J545">
        <v>7.5378083106722005E-2</v>
      </c>
      <c r="K545">
        <v>1.4681892332789499E-2</v>
      </c>
      <c r="L545">
        <v>4.9595628564225898E-2</v>
      </c>
      <c r="M545">
        <v>1.1544011544011501E-3</v>
      </c>
      <c r="N545">
        <v>9.2257409607567308E-3</v>
      </c>
      <c r="O545">
        <v>785</v>
      </c>
      <c r="P545">
        <v>6.22895622895622E-2</v>
      </c>
      <c r="Q545">
        <v>6.2449595006837499E-2</v>
      </c>
      <c r="R545">
        <v>0</v>
      </c>
      <c r="S545">
        <v>0</v>
      </c>
      <c r="T545" t="s">
        <v>49</v>
      </c>
      <c r="U545">
        <v>6.1132075471698098E-2</v>
      </c>
      <c r="V545">
        <v>0</v>
      </c>
      <c r="W545">
        <v>0</v>
      </c>
      <c r="X545">
        <v>2.25374742503015E-2</v>
      </c>
      <c r="Y545">
        <v>4.2641153191684301E-2</v>
      </c>
      <c r="Z545">
        <v>4.1064033758039999E-2</v>
      </c>
      <c r="AA545">
        <v>0</v>
      </c>
      <c r="AB545">
        <v>1.8479999154806141E-2</v>
      </c>
      <c r="AC545">
        <v>2.4699998903088272E-4</v>
      </c>
      <c r="AD545">
        <v>5.7950001209974289E-3</v>
      </c>
      <c r="AE545">
        <v>1.9150000298395751E-3</v>
      </c>
      <c r="AF545">
        <f>0.16*X545 + 0.28*Y545 + 0.28*Z545 + 0.28*AA545</f>
        <v>2.7043448225971045E-2</v>
      </c>
      <c r="AG545">
        <f t="shared" si="24"/>
        <v>5.1847599039319915E-3</v>
      </c>
      <c r="AH545">
        <f>IF(T545="IT_Admin", 0.25, IF(AND(T545="HR", AA545&gt;0.6), 0.25, IF(AND(T545="General", Z545&gt;0.7), 0.2, 0.1)))</f>
        <v>0.1</v>
      </c>
      <c r="AI545">
        <f>IF(V545&gt;0.7, 0.1,
 IF(F545&gt;0.5, 0.08,
 IF(E545&gt;0.5, 0.05,
 0)))</f>
        <v>0</v>
      </c>
      <c r="AJ545">
        <f t="shared" si="25"/>
        <v>1.1742366400543706E-2</v>
      </c>
      <c r="AK545">
        <f t="shared" si="26"/>
        <v>1.2916603040598077E-2</v>
      </c>
      <c r="AL545" t="str">
        <f>IF(MAX(X545, Y545, Z545, AA545)&gt;0.9,
 "Critical",
 IF(AK545&lt;=0.2,"Very Low",
 IF(AK545&lt;=0.4,"Low",
 IF(AK545&lt;=0.6,"Medium",
 IF(AK545&lt;=0.8,"High","Critical")))))</f>
        <v>Very Low</v>
      </c>
      <c r="AM545" t="str">
        <f>IF(MAX(X545:AA545)&gt;0.9,"CRITICAL ALERT",
 IF(AK545&gt;0.8,"CRITICAL ALERT",
 IF(AK545&gt;0.6,"ALERT",
 IF(AK545&gt;=0.4,"REVIEW","NO ACTION"))))</f>
        <v>NO ACTION</v>
      </c>
      <c r="AN545" t="str">
        <f>IF(AM545="NO ACTION","",
 IF(_xlfn.TEXTJOIN(", ", TRUE,
  IF(X545&gt;0.7,"Login anomaly",""),
  IF(Y545&gt;0.7,"File anomaly",""),
  IF(Z545&gt;0.7,"Network anomaly",""),
  IF(AA545&gt;0.7,"USB anomaly","")
 )="",
 "General anomaly detected",
 _xlfn.TEXTJOIN(", ", TRUE,
  IF(X545&gt;0.7,"Login anomaly",""),
  IF(Y545&gt;0.7,"File anomaly",""),
  IF(Z545&gt;0.7,"Network anomaly",""),
  IF(AA545&gt;0.7,"USB anomaly","")
 )))</f>
        <v/>
      </c>
    </row>
    <row r="546" spans="1:40" x14ac:dyDescent="0.3">
      <c r="A546" t="s">
        <v>569</v>
      </c>
      <c r="B546">
        <v>0.28052930056710701</v>
      </c>
      <c r="C546">
        <v>0.52680551205330395</v>
      </c>
      <c r="D546">
        <v>0.37761772864746501</v>
      </c>
      <c r="E546">
        <v>0</v>
      </c>
      <c r="F546">
        <v>0.25737265415549598</v>
      </c>
      <c r="G546">
        <v>0.37902138845509498</v>
      </c>
      <c r="H546">
        <v>6</v>
      </c>
      <c r="I546">
        <v>15</v>
      </c>
      <c r="J546">
        <v>8.1246123753637697E-2</v>
      </c>
      <c r="K546">
        <v>6.5252854812398002E-3</v>
      </c>
      <c r="L546">
        <v>2.0455131739343699E-2</v>
      </c>
      <c r="M546">
        <v>5.7720057720057698E-4</v>
      </c>
      <c r="N546">
        <v>4.2806789879389403E-3</v>
      </c>
      <c r="O546">
        <v>308</v>
      </c>
      <c r="P546">
        <v>6.2815656565656505E-2</v>
      </c>
      <c r="Q546">
        <v>6.29755601528805E-2</v>
      </c>
      <c r="R546">
        <v>0</v>
      </c>
      <c r="S546">
        <v>0</v>
      </c>
      <c r="T546" t="s">
        <v>49</v>
      </c>
      <c r="U546">
        <v>4.5283018867924497E-2</v>
      </c>
      <c r="V546">
        <v>0</v>
      </c>
      <c r="W546">
        <v>0</v>
      </c>
      <c r="X546">
        <v>0.21623438025643801</v>
      </c>
      <c r="Y546">
        <v>2.7760994316781099E-2</v>
      </c>
      <c r="Z546">
        <v>3.9401665534569502E-2</v>
      </c>
      <c r="AA546">
        <v>0</v>
      </c>
      <c r="AB546">
        <v>4.6452000737190247E-2</v>
      </c>
      <c r="AC546">
        <v>3.4699999378062779E-4</v>
      </c>
      <c r="AD546">
        <v>5.4440000094473362E-3</v>
      </c>
      <c r="AE546">
        <v>9.4100004062056541E-3</v>
      </c>
      <c r="AF546">
        <f>0.16*X546 + 0.28*Y546 + 0.28*Z546 + 0.28*AA546</f>
        <v>5.3403045599408255E-2</v>
      </c>
      <c r="AG546">
        <f t="shared" si="24"/>
        <v>1.1688600232591852E-2</v>
      </c>
      <c r="AH546">
        <f>IF(T546="IT_Admin", 0.25, IF(AND(T546="HR", AA546&gt;0.6), 0.25, IF(AND(T546="General", Z546&gt;0.7), 0.2, 0.1)))</f>
        <v>0.1</v>
      </c>
      <c r="AI546">
        <f>IF(V546&gt;0.7, 0.1,
 IF(F546&gt;0.5, 0.08,
 IF(E546&gt;0.5, 0.05,
 0)))</f>
        <v>0</v>
      </c>
      <c r="AJ546">
        <f t="shared" si="25"/>
        <v>2.4202933842636776E-2</v>
      </c>
      <c r="AK546">
        <f t="shared" si="26"/>
        <v>2.6623227226900456E-2</v>
      </c>
      <c r="AL546" t="str">
        <f>IF(MAX(X546, Y546, Z546, AA546)&gt;0.9,
 "Critical",
 IF(AK546&lt;=0.2,"Very Low",
 IF(AK546&lt;=0.4,"Low",
 IF(AK546&lt;=0.6,"Medium",
 IF(AK546&lt;=0.8,"High","Critical")))))</f>
        <v>Very Low</v>
      </c>
      <c r="AM546" t="str">
        <f>IF(MAX(X546:AA546)&gt;0.9,"CRITICAL ALERT",
 IF(AK546&gt;0.8,"CRITICAL ALERT",
 IF(AK546&gt;0.6,"ALERT",
 IF(AK546&gt;=0.4,"REVIEW","NO ACTION"))))</f>
        <v>NO ACTION</v>
      </c>
      <c r="AN546" t="str">
        <f>IF(AM546="NO ACTION","",
 IF(_xlfn.TEXTJOIN(", ", TRUE,
  IF(X546&gt;0.7,"Login anomaly",""),
  IF(Y546&gt;0.7,"File anomaly",""),
  IF(Z546&gt;0.7,"Network anomaly",""),
  IF(AA546&gt;0.7,"USB anomaly","")
 )="",
 "General anomaly detected",
 _xlfn.TEXTJOIN(", ", TRUE,
  IF(X546&gt;0.7,"Login anomaly",""),
  IF(Y546&gt;0.7,"File anomaly",""),
  IF(Z546&gt;0.7,"Network anomaly",""),
  IF(AA546&gt;0.7,"USB anomaly","")
 )))</f>
        <v/>
      </c>
    </row>
    <row r="547" spans="1:40" x14ac:dyDescent="0.3">
      <c r="A547" t="s">
        <v>570</v>
      </c>
      <c r="B547">
        <v>0.277126654064272</v>
      </c>
      <c r="C547">
        <v>0.71825521249784297</v>
      </c>
      <c r="D547">
        <v>0.37940259624499201</v>
      </c>
      <c r="E547">
        <v>0</v>
      </c>
      <c r="F547">
        <v>0</v>
      </c>
      <c r="G547">
        <v>0.38547191255976798</v>
      </c>
      <c r="H547">
        <v>7</v>
      </c>
      <c r="I547">
        <v>16</v>
      </c>
      <c r="J547">
        <v>8.9070177949525306E-2</v>
      </c>
      <c r="K547">
        <v>6.5252854812398002E-3</v>
      </c>
      <c r="L547">
        <v>1.86631223348286E-2</v>
      </c>
      <c r="M547">
        <v>3.8095238095238099E-2</v>
      </c>
      <c r="N547">
        <v>0.25777370777370701</v>
      </c>
      <c r="O547">
        <v>341</v>
      </c>
      <c r="P547">
        <v>8.6805555555555497E-2</v>
      </c>
      <c r="Q547">
        <v>8.6959570812440795E-2</v>
      </c>
      <c r="R547">
        <v>0</v>
      </c>
      <c r="S547">
        <v>0</v>
      </c>
      <c r="T547" t="s">
        <v>49</v>
      </c>
      <c r="U547">
        <v>1.02142147822386E-3</v>
      </c>
      <c r="V547">
        <v>0</v>
      </c>
      <c r="W547">
        <v>0</v>
      </c>
      <c r="X547">
        <v>0.11382077887349699</v>
      </c>
      <c r="Y547">
        <v>0.10447770908943101</v>
      </c>
      <c r="Z547">
        <v>0.15519281644281599</v>
      </c>
      <c r="AA547">
        <v>0</v>
      </c>
      <c r="AB547">
        <v>4.9559000879526138E-2</v>
      </c>
      <c r="AC547">
        <v>1.8942000344395641E-2</v>
      </c>
      <c r="AD547">
        <v>4.5110001228749752E-3</v>
      </c>
      <c r="AE547">
        <v>7.3330001905560493E-3</v>
      </c>
      <c r="AF547">
        <f>0.16*X547 + 0.28*Y547 + 0.28*Z547 + 0.28*AA547</f>
        <v>9.091907176878869E-2</v>
      </c>
      <c r="AG547">
        <f t="shared" si="24"/>
        <v>1.6549520324915648E-2</v>
      </c>
      <c r="AH547">
        <f>IF(T547="IT_Admin", 0.25, IF(AND(T547="HR", AA547&gt;0.6), 0.25, IF(AND(T547="General", Z547&gt;0.7), 0.2, 0.1)))</f>
        <v>0.1</v>
      </c>
      <c r="AI547">
        <f>IF(V547&gt;0.7, 0.1,
 IF(F547&gt;0.5, 0.08,
 IF(E547&gt;0.5, 0.05,
 0)))</f>
        <v>0</v>
      </c>
      <c r="AJ547">
        <f t="shared" si="25"/>
        <v>3.8860385758077556E-2</v>
      </c>
      <c r="AK547">
        <f t="shared" si="26"/>
        <v>4.2746424333885313E-2</v>
      </c>
      <c r="AL547" t="str">
        <f>IF(MAX(X547, Y547, Z547, AA547)&gt;0.9,
 "Critical",
 IF(AK547&lt;=0.2,"Very Low",
 IF(AK547&lt;=0.4,"Low",
 IF(AK547&lt;=0.6,"Medium",
 IF(AK547&lt;=0.8,"High","Critical")))))</f>
        <v>Very Low</v>
      </c>
      <c r="AM547" t="str">
        <f>IF(MAX(X547:AA547)&gt;0.9,"CRITICAL ALERT",
 IF(AK547&gt;0.8,"CRITICAL ALERT",
 IF(AK547&gt;0.6,"ALERT",
 IF(AK547&gt;=0.4,"REVIEW","NO ACTION"))))</f>
        <v>NO ACTION</v>
      </c>
      <c r="AN547" t="str">
        <f>IF(AM547="NO ACTION","",
 IF(_xlfn.TEXTJOIN(", ", TRUE,
  IF(X547&gt;0.7,"Login anomaly",""),
  IF(Y547&gt;0.7,"File anomaly",""),
  IF(Z547&gt;0.7,"Network anomaly",""),
  IF(AA547&gt;0.7,"USB anomaly","")
 )="",
 "General anomaly detected",
 _xlfn.TEXTJOIN(", ", TRUE,
  IF(X547&gt;0.7,"Login anomaly",""),
  IF(Y547&gt;0.7,"File anomaly",""),
  IF(Z547&gt;0.7,"Network anomaly",""),
  IF(AA547&gt;0.7,"USB anomaly","")
 )))</f>
        <v/>
      </c>
    </row>
    <row r="548" spans="1:40" x14ac:dyDescent="0.3">
      <c r="A548" t="s">
        <v>571</v>
      </c>
      <c r="B548">
        <v>0.22759924385633201</v>
      </c>
      <c r="C548">
        <v>0.560090466071825</v>
      </c>
      <c r="D548">
        <v>0.35947337350970299</v>
      </c>
      <c r="E548">
        <v>0</v>
      </c>
      <c r="F548">
        <v>0</v>
      </c>
      <c r="G548">
        <v>0.50119743927498295</v>
      </c>
      <c r="H548">
        <v>7</v>
      </c>
      <c r="I548">
        <v>13</v>
      </c>
      <c r="J548">
        <v>7.6379943704975903E-2</v>
      </c>
      <c r="K548">
        <v>1.30505709624796E-2</v>
      </c>
      <c r="L548">
        <v>4.35085492039839E-2</v>
      </c>
      <c r="M548">
        <v>1.7316017316017301E-3</v>
      </c>
      <c r="N548">
        <v>1.36576582404726E-2</v>
      </c>
      <c r="O548">
        <v>929</v>
      </c>
      <c r="P548">
        <v>6.2605218855218803E-2</v>
      </c>
      <c r="Q548">
        <v>6.2765174094463305E-2</v>
      </c>
      <c r="R548">
        <v>0</v>
      </c>
      <c r="S548">
        <v>0</v>
      </c>
      <c r="T548" t="s">
        <v>49</v>
      </c>
      <c r="U548">
        <v>3.8814016172506703E-2</v>
      </c>
      <c r="V548">
        <v>0</v>
      </c>
      <c r="W548">
        <v>0</v>
      </c>
      <c r="X548">
        <v>0.107842012052911</v>
      </c>
      <c r="Y548">
        <v>4.1127560815128902E-2</v>
      </c>
      <c r="Z548">
        <v>4.3026194609320299E-2</v>
      </c>
      <c r="AA548">
        <v>0</v>
      </c>
      <c r="AB548">
        <v>1.4969999901950359E-2</v>
      </c>
      <c r="AC548">
        <v>3.5000000934815027E-5</v>
      </c>
      <c r="AD548">
        <v>5.3880000486969948E-3</v>
      </c>
      <c r="AE548">
        <v>5.7299998588860026E-3</v>
      </c>
      <c r="AF548">
        <f>0.16*X548 + 0.28*Y548 + 0.28*Z548 + 0.28*AA548</f>
        <v>4.0817773447311537E-2</v>
      </c>
      <c r="AG548">
        <f t="shared" si="24"/>
        <v>5.5180399586970451E-3</v>
      </c>
      <c r="AH548">
        <f>IF(T548="IT_Admin", 0.25, IF(AND(T548="HR", AA548&gt;0.6), 0.25, IF(AND(T548="General", Z548&gt;0.7), 0.2, 0.1)))</f>
        <v>0.1</v>
      </c>
      <c r="AI548">
        <f>IF(V548&gt;0.7, 0.1,
 IF(F548&gt;0.5, 0.08,
 IF(E548&gt;0.5, 0.05,
 0)))</f>
        <v>0</v>
      </c>
      <c r="AJ548">
        <f t="shared" si="25"/>
        <v>1.6107960005281391E-2</v>
      </c>
      <c r="AK548">
        <f t="shared" si="26"/>
        <v>1.7718756005809532E-2</v>
      </c>
      <c r="AL548" t="str">
        <f>IF(MAX(X548, Y548, Z548, AA548)&gt;0.9,
 "Critical",
 IF(AK548&lt;=0.2,"Very Low",
 IF(AK548&lt;=0.4,"Low",
 IF(AK548&lt;=0.6,"Medium",
 IF(AK548&lt;=0.8,"High","Critical")))))</f>
        <v>Very Low</v>
      </c>
      <c r="AM548" t="str">
        <f>IF(MAX(X548:AA548)&gt;0.9,"CRITICAL ALERT",
 IF(AK548&gt;0.8,"CRITICAL ALERT",
 IF(AK548&gt;0.6,"ALERT",
 IF(AK548&gt;=0.4,"REVIEW","NO ACTION"))))</f>
        <v>NO ACTION</v>
      </c>
      <c r="AN548" t="str">
        <f>IF(AM548="NO ACTION","",
 IF(_xlfn.TEXTJOIN(", ", TRUE,
  IF(X548&gt;0.7,"Login anomaly",""),
  IF(Y548&gt;0.7,"File anomaly",""),
  IF(Z548&gt;0.7,"Network anomaly",""),
  IF(AA548&gt;0.7,"USB anomaly","")
 )="",
 "General anomaly detected",
 _xlfn.TEXTJOIN(", ", TRUE,
  IF(X548&gt;0.7,"Login anomaly",""),
  IF(Y548&gt;0.7,"File anomaly",""),
  IF(Z548&gt;0.7,"Network anomaly",""),
  IF(AA548&gt;0.7,"USB anomaly","")
 )))</f>
        <v/>
      </c>
    </row>
    <row r="549" spans="1:40" x14ac:dyDescent="0.3">
      <c r="A549" t="s">
        <v>572</v>
      </c>
      <c r="B549">
        <v>0.234026465028355</v>
      </c>
      <c r="C549">
        <v>0.59018297564042199</v>
      </c>
      <c r="D549">
        <v>0.381908757349253</v>
      </c>
      <c r="E549">
        <v>0</v>
      </c>
      <c r="F549">
        <v>0</v>
      </c>
      <c r="G549">
        <v>0.483351835323799</v>
      </c>
      <c r="H549">
        <v>7</v>
      </c>
      <c r="I549">
        <v>16</v>
      </c>
      <c r="J549">
        <v>9.9184199227136102E-2</v>
      </c>
      <c r="K549">
        <v>8.1566068515497494E-3</v>
      </c>
      <c r="L549">
        <v>2.0955713178262399E-2</v>
      </c>
      <c r="M549">
        <v>3.1746031746031698E-3</v>
      </c>
      <c r="N549">
        <v>1.9295920543521299E-2</v>
      </c>
      <c r="O549">
        <v>1111</v>
      </c>
      <c r="P549">
        <v>7.7967171717171699E-2</v>
      </c>
      <c r="Q549">
        <v>7.8123356358918594E-2</v>
      </c>
      <c r="R549">
        <v>0.76548672566371601</v>
      </c>
      <c r="S549">
        <v>1</v>
      </c>
      <c r="T549" t="s">
        <v>24</v>
      </c>
      <c r="U549">
        <v>1.41509433962264E-2</v>
      </c>
      <c r="V549">
        <v>0</v>
      </c>
      <c r="W549">
        <v>0</v>
      </c>
      <c r="X549">
        <v>0.114572627204776</v>
      </c>
      <c r="Y549">
        <v>3.6103472597614802E-2</v>
      </c>
      <c r="Z549">
        <v>5.4498671247711503E-2</v>
      </c>
      <c r="AA549">
        <v>0.76548672566371601</v>
      </c>
      <c r="AB549">
        <v>2.5003999471664429E-2</v>
      </c>
      <c r="AC549">
        <v>3.1800000579096382E-4</v>
      </c>
      <c r="AD549">
        <v>2.9120000544935461E-3</v>
      </c>
      <c r="AE549">
        <v>0.58169800043106079</v>
      </c>
      <c r="AF549">
        <f>0.16*X549 + 0.28*Y549 + 0.28*Z549 + 0.28*AA549</f>
        <v>0.25803650381529603</v>
      </c>
      <c r="AG549">
        <f t="shared" si="24"/>
        <v>0.16778048005304302</v>
      </c>
      <c r="AH549">
        <f>IF(T549="IT_Admin", 0.25, IF(AND(T549="HR", AA549&gt;0.6), 0.25, IF(AND(T549="General", Z549&gt;0.7), 0.2, 0.1)))</f>
        <v>0.25</v>
      </c>
      <c r="AI549">
        <f>IF(V549&gt;0.7, 0.1,
 IF(F549&gt;0.5, 0.08,
 IF(E549&gt;0.5, 0.05,
 0)))</f>
        <v>0</v>
      </c>
      <c r="AJ549">
        <f t="shared" si="25"/>
        <v>0.19485728718171891</v>
      </c>
      <c r="AK549">
        <f t="shared" si="26"/>
        <v>0.24357160897714863</v>
      </c>
      <c r="AL549" t="str">
        <f>IF(MAX(X549, Y549, Z549, AA549)&gt;0.9,
 "Critical",
 IF(AK549&lt;=0.2,"Very Low",
 IF(AK549&lt;=0.4,"Low",
 IF(AK549&lt;=0.6,"Medium",
 IF(AK549&lt;=0.8,"High","Critical")))))</f>
        <v>Low</v>
      </c>
      <c r="AM549" t="str">
        <f>IF(MAX(X549:AA549)&gt;0.9,"CRITICAL ALERT",
 IF(AK549&gt;0.8,"CRITICAL ALERT",
 IF(AK549&gt;0.6,"ALERT",
 IF(AK549&gt;=0.4,"REVIEW","NO ACTION"))))</f>
        <v>NO ACTION</v>
      </c>
      <c r="AN549" t="str">
        <f>IF(AM549="NO ACTION","",
 IF(_xlfn.TEXTJOIN(", ", TRUE,
  IF(X549&gt;0.7,"Login anomaly",""),
  IF(Y549&gt;0.7,"File anomaly",""),
  IF(Z549&gt;0.7,"Network anomaly",""),
  IF(AA549&gt;0.7,"USB anomaly","")
 )="",
 "General anomaly detected",
 _xlfn.TEXTJOIN(", ", TRUE,
  IF(X549&gt;0.7,"Login anomaly",""),
  IF(Y549&gt;0.7,"File anomaly",""),
  IF(Z549&gt;0.7,"Network anomaly",""),
  IF(AA549&gt;0.7,"USB anomaly","")
 )))</f>
        <v/>
      </c>
    </row>
    <row r="550" spans="1:40" x14ac:dyDescent="0.3">
      <c r="A550" t="s">
        <v>573</v>
      </c>
      <c r="B550">
        <v>0.12892249527410199</v>
      </c>
      <c r="C550">
        <v>0.27902317497967399</v>
      </c>
      <c r="D550">
        <v>7.51173381640724E-2</v>
      </c>
      <c r="E550">
        <v>0</v>
      </c>
      <c r="F550">
        <v>0</v>
      </c>
      <c r="G550">
        <v>0.99364811161041899</v>
      </c>
      <c r="H550">
        <v>7</v>
      </c>
      <c r="I550">
        <v>8</v>
      </c>
      <c r="J550">
        <v>8.0816754925814596E-2</v>
      </c>
      <c r="K550">
        <v>6.5252854812398002E-3</v>
      </c>
      <c r="L550">
        <v>2.05634873518535E-2</v>
      </c>
      <c r="M550">
        <v>2.7128427128427099E-2</v>
      </c>
      <c r="N550">
        <v>0.202257673005171</v>
      </c>
      <c r="O550">
        <v>289</v>
      </c>
      <c r="P550">
        <v>7.5406846240179501E-2</v>
      </c>
      <c r="Q550">
        <v>7.5563659314842699E-2</v>
      </c>
      <c r="R550">
        <v>0</v>
      </c>
      <c r="S550">
        <v>0</v>
      </c>
      <c r="T550" t="s">
        <v>49</v>
      </c>
      <c r="U550">
        <v>1.4299900695133999E-3</v>
      </c>
      <c r="V550">
        <v>0</v>
      </c>
      <c r="W550">
        <v>0</v>
      </c>
      <c r="X550">
        <v>2.2535201449221699E-2</v>
      </c>
      <c r="Y550">
        <v>8.7122396562641105E-2</v>
      </c>
      <c r="Z550">
        <v>0.126147176946176</v>
      </c>
      <c r="AA550">
        <v>0</v>
      </c>
      <c r="AB550">
        <v>1.872099936008453E-2</v>
      </c>
      <c r="AC550">
        <v>1.1067000217735771E-2</v>
      </c>
      <c r="AD550">
        <v>3.4270000178366899E-3</v>
      </c>
      <c r="AE550">
        <v>3.1679999083280559E-3</v>
      </c>
      <c r="AF550">
        <f>0.16*X550 + 0.28*Y550 + 0.28*Z550 + 0.28*AA550</f>
        <v>6.3321112814344271E-2</v>
      </c>
      <c r="AG550">
        <f t="shared" si="24"/>
        <v>7.9407199379056687E-3</v>
      </c>
      <c r="AH550">
        <f>IF(T550="IT_Admin", 0.25, IF(AND(T550="HR", AA550&gt;0.6), 0.25, IF(AND(T550="General", Z550&gt;0.7), 0.2, 0.1)))</f>
        <v>0.1</v>
      </c>
      <c r="AI550">
        <f>IF(V550&gt;0.7, 0.1,
 IF(F550&gt;0.5, 0.08,
 IF(E550&gt;0.5, 0.05,
 0)))</f>
        <v>0</v>
      </c>
      <c r="AJ550">
        <f t="shared" si="25"/>
        <v>2.4554837800837247E-2</v>
      </c>
      <c r="AK550">
        <f t="shared" si="26"/>
        <v>2.7010321580920975E-2</v>
      </c>
      <c r="AL550" t="str">
        <f>IF(MAX(X550, Y550, Z550, AA550)&gt;0.9,
 "Critical",
 IF(AK550&lt;=0.2,"Very Low",
 IF(AK550&lt;=0.4,"Low",
 IF(AK550&lt;=0.6,"Medium",
 IF(AK550&lt;=0.8,"High","Critical")))))</f>
        <v>Very Low</v>
      </c>
      <c r="AM550" t="str">
        <f>IF(MAX(X550:AA550)&gt;0.9,"CRITICAL ALERT",
 IF(AK550&gt;0.8,"CRITICAL ALERT",
 IF(AK550&gt;0.6,"ALERT",
 IF(AK550&gt;=0.4,"REVIEW","NO ACTION"))))</f>
        <v>NO ACTION</v>
      </c>
      <c r="AN550" t="str">
        <f>IF(AM550="NO ACTION","",
 IF(_xlfn.TEXTJOIN(", ", TRUE,
  IF(X550&gt;0.7,"Login anomaly",""),
  IF(Y550&gt;0.7,"File anomaly",""),
  IF(Z550&gt;0.7,"Network anomaly",""),
  IF(AA550&gt;0.7,"USB anomaly","")
 )="",
 "General anomaly detected",
 _xlfn.TEXTJOIN(", ", TRUE,
  IF(X550&gt;0.7,"Login anomaly",""),
  IF(Y550&gt;0.7,"File anomaly",""),
  IF(Z550&gt;0.7,"Network anomaly",""),
  IF(AA550&gt;0.7,"USB anomaly","")
 )))</f>
        <v/>
      </c>
    </row>
    <row r="551" spans="1:40" x14ac:dyDescent="0.3">
      <c r="A551" t="s">
        <v>574</v>
      </c>
      <c r="B551">
        <v>0.15085066162570801</v>
      </c>
      <c r="C551">
        <v>0.47498113096705202</v>
      </c>
      <c r="D551">
        <v>0.41253673185137402</v>
      </c>
      <c r="E551">
        <v>0.452164323132065</v>
      </c>
      <c r="F551">
        <v>4.7146401985111601E-2</v>
      </c>
      <c r="G551">
        <v>0.828875419738202</v>
      </c>
      <c r="H551">
        <v>1</v>
      </c>
      <c r="I551">
        <v>23</v>
      </c>
      <c r="J551">
        <v>8.4967320261437898E-2</v>
      </c>
      <c r="K551">
        <v>1.0603588907014599E-2</v>
      </c>
      <c r="L551">
        <v>3.1787916093252197E-2</v>
      </c>
      <c r="M551">
        <v>1.7316017316017301E-3</v>
      </c>
      <c r="N551">
        <v>1.22811865253074E-2</v>
      </c>
      <c r="O551">
        <v>338</v>
      </c>
      <c r="P551">
        <v>6.7866161616161602E-2</v>
      </c>
      <c r="Q551">
        <v>6.8024825554893198E-2</v>
      </c>
      <c r="R551">
        <v>4.1297935103244802E-2</v>
      </c>
      <c r="S551">
        <v>1</v>
      </c>
      <c r="T551" t="s">
        <v>49</v>
      </c>
      <c r="U551">
        <v>3.15363881401617E-2</v>
      </c>
      <c r="V551">
        <v>0</v>
      </c>
      <c r="W551">
        <v>4.8907440986600201E-2</v>
      </c>
      <c r="X551">
        <v>0.27826887728907601</v>
      </c>
      <c r="Y551">
        <v>3.6571778056505903E-2</v>
      </c>
      <c r="Z551">
        <v>4.56321715798199E-2</v>
      </c>
      <c r="AA551">
        <v>4.1297935103244802E-2</v>
      </c>
      <c r="AB551">
        <v>0.21797299385070801</v>
      </c>
      <c r="AC551">
        <v>1.01999998150859E-4</v>
      </c>
      <c r="AD551">
        <v>4.0319999679923058E-3</v>
      </c>
      <c r="AE551">
        <v>6.3000001013278961E-2</v>
      </c>
      <c r="AF551">
        <f>0.16*X551 + 0.28*Y551 + 0.28*Z551 + 0.28*AA551</f>
        <v>7.9103548093331935E-2</v>
      </c>
      <c r="AG551">
        <f t="shared" si="24"/>
        <v>5.3673199290351484E-2</v>
      </c>
      <c r="AH551">
        <f>IF(T551="IT_Admin", 0.25, IF(AND(T551="HR", AA551&gt;0.6), 0.25, IF(AND(T551="General", Z551&gt;0.7), 0.2, 0.1)))</f>
        <v>0.1</v>
      </c>
      <c r="AI551">
        <f>IF(V551&gt;0.7, 0.1,
 IF(F551&gt;0.5, 0.08,
 IF(E551&gt;0.5, 0.05,
 0)))</f>
        <v>0</v>
      </c>
      <c r="AJ551">
        <f t="shared" si="25"/>
        <v>6.1302303931245611E-2</v>
      </c>
      <c r="AK551">
        <f t="shared" si="26"/>
        <v>6.7432534324370172E-2</v>
      </c>
      <c r="AL551" t="str">
        <f>IF(MAX(X551, Y551, Z551, AA551)&gt;0.9,
 "Critical",
 IF(AK551&lt;=0.2,"Very Low",
 IF(AK551&lt;=0.4,"Low",
 IF(AK551&lt;=0.6,"Medium",
 IF(AK551&lt;=0.8,"High","Critical")))))</f>
        <v>Very Low</v>
      </c>
      <c r="AM551" t="str">
        <f>IF(MAX(X551:AA551)&gt;0.9,"CRITICAL ALERT",
 IF(AK551&gt;0.8,"CRITICAL ALERT",
 IF(AK551&gt;0.6,"ALERT",
 IF(AK551&gt;=0.4,"REVIEW","NO ACTION"))))</f>
        <v>NO ACTION</v>
      </c>
      <c r="AN551" t="str">
        <f>IF(AM551="NO ACTION","",
 IF(_xlfn.TEXTJOIN(", ", TRUE,
  IF(X551&gt;0.7,"Login anomaly",""),
  IF(Y551&gt;0.7,"File anomaly",""),
  IF(Z551&gt;0.7,"Network anomaly",""),
  IF(AA551&gt;0.7,"USB anomaly","")
 )="",
 "General anomaly detected",
 _xlfn.TEXTJOIN(", ", TRUE,
  IF(X551&gt;0.7,"Login anomaly",""),
  IF(Y551&gt;0.7,"File anomaly",""),
  IF(Z551&gt;0.7,"Network anomaly",""),
  IF(AA551&gt;0.7,"USB anomaly","")
 )))</f>
        <v/>
      </c>
    </row>
    <row r="552" spans="1:40" x14ac:dyDescent="0.3">
      <c r="A552" t="s">
        <v>575</v>
      </c>
      <c r="B552">
        <v>0.12892249527410199</v>
      </c>
      <c r="C552">
        <v>0.27741651562278502</v>
      </c>
      <c r="D552">
        <v>7.5132489407342906E-2</v>
      </c>
      <c r="E552">
        <v>0</v>
      </c>
      <c r="F552">
        <v>0</v>
      </c>
      <c r="G552">
        <v>0.99366018158759095</v>
      </c>
      <c r="H552">
        <v>7</v>
      </c>
      <c r="I552">
        <v>8</v>
      </c>
      <c r="J552">
        <v>0.107676160488526</v>
      </c>
      <c r="K552">
        <v>2.1207177814029299E-2</v>
      </c>
      <c r="L552">
        <v>5.0197363521263097E-2</v>
      </c>
      <c r="M552">
        <v>4.3290043290043203E-3</v>
      </c>
      <c r="N552">
        <v>2.4242041483420702E-2</v>
      </c>
      <c r="O552">
        <v>1315</v>
      </c>
      <c r="P552">
        <v>9.0382996632996607E-2</v>
      </c>
      <c r="Q552">
        <v>9.0536133805533103E-2</v>
      </c>
      <c r="R552">
        <v>0.18141592920353899</v>
      </c>
      <c r="S552">
        <v>1</v>
      </c>
      <c r="T552" t="s">
        <v>24</v>
      </c>
      <c r="U552">
        <v>2.75943396226415E-2</v>
      </c>
      <c r="V552">
        <v>0</v>
      </c>
      <c r="W552">
        <v>0</v>
      </c>
      <c r="X552">
        <v>2.2539746822202798E-2</v>
      </c>
      <c r="Y552">
        <v>5.3906526303362998E-2</v>
      </c>
      <c r="Z552">
        <v>6.3926614573166299E-2</v>
      </c>
      <c r="AA552">
        <v>0.18141592920353899</v>
      </c>
      <c r="AB552">
        <v>1.9016999751329419E-2</v>
      </c>
      <c r="AC552">
        <v>7.7999997301958501E-5</v>
      </c>
      <c r="AD552">
        <v>2.186000114306808E-3</v>
      </c>
      <c r="AE552">
        <v>7.8608997166156769E-2</v>
      </c>
      <c r="AF552">
        <f>0.16*X552 + 0.28*Y552 + 0.28*Z552 + 0.28*AA552</f>
        <v>8.7396099113971573E-2</v>
      </c>
      <c r="AG552">
        <f t="shared" si="24"/>
        <v>2.5687159197987058E-2</v>
      </c>
      <c r="AH552">
        <f>IF(T552="IT_Admin", 0.25, IF(AND(T552="HR", AA552&gt;0.6), 0.25, IF(AND(T552="General", Z552&gt;0.7), 0.2, 0.1)))</f>
        <v>0.25</v>
      </c>
      <c r="AI552">
        <f>IF(V552&gt;0.7, 0.1,
 IF(F552&gt;0.5, 0.08,
 IF(E552&gt;0.5, 0.05,
 0)))</f>
        <v>0</v>
      </c>
      <c r="AJ552">
        <f t="shared" si="25"/>
        <v>4.419984117278241E-2</v>
      </c>
      <c r="AK552">
        <f t="shared" si="26"/>
        <v>5.5249801465978014E-2</v>
      </c>
      <c r="AL552" t="str">
        <f>IF(MAX(X552, Y552, Z552, AA552)&gt;0.9,
 "Critical",
 IF(AK552&lt;=0.2,"Very Low",
 IF(AK552&lt;=0.4,"Low",
 IF(AK552&lt;=0.6,"Medium",
 IF(AK552&lt;=0.8,"High","Critical")))))</f>
        <v>Very Low</v>
      </c>
      <c r="AM552" t="str">
        <f>IF(MAX(X552:AA552)&gt;0.9,"CRITICAL ALERT",
 IF(AK552&gt;0.8,"CRITICAL ALERT",
 IF(AK552&gt;0.6,"ALERT",
 IF(AK552&gt;=0.4,"REVIEW","NO ACTION"))))</f>
        <v>NO ACTION</v>
      </c>
      <c r="AN552" t="str">
        <f>IF(AM552="NO ACTION","",
 IF(_xlfn.TEXTJOIN(", ", TRUE,
  IF(X552&gt;0.7,"Login anomaly",""),
  IF(Y552&gt;0.7,"File anomaly",""),
  IF(Z552&gt;0.7,"Network anomaly",""),
  IF(AA552&gt;0.7,"USB anomaly","")
 )="",
 "General anomaly detected",
 _xlfn.TEXTJOIN(", ", TRUE,
  IF(X552&gt;0.7,"Login anomaly",""),
  IF(Y552&gt;0.7,"File anomaly",""),
  IF(Z552&gt;0.7,"Network anomaly",""),
  IF(AA552&gt;0.7,"USB anomaly","")
 )))</f>
        <v/>
      </c>
    </row>
    <row r="553" spans="1:40" x14ac:dyDescent="0.3">
      <c r="A553" t="s">
        <v>576</v>
      </c>
      <c r="B553">
        <v>0.12892249527410199</v>
      </c>
      <c r="C553">
        <v>0.27688096250382199</v>
      </c>
      <c r="D553">
        <v>7.5132489407342906E-2</v>
      </c>
      <c r="E553">
        <v>0</v>
      </c>
      <c r="F553">
        <v>0</v>
      </c>
      <c r="G553">
        <v>0.99368151145855899</v>
      </c>
      <c r="H553">
        <v>7</v>
      </c>
      <c r="I553">
        <v>8</v>
      </c>
      <c r="J553">
        <v>9.8516292161633504E-2</v>
      </c>
      <c r="K553">
        <v>8.1566068515497494E-3</v>
      </c>
      <c r="L553">
        <v>2.1097442639371401E-2</v>
      </c>
      <c r="M553">
        <v>3.1746031746031698E-3</v>
      </c>
      <c r="N553">
        <v>1.9426424353960501E-2</v>
      </c>
      <c r="O553">
        <v>1104</v>
      </c>
      <c r="P553">
        <v>7.7476150392816995E-2</v>
      </c>
      <c r="Q553">
        <v>7.7632455555945099E-2</v>
      </c>
      <c r="R553">
        <v>0</v>
      </c>
      <c r="S553">
        <v>0</v>
      </c>
      <c r="T553" t="s">
        <v>24</v>
      </c>
      <c r="U553">
        <v>1.41509433962264E-2</v>
      </c>
      <c r="V553">
        <v>0</v>
      </c>
      <c r="W553">
        <v>0</v>
      </c>
      <c r="X553">
        <v>2.2539746822202798E-2</v>
      </c>
      <c r="Y553">
        <v>3.6079907058200598E-2</v>
      </c>
      <c r="Z553">
        <v>5.4256259977274401E-2</v>
      </c>
      <c r="AA553">
        <v>0</v>
      </c>
      <c r="AB553">
        <v>1.8358999863266941E-2</v>
      </c>
      <c r="AC553">
        <v>3.4299999242648482E-4</v>
      </c>
      <c r="AD553">
        <v>3.645000047981739E-3</v>
      </c>
      <c r="AE553">
        <v>1.5160000184550879E-3</v>
      </c>
      <c r="AF553">
        <f>0.16*X553 + 0.28*Y553 + 0.28*Z553 + 0.28*AA553</f>
        <v>2.8900486261485451E-2</v>
      </c>
      <c r="AG553">
        <f t="shared" si="24"/>
        <v>4.4785599946044379E-3</v>
      </c>
      <c r="AH553">
        <f>IF(T553="IT_Admin", 0.25, IF(AND(T553="HR", AA553&gt;0.6), 0.25, IF(AND(T553="General", Z553&gt;0.7), 0.2, 0.1)))</f>
        <v>0.25</v>
      </c>
      <c r="AI553">
        <f>IF(V553&gt;0.7, 0.1,
 IF(F553&gt;0.5, 0.08,
 IF(E553&gt;0.5, 0.05,
 0)))</f>
        <v>0</v>
      </c>
      <c r="AJ553">
        <f t="shared" si="25"/>
        <v>1.180513787466874E-2</v>
      </c>
      <c r="AK553">
        <f t="shared" si="26"/>
        <v>1.4756422343335926E-2</v>
      </c>
      <c r="AL553" t="str">
        <f>IF(MAX(X553, Y553, Z553, AA553)&gt;0.9,
 "Critical",
 IF(AK553&lt;=0.2,"Very Low",
 IF(AK553&lt;=0.4,"Low",
 IF(AK553&lt;=0.6,"Medium",
 IF(AK553&lt;=0.8,"High","Critical")))))</f>
        <v>Very Low</v>
      </c>
      <c r="AM553" t="str">
        <f>IF(MAX(X553:AA553)&gt;0.9,"CRITICAL ALERT",
 IF(AK553&gt;0.8,"CRITICAL ALERT",
 IF(AK553&gt;0.6,"ALERT",
 IF(AK553&gt;=0.4,"REVIEW","NO ACTION"))))</f>
        <v>NO ACTION</v>
      </c>
      <c r="AN553" t="str">
        <f>IF(AM553="NO ACTION","",
 IF(_xlfn.TEXTJOIN(", ", TRUE,
  IF(X553&gt;0.7,"Login anomaly",""),
  IF(Y553&gt;0.7,"File anomaly",""),
  IF(Z553&gt;0.7,"Network anomaly",""),
  IF(AA553&gt;0.7,"USB anomaly","")
 )="",
 "General anomaly detected",
 _xlfn.TEXTJOIN(", ", TRUE,
  IF(X553&gt;0.7,"Login anomaly",""),
  IF(Y553&gt;0.7,"File anomaly",""),
  IF(Z553&gt;0.7,"Network anomaly",""),
  IF(AA553&gt;0.7,"USB anomaly","")
 )))</f>
        <v/>
      </c>
    </row>
    <row r="554" spans="1:40" x14ac:dyDescent="0.3">
      <c r="A554" t="s">
        <v>577</v>
      </c>
      <c r="B554">
        <v>0.12892249527410199</v>
      </c>
      <c r="C554">
        <v>0.27473875002797099</v>
      </c>
      <c r="D554">
        <v>7.5107235637207503E-2</v>
      </c>
      <c r="E554">
        <v>0</v>
      </c>
      <c r="F554">
        <v>0</v>
      </c>
      <c r="G554">
        <v>0.99366392836542705</v>
      </c>
      <c r="H554">
        <v>7</v>
      </c>
      <c r="I554">
        <v>8</v>
      </c>
      <c r="J554">
        <v>9.0119746195315098E-2</v>
      </c>
      <c r="K554">
        <v>1.71288743882544E-2</v>
      </c>
      <c r="L554">
        <v>4.8421638412538402E-2</v>
      </c>
      <c r="M554">
        <v>2.0202020202020202E-3</v>
      </c>
      <c r="N554">
        <v>1.35110343135686E-2</v>
      </c>
      <c r="O554">
        <v>1073</v>
      </c>
      <c r="P554">
        <v>7.4600168350168305E-2</v>
      </c>
      <c r="Q554">
        <v>7.4757179424243397E-2</v>
      </c>
      <c r="R554">
        <v>0</v>
      </c>
      <c r="S554">
        <v>0</v>
      </c>
      <c r="T554" t="s">
        <v>49</v>
      </c>
      <c r="U554">
        <v>4.4575471698113198E-2</v>
      </c>
      <c r="V554">
        <v>0</v>
      </c>
      <c r="W554">
        <v>0</v>
      </c>
      <c r="X554">
        <v>2.2532170691162201E-2</v>
      </c>
      <c r="Y554">
        <v>4.6288078739402799E-2</v>
      </c>
      <c r="Z554">
        <v>5.0164514735528402E-2</v>
      </c>
      <c r="AA554">
        <v>0</v>
      </c>
      <c r="AB554">
        <v>1.853800006210804E-2</v>
      </c>
      <c r="AC554">
        <v>3.7000001611886553E-5</v>
      </c>
      <c r="AD554">
        <v>4.1080000810325146E-3</v>
      </c>
      <c r="AE554">
        <v>1.780000049620867E-3</v>
      </c>
      <c r="AF554">
        <f>0.16*X554 + 0.28*Y554 + 0.28*Z554 + 0.28*AA554</f>
        <v>3.0611873483566691E-2</v>
      </c>
      <c r="AG554">
        <f t="shared" si="24"/>
        <v>4.6250800469715622E-3</v>
      </c>
      <c r="AH554">
        <f>IF(T554="IT_Admin", 0.25, IF(AND(T554="HR", AA554&gt;0.6), 0.25, IF(AND(T554="General", Z554&gt;0.7), 0.2, 0.1)))</f>
        <v>0.1</v>
      </c>
      <c r="AI554">
        <f>IF(V554&gt;0.7, 0.1,
 IF(F554&gt;0.5, 0.08,
 IF(E554&gt;0.5, 0.05,
 0)))</f>
        <v>0</v>
      </c>
      <c r="AJ554">
        <f t="shared" si="25"/>
        <v>1.2421118077950101E-2</v>
      </c>
      <c r="AK554">
        <f t="shared" si="26"/>
        <v>1.3663229885745113E-2</v>
      </c>
      <c r="AL554" t="str">
        <f>IF(MAX(X554, Y554, Z554, AA554)&gt;0.9,
 "Critical",
 IF(AK554&lt;=0.2,"Very Low",
 IF(AK554&lt;=0.4,"Low",
 IF(AK554&lt;=0.6,"Medium",
 IF(AK554&lt;=0.8,"High","Critical")))))</f>
        <v>Very Low</v>
      </c>
      <c r="AM554" t="str">
        <f>IF(MAX(X554:AA554)&gt;0.9,"CRITICAL ALERT",
 IF(AK554&gt;0.8,"CRITICAL ALERT",
 IF(AK554&gt;0.6,"ALERT",
 IF(AK554&gt;=0.4,"REVIEW","NO ACTION"))))</f>
        <v>NO ACTION</v>
      </c>
      <c r="AN554" t="str">
        <f>IF(AM554="NO ACTION","",
 IF(_xlfn.TEXTJOIN(", ", TRUE,
  IF(X554&gt;0.7,"Login anomaly",""),
  IF(Y554&gt;0.7,"File anomaly",""),
  IF(Z554&gt;0.7,"Network anomaly",""),
  IF(AA554&gt;0.7,"USB anomaly","")
 )="",
 "General anomaly detected",
 _xlfn.TEXTJOIN(", ", TRUE,
  IF(X554&gt;0.7,"Login anomaly",""),
  IF(Y554&gt;0.7,"File anomaly",""),
  IF(Z554&gt;0.7,"Network anomaly",""),
  IF(AA554&gt;0.7,"USB anomaly","")
 )))</f>
        <v/>
      </c>
    </row>
    <row r="555" spans="1:40" x14ac:dyDescent="0.3">
      <c r="A555" t="s">
        <v>578</v>
      </c>
      <c r="B555">
        <v>0.12892249527410199</v>
      </c>
      <c r="C555">
        <v>0.45522015111846997</v>
      </c>
      <c r="D555">
        <v>7.4935284296444499E-2</v>
      </c>
      <c r="E555">
        <v>0</v>
      </c>
      <c r="F555">
        <v>0</v>
      </c>
      <c r="G555">
        <v>0.99367827317199997</v>
      </c>
      <c r="H555">
        <v>8</v>
      </c>
      <c r="I555">
        <v>9</v>
      </c>
      <c r="J555">
        <v>8.8068317351271394E-2</v>
      </c>
      <c r="K555">
        <v>2.4469820554649201E-2</v>
      </c>
      <c r="L555">
        <v>7.0780723279576796E-2</v>
      </c>
      <c r="M555">
        <v>1.44300144300144E-3</v>
      </c>
      <c r="N555">
        <v>9.8749320791460104E-3</v>
      </c>
      <c r="O555">
        <v>914</v>
      </c>
      <c r="P555">
        <v>7.5968013468013407E-2</v>
      </c>
      <c r="Q555">
        <v>7.6124688803955204E-2</v>
      </c>
      <c r="R555">
        <v>0</v>
      </c>
      <c r="S555">
        <v>0</v>
      </c>
      <c r="T555" t="s">
        <v>49</v>
      </c>
      <c r="U555">
        <v>8.4905660377358402E-2</v>
      </c>
      <c r="V555">
        <v>0</v>
      </c>
      <c r="W555">
        <v>0</v>
      </c>
      <c r="X555">
        <v>2.2480585288933298E-2</v>
      </c>
      <c r="Y555">
        <v>5.5966504733786497E-2</v>
      </c>
      <c r="Z555">
        <v>4.9530780912466398E-2</v>
      </c>
      <c r="AA555">
        <v>0</v>
      </c>
      <c r="AB555">
        <v>1.3251000083982939E-2</v>
      </c>
      <c r="AC555">
        <v>1.047999947331846E-3</v>
      </c>
      <c r="AD555">
        <v>4.036999773234129E-3</v>
      </c>
      <c r="AE555">
        <v>2.1110000088810921E-3</v>
      </c>
      <c r="AF555">
        <f>0.16*X555 + 0.28*Y555 + 0.28*Z555 + 0.28*AA555</f>
        <v>3.3136133627180139E-2</v>
      </c>
      <c r="AG555">
        <f t="shared" si="24"/>
        <v>4.1350399376824491E-3</v>
      </c>
      <c r="AH555">
        <f>IF(T555="IT_Admin", 0.25, IF(AND(T555="HR", AA555&gt;0.6), 0.25, IF(AND(T555="General", Z555&gt;0.7), 0.2, 0.1)))</f>
        <v>0.1</v>
      </c>
      <c r="AI555">
        <f>IF(V555&gt;0.7, 0.1,
 IF(F555&gt;0.5, 0.08,
 IF(E555&gt;0.5, 0.05,
 0)))</f>
        <v>0</v>
      </c>
      <c r="AJ555">
        <f t="shared" si="25"/>
        <v>1.2835368044531755E-2</v>
      </c>
      <c r="AK555">
        <f t="shared" si="26"/>
        <v>1.4118904848984931E-2</v>
      </c>
      <c r="AL555" t="str">
        <f>IF(MAX(X555, Y555, Z555, AA555)&gt;0.9,
 "Critical",
 IF(AK555&lt;=0.2,"Very Low",
 IF(AK555&lt;=0.4,"Low",
 IF(AK555&lt;=0.6,"Medium",
 IF(AK555&lt;=0.8,"High","Critical")))))</f>
        <v>Very Low</v>
      </c>
      <c r="AM555" t="str">
        <f>IF(MAX(X555:AA555)&gt;0.9,"CRITICAL ALERT",
 IF(AK555&gt;0.8,"CRITICAL ALERT",
 IF(AK555&gt;0.6,"ALERT",
 IF(AK555&gt;=0.4,"REVIEW","NO ACTION"))))</f>
        <v>NO ACTION</v>
      </c>
      <c r="AN555" t="str">
        <f>IF(AM555="NO ACTION","",
 IF(_xlfn.TEXTJOIN(", ", TRUE,
  IF(X555&gt;0.7,"Login anomaly",""),
  IF(Y555&gt;0.7,"File anomaly",""),
  IF(Z555&gt;0.7,"Network anomaly",""),
  IF(AA555&gt;0.7,"USB anomaly","")
 )="",
 "General anomaly detected",
 _xlfn.TEXTJOIN(", ", TRUE,
  IF(X555&gt;0.7,"Login anomaly",""),
  IF(Y555&gt;0.7,"File anomaly",""),
  IF(Z555&gt;0.7,"Network anomaly",""),
  IF(AA555&gt;0.7,"USB anomaly","")
 )))</f>
        <v/>
      </c>
    </row>
    <row r="556" spans="1:40" x14ac:dyDescent="0.3">
      <c r="A556" t="s">
        <v>579</v>
      </c>
      <c r="B556">
        <v>0.22873345935727701</v>
      </c>
      <c r="C556">
        <v>0.75301934357429701</v>
      </c>
      <c r="D556">
        <v>0.364328643814331</v>
      </c>
      <c r="E556">
        <v>0</v>
      </c>
      <c r="F556">
        <v>0</v>
      </c>
      <c r="G556">
        <v>0.497915902266927</v>
      </c>
      <c r="H556">
        <v>8</v>
      </c>
      <c r="I556">
        <v>14</v>
      </c>
      <c r="J556">
        <v>8.2581937884642895E-2</v>
      </c>
      <c r="K556">
        <v>1.30505709624796E-2</v>
      </c>
      <c r="L556">
        <v>4.0250420519353798E-2</v>
      </c>
      <c r="M556">
        <v>8.6580086580086504E-4</v>
      </c>
      <c r="N556">
        <v>6.3174536676840797E-3</v>
      </c>
      <c r="O556">
        <v>984</v>
      </c>
      <c r="P556">
        <v>6.6743827160493804E-2</v>
      </c>
      <c r="Q556">
        <v>6.6902766576668105E-2</v>
      </c>
      <c r="R556">
        <v>0</v>
      </c>
      <c r="S556">
        <v>0</v>
      </c>
      <c r="T556" t="s">
        <v>49</v>
      </c>
      <c r="U556">
        <v>6.7924528301886694E-2</v>
      </c>
      <c r="V556">
        <v>0</v>
      </c>
      <c r="W556">
        <v>0</v>
      </c>
      <c r="X556">
        <v>0.109298593144299</v>
      </c>
      <c r="Y556">
        <v>3.8536833936910701E-2</v>
      </c>
      <c r="Z556">
        <v>4.2573277763369902E-2</v>
      </c>
      <c r="AA556">
        <v>0</v>
      </c>
      <c r="AB556">
        <v>3.3780001103878021E-2</v>
      </c>
      <c r="AC556">
        <v>3.8599999970756471E-4</v>
      </c>
      <c r="AD556">
        <v>5.0739999860525131E-3</v>
      </c>
      <c r="AE556">
        <v>5.4859998635947704E-3</v>
      </c>
      <c r="AF556">
        <f>0.16*X556 + 0.28*Y556 + 0.28*Z556 + 0.28*AA556</f>
        <v>4.0198606179166416E-2</v>
      </c>
      <c r="AG556">
        <f t="shared" si="24"/>
        <v>8.4696801344398415E-3</v>
      </c>
      <c r="AH556">
        <f>IF(T556="IT_Admin", 0.25, IF(AND(T556="HR", AA556&gt;0.6), 0.25, IF(AND(T556="General", Z556&gt;0.7), 0.2, 0.1)))</f>
        <v>0.1</v>
      </c>
      <c r="AI556">
        <f>IF(V556&gt;0.7, 0.1,
 IF(F556&gt;0.5, 0.08,
 IF(E556&gt;0.5, 0.05,
 0)))</f>
        <v>0</v>
      </c>
      <c r="AJ556">
        <f t="shared" si="25"/>
        <v>1.7988357947857813E-2</v>
      </c>
      <c r="AK556">
        <f t="shared" si="26"/>
        <v>1.9787193742643597E-2</v>
      </c>
      <c r="AL556" t="str">
        <f>IF(MAX(X556, Y556, Z556, AA556)&gt;0.9,
 "Critical",
 IF(AK556&lt;=0.2,"Very Low",
 IF(AK556&lt;=0.4,"Low",
 IF(AK556&lt;=0.6,"Medium",
 IF(AK556&lt;=0.8,"High","Critical")))))</f>
        <v>Very Low</v>
      </c>
      <c r="AM556" t="str">
        <f>IF(MAX(X556:AA556)&gt;0.9,"CRITICAL ALERT",
 IF(AK556&gt;0.8,"CRITICAL ALERT",
 IF(AK556&gt;0.6,"ALERT",
 IF(AK556&gt;=0.4,"REVIEW","NO ACTION"))))</f>
        <v>NO ACTION</v>
      </c>
      <c r="AN556" t="str">
        <f>IF(AM556="NO ACTION","",
 IF(_xlfn.TEXTJOIN(", ", TRUE,
  IF(X556&gt;0.7,"Login anomaly",""),
  IF(Y556&gt;0.7,"File anomaly",""),
  IF(Z556&gt;0.7,"Network anomaly",""),
  IF(AA556&gt;0.7,"USB anomaly","")
 )="",
 "General anomaly detected",
 _xlfn.TEXTJOIN(", ", TRUE,
  IF(X556&gt;0.7,"Login anomaly",""),
  IF(Y556&gt;0.7,"File anomaly",""),
  IF(Z556&gt;0.7,"Network anomaly",""),
  IF(AA556&gt;0.7,"USB anomaly","")
 )))</f>
        <v/>
      </c>
    </row>
    <row r="557" spans="1:40" x14ac:dyDescent="0.3">
      <c r="A557" t="s">
        <v>580</v>
      </c>
      <c r="B557">
        <v>0.12892249527410199</v>
      </c>
      <c r="C557">
        <v>0.36953165208440503</v>
      </c>
      <c r="D557">
        <v>0</v>
      </c>
      <c r="E557">
        <v>0</v>
      </c>
      <c r="F557">
        <v>0</v>
      </c>
      <c r="G557">
        <v>0.99369866634850801</v>
      </c>
      <c r="H557">
        <v>8</v>
      </c>
      <c r="I557">
        <v>8</v>
      </c>
      <c r="J557">
        <v>7.2706454844711596E-2</v>
      </c>
      <c r="K557">
        <v>1.2234910277324601E-2</v>
      </c>
      <c r="L557">
        <v>4.2843400520110098E-2</v>
      </c>
      <c r="M557">
        <v>2.0202020202020202E-3</v>
      </c>
      <c r="N557">
        <v>1.6736362975735102E-2</v>
      </c>
      <c r="O557">
        <v>866</v>
      </c>
      <c r="P557">
        <v>5.9694163860830499E-2</v>
      </c>
      <c r="Q557">
        <v>5.9854833619692099E-2</v>
      </c>
      <c r="R557">
        <v>0</v>
      </c>
      <c r="S557">
        <v>0</v>
      </c>
      <c r="T557" t="s">
        <v>49</v>
      </c>
      <c r="U557">
        <v>3.1839622641509399E-2</v>
      </c>
      <c r="V557">
        <v>0</v>
      </c>
      <c r="W557">
        <v>0</v>
      </c>
      <c r="X557">
        <v>0</v>
      </c>
      <c r="Y557">
        <v>4.0983900121717903E-2</v>
      </c>
      <c r="Z557">
        <v>4.2511043506792301E-2</v>
      </c>
      <c r="AA557">
        <v>0</v>
      </c>
      <c r="AB557">
        <v>2.4654999375343319E-2</v>
      </c>
      <c r="AC557">
        <v>3.3000000257743523E-5</v>
      </c>
      <c r="AD557">
        <v>5.9360000304877758E-3</v>
      </c>
      <c r="AE557">
        <v>1.761000021360815E-3</v>
      </c>
      <c r="AF557">
        <f>0.16*X557 + 0.28*Y557 + 0.28*Z557 + 0.28*AA557</f>
        <v>2.3378584215982857E-2</v>
      </c>
      <c r="AG557">
        <f t="shared" si="24"/>
        <v>6.1091999146447055E-3</v>
      </c>
      <c r="AH557">
        <f>IF(T557="IT_Admin", 0.25, IF(AND(T557="HR", AA557&gt;0.6), 0.25, IF(AND(T557="General", Z557&gt;0.7), 0.2, 0.1)))</f>
        <v>0.1</v>
      </c>
      <c r="AI557">
        <f>IF(V557&gt;0.7, 0.1,
 IF(F557&gt;0.5, 0.08,
 IF(E557&gt;0.5, 0.05,
 0)))</f>
        <v>0</v>
      </c>
      <c r="AJ557">
        <f t="shared" si="25"/>
        <v>1.1290015205046151E-2</v>
      </c>
      <c r="AK557">
        <f t="shared" si="26"/>
        <v>1.2419016725550767E-2</v>
      </c>
      <c r="AL557" t="str">
        <f>IF(MAX(X557, Y557, Z557, AA557)&gt;0.9,
 "Critical",
 IF(AK557&lt;=0.2,"Very Low",
 IF(AK557&lt;=0.4,"Low",
 IF(AK557&lt;=0.6,"Medium",
 IF(AK557&lt;=0.8,"High","Critical")))))</f>
        <v>Very Low</v>
      </c>
      <c r="AM557" t="str">
        <f>IF(MAX(X557:AA557)&gt;0.9,"CRITICAL ALERT",
 IF(AK557&gt;0.8,"CRITICAL ALERT",
 IF(AK557&gt;0.6,"ALERT",
 IF(AK557&gt;=0.4,"REVIEW","NO ACTION"))))</f>
        <v>NO ACTION</v>
      </c>
      <c r="AN557" t="str">
        <f>IF(AM557="NO ACTION","",
 IF(_xlfn.TEXTJOIN(", ", TRUE,
  IF(X557&gt;0.7,"Login anomaly",""),
  IF(Y557&gt;0.7,"File anomaly",""),
  IF(Z557&gt;0.7,"Network anomaly",""),
  IF(AA557&gt;0.7,"USB anomaly","")
 )="",
 "General anomaly detected",
 _xlfn.TEXTJOIN(", ", TRUE,
  IF(X557&gt;0.7,"Login anomaly",""),
  IF(Y557&gt;0.7,"File anomaly",""),
  IF(Z557&gt;0.7,"Network anomaly",""),
  IF(AA557&gt;0.7,"USB anomaly","")
 )))</f>
        <v/>
      </c>
    </row>
    <row r="558" spans="1:40" x14ac:dyDescent="0.3">
      <c r="A558" t="s">
        <v>581</v>
      </c>
      <c r="B558">
        <v>0.12892249527410199</v>
      </c>
      <c r="C558">
        <v>0.45896902295121</v>
      </c>
      <c r="D558">
        <v>7.50946055673926E-2</v>
      </c>
      <c r="E558">
        <v>0</v>
      </c>
      <c r="F558">
        <v>0</v>
      </c>
      <c r="G558">
        <v>0.99364899477947999</v>
      </c>
      <c r="H558">
        <v>8</v>
      </c>
      <c r="I558">
        <v>9</v>
      </c>
      <c r="J558">
        <v>9.6226325079910302E-2</v>
      </c>
      <c r="K558">
        <v>0.37765089722675299</v>
      </c>
      <c r="L558">
        <v>1</v>
      </c>
      <c r="M558">
        <v>3.4632034632034602E-3</v>
      </c>
      <c r="N558">
        <v>2.1695548105043601E-2</v>
      </c>
      <c r="O558">
        <v>343</v>
      </c>
      <c r="P558">
        <v>0.23481341189674501</v>
      </c>
      <c r="Q558">
        <v>0.234931098565868</v>
      </c>
      <c r="R558">
        <v>0</v>
      </c>
      <c r="S558">
        <v>0</v>
      </c>
      <c r="T558" t="s">
        <v>24</v>
      </c>
      <c r="U558">
        <v>0.60478955007256796</v>
      </c>
      <c r="V558">
        <v>0</v>
      </c>
      <c r="W558">
        <v>0</v>
      </c>
      <c r="X558">
        <v>2.2528381670217701E-2</v>
      </c>
      <c r="Y558">
        <v>0.52575392944749499</v>
      </c>
      <c r="Z558">
        <v>0.14956626638006401</v>
      </c>
      <c r="AA558">
        <v>0</v>
      </c>
      <c r="AB558">
        <v>1.9687000662088391E-2</v>
      </c>
      <c r="AC558">
        <v>0.46444499492645258</v>
      </c>
      <c r="AD558">
        <v>7.4889999814331532E-3</v>
      </c>
      <c r="AE558">
        <v>6.9450000301003456E-3</v>
      </c>
      <c r="AF558">
        <f>0.16*X558 + 0.28*Y558 + 0.28*Z558 + 0.28*AA558</f>
        <v>0.1926941958989514</v>
      </c>
      <c r="AG558">
        <f t="shared" si="24"/>
        <v>0.13723603868857026</v>
      </c>
      <c r="AH558">
        <f>IF(T558="IT_Admin", 0.25, IF(AND(T558="HR", AA558&gt;0.6), 0.25, IF(AND(T558="General", Z558&gt;0.7), 0.2, 0.1)))</f>
        <v>0.25</v>
      </c>
      <c r="AI558">
        <f>IF(V558&gt;0.7, 0.1,
 IF(F558&gt;0.5, 0.08,
 IF(E558&gt;0.5, 0.05,
 0)))</f>
        <v>0</v>
      </c>
      <c r="AJ558">
        <f t="shared" si="25"/>
        <v>0.15387348585168459</v>
      </c>
      <c r="AK558">
        <f t="shared" si="26"/>
        <v>0.19234185731460574</v>
      </c>
      <c r="AL558" t="str">
        <f>IF(MAX(X558, Y558, Z558, AA558)&gt;0.9,
 "Critical",
 IF(AK558&lt;=0.2,"Very Low",
 IF(AK558&lt;=0.4,"Low",
 IF(AK558&lt;=0.6,"Medium",
 IF(AK558&lt;=0.8,"High","Critical")))))</f>
        <v>Very Low</v>
      </c>
      <c r="AM558" t="str">
        <f>IF(MAX(X558:AA558)&gt;0.9,"CRITICAL ALERT",
 IF(AK558&gt;0.8,"CRITICAL ALERT",
 IF(AK558&gt;0.6,"ALERT",
 IF(AK558&gt;=0.4,"REVIEW","NO ACTION"))))</f>
        <v>NO ACTION</v>
      </c>
      <c r="AN558" t="str">
        <f>IF(AM558="NO ACTION","",
 IF(_xlfn.TEXTJOIN(", ", TRUE,
  IF(X558&gt;0.7,"Login anomaly",""),
  IF(Y558&gt;0.7,"File anomaly",""),
  IF(Z558&gt;0.7,"Network anomaly",""),
  IF(AA558&gt;0.7,"USB anomaly","")
 )="",
 "General anomaly detected",
 _xlfn.TEXTJOIN(", ", TRUE,
  IF(X558&gt;0.7,"Login anomaly",""),
  IF(Y558&gt;0.7,"File anomaly",""),
  IF(Z558&gt;0.7,"Network anomaly",""),
  IF(AA558&gt;0.7,"USB anomaly","")
 )))</f>
        <v/>
      </c>
    </row>
    <row r="559" spans="1:40" x14ac:dyDescent="0.3">
      <c r="A559" t="s">
        <v>582</v>
      </c>
      <c r="B559">
        <v>0.12892249527410199</v>
      </c>
      <c r="C559">
        <v>0.27152543131419299</v>
      </c>
      <c r="D559">
        <v>7.4993488433305694E-2</v>
      </c>
      <c r="E559">
        <v>0</v>
      </c>
      <c r="F559">
        <v>0</v>
      </c>
      <c r="G559">
        <v>0.99367072609092999</v>
      </c>
      <c r="H559">
        <v>7</v>
      </c>
      <c r="I559">
        <v>8</v>
      </c>
      <c r="J559">
        <v>9.8897953341920697E-2</v>
      </c>
      <c r="K559">
        <v>1.2234910277324601E-2</v>
      </c>
      <c r="L559">
        <v>3.1524330796558399E-2</v>
      </c>
      <c r="M559">
        <v>2.0202020202020202E-3</v>
      </c>
      <c r="N559">
        <v>1.2314677088498E-2</v>
      </c>
      <c r="O559">
        <v>1147</v>
      </c>
      <c r="P559">
        <v>7.8949214365880996E-2</v>
      </c>
      <c r="Q559">
        <v>7.9105157964865502E-2</v>
      </c>
      <c r="R559">
        <v>0</v>
      </c>
      <c r="S559">
        <v>0</v>
      </c>
      <c r="T559" t="s">
        <v>24</v>
      </c>
      <c r="U559">
        <v>3.1839622641509399E-2</v>
      </c>
      <c r="V559">
        <v>0</v>
      </c>
      <c r="W559">
        <v>0</v>
      </c>
      <c r="X559">
        <v>2.2498046529991701E-2</v>
      </c>
      <c r="Y559">
        <v>3.9236159193212702E-2</v>
      </c>
      <c r="Z559">
        <v>5.2295399454927803E-2</v>
      </c>
      <c r="AA559">
        <v>0</v>
      </c>
      <c r="AB559">
        <v>1.8784999847412109E-2</v>
      </c>
      <c r="AC559">
        <v>7.8999997640494257E-5</v>
      </c>
      <c r="AD559">
        <v>3.6369999870657921E-3</v>
      </c>
      <c r="AE559">
        <v>1.3640000252053139E-3</v>
      </c>
      <c r="AF559">
        <f>0.16*X559 + 0.28*Y559 + 0.28*Z559 + 0.28*AA559</f>
        <v>2.9228523866278017E-2</v>
      </c>
      <c r="AG559">
        <f t="shared" si="24"/>
        <v>4.4279999783611865E-3</v>
      </c>
      <c r="AH559">
        <f>IF(T559="IT_Admin", 0.25, IF(AND(T559="HR", AA559&gt;0.6), 0.25, IF(AND(T559="General", Z559&gt;0.7), 0.2, 0.1)))</f>
        <v>0.25</v>
      </c>
      <c r="AI559">
        <f>IF(V559&gt;0.7, 0.1,
 IF(F559&gt;0.5, 0.08,
 IF(E559&gt;0.5, 0.05,
 0)))</f>
        <v>0</v>
      </c>
      <c r="AJ559">
        <f t="shared" si="25"/>
        <v>1.1868157144736236E-2</v>
      </c>
      <c r="AK559">
        <f t="shared" si="26"/>
        <v>1.4835196430920294E-2</v>
      </c>
      <c r="AL559" t="str">
        <f>IF(MAX(X559, Y559, Z559, AA559)&gt;0.9,
 "Critical",
 IF(AK559&lt;=0.2,"Very Low",
 IF(AK559&lt;=0.4,"Low",
 IF(AK559&lt;=0.6,"Medium",
 IF(AK559&lt;=0.8,"High","Critical")))))</f>
        <v>Very Low</v>
      </c>
      <c r="AM559" t="str">
        <f>IF(MAX(X559:AA559)&gt;0.9,"CRITICAL ALERT",
 IF(AK559&gt;0.8,"CRITICAL ALERT",
 IF(AK559&gt;0.6,"ALERT",
 IF(AK559&gt;=0.4,"REVIEW","NO ACTION"))))</f>
        <v>NO ACTION</v>
      </c>
      <c r="AN559" t="str">
        <f>IF(AM559="NO ACTION","",
 IF(_xlfn.TEXTJOIN(", ", TRUE,
  IF(X559&gt;0.7,"Login anomaly",""),
  IF(Y559&gt;0.7,"File anomaly",""),
  IF(Z559&gt;0.7,"Network anomaly",""),
  IF(AA559&gt;0.7,"USB anomaly","")
 )="",
 "General anomaly detected",
 _xlfn.TEXTJOIN(", ", TRUE,
  IF(X559&gt;0.7,"Login anomaly",""),
  IF(Y559&gt;0.7,"File anomaly",""),
  IF(Z559&gt;0.7,"Network anomaly",""),
  IF(AA559&gt;0.7,"USB anomaly","")
 )))</f>
        <v/>
      </c>
    </row>
    <row r="560" spans="1:40" x14ac:dyDescent="0.3">
      <c r="A560" t="s">
        <v>583</v>
      </c>
      <c r="B560">
        <v>0.12892249527410199</v>
      </c>
      <c r="C560">
        <v>0.18476582604220201</v>
      </c>
      <c r="D560">
        <v>0</v>
      </c>
      <c r="E560">
        <v>0</v>
      </c>
      <c r="F560">
        <v>0</v>
      </c>
      <c r="G560">
        <v>0.99366556089005598</v>
      </c>
      <c r="H560">
        <v>7</v>
      </c>
      <c r="I560">
        <v>7</v>
      </c>
      <c r="J560">
        <v>7.2181670721816693E-2</v>
      </c>
      <c r="K560">
        <v>4.07830342577487E-2</v>
      </c>
      <c r="L560">
        <v>0.14384619981389599</v>
      </c>
      <c r="M560">
        <v>3.4632034632034602E-3</v>
      </c>
      <c r="N560">
        <v>2.8898813088536399E-2</v>
      </c>
      <c r="O560">
        <v>693</v>
      </c>
      <c r="P560">
        <v>7.2285353535353494E-2</v>
      </c>
      <c r="Q560">
        <v>7.2442932781654298E-2</v>
      </c>
      <c r="R560">
        <v>0</v>
      </c>
      <c r="S560">
        <v>0</v>
      </c>
      <c r="T560" t="s">
        <v>49</v>
      </c>
      <c r="U560">
        <v>6.5312046444121905E-2</v>
      </c>
      <c r="V560">
        <v>0</v>
      </c>
      <c r="W560">
        <v>0</v>
      </c>
      <c r="X560">
        <v>0</v>
      </c>
      <c r="Y560">
        <v>9.5029077977872398E-2</v>
      </c>
      <c r="Z560">
        <v>5.4930737356626597E-2</v>
      </c>
      <c r="AA560">
        <v>0</v>
      </c>
      <c r="AB560">
        <v>3.6665000021457672E-2</v>
      </c>
      <c r="AC560">
        <v>3.8119999226182699E-3</v>
      </c>
      <c r="AD560">
        <v>3.9949999190866947E-3</v>
      </c>
      <c r="AE560">
        <v>1.643000054173172E-3</v>
      </c>
      <c r="AF560">
        <f>0.16*X560 + 0.28*Y560 + 0.28*Z560 + 0.28*AA560</f>
        <v>4.1988748293659721E-2</v>
      </c>
      <c r="AG560">
        <f t="shared" si="24"/>
        <v>8.5123999742791057E-3</v>
      </c>
      <c r="AH560">
        <f>IF(T560="IT_Admin", 0.25, IF(AND(T560="HR", AA560&gt;0.6), 0.25, IF(AND(T560="General", Z560&gt;0.7), 0.2, 0.1)))</f>
        <v>0.1</v>
      </c>
      <c r="AI560">
        <f>IF(V560&gt;0.7, 0.1,
 IF(F560&gt;0.5, 0.08,
 IF(E560&gt;0.5, 0.05,
 0)))</f>
        <v>0</v>
      </c>
      <c r="AJ560">
        <f t="shared" si="25"/>
        <v>1.8555304470093289E-2</v>
      </c>
      <c r="AK560">
        <f t="shared" si="26"/>
        <v>2.0410834917102619E-2</v>
      </c>
      <c r="AL560" t="str">
        <f>IF(MAX(X560, Y560, Z560, AA560)&gt;0.9,
 "Critical",
 IF(AK560&lt;=0.2,"Very Low",
 IF(AK560&lt;=0.4,"Low",
 IF(AK560&lt;=0.6,"Medium",
 IF(AK560&lt;=0.8,"High","Critical")))))</f>
        <v>Very Low</v>
      </c>
      <c r="AM560" t="str">
        <f>IF(MAX(X560:AA560)&gt;0.9,"CRITICAL ALERT",
 IF(AK560&gt;0.8,"CRITICAL ALERT",
 IF(AK560&gt;0.6,"ALERT",
 IF(AK560&gt;=0.4,"REVIEW","NO ACTION"))))</f>
        <v>NO ACTION</v>
      </c>
      <c r="AN560" t="str">
        <f>IF(AM560="NO ACTION","",
 IF(_xlfn.TEXTJOIN(", ", TRUE,
  IF(X560&gt;0.7,"Login anomaly",""),
  IF(Y560&gt;0.7,"File anomaly",""),
  IF(Z560&gt;0.7,"Network anomaly",""),
  IF(AA560&gt;0.7,"USB anomaly","")
 )="",
 "General anomaly detected",
 _xlfn.TEXTJOIN(", ", TRUE,
  IF(X560&gt;0.7,"Login anomaly",""),
  IF(Y560&gt;0.7,"File anomaly",""),
  IF(Z560&gt;0.7,"Network anomaly",""),
  IF(AA560&gt;0.7,"USB anomaly","")
 )))</f>
        <v/>
      </c>
    </row>
    <row r="561" spans="1:40" x14ac:dyDescent="0.3">
      <c r="A561" t="s">
        <v>584</v>
      </c>
      <c r="B561">
        <v>0.12892249527410199</v>
      </c>
      <c r="C561">
        <v>0.46271789478395098</v>
      </c>
      <c r="D561">
        <v>7.5129964412319103E-2</v>
      </c>
      <c r="E561">
        <v>0</v>
      </c>
      <c r="F561">
        <v>0</v>
      </c>
      <c r="G561">
        <v>0.99368343837287398</v>
      </c>
      <c r="H561">
        <v>8</v>
      </c>
      <c r="I561">
        <v>9</v>
      </c>
      <c r="J561">
        <v>8.2295691999427503E-2</v>
      </c>
      <c r="K561">
        <v>4.0783034257748704E-3</v>
      </c>
      <c r="L561">
        <v>1.26218804229765E-2</v>
      </c>
      <c r="M561">
        <v>0</v>
      </c>
      <c r="N561">
        <v>0</v>
      </c>
      <c r="O561">
        <v>313</v>
      </c>
      <c r="P561">
        <v>6.2254489337822599E-2</v>
      </c>
      <c r="Q561">
        <v>6.2414530663768002E-2</v>
      </c>
      <c r="R561">
        <v>0</v>
      </c>
      <c r="S561">
        <v>0</v>
      </c>
      <c r="T561" t="s">
        <v>49</v>
      </c>
      <c r="U561">
        <v>8.4905660377358402E-2</v>
      </c>
      <c r="V561">
        <v>0</v>
      </c>
      <c r="W561">
        <v>0</v>
      </c>
      <c r="X561">
        <v>2.2538989323695701E-2</v>
      </c>
      <c r="Y561">
        <v>2.2770078611373701E-2</v>
      </c>
      <c r="Z561">
        <v>3.7352693602693603E-2</v>
      </c>
      <c r="AA561">
        <v>0</v>
      </c>
      <c r="AB561">
        <v>1.3644999824464319E-2</v>
      </c>
      <c r="AC561">
        <v>1.32599996868521E-3</v>
      </c>
      <c r="AD561">
        <v>5.9819999150931844E-3</v>
      </c>
      <c r="AE561">
        <v>3.434000071138144E-3</v>
      </c>
      <c r="AF561">
        <f>0.16*X561 + 0.28*Y561 + 0.28*Z561 + 0.28*AA561</f>
        <v>2.0440614511730158E-2</v>
      </c>
      <c r="AG561">
        <f t="shared" si="24"/>
        <v>5.1909599592909212E-3</v>
      </c>
      <c r="AH561">
        <f>IF(T561="IT_Admin", 0.25, IF(AND(T561="HR", AA561&gt;0.6), 0.25, IF(AND(T561="General", Z561&gt;0.7), 0.2, 0.1)))</f>
        <v>0.1</v>
      </c>
      <c r="AI561">
        <f>IF(V561&gt;0.7, 0.1,
 IF(F561&gt;0.5, 0.08,
 IF(E561&gt;0.5, 0.05,
 0)))</f>
        <v>0</v>
      </c>
      <c r="AJ561">
        <f t="shared" si="25"/>
        <v>9.7658563250226926E-3</v>
      </c>
      <c r="AK561">
        <f t="shared" si="26"/>
        <v>1.0742441957524962E-2</v>
      </c>
      <c r="AL561" t="str">
        <f>IF(MAX(X561, Y561, Z561, AA561)&gt;0.9,
 "Critical",
 IF(AK561&lt;=0.2,"Very Low",
 IF(AK561&lt;=0.4,"Low",
 IF(AK561&lt;=0.6,"Medium",
 IF(AK561&lt;=0.8,"High","Critical")))))</f>
        <v>Very Low</v>
      </c>
      <c r="AM561" t="str">
        <f>IF(MAX(X561:AA561)&gt;0.9,"CRITICAL ALERT",
 IF(AK561&gt;0.8,"CRITICAL ALERT",
 IF(AK561&gt;0.6,"ALERT",
 IF(AK561&gt;=0.4,"REVIEW","NO ACTION"))))</f>
        <v>NO ACTION</v>
      </c>
      <c r="AN561" t="str">
        <f>IF(AM561="NO ACTION","",
 IF(_xlfn.TEXTJOIN(", ", TRUE,
  IF(X561&gt;0.7,"Login anomaly",""),
  IF(Y561&gt;0.7,"File anomaly",""),
  IF(Z561&gt;0.7,"Network anomaly",""),
  IF(AA561&gt;0.7,"USB anomaly","")
 )="",
 "General anomaly detected",
 _xlfn.TEXTJOIN(", ", TRUE,
  IF(X561&gt;0.7,"Login anomaly",""),
  IF(Y561&gt;0.7,"File anomaly",""),
  IF(Z561&gt;0.7,"Network anomaly",""),
  IF(AA561&gt;0.7,"USB anomaly","")
 )))</f>
        <v/>
      </c>
    </row>
    <row r="562" spans="1:40" x14ac:dyDescent="0.3">
      <c r="A562" t="s">
        <v>585</v>
      </c>
      <c r="B562">
        <v>0.12892249527410199</v>
      </c>
      <c r="C562">
        <v>0.18476582604220201</v>
      </c>
      <c r="D562">
        <v>0</v>
      </c>
      <c r="E562">
        <v>0</v>
      </c>
      <c r="F562">
        <v>0</v>
      </c>
      <c r="G562">
        <v>0.993655043149416</v>
      </c>
      <c r="H562">
        <v>7</v>
      </c>
      <c r="I562">
        <v>7</v>
      </c>
      <c r="J562">
        <v>0.12742712656838801</v>
      </c>
      <c r="K562">
        <v>8.9722675367047301E-3</v>
      </c>
      <c r="L562">
        <v>1.7951747716684899E-2</v>
      </c>
      <c r="M562">
        <v>1.7316017316017301E-3</v>
      </c>
      <c r="N562">
        <v>8.1966364477575205E-3</v>
      </c>
      <c r="O562">
        <v>1050</v>
      </c>
      <c r="P562">
        <v>9.8379629629629595E-2</v>
      </c>
      <c r="Q562">
        <v>9.8530804025386498E-2</v>
      </c>
      <c r="R562">
        <v>0</v>
      </c>
      <c r="S562">
        <v>0</v>
      </c>
      <c r="T562" t="s">
        <v>24</v>
      </c>
      <c r="U562">
        <v>2.6684636118598299E-2</v>
      </c>
      <c r="V562">
        <v>0</v>
      </c>
      <c r="W562">
        <v>0</v>
      </c>
      <c r="X562">
        <v>0</v>
      </c>
      <c r="Y562">
        <v>3.6920290106347398E-2</v>
      </c>
      <c r="Z562">
        <v>6.23064323568807E-2</v>
      </c>
      <c r="AA562">
        <v>0</v>
      </c>
      <c r="AB562">
        <v>3.664100170135498E-2</v>
      </c>
      <c r="AC562">
        <v>2.6900001103058457E-4</v>
      </c>
      <c r="AD562">
        <v>1.8960000015795231E-3</v>
      </c>
      <c r="AE562">
        <v>1.2769999448210001E-3</v>
      </c>
      <c r="AF562">
        <f>0.16*X562 + 0.28*Y562 + 0.28*Z562 + 0.28*AA562</f>
        <v>2.778348228970387E-2</v>
      </c>
      <c r="AG562">
        <f t="shared" si="24"/>
        <v>6.8263202602975069E-3</v>
      </c>
      <c r="AH562">
        <f>IF(T562="IT_Admin", 0.25, IF(AND(T562="HR", AA562&gt;0.6), 0.25, IF(AND(T562="General", Z562&gt;0.7), 0.2, 0.1)))</f>
        <v>0.25</v>
      </c>
      <c r="AI562">
        <f>IF(V562&gt;0.7, 0.1,
 IF(F562&gt;0.5, 0.08,
 IF(E562&gt;0.5, 0.05,
 0)))</f>
        <v>0</v>
      </c>
      <c r="AJ562">
        <f t="shared" si="25"/>
        <v>1.3113468869119415E-2</v>
      </c>
      <c r="AK562">
        <f t="shared" si="26"/>
        <v>1.639183608639927E-2</v>
      </c>
      <c r="AL562" t="str">
        <f>IF(MAX(X562, Y562, Z562, AA562)&gt;0.9,
 "Critical",
 IF(AK562&lt;=0.2,"Very Low",
 IF(AK562&lt;=0.4,"Low",
 IF(AK562&lt;=0.6,"Medium",
 IF(AK562&lt;=0.8,"High","Critical")))))</f>
        <v>Very Low</v>
      </c>
      <c r="AM562" t="str">
        <f>IF(MAX(X562:AA562)&gt;0.9,"CRITICAL ALERT",
 IF(AK562&gt;0.8,"CRITICAL ALERT",
 IF(AK562&gt;0.6,"ALERT",
 IF(AK562&gt;=0.4,"REVIEW","NO ACTION"))))</f>
        <v>NO ACTION</v>
      </c>
      <c r="AN562" t="str">
        <f>IF(AM562="NO ACTION","",
 IF(_xlfn.TEXTJOIN(", ", TRUE,
  IF(X562&gt;0.7,"Login anomaly",""),
  IF(Y562&gt;0.7,"File anomaly",""),
  IF(Z562&gt;0.7,"Network anomaly",""),
  IF(AA562&gt;0.7,"USB anomaly","")
 )="",
 "General anomaly detected",
 _xlfn.TEXTJOIN(", ", TRUE,
  IF(X562&gt;0.7,"Login anomaly",""),
  IF(Y562&gt;0.7,"File anomaly",""),
  IF(Z562&gt;0.7,"Network anomaly",""),
  IF(AA562&gt;0.7,"USB anomaly","")
 )))</f>
        <v/>
      </c>
    </row>
    <row r="563" spans="1:40" x14ac:dyDescent="0.3">
      <c r="A563" t="s">
        <v>586</v>
      </c>
      <c r="B563">
        <v>0.12892249527410199</v>
      </c>
      <c r="C563">
        <v>0.18476582604220201</v>
      </c>
      <c r="D563">
        <v>0</v>
      </c>
      <c r="E563">
        <v>0</v>
      </c>
      <c r="F563">
        <v>0</v>
      </c>
      <c r="G563">
        <v>0.99365844201216702</v>
      </c>
      <c r="H563">
        <v>7</v>
      </c>
      <c r="I563">
        <v>7</v>
      </c>
      <c r="J563">
        <v>8.2009446114212098E-2</v>
      </c>
      <c r="K563">
        <v>1.0603588907014599E-2</v>
      </c>
      <c r="L563">
        <v>3.2931101010759002E-2</v>
      </c>
      <c r="M563">
        <v>2.0202020202020202E-3</v>
      </c>
      <c r="N563">
        <v>1.4843328880451799E-2</v>
      </c>
      <c r="O563">
        <v>943</v>
      </c>
      <c r="P563">
        <v>6.5831930415263695E-2</v>
      </c>
      <c r="Q563">
        <v>6.5991093656860303E-2</v>
      </c>
      <c r="R563">
        <v>0</v>
      </c>
      <c r="S563">
        <v>0</v>
      </c>
      <c r="T563" t="s">
        <v>49</v>
      </c>
      <c r="U563">
        <v>2.75943396226415E-2</v>
      </c>
      <c r="V563">
        <v>0</v>
      </c>
      <c r="W563">
        <v>0</v>
      </c>
      <c r="X563">
        <v>0</v>
      </c>
      <c r="Y563">
        <v>3.7320438392357498E-2</v>
      </c>
      <c r="Z563">
        <v>4.5436489801338902E-2</v>
      </c>
      <c r="AA563">
        <v>0</v>
      </c>
      <c r="AB563">
        <v>3.6623001098632813E-2</v>
      </c>
      <c r="AC563">
        <v>1.0599999950500211E-4</v>
      </c>
      <c r="AD563">
        <v>5.1589999347925186E-3</v>
      </c>
      <c r="AE563">
        <v>1.5549999661743641E-3</v>
      </c>
      <c r="AF563">
        <f>0.16*X563 + 0.28*Y563 + 0.28*Z563 + 0.28*AA563</f>
        <v>2.3171939894234994E-2</v>
      </c>
      <c r="AG563">
        <f t="shared" si="24"/>
        <v>7.7692801479133777E-3</v>
      </c>
      <c r="AH563">
        <f>IF(T563="IT_Admin", 0.25, IF(AND(T563="HR", AA563&gt;0.6), 0.25, IF(AND(T563="General", Z563&gt;0.7), 0.2, 0.1)))</f>
        <v>0.1</v>
      </c>
      <c r="AI563">
        <f>IF(V563&gt;0.7, 0.1,
 IF(F563&gt;0.5, 0.08,
 IF(E563&gt;0.5, 0.05,
 0)))</f>
        <v>0</v>
      </c>
      <c r="AJ563">
        <f t="shared" si="25"/>
        <v>1.2390078071809862E-2</v>
      </c>
      <c r="AK563">
        <f t="shared" si="26"/>
        <v>1.362908587899085E-2</v>
      </c>
      <c r="AL563" t="str">
        <f>IF(MAX(X563, Y563, Z563, AA563)&gt;0.9,
 "Critical",
 IF(AK563&lt;=0.2,"Very Low",
 IF(AK563&lt;=0.4,"Low",
 IF(AK563&lt;=0.6,"Medium",
 IF(AK563&lt;=0.8,"High","Critical")))))</f>
        <v>Very Low</v>
      </c>
      <c r="AM563" t="str">
        <f>IF(MAX(X563:AA563)&gt;0.9,"CRITICAL ALERT",
 IF(AK563&gt;0.8,"CRITICAL ALERT",
 IF(AK563&gt;0.6,"ALERT",
 IF(AK563&gt;=0.4,"REVIEW","NO ACTION"))))</f>
        <v>NO ACTION</v>
      </c>
      <c r="AN563" t="str">
        <f>IF(AM563="NO ACTION","",
 IF(_xlfn.TEXTJOIN(", ", TRUE,
  IF(X563&gt;0.7,"Login anomaly",""),
  IF(Y563&gt;0.7,"File anomaly",""),
  IF(Z563&gt;0.7,"Network anomaly",""),
  IF(AA563&gt;0.7,"USB anomaly","")
 )="",
 "General anomaly detected",
 _xlfn.TEXTJOIN(", ", TRUE,
  IF(X563&gt;0.7,"Login anomaly",""),
  IF(Y563&gt;0.7,"File anomaly",""),
  IF(Z563&gt;0.7,"Network anomaly",""),
  IF(AA563&gt;0.7,"USB anomaly","")
 )))</f>
        <v/>
      </c>
    </row>
    <row r="564" spans="1:40" x14ac:dyDescent="0.3">
      <c r="A564" t="s">
        <v>587</v>
      </c>
      <c r="B564">
        <v>0.28090737240075597</v>
      </c>
      <c r="C564">
        <v>0.86125114629042798</v>
      </c>
      <c r="D564">
        <v>0.423805135692983</v>
      </c>
      <c r="E564">
        <v>0</v>
      </c>
      <c r="F564">
        <v>0</v>
      </c>
      <c r="G564">
        <v>0.37855950963885199</v>
      </c>
      <c r="H564">
        <v>8</v>
      </c>
      <c r="I564">
        <v>19</v>
      </c>
      <c r="J564">
        <v>0.107199084013167</v>
      </c>
      <c r="K564">
        <v>1.8760195758564399E-2</v>
      </c>
      <c r="L564">
        <v>4.4602541920980197E-2</v>
      </c>
      <c r="M564">
        <v>2.0202020202020202E-3</v>
      </c>
      <c r="N564">
        <v>1.1363187828551899E-2</v>
      </c>
      <c r="O564">
        <v>1204</v>
      </c>
      <c r="P564">
        <v>8.7857744107744107E-2</v>
      </c>
      <c r="Q564">
        <v>8.8011501104526796E-2</v>
      </c>
      <c r="R564">
        <v>0.29351032448377501</v>
      </c>
      <c r="S564">
        <v>1</v>
      </c>
      <c r="T564" t="s">
        <v>24</v>
      </c>
      <c r="U564">
        <v>4.88207547169811E-2</v>
      </c>
      <c r="V564">
        <v>0</v>
      </c>
      <c r="W564">
        <v>0</v>
      </c>
      <c r="X564">
        <v>0.12714154070789499</v>
      </c>
      <c r="Y564">
        <v>4.7150044111689098E-2</v>
      </c>
      <c r="Z564">
        <v>5.7259921596067201E-2</v>
      </c>
      <c r="AA564">
        <v>0.29351032448377501</v>
      </c>
      <c r="AB564">
        <v>8.6281001567840576E-2</v>
      </c>
      <c r="AC564">
        <v>8.7000000348780304E-5</v>
      </c>
      <c r="AD564">
        <v>2.2529999259859319E-3</v>
      </c>
      <c r="AE564">
        <v>9.7333997488021851E-2</v>
      </c>
      <c r="AF564">
        <f>0.16*X564 + 0.28*Y564 + 0.28*Z564 + 0.28*AA564</f>
        <v>0.13176032776689198</v>
      </c>
      <c r="AG564">
        <f t="shared" si="24"/>
        <v>4.1713679526874332E-2</v>
      </c>
      <c r="AH564">
        <f>IF(T564="IT_Admin", 0.25, IF(AND(T564="HR", AA564&gt;0.6), 0.25, IF(AND(T564="General", Z564&gt;0.7), 0.2, 0.1)))</f>
        <v>0.25</v>
      </c>
      <c r="AI564">
        <f>IF(V564&gt;0.7, 0.1,
 IF(F564&gt;0.5, 0.08,
 IF(E564&gt;0.5, 0.05,
 0)))</f>
        <v>0</v>
      </c>
      <c r="AJ564">
        <f t="shared" si="25"/>
        <v>6.8727673998879621E-2</v>
      </c>
      <c r="AK564">
        <f t="shared" si="26"/>
        <v>8.590959249859953E-2</v>
      </c>
      <c r="AL564" t="str">
        <f>IF(MAX(X564, Y564, Z564, AA564)&gt;0.9,
 "Critical",
 IF(AK564&lt;=0.2,"Very Low",
 IF(AK564&lt;=0.4,"Low",
 IF(AK564&lt;=0.6,"Medium",
 IF(AK564&lt;=0.8,"High","Critical")))))</f>
        <v>Very Low</v>
      </c>
      <c r="AM564" t="str">
        <f>IF(MAX(X564:AA564)&gt;0.9,"CRITICAL ALERT",
 IF(AK564&gt;0.8,"CRITICAL ALERT",
 IF(AK564&gt;0.6,"ALERT",
 IF(AK564&gt;=0.4,"REVIEW","NO ACTION"))))</f>
        <v>NO ACTION</v>
      </c>
      <c r="AN564" t="str">
        <f>IF(AM564="NO ACTION","",
 IF(_xlfn.TEXTJOIN(", ", TRUE,
  IF(X564&gt;0.7,"Login anomaly",""),
  IF(Y564&gt;0.7,"File anomaly",""),
  IF(Z564&gt;0.7,"Network anomaly",""),
  IF(AA564&gt;0.7,"USB anomaly","")
 )="",
 "General anomaly detected",
 _xlfn.TEXTJOIN(", ", TRUE,
  IF(X564&gt;0.7,"Login anomaly",""),
  IF(Y564&gt;0.7,"File anomaly",""),
  IF(Z564&gt;0.7,"Network anomaly",""),
  IF(AA564&gt;0.7,"USB anomaly","")
 )))</f>
        <v/>
      </c>
    </row>
    <row r="565" spans="1:40" x14ac:dyDescent="0.3">
      <c r="A565" t="s">
        <v>588</v>
      </c>
      <c r="B565">
        <v>0.12892249527410199</v>
      </c>
      <c r="C565">
        <v>0.18476582604220201</v>
      </c>
      <c r="D565">
        <v>0</v>
      </c>
      <c r="E565">
        <v>0</v>
      </c>
      <c r="F565">
        <v>0</v>
      </c>
      <c r="G565">
        <v>0.99366521297497101</v>
      </c>
      <c r="H565">
        <v>7</v>
      </c>
      <c r="I565">
        <v>7</v>
      </c>
      <c r="J565">
        <v>8.0816754925814596E-2</v>
      </c>
      <c r="K565">
        <v>1.1419249592169599E-2</v>
      </c>
      <c r="L565">
        <v>3.5986102865743601E-2</v>
      </c>
      <c r="M565">
        <v>1.1544011544011501E-3</v>
      </c>
      <c r="N565">
        <v>8.6067094895817594E-3</v>
      </c>
      <c r="O565">
        <v>977</v>
      </c>
      <c r="P565">
        <v>6.4884960718293999E-2</v>
      </c>
      <c r="Q565">
        <v>6.5044356393982899E-2</v>
      </c>
      <c r="R565">
        <v>0</v>
      </c>
      <c r="S565">
        <v>0</v>
      </c>
      <c r="T565" t="s">
        <v>49</v>
      </c>
      <c r="U565">
        <v>4.7547169811320698E-2</v>
      </c>
      <c r="V565">
        <v>0</v>
      </c>
      <c r="W565">
        <v>0</v>
      </c>
      <c r="X565">
        <v>0</v>
      </c>
      <c r="Y565">
        <v>3.6738415264909202E-2</v>
      </c>
      <c r="Z565">
        <v>4.23736602268091E-2</v>
      </c>
      <c r="AA565">
        <v>0</v>
      </c>
      <c r="AB565">
        <v>3.6596998572349548E-2</v>
      </c>
      <c r="AC565">
        <v>1.340000017080456E-4</v>
      </c>
      <c r="AD565">
        <v>5.4589998908340931E-3</v>
      </c>
      <c r="AE565">
        <v>1.4619999565184121E-3</v>
      </c>
      <c r="AF565">
        <f>0.16*X565 + 0.28*Y565 + 0.28*Z565 + 0.28*AA565</f>
        <v>2.2151381137681128E-2</v>
      </c>
      <c r="AG565">
        <f t="shared" si="24"/>
        <v>7.8309197293128831E-3</v>
      </c>
      <c r="AH565">
        <f>IF(T565="IT_Admin", 0.25, IF(AND(T565="HR", AA565&gt;0.6), 0.25, IF(AND(T565="General", Z565&gt;0.7), 0.2, 0.1)))</f>
        <v>0.1</v>
      </c>
      <c r="AI565">
        <f>IF(V565&gt;0.7, 0.1,
 IF(F565&gt;0.5, 0.08,
 IF(E565&gt;0.5, 0.05,
 0)))</f>
        <v>0</v>
      </c>
      <c r="AJ565">
        <f t="shared" si="25"/>
        <v>1.2127058151823356E-2</v>
      </c>
      <c r="AK565">
        <f t="shared" si="26"/>
        <v>1.3339763967005692E-2</v>
      </c>
      <c r="AL565" t="str">
        <f>IF(MAX(X565, Y565, Z565, AA565)&gt;0.9,
 "Critical",
 IF(AK565&lt;=0.2,"Very Low",
 IF(AK565&lt;=0.4,"Low",
 IF(AK565&lt;=0.6,"Medium",
 IF(AK565&lt;=0.8,"High","Critical")))))</f>
        <v>Very Low</v>
      </c>
      <c r="AM565" t="str">
        <f>IF(MAX(X565:AA565)&gt;0.9,"CRITICAL ALERT",
 IF(AK565&gt;0.8,"CRITICAL ALERT",
 IF(AK565&gt;0.6,"ALERT",
 IF(AK565&gt;=0.4,"REVIEW","NO ACTION"))))</f>
        <v>NO ACTION</v>
      </c>
      <c r="AN565" t="str">
        <f>IF(AM565="NO ACTION","",
 IF(_xlfn.TEXTJOIN(", ", TRUE,
  IF(X565&gt;0.7,"Login anomaly",""),
  IF(Y565&gt;0.7,"File anomaly",""),
  IF(Z565&gt;0.7,"Network anomaly",""),
  IF(AA565&gt;0.7,"USB anomaly","")
 )="",
 "General anomaly detected",
 _xlfn.TEXTJOIN(", ", TRUE,
  IF(X565&gt;0.7,"Login anomaly",""),
  IF(Y565&gt;0.7,"File anomaly",""),
  IF(Z565&gt;0.7,"Network anomaly",""),
  IF(AA565&gt;0.7,"USB anomaly","")
 )))</f>
        <v/>
      </c>
    </row>
    <row r="566" spans="1:40" x14ac:dyDescent="0.3">
      <c r="A566" t="s">
        <v>589</v>
      </c>
      <c r="B566">
        <v>0.12892249527410199</v>
      </c>
      <c r="C566">
        <v>0.18476582604220201</v>
      </c>
      <c r="D566">
        <v>0</v>
      </c>
      <c r="E566">
        <v>0</v>
      </c>
      <c r="F566">
        <v>0</v>
      </c>
      <c r="G566">
        <v>0.99367166278538899</v>
      </c>
      <c r="H566">
        <v>7</v>
      </c>
      <c r="I566">
        <v>7</v>
      </c>
      <c r="J566">
        <v>9.5081341539048694E-2</v>
      </c>
      <c r="K566">
        <v>1.2234910277324601E-2</v>
      </c>
      <c r="L566">
        <v>3.2786566263887998E-2</v>
      </c>
      <c r="M566">
        <v>2.0202020202020202E-3</v>
      </c>
      <c r="N566">
        <v>1.2807757252201599E-2</v>
      </c>
      <c r="O566">
        <v>1128</v>
      </c>
      <c r="P566">
        <v>7.6143378226711494E-2</v>
      </c>
      <c r="Q566">
        <v>7.6300010519302894E-2</v>
      </c>
      <c r="R566">
        <v>0</v>
      </c>
      <c r="S566">
        <v>0</v>
      </c>
      <c r="T566" t="s">
        <v>49</v>
      </c>
      <c r="U566">
        <v>3.1839622641509399E-2</v>
      </c>
      <c r="V566">
        <v>0</v>
      </c>
      <c r="W566">
        <v>0</v>
      </c>
      <c r="X566">
        <v>0</v>
      </c>
      <c r="Y566">
        <v>3.9251878615414203E-2</v>
      </c>
      <c r="Z566">
        <v>5.08091298369076E-2</v>
      </c>
      <c r="AA566">
        <v>0</v>
      </c>
      <c r="AB566">
        <v>3.6589000374078751E-2</v>
      </c>
      <c r="AC566">
        <v>7.0000001869630069E-5</v>
      </c>
      <c r="AD566">
        <v>3.94799979403615E-3</v>
      </c>
      <c r="AE566">
        <v>1.439000014215708E-3</v>
      </c>
      <c r="AF566">
        <f>0.16*X566 + 0.28*Y566 + 0.28*Z566 + 0.28*AA566</f>
        <v>2.5217082366650108E-2</v>
      </c>
      <c r="AG566">
        <f t="shared" si="24"/>
        <v>7.3822000066866168E-3</v>
      </c>
      <c r="AH566">
        <f>IF(T566="IT_Admin", 0.25, IF(AND(T566="HR", AA566&gt;0.6), 0.25, IF(AND(T566="General", Z566&gt;0.7), 0.2, 0.1)))</f>
        <v>0.1</v>
      </c>
      <c r="AI566">
        <f>IF(V566&gt;0.7, 0.1,
 IF(F566&gt;0.5, 0.08,
 IF(E566&gt;0.5, 0.05,
 0)))</f>
        <v>0</v>
      </c>
      <c r="AJ566">
        <f t="shared" si="25"/>
        <v>1.2732664714675664E-2</v>
      </c>
      <c r="AK566">
        <f t="shared" si="26"/>
        <v>1.400593118614323E-2</v>
      </c>
      <c r="AL566" t="str">
        <f>IF(MAX(X566, Y566, Z566, AA566)&gt;0.9,
 "Critical",
 IF(AK566&lt;=0.2,"Very Low",
 IF(AK566&lt;=0.4,"Low",
 IF(AK566&lt;=0.6,"Medium",
 IF(AK566&lt;=0.8,"High","Critical")))))</f>
        <v>Very Low</v>
      </c>
      <c r="AM566" t="str">
        <f>IF(MAX(X566:AA566)&gt;0.9,"CRITICAL ALERT",
 IF(AK566&gt;0.8,"CRITICAL ALERT",
 IF(AK566&gt;0.6,"ALERT",
 IF(AK566&gt;=0.4,"REVIEW","NO ACTION"))))</f>
        <v>NO ACTION</v>
      </c>
      <c r="AN566" t="str">
        <f>IF(AM566="NO ACTION","",
 IF(_xlfn.TEXTJOIN(", ", TRUE,
  IF(X566&gt;0.7,"Login anomaly",""),
  IF(Y566&gt;0.7,"File anomaly",""),
  IF(Z566&gt;0.7,"Network anomaly",""),
  IF(AA566&gt;0.7,"USB anomaly","")
 )="",
 "General anomaly detected",
 _xlfn.TEXTJOIN(", ", TRUE,
  IF(X566&gt;0.7,"Login anomaly",""),
  IF(Y566&gt;0.7,"File anomaly",""),
  IF(Z566&gt;0.7,"Network anomaly",""),
  IF(AA566&gt;0.7,"USB anomaly","")
 )))</f>
        <v/>
      </c>
    </row>
    <row r="567" spans="1:40" x14ac:dyDescent="0.3">
      <c r="A567" t="s">
        <v>590</v>
      </c>
      <c r="B567">
        <v>0.12892249527410199</v>
      </c>
      <c r="C567">
        <v>0.28009428121759899</v>
      </c>
      <c r="D567">
        <v>7.50946055673926E-2</v>
      </c>
      <c r="E567">
        <v>0</v>
      </c>
      <c r="F567">
        <v>0</v>
      </c>
      <c r="G567">
        <v>0.99364738901755001</v>
      </c>
      <c r="H567">
        <v>7</v>
      </c>
      <c r="I567">
        <v>8</v>
      </c>
      <c r="J567">
        <v>0.100138352177854</v>
      </c>
      <c r="K567">
        <v>1.6313213703099499E-2</v>
      </c>
      <c r="L567">
        <v>4.1513028767584503E-2</v>
      </c>
      <c r="M567">
        <v>3.4632034632034602E-3</v>
      </c>
      <c r="N567">
        <v>2.0849999176995301E-2</v>
      </c>
      <c r="O567">
        <v>905</v>
      </c>
      <c r="P567">
        <v>8.2316217732884403E-2</v>
      </c>
      <c r="Q567">
        <v>8.2471334899540602E-2</v>
      </c>
      <c r="R567">
        <v>0</v>
      </c>
      <c r="S567">
        <v>0</v>
      </c>
      <c r="T567" t="s">
        <v>24</v>
      </c>
      <c r="U567">
        <v>2.6124818577648701E-2</v>
      </c>
      <c r="V567">
        <v>0</v>
      </c>
      <c r="W567">
        <v>0</v>
      </c>
      <c r="X567">
        <v>2.2528381670217701E-2</v>
      </c>
      <c r="Y567">
        <v>4.7039184572461701E-2</v>
      </c>
      <c r="Z567">
        <v>5.7729730310528797E-2</v>
      </c>
      <c r="AA567">
        <v>0</v>
      </c>
      <c r="AB567">
        <v>1.8169999122619629E-2</v>
      </c>
      <c r="AC567">
        <v>2.9000000722589899E-5</v>
      </c>
      <c r="AD567">
        <v>3.1020001042634249E-3</v>
      </c>
      <c r="AE567">
        <v>1.752999960444868E-3</v>
      </c>
      <c r="AF567">
        <f>0.16*X567 + 0.28*Y567 + 0.28*Z567 + 0.28*AA567</f>
        <v>3.2939837234472177E-2</v>
      </c>
      <c r="AG567">
        <f t="shared" si="24"/>
        <v>4.2747198779397875E-3</v>
      </c>
      <c r="AH567">
        <f>IF(T567="IT_Admin", 0.25, IF(AND(T567="HR", AA567&gt;0.6), 0.25, IF(AND(T567="General", Z567&gt;0.7), 0.2, 0.1)))</f>
        <v>0.25</v>
      </c>
      <c r="AI567">
        <f>IF(V567&gt;0.7, 0.1,
 IF(F567&gt;0.5, 0.08,
 IF(E567&gt;0.5, 0.05,
 0)))</f>
        <v>0</v>
      </c>
      <c r="AJ567">
        <f t="shared" si="25"/>
        <v>1.2874255084899503E-2</v>
      </c>
      <c r="AK567">
        <f t="shared" si="26"/>
        <v>1.6092818856124378E-2</v>
      </c>
      <c r="AL567" t="str">
        <f>IF(MAX(X567, Y567, Z567, AA567)&gt;0.9,
 "Critical",
 IF(AK567&lt;=0.2,"Very Low",
 IF(AK567&lt;=0.4,"Low",
 IF(AK567&lt;=0.6,"Medium",
 IF(AK567&lt;=0.8,"High","Critical")))))</f>
        <v>Very Low</v>
      </c>
      <c r="AM567" t="str">
        <f>IF(MAX(X567:AA567)&gt;0.9,"CRITICAL ALERT",
 IF(AK567&gt;0.8,"CRITICAL ALERT",
 IF(AK567&gt;0.6,"ALERT",
 IF(AK567&gt;=0.4,"REVIEW","NO ACTION"))))</f>
        <v>NO ACTION</v>
      </c>
      <c r="AN567" t="str">
        <f>IF(AM567="NO ACTION","",
 IF(_xlfn.TEXTJOIN(", ", TRUE,
  IF(X567&gt;0.7,"Login anomaly",""),
  IF(Y567&gt;0.7,"File anomaly",""),
  IF(Z567&gt;0.7,"Network anomaly",""),
  IF(AA567&gt;0.7,"USB anomaly","")
 )="",
 "General anomaly detected",
 _xlfn.TEXTJOIN(", ", TRUE,
  IF(X567&gt;0.7,"Login anomaly",""),
  IF(Y567&gt;0.7,"File anomaly",""),
  IF(Z567&gt;0.7,"Network anomaly",""),
  IF(AA567&gt;0.7,"USB anomaly","")
 )))</f>
        <v/>
      </c>
    </row>
    <row r="568" spans="1:40" x14ac:dyDescent="0.3">
      <c r="A568" t="s">
        <v>591</v>
      </c>
      <c r="B568">
        <v>0.12892249527410199</v>
      </c>
      <c r="C568">
        <v>0.55429747812660801</v>
      </c>
      <c r="D568">
        <v>0</v>
      </c>
      <c r="E568">
        <v>0</v>
      </c>
      <c r="F568">
        <v>0</v>
      </c>
      <c r="G568">
        <v>0.99366101123125505</v>
      </c>
      <c r="H568">
        <v>9</v>
      </c>
      <c r="I568">
        <v>9</v>
      </c>
      <c r="J568">
        <v>0.10509994752158699</v>
      </c>
      <c r="K568">
        <v>1.38662316476345E-2</v>
      </c>
      <c r="L568">
        <v>3.3624049206498197E-2</v>
      </c>
      <c r="M568">
        <v>4.9062049062049001E-3</v>
      </c>
      <c r="N568">
        <v>2.81462398310224E-2</v>
      </c>
      <c r="O568">
        <v>1172</v>
      </c>
      <c r="P568">
        <v>8.5613075196408497E-2</v>
      </c>
      <c r="Q568">
        <v>8.5767383148076706E-2</v>
      </c>
      <c r="R568">
        <v>0</v>
      </c>
      <c r="S568">
        <v>0</v>
      </c>
      <c r="T568" t="s">
        <v>24</v>
      </c>
      <c r="U568">
        <v>1.60377358490566E-2</v>
      </c>
      <c r="V568">
        <v>0</v>
      </c>
      <c r="W568">
        <v>0</v>
      </c>
      <c r="X568">
        <v>0</v>
      </c>
      <c r="Y568">
        <v>4.6275886056873397E-2</v>
      </c>
      <c r="Z568">
        <v>6.2626341050254095E-2</v>
      </c>
      <c r="AA568">
        <v>0</v>
      </c>
      <c r="AB568">
        <v>2.9056999832391739E-2</v>
      </c>
      <c r="AC568">
        <v>1.5999999595806E-4</v>
      </c>
      <c r="AD568">
        <v>2.6340000331401821E-3</v>
      </c>
      <c r="AE568">
        <v>1.2850000057369471E-3</v>
      </c>
      <c r="AF568">
        <f>0.16*X568 + 0.28*Y568 + 0.28*Z568 + 0.28*AA568</f>
        <v>3.0492623589995702E-2</v>
      </c>
      <c r="AG568">
        <f t="shared" si="24"/>
        <v>5.7912399829365326E-3</v>
      </c>
      <c r="AH568">
        <f>IF(T568="IT_Admin", 0.25, IF(AND(T568="HR", AA568&gt;0.6), 0.25, IF(AND(T568="General", Z568&gt;0.7), 0.2, 0.1)))</f>
        <v>0.25</v>
      </c>
      <c r="AI568">
        <f>IF(V568&gt;0.7, 0.1,
 IF(F568&gt;0.5, 0.08,
 IF(E568&gt;0.5, 0.05,
 0)))</f>
        <v>0</v>
      </c>
      <c r="AJ568">
        <f t="shared" si="25"/>
        <v>1.3201655065054283E-2</v>
      </c>
      <c r="AK568">
        <f t="shared" si="26"/>
        <v>1.6502068831317853E-2</v>
      </c>
      <c r="AL568" t="str">
        <f>IF(MAX(X568, Y568, Z568, AA568)&gt;0.9,
 "Critical",
 IF(AK568&lt;=0.2,"Very Low",
 IF(AK568&lt;=0.4,"Low",
 IF(AK568&lt;=0.6,"Medium",
 IF(AK568&lt;=0.8,"High","Critical")))))</f>
        <v>Very Low</v>
      </c>
      <c r="AM568" t="str">
        <f>IF(MAX(X568:AA568)&gt;0.9,"CRITICAL ALERT",
 IF(AK568&gt;0.8,"CRITICAL ALERT",
 IF(AK568&gt;0.6,"ALERT",
 IF(AK568&gt;=0.4,"REVIEW","NO ACTION"))))</f>
        <v>NO ACTION</v>
      </c>
      <c r="AN568" t="str">
        <f>IF(AM568="NO ACTION","",
 IF(_xlfn.TEXTJOIN(", ", TRUE,
  IF(X568&gt;0.7,"Login anomaly",""),
  IF(Y568&gt;0.7,"File anomaly",""),
  IF(Z568&gt;0.7,"Network anomaly",""),
  IF(AA568&gt;0.7,"USB anomaly","")
 )="",
 "General anomaly detected",
 _xlfn.TEXTJOIN(", ", TRUE,
  IF(X568&gt;0.7,"Login anomaly",""),
  IF(Y568&gt;0.7,"File anomaly",""),
  IF(Z568&gt;0.7,"Network anomaly",""),
  IF(AA568&gt;0.7,"USB anomaly","")
 )))</f>
        <v/>
      </c>
    </row>
    <row r="569" spans="1:40" x14ac:dyDescent="0.3">
      <c r="A569" t="s">
        <v>592</v>
      </c>
      <c r="B569">
        <v>0.23591682419659701</v>
      </c>
      <c r="C569">
        <v>0.66904058665600097</v>
      </c>
      <c r="D569">
        <v>0.36860373780190597</v>
      </c>
      <c r="E569">
        <v>0</v>
      </c>
      <c r="F569">
        <v>0</v>
      </c>
      <c r="G569">
        <v>0.47832485998228003</v>
      </c>
      <c r="H569">
        <v>7</v>
      </c>
      <c r="I569">
        <v>14</v>
      </c>
      <c r="J569">
        <v>7.5473498401793807E-2</v>
      </c>
      <c r="K569">
        <v>2.6101141924959201E-2</v>
      </c>
      <c r="L569">
        <v>8.8058891016506893E-2</v>
      </c>
      <c r="M569">
        <v>1.3564213564213499E-2</v>
      </c>
      <c r="N569">
        <v>0.108265843237487</v>
      </c>
      <c r="O569">
        <v>568</v>
      </c>
      <c r="P569">
        <v>7.3302469135802406E-2</v>
      </c>
      <c r="Q569">
        <v>7.3459798730670697E-2</v>
      </c>
      <c r="R569">
        <v>0.49705014749262499</v>
      </c>
      <c r="S569">
        <v>1</v>
      </c>
      <c r="T569" t="s">
        <v>49</v>
      </c>
      <c r="U569">
        <v>1.13207547169811E-2</v>
      </c>
      <c r="V569">
        <v>0</v>
      </c>
      <c r="W569">
        <v>0</v>
      </c>
      <c r="X569">
        <v>0.11058112134057101</v>
      </c>
      <c r="Y569">
        <v>9.1603898159858504E-2</v>
      </c>
      <c r="Z569">
        <v>8.7287818776476594E-2</v>
      </c>
      <c r="AA569">
        <v>0.49705014749262499</v>
      </c>
      <c r="AB569">
        <v>2.4397000670433041E-2</v>
      </c>
      <c r="AC569">
        <v>3.8640000857412819E-3</v>
      </c>
      <c r="AD569">
        <v>2.330000046640635E-3</v>
      </c>
      <c r="AE569">
        <v>0.2416069954633713</v>
      </c>
      <c r="AF569">
        <f>0.16*X569 + 0.28*Y569 + 0.28*Z569 + 0.28*AA569</f>
        <v>0.20695670145460021</v>
      </c>
      <c r="AG569">
        <f t="shared" si="24"/>
        <v>7.3287798874080198E-2</v>
      </c>
      <c r="AH569">
        <f>IF(T569="IT_Admin", 0.25, IF(AND(T569="HR", AA569&gt;0.6), 0.25, IF(AND(T569="General", Z569&gt;0.7), 0.2, 0.1)))</f>
        <v>0.1</v>
      </c>
      <c r="AI569">
        <f>IF(V569&gt;0.7, 0.1,
 IF(F569&gt;0.5, 0.08,
 IF(E569&gt;0.5, 0.05,
 0)))</f>
        <v>0</v>
      </c>
      <c r="AJ569">
        <f t="shared" si="25"/>
        <v>0.11338846964823621</v>
      </c>
      <c r="AK569">
        <f t="shared" si="26"/>
        <v>0.12472731661305984</v>
      </c>
      <c r="AL569" t="str">
        <f>IF(MAX(X569, Y569, Z569, AA569)&gt;0.9,
 "Critical",
 IF(AK569&lt;=0.2,"Very Low",
 IF(AK569&lt;=0.4,"Low",
 IF(AK569&lt;=0.6,"Medium",
 IF(AK569&lt;=0.8,"High","Critical")))))</f>
        <v>Very Low</v>
      </c>
      <c r="AM569" t="str">
        <f>IF(MAX(X569:AA569)&gt;0.9,"CRITICAL ALERT",
 IF(AK569&gt;0.8,"CRITICAL ALERT",
 IF(AK569&gt;0.6,"ALERT",
 IF(AK569&gt;=0.4,"REVIEW","NO ACTION"))))</f>
        <v>NO ACTION</v>
      </c>
      <c r="AN569" t="str">
        <f>IF(AM569="NO ACTION","",
 IF(_xlfn.TEXTJOIN(", ", TRUE,
  IF(X569&gt;0.7,"Login anomaly",""),
  IF(Y569&gt;0.7,"File anomaly",""),
  IF(Z569&gt;0.7,"Network anomaly",""),
  IF(AA569&gt;0.7,"USB anomaly","")
 )="",
 "General anomaly detected",
 _xlfn.TEXTJOIN(", ", TRUE,
  IF(X569&gt;0.7,"Login anomaly",""),
  IF(Y569&gt;0.7,"File anomaly",""),
  IF(Z569&gt;0.7,"Network anomaly",""),
  IF(AA569&gt;0.7,"USB anomaly","")
 )))</f>
        <v/>
      </c>
    </row>
    <row r="570" spans="1:40" x14ac:dyDescent="0.3">
      <c r="A570" t="s">
        <v>593</v>
      </c>
      <c r="B570">
        <v>0.12892249527410199</v>
      </c>
      <c r="C570">
        <v>0.55429747812660801</v>
      </c>
      <c r="D570">
        <v>0</v>
      </c>
      <c r="E570">
        <v>0</v>
      </c>
      <c r="F570">
        <v>0</v>
      </c>
      <c r="G570">
        <v>0.99368335808477803</v>
      </c>
      <c r="H570">
        <v>9</v>
      </c>
      <c r="I570">
        <v>9</v>
      </c>
      <c r="J570">
        <v>0.112112971709365</v>
      </c>
      <c r="K570">
        <v>1.71288743882544E-2</v>
      </c>
      <c r="L570">
        <v>3.8942922782737803E-2</v>
      </c>
      <c r="M570">
        <v>1.7316017316017301E-3</v>
      </c>
      <c r="N570">
        <v>9.3138849826747902E-3</v>
      </c>
      <c r="O570">
        <v>1054</v>
      </c>
      <c r="P570">
        <v>9.0628507295173896E-2</v>
      </c>
      <c r="Q570">
        <v>9.0781584207019803E-2</v>
      </c>
      <c r="R570">
        <v>0</v>
      </c>
      <c r="S570">
        <v>0</v>
      </c>
      <c r="T570" t="s">
        <v>24</v>
      </c>
      <c r="U570">
        <v>5.0943396226415097E-2</v>
      </c>
      <c r="V570">
        <v>0</v>
      </c>
      <c r="W570">
        <v>0</v>
      </c>
      <c r="X570">
        <v>0</v>
      </c>
      <c r="Y570">
        <v>4.4688221228044299E-2</v>
      </c>
      <c r="Z570">
        <v>5.8102658370174302E-2</v>
      </c>
      <c r="AA570">
        <v>0</v>
      </c>
      <c r="AB570">
        <v>2.910199947655201E-2</v>
      </c>
      <c r="AC570">
        <v>1.009999978123233E-4</v>
      </c>
      <c r="AD570">
        <v>2.5309999473392959E-3</v>
      </c>
      <c r="AE570">
        <v>1.312999986112118E-3</v>
      </c>
      <c r="AF570">
        <f>0.16*X570 + 0.28*Y570 + 0.28*Z570 + 0.28*AA570</f>
        <v>2.8781446287501213E-2</v>
      </c>
      <c r="AG570">
        <f t="shared" si="24"/>
        <v>5.7609198970021685E-3</v>
      </c>
      <c r="AH570">
        <f>IF(T570="IT_Admin", 0.25, IF(AND(T570="HR", AA570&gt;0.6), 0.25, IF(AND(T570="General", Z570&gt;0.7), 0.2, 0.1)))</f>
        <v>0.25</v>
      </c>
      <c r="AI570">
        <f>IF(V570&gt;0.7, 0.1,
 IF(F570&gt;0.5, 0.08,
 IF(E570&gt;0.5, 0.05,
 0)))</f>
        <v>0</v>
      </c>
      <c r="AJ570">
        <f t="shared" si="25"/>
        <v>1.266707781415188E-2</v>
      </c>
      <c r="AK570">
        <f t="shared" si="26"/>
        <v>1.5833847267689851E-2</v>
      </c>
      <c r="AL570" t="str">
        <f>IF(MAX(X570, Y570, Z570, AA570)&gt;0.9,
 "Critical",
 IF(AK570&lt;=0.2,"Very Low",
 IF(AK570&lt;=0.4,"Low",
 IF(AK570&lt;=0.6,"Medium",
 IF(AK570&lt;=0.8,"High","Critical")))))</f>
        <v>Very Low</v>
      </c>
      <c r="AM570" t="str">
        <f>IF(MAX(X570:AA570)&gt;0.9,"CRITICAL ALERT",
 IF(AK570&gt;0.8,"CRITICAL ALERT",
 IF(AK570&gt;0.6,"ALERT",
 IF(AK570&gt;=0.4,"REVIEW","NO ACTION"))))</f>
        <v>NO ACTION</v>
      </c>
      <c r="AN570" t="str">
        <f>IF(AM570="NO ACTION","",
 IF(_xlfn.TEXTJOIN(", ", TRUE,
  IF(X570&gt;0.7,"Login anomaly",""),
  IF(Y570&gt;0.7,"File anomaly",""),
  IF(Z570&gt;0.7,"Network anomaly",""),
  IF(AA570&gt;0.7,"USB anomaly","")
 )="",
 "General anomaly detected",
 _xlfn.TEXTJOIN(", ", TRUE,
  IF(X570&gt;0.7,"Login anomaly",""),
  IF(Y570&gt;0.7,"File anomaly",""),
  IF(Z570&gt;0.7,"Network anomaly",""),
  IF(AA570&gt;0.7,"USB anomaly","")
 )))</f>
        <v/>
      </c>
    </row>
    <row r="571" spans="1:40" x14ac:dyDescent="0.3">
      <c r="A571" t="s">
        <v>594</v>
      </c>
      <c r="B571">
        <v>0.25595463137996199</v>
      </c>
      <c r="C571">
        <v>0.71708675217260098</v>
      </c>
      <c r="D571">
        <v>0.40218267001823299</v>
      </c>
      <c r="E571">
        <v>0</v>
      </c>
      <c r="F571">
        <v>0</v>
      </c>
      <c r="G571">
        <v>0.42944382358460798</v>
      </c>
      <c r="H571">
        <v>7</v>
      </c>
      <c r="I571">
        <v>18</v>
      </c>
      <c r="J571">
        <v>0.128142741281427</v>
      </c>
      <c r="K571">
        <v>1.1419249592169599E-2</v>
      </c>
      <c r="L571">
        <v>2.2720322842400002E-2</v>
      </c>
      <c r="M571">
        <v>8.0808080808080808E-3</v>
      </c>
      <c r="N571">
        <v>3.8037753979782901E-2</v>
      </c>
      <c r="O571">
        <v>1201</v>
      </c>
      <c r="P571">
        <v>0.103044332210998</v>
      </c>
      <c r="Q571">
        <v>0.10319436165363401</v>
      </c>
      <c r="R571">
        <v>0.76696165191740395</v>
      </c>
      <c r="S571">
        <v>1</v>
      </c>
      <c r="T571" t="s">
        <v>24</v>
      </c>
      <c r="U571">
        <v>8.1977878985035699E-3</v>
      </c>
      <c r="V571">
        <v>0</v>
      </c>
      <c r="W571">
        <v>0</v>
      </c>
      <c r="X571">
        <v>0.12065480100547001</v>
      </c>
      <c r="Y571">
        <v>4.8400035871420298E-2</v>
      </c>
      <c r="Z571">
        <v>7.7041700918512507E-2</v>
      </c>
      <c r="AA571">
        <v>0.76696165191740395</v>
      </c>
      <c r="AB571">
        <v>4.9777999520301819E-2</v>
      </c>
      <c r="AC571">
        <v>4.180000105407089E-4</v>
      </c>
      <c r="AD571">
        <v>7.4699998367577791E-4</v>
      </c>
      <c r="AE571">
        <v>0.58279198408126831</v>
      </c>
      <c r="AF571">
        <f>0.16*X571 + 0.28*Y571 + 0.28*Z571 + 0.28*AA571</f>
        <v>0.26917771699892951</v>
      </c>
      <c r="AG571">
        <f t="shared" si="24"/>
        <v>0.17147243546438404</v>
      </c>
      <c r="AH571">
        <f>IF(T571="IT_Admin", 0.25, IF(AND(T571="HR", AA571&gt;0.6), 0.25, IF(AND(T571="General", Z571&gt;0.7), 0.2, 0.1)))</f>
        <v>0.25</v>
      </c>
      <c r="AI571">
        <f>IF(V571&gt;0.7, 0.1,
 IF(F571&gt;0.5, 0.08,
 IF(E571&gt;0.5, 0.05,
 0)))</f>
        <v>0</v>
      </c>
      <c r="AJ571">
        <f t="shared" si="25"/>
        <v>0.20078401992474768</v>
      </c>
      <c r="AK571">
        <f t="shared" si="26"/>
        <v>0.25098002490593457</v>
      </c>
      <c r="AL571" t="str">
        <f>IF(MAX(X571, Y571, Z571, AA571)&gt;0.9,
 "Critical",
 IF(AK571&lt;=0.2,"Very Low",
 IF(AK571&lt;=0.4,"Low",
 IF(AK571&lt;=0.6,"Medium",
 IF(AK571&lt;=0.8,"High","Critical")))))</f>
        <v>Low</v>
      </c>
      <c r="AM571" t="str">
        <f>IF(MAX(X571:AA571)&gt;0.9,"CRITICAL ALERT",
 IF(AK571&gt;0.8,"CRITICAL ALERT",
 IF(AK571&gt;0.6,"ALERT",
 IF(AK571&gt;=0.4,"REVIEW","NO ACTION"))))</f>
        <v>NO ACTION</v>
      </c>
      <c r="AN571" t="str">
        <f>IF(AM571="NO ACTION","",
 IF(_xlfn.TEXTJOIN(", ", TRUE,
  IF(X571&gt;0.7,"Login anomaly",""),
  IF(Y571&gt;0.7,"File anomaly",""),
  IF(Z571&gt;0.7,"Network anomaly",""),
  IF(AA571&gt;0.7,"USB anomaly","")
 )="",
 "General anomaly detected",
 _xlfn.TEXTJOIN(", ", TRUE,
  IF(X571&gt;0.7,"Login anomaly",""),
  IF(Y571&gt;0.7,"File anomaly",""),
  IF(Z571&gt;0.7,"Network anomaly",""),
  IF(AA571&gt;0.7,"USB anomaly","")
 )))</f>
        <v/>
      </c>
    </row>
    <row r="572" spans="1:40" x14ac:dyDescent="0.3">
      <c r="A572" t="s">
        <v>595</v>
      </c>
      <c r="B572">
        <v>0.12892249527410199</v>
      </c>
      <c r="C572">
        <v>0</v>
      </c>
      <c r="D572">
        <v>0</v>
      </c>
      <c r="E572">
        <v>0</v>
      </c>
      <c r="F572">
        <v>1</v>
      </c>
      <c r="G572">
        <v>0.993685686439576</v>
      </c>
      <c r="H572">
        <v>6</v>
      </c>
      <c r="I572">
        <v>6</v>
      </c>
      <c r="J572">
        <v>6.9414627164734496E-2</v>
      </c>
      <c r="K572">
        <v>4.8939641109298502E-3</v>
      </c>
      <c r="L572">
        <v>1.7947276546643302E-2</v>
      </c>
      <c r="M572">
        <v>1.1544011544011501E-3</v>
      </c>
      <c r="N572">
        <v>1.0015616043013299E-2</v>
      </c>
      <c r="O572">
        <v>839</v>
      </c>
      <c r="P572">
        <v>5.3696689113355699E-2</v>
      </c>
      <c r="Q572">
        <v>5.3858830954801998E-2</v>
      </c>
      <c r="R572">
        <v>0</v>
      </c>
      <c r="S572">
        <v>0</v>
      </c>
      <c r="T572" t="s">
        <v>49</v>
      </c>
      <c r="U572">
        <v>2.0377358490565999E-2</v>
      </c>
      <c r="V572">
        <v>0</v>
      </c>
      <c r="W572">
        <v>0</v>
      </c>
      <c r="X572">
        <v>0.4</v>
      </c>
      <c r="Y572">
        <v>2.58612485191725E-2</v>
      </c>
      <c r="Z572">
        <v>3.6224259885218699E-2</v>
      </c>
      <c r="AA572">
        <v>0</v>
      </c>
      <c r="AB572">
        <v>0.1190410032868385</v>
      </c>
      <c r="AC572">
        <v>4.889999981969595E-4</v>
      </c>
      <c r="AD572">
        <v>7.1209999732673168E-3</v>
      </c>
      <c r="AE572">
        <v>3.600000127335079E-5</v>
      </c>
      <c r="AF572">
        <f>0.16*X572 + 0.28*Y572 + 0.28*Z572 + 0.28*AA572</f>
        <v>8.138394235322953E-2</v>
      </c>
      <c r="AG572">
        <f t="shared" si="24"/>
        <v>2.1187440518260697E-2</v>
      </c>
      <c r="AH572">
        <f>IF(T572="IT_Admin", 0.25, IF(AND(T572="HR", AA572&gt;0.6), 0.25, IF(AND(T572="General", Z572&gt;0.7), 0.2, 0.1)))</f>
        <v>0.1</v>
      </c>
      <c r="AI572">
        <f>IF(V572&gt;0.7, 0.1,
 IF(F572&gt;0.5, 0.08,
 IF(E572&gt;0.5, 0.05,
 0)))</f>
        <v>0.08</v>
      </c>
      <c r="AJ572">
        <f t="shared" si="25"/>
        <v>3.9246391068751343E-2</v>
      </c>
      <c r="AK572">
        <f t="shared" si="26"/>
        <v>4.6310741461126591E-2</v>
      </c>
      <c r="AL572" t="str">
        <f>IF(MAX(X572, Y572, Z572, AA572)&gt;0.9,
 "Critical",
 IF(AK572&lt;=0.2,"Very Low",
 IF(AK572&lt;=0.4,"Low",
 IF(AK572&lt;=0.6,"Medium",
 IF(AK572&lt;=0.8,"High","Critical")))))</f>
        <v>Very Low</v>
      </c>
      <c r="AM572" t="str">
        <f>IF(MAX(X572:AA572)&gt;0.9,"CRITICAL ALERT",
 IF(AK572&gt;0.8,"CRITICAL ALERT",
 IF(AK572&gt;0.6,"ALERT",
 IF(AK572&gt;=0.4,"REVIEW","NO ACTION"))))</f>
        <v>NO ACTION</v>
      </c>
      <c r="AN572" t="str">
        <f>IF(AM572="NO ACTION","",
 IF(_xlfn.TEXTJOIN(", ", TRUE,
  IF(X572&gt;0.7,"Login anomaly",""),
  IF(Y572&gt;0.7,"File anomaly",""),
  IF(Z572&gt;0.7,"Network anomaly",""),
  IF(AA572&gt;0.7,"USB anomaly","")
 )="",
 "General anomaly detected",
 _xlfn.TEXTJOIN(", ", TRUE,
  IF(X572&gt;0.7,"Login anomaly",""),
  IF(Y572&gt;0.7,"File anomaly",""),
  IF(Z572&gt;0.7,"Network anomaly",""),
  IF(AA572&gt;0.7,"USB anomaly","")
 )))</f>
        <v/>
      </c>
    </row>
    <row r="573" spans="1:40" x14ac:dyDescent="0.3">
      <c r="A573" t="s">
        <v>596</v>
      </c>
      <c r="B573">
        <v>0.12892249527410199</v>
      </c>
      <c r="C573">
        <v>0.36953165208440503</v>
      </c>
      <c r="D573">
        <v>0</v>
      </c>
      <c r="E573">
        <v>0</v>
      </c>
      <c r="F573">
        <v>0</v>
      </c>
      <c r="G573">
        <v>0.99368033389981003</v>
      </c>
      <c r="H573">
        <v>8</v>
      </c>
      <c r="I573">
        <v>8</v>
      </c>
      <c r="J573">
        <v>0.11397356996326501</v>
      </c>
      <c r="K573">
        <v>1.7944535073409401E-2</v>
      </c>
      <c r="L573">
        <v>4.0132729231285497E-2</v>
      </c>
      <c r="M573">
        <v>2.8860028860028799E-3</v>
      </c>
      <c r="N573">
        <v>1.52702583780277E-2</v>
      </c>
      <c r="O573">
        <v>1023</v>
      </c>
      <c r="P573">
        <v>9.2908249158249107E-2</v>
      </c>
      <c r="Q573">
        <v>9.3060766506539494E-2</v>
      </c>
      <c r="R573">
        <v>0</v>
      </c>
      <c r="S573">
        <v>0</v>
      </c>
      <c r="T573" t="s">
        <v>24</v>
      </c>
      <c r="U573">
        <v>3.3962264150943298E-2</v>
      </c>
      <c r="V573">
        <v>0</v>
      </c>
      <c r="W573">
        <v>0</v>
      </c>
      <c r="X573">
        <v>0</v>
      </c>
      <c r="Y573">
        <v>4.7442156121704097E-2</v>
      </c>
      <c r="Z573">
        <v>6.1853052846160599E-2</v>
      </c>
      <c r="AA573">
        <v>0</v>
      </c>
      <c r="AB573">
        <v>2.4716999381780621E-2</v>
      </c>
      <c r="AC573">
        <v>1.999999994950485E-6</v>
      </c>
      <c r="AD573">
        <v>2.2140000946819778E-3</v>
      </c>
      <c r="AE573">
        <v>1.338999951258302E-3</v>
      </c>
      <c r="AF573">
        <f>0.16*X573 + 0.28*Y573 + 0.28*Z573 + 0.28*AA573</f>
        <v>3.0602658511002117E-2</v>
      </c>
      <c r="AG573">
        <f t="shared" si="24"/>
        <v>4.950119913946764E-3</v>
      </c>
      <c r="AH573">
        <f>IF(T573="IT_Admin", 0.25, IF(AND(T573="HR", AA573&gt;0.6), 0.25, IF(AND(T573="General", Z573&gt;0.7), 0.2, 0.1)))</f>
        <v>0.25</v>
      </c>
      <c r="AI573">
        <f>IF(V573&gt;0.7, 0.1,
 IF(F573&gt;0.5, 0.08,
 IF(E573&gt;0.5, 0.05,
 0)))</f>
        <v>0</v>
      </c>
      <c r="AJ573">
        <f t="shared" si="25"/>
        <v>1.2645881493063369E-2</v>
      </c>
      <c r="AK573">
        <f t="shared" si="26"/>
        <v>1.580735186632921E-2</v>
      </c>
      <c r="AL573" t="str">
        <f>IF(MAX(X573, Y573, Z573, AA573)&gt;0.9,
 "Critical",
 IF(AK573&lt;=0.2,"Very Low",
 IF(AK573&lt;=0.4,"Low",
 IF(AK573&lt;=0.6,"Medium",
 IF(AK573&lt;=0.8,"High","Critical")))))</f>
        <v>Very Low</v>
      </c>
      <c r="AM573" t="str">
        <f>IF(MAX(X573:AA573)&gt;0.9,"CRITICAL ALERT",
 IF(AK573&gt;0.8,"CRITICAL ALERT",
 IF(AK573&gt;0.6,"ALERT",
 IF(AK573&gt;=0.4,"REVIEW","NO ACTION"))))</f>
        <v>NO ACTION</v>
      </c>
      <c r="AN573" t="str">
        <f>IF(AM573="NO ACTION","",
 IF(_xlfn.TEXTJOIN(", ", TRUE,
  IF(X573&gt;0.7,"Login anomaly",""),
  IF(Y573&gt;0.7,"File anomaly",""),
  IF(Z573&gt;0.7,"Network anomaly",""),
  IF(AA573&gt;0.7,"USB anomaly","")
 )="",
 "General anomaly detected",
 _xlfn.TEXTJOIN(", ", TRUE,
  IF(X573&gt;0.7,"Login anomaly",""),
  IF(Y573&gt;0.7,"File anomaly",""),
  IF(Z573&gt;0.7,"Network anomaly",""),
  IF(AA573&gt;0.7,"USB anomaly","")
 )))</f>
        <v/>
      </c>
    </row>
    <row r="574" spans="1:40" x14ac:dyDescent="0.3">
      <c r="A574" t="s">
        <v>597</v>
      </c>
      <c r="B574">
        <v>0.25406427221172001</v>
      </c>
      <c r="C574">
        <v>0.71309769252086797</v>
      </c>
      <c r="D574">
        <v>0.39642758779390902</v>
      </c>
      <c r="E574">
        <v>0</v>
      </c>
      <c r="F574">
        <v>0</v>
      </c>
      <c r="G574">
        <v>0.43380952088582803</v>
      </c>
      <c r="H574">
        <v>7</v>
      </c>
      <c r="I574">
        <v>17</v>
      </c>
      <c r="J574">
        <v>0.11096798816850301</v>
      </c>
      <c r="K574">
        <v>1.6313213703099499E-2</v>
      </c>
      <c r="L574">
        <v>3.7470361444443497E-2</v>
      </c>
      <c r="M574">
        <v>1.44300144300144E-3</v>
      </c>
      <c r="N574">
        <v>7.8414840319602202E-3</v>
      </c>
      <c r="O574">
        <v>978</v>
      </c>
      <c r="P574">
        <v>8.9295735129068396E-2</v>
      </c>
      <c r="Q574">
        <v>8.9449139170377598E-2</v>
      </c>
      <c r="R574">
        <v>0</v>
      </c>
      <c r="S574">
        <v>0</v>
      </c>
      <c r="T574" t="s">
        <v>24</v>
      </c>
      <c r="U574">
        <v>5.6603773584905599E-2</v>
      </c>
      <c r="V574">
        <v>0</v>
      </c>
      <c r="W574">
        <v>0</v>
      </c>
      <c r="X574">
        <v>0.118928276338172</v>
      </c>
      <c r="Y574">
        <v>4.32812235655105E-2</v>
      </c>
      <c r="Z574">
        <v>5.6714034690225103E-2</v>
      </c>
      <c r="AA574">
        <v>0</v>
      </c>
      <c r="AB574">
        <v>4.5348998159170151E-2</v>
      </c>
      <c r="AC574">
        <v>1.5500000154133889E-4</v>
      </c>
      <c r="AD574">
        <v>2.3910000454634428E-3</v>
      </c>
      <c r="AE574">
        <v>9.8259998485445976E-3</v>
      </c>
      <c r="AF574">
        <f>0.16*X574 + 0.28*Y574 + 0.28*Z574 + 0.28*AA574</f>
        <v>4.7027196525713494E-2</v>
      </c>
      <c r="AG574">
        <f t="shared" si="24"/>
        <v>1.0719999676221052E-2</v>
      </c>
      <c r="AH574">
        <f>IF(T574="IT_Admin", 0.25, IF(AND(T574="HR", AA574&gt;0.6), 0.25, IF(AND(T574="General", Z574&gt;0.7), 0.2, 0.1)))</f>
        <v>0.25</v>
      </c>
      <c r="AI574">
        <f>IF(V574&gt;0.7, 0.1,
 IF(F574&gt;0.5, 0.08,
 IF(E574&gt;0.5, 0.05,
 0)))</f>
        <v>0</v>
      </c>
      <c r="AJ574">
        <f t="shared" si="25"/>
        <v>2.1612158731068785E-2</v>
      </c>
      <c r="AK574">
        <f t="shared" si="26"/>
        <v>2.701519841383598E-2</v>
      </c>
      <c r="AL574" t="str">
        <f>IF(MAX(X574, Y574, Z574, AA574)&gt;0.9,
 "Critical",
 IF(AK574&lt;=0.2,"Very Low",
 IF(AK574&lt;=0.4,"Low",
 IF(AK574&lt;=0.6,"Medium",
 IF(AK574&lt;=0.8,"High","Critical")))))</f>
        <v>Very Low</v>
      </c>
      <c r="AM574" t="str">
        <f>IF(MAX(X574:AA574)&gt;0.9,"CRITICAL ALERT",
 IF(AK574&gt;0.8,"CRITICAL ALERT",
 IF(AK574&gt;0.6,"ALERT",
 IF(AK574&gt;=0.4,"REVIEW","NO ACTION"))))</f>
        <v>NO ACTION</v>
      </c>
      <c r="AN574" t="str">
        <f>IF(AM574="NO ACTION","",
 IF(_xlfn.TEXTJOIN(", ", TRUE,
  IF(X574&gt;0.7,"Login anomaly",""),
  IF(Y574&gt;0.7,"File anomaly",""),
  IF(Z574&gt;0.7,"Network anomaly",""),
  IF(AA574&gt;0.7,"USB anomaly","")
 )="",
 "General anomaly detected",
 _xlfn.TEXTJOIN(", ", TRUE,
  IF(X574&gt;0.7,"Login anomaly",""),
  IF(Y574&gt;0.7,"File anomaly",""),
  IF(Z574&gt;0.7,"Network anomaly",""),
  IF(AA574&gt;0.7,"USB anomaly","")
 )))</f>
        <v/>
      </c>
    </row>
    <row r="575" spans="1:40" x14ac:dyDescent="0.3">
      <c r="A575" t="s">
        <v>598</v>
      </c>
      <c r="B575">
        <v>0.241209829867674</v>
      </c>
      <c r="C575">
        <v>0.74712162679993499</v>
      </c>
      <c r="D575">
        <v>0.34265263705601201</v>
      </c>
      <c r="E575">
        <v>0</v>
      </c>
      <c r="F575">
        <v>0</v>
      </c>
      <c r="G575">
        <v>0.46469865040525399</v>
      </c>
      <c r="H575">
        <v>8</v>
      </c>
      <c r="I575">
        <v>14</v>
      </c>
      <c r="J575">
        <v>8.1055293163494094E-2</v>
      </c>
      <c r="K575">
        <v>1.4681892332789499E-2</v>
      </c>
      <c r="L575">
        <v>4.6132084081160797E-2</v>
      </c>
      <c r="M575">
        <v>2.59740259740259E-3</v>
      </c>
      <c r="N575">
        <v>1.9308273885738601E-2</v>
      </c>
      <c r="O575">
        <v>965</v>
      </c>
      <c r="P575">
        <v>6.7164702581369196E-2</v>
      </c>
      <c r="Q575">
        <v>6.7323538693502494E-2</v>
      </c>
      <c r="R575">
        <v>0</v>
      </c>
      <c r="S575">
        <v>0</v>
      </c>
      <c r="T575" t="s">
        <v>49</v>
      </c>
      <c r="U575">
        <v>3.0566037735849001E-2</v>
      </c>
      <c r="V575">
        <v>0</v>
      </c>
      <c r="W575">
        <v>0</v>
      </c>
      <c r="X575">
        <v>0.102795791116803</v>
      </c>
      <c r="Y575">
        <v>4.5069582839000803E-2</v>
      </c>
      <c r="Z575">
        <v>4.8022131103116997E-2</v>
      </c>
      <c r="AA575">
        <v>0</v>
      </c>
      <c r="AB575">
        <v>3.5454001277685172E-2</v>
      </c>
      <c r="AC575">
        <v>2.9000000722589899E-5</v>
      </c>
      <c r="AD575">
        <v>4.6370001509785652E-3</v>
      </c>
      <c r="AE575">
        <v>5.9690000489354134E-3</v>
      </c>
      <c r="AF575">
        <f>0.16*X575 + 0.28*Y575 + 0.28*Z575 + 0.28*AA575</f>
        <v>4.2513006482481464E-2</v>
      </c>
      <c r="AG575">
        <f t="shared" si="24"/>
        <v>8.6504402606078674E-3</v>
      </c>
      <c r="AH575">
        <f>IF(T575="IT_Admin", 0.25, IF(AND(T575="HR", AA575&gt;0.6), 0.25, IF(AND(T575="General", Z575&gt;0.7), 0.2, 0.1)))</f>
        <v>0.1</v>
      </c>
      <c r="AI575">
        <f>IF(V575&gt;0.7, 0.1,
 IF(F575&gt;0.5, 0.08,
 IF(E575&gt;0.5, 0.05,
 0)))</f>
        <v>0</v>
      </c>
      <c r="AJ575">
        <f t="shared" si="25"/>
        <v>1.8809210127169945E-2</v>
      </c>
      <c r="AK575">
        <f t="shared" si="26"/>
        <v>2.0690131139886939E-2</v>
      </c>
      <c r="AL575" t="str">
        <f>IF(MAX(X575, Y575, Z575, AA575)&gt;0.9,
 "Critical",
 IF(AK575&lt;=0.2,"Very Low",
 IF(AK575&lt;=0.4,"Low",
 IF(AK575&lt;=0.6,"Medium",
 IF(AK575&lt;=0.8,"High","Critical")))))</f>
        <v>Very Low</v>
      </c>
      <c r="AM575" t="str">
        <f>IF(MAX(X575:AA575)&gt;0.9,"CRITICAL ALERT",
 IF(AK575&gt;0.8,"CRITICAL ALERT",
 IF(AK575&gt;0.6,"ALERT",
 IF(AK575&gt;=0.4,"REVIEW","NO ACTION"))))</f>
        <v>NO ACTION</v>
      </c>
      <c r="AN575" t="str">
        <f>IF(AM575="NO ACTION","",
 IF(_xlfn.TEXTJOIN(", ", TRUE,
  IF(X575&gt;0.7,"Login anomaly",""),
  IF(Y575&gt;0.7,"File anomaly",""),
  IF(Z575&gt;0.7,"Network anomaly",""),
  IF(AA575&gt;0.7,"USB anomaly","")
 )="",
 "General anomaly detected",
 _xlfn.TEXTJOIN(", ", TRUE,
  IF(X575&gt;0.7,"Login anomaly",""),
  IF(Y575&gt;0.7,"File anomaly",""),
  IF(Z575&gt;0.7,"Network anomaly",""),
  IF(AA575&gt;0.7,"USB anomaly","")
 )))</f>
        <v/>
      </c>
    </row>
    <row r="576" spans="1:40" x14ac:dyDescent="0.3">
      <c r="A576" t="s">
        <v>599</v>
      </c>
      <c r="B576">
        <v>9.6786389413988594E-2</v>
      </c>
      <c r="C576">
        <v>0.18476582604220201</v>
      </c>
      <c r="D576">
        <v>0</v>
      </c>
      <c r="E576">
        <v>0</v>
      </c>
      <c r="F576">
        <v>0</v>
      </c>
      <c r="G576">
        <v>1</v>
      </c>
      <c r="H576">
        <v>7</v>
      </c>
      <c r="I576">
        <v>7</v>
      </c>
      <c r="J576">
        <v>2.7479604980678401E-2</v>
      </c>
      <c r="K576">
        <v>8.1566068515497503E-4</v>
      </c>
      <c r="L576">
        <v>7.5166447957829398E-3</v>
      </c>
      <c r="M576">
        <v>2.88600288600288E-4</v>
      </c>
      <c r="N576">
        <v>6.2920823678138602E-3</v>
      </c>
      <c r="O576">
        <v>138</v>
      </c>
      <c r="P576">
        <v>2.06930415263748E-2</v>
      </c>
      <c r="Q576">
        <v>2.0863284126371801E-2</v>
      </c>
      <c r="R576">
        <v>0</v>
      </c>
      <c r="S576">
        <v>0</v>
      </c>
      <c r="T576" t="s">
        <v>49</v>
      </c>
      <c r="U576">
        <v>8.4905660377358402E-3</v>
      </c>
      <c r="V576">
        <v>0</v>
      </c>
      <c r="W576">
        <v>0</v>
      </c>
      <c r="X576">
        <v>0</v>
      </c>
      <c r="Y576">
        <v>1.1141868104371301E-2</v>
      </c>
      <c r="Z576">
        <v>1.4932657862950401E-2</v>
      </c>
      <c r="AA576">
        <v>0</v>
      </c>
      <c r="AB576">
        <v>4.1161000728607178E-2</v>
      </c>
      <c r="AC576">
        <v>1.224000006914139E-3</v>
      </c>
      <c r="AD576">
        <v>1.3046000152826309E-2</v>
      </c>
      <c r="AE576">
        <v>2.318999962881207E-3</v>
      </c>
      <c r="AF576">
        <f>0.16*X576 + 0.28*Y576 + 0.28*Z576 + 0.28*AA576</f>
        <v>7.3008672708500776E-3</v>
      </c>
      <c r="AG576">
        <f t="shared" si="24"/>
        <v>1.1230680150911212E-2</v>
      </c>
      <c r="AH576">
        <f>IF(T576="IT_Admin", 0.25, IF(AND(T576="HR", AA576&gt;0.6), 0.25, IF(AND(T576="General", Z576&gt;0.7), 0.2, 0.1)))</f>
        <v>0.1</v>
      </c>
      <c r="AI576">
        <f>IF(V576&gt;0.7, 0.1,
 IF(F576&gt;0.5, 0.08,
 IF(E576&gt;0.5, 0.05,
 0)))</f>
        <v>0</v>
      </c>
      <c r="AJ576">
        <f t="shared" si="25"/>
        <v>1.0051736286892871E-2</v>
      </c>
      <c r="AK576">
        <f t="shared" si="26"/>
        <v>1.1056909915582159E-2</v>
      </c>
      <c r="AL576" t="str">
        <f>IF(MAX(X576, Y576, Z576, AA576)&gt;0.9,
 "Critical",
 IF(AK576&lt;=0.2,"Very Low",
 IF(AK576&lt;=0.4,"Low",
 IF(AK576&lt;=0.6,"Medium",
 IF(AK576&lt;=0.8,"High","Critical")))))</f>
        <v>Very Low</v>
      </c>
      <c r="AM576" t="str">
        <f>IF(MAX(X576:AA576)&gt;0.9,"CRITICAL ALERT",
 IF(AK576&gt;0.8,"CRITICAL ALERT",
 IF(AK576&gt;0.6,"ALERT",
 IF(AK576&gt;=0.4,"REVIEW","NO ACTION"))))</f>
        <v>NO ACTION</v>
      </c>
      <c r="AN576" t="str">
        <f>IF(AM576="NO ACTION","",
 IF(_xlfn.TEXTJOIN(", ", TRUE,
  IF(X576&gt;0.7,"Login anomaly",""),
  IF(Y576&gt;0.7,"File anomaly",""),
  IF(Z576&gt;0.7,"Network anomaly",""),
  IF(AA576&gt;0.7,"USB anomaly","")
 )="",
 "General anomaly detected",
 _xlfn.TEXTJOIN(", ", TRUE,
  IF(X576&gt;0.7,"Login anomaly",""),
  IF(Y576&gt;0.7,"File anomaly",""),
  IF(Z576&gt;0.7,"Network anomaly",""),
  IF(AA576&gt;0.7,"USB anomaly","")
 )))</f>
        <v/>
      </c>
    </row>
    <row r="577" spans="1:40" x14ac:dyDescent="0.3">
      <c r="A577" t="s">
        <v>600</v>
      </c>
      <c r="B577">
        <v>0.12892249527410199</v>
      </c>
      <c r="C577">
        <v>0.36953165208440503</v>
      </c>
      <c r="D577">
        <v>0</v>
      </c>
      <c r="E577">
        <v>0</v>
      </c>
      <c r="F577">
        <v>0</v>
      </c>
      <c r="G577">
        <v>0.99367953101884499</v>
      </c>
      <c r="H577">
        <v>8</v>
      </c>
      <c r="I577">
        <v>8</v>
      </c>
      <c r="J577">
        <v>8.9642669719956103E-2</v>
      </c>
      <c r="K577">
        <v>1.4681892332789499E-2</v>
      </c>
      <c r="L577">
        <v>4.1724560124362001E-2</v>
      </c>
      <c r="M577">
        <v>1.1544011544011501E-3</v>
      </c>
      <c r="N577">
        <v>7.7615708188956498E-3</v>
      </c>
      <c r="O577">
        <v>1074</v>
      </c>
      <c r="P577">
        <v>7.2776374859708198E-2</v>
      </c>
      <c r="Q577">
        <v>7.2933833584627794E-2</v>
      </c>
      <c r="R577">
        <v>0</v>
      </c>
      <c r="S577">
        <v>0</v>
      </c>
      <c r="T577" t="s">
        <v>49</v>
      </c>
      <c r="U577">
        <v>6.1132075471698098E-2</v>
      </c>
      <c r="V577">
        <v>0</v>
      </c>
      <c r="W577">
        <v>0</v>
      </c>
      <c r="X577">
        <v>0</v>
      </c>
      <c r="Y577">
        <v>4.1119285251840901E-2</v>
      </c>
      <c r="Z577">
        <v>4.6770453243383102E-2</v>
      </c>
      <c r="AA577">
        <v>0</v>
      </c>
      <c r="AB577">
        <v>2.4653999134898189E-2</v>
      </c>
      <c r="AC577">
        <v>2.5099999038502569E-4</v>
      </c>
      <c r="AD577">
        <v>4.4630002230405807E-3</v>
      </c>
      <c r="AE577">
        <v>1.4110000338405371E-3</v>
      </c>
      <c r="AF577">
        <f>0.16*X577 + 0.28*Y577 + 0.28*Z577 + 0.28*AA577</f>
        <v>2.4609126778662723E-2</v>
      </c>
      <c r="AG577">
        <f t="shared" si="24"/>
        <v>5.6596399308182299E-3</v>
      </c>
      <c r="AH577">
        <f>IF(T577="IT_Admin", 0.25, IF(AND(T577="HR", AA577&gt;0.6), 0.25, IF(AND(T577="General", Z577&gt;0.7), 0.2, 0.1)))</f>
        <v>0.1</v>
      </c>
      <c r="AI577">
        <f>IF(V577&gt;0.7, 0.1,
 IF(F577&gt;0.5, 0.08,
 IF(E577&gt;0.5, 0.05,
 0)))</f>
        <v>0</v>
      </c>
      <c r="AJ577">
        <f t="shared" si="25"/>
        <v>1.1344485985171578E-2</v>
      </c>
      <c r="AK577">
        <f t="shared" si="26"/>
        <v>1.2478934583688737E-2</v>
      </c>
      <c r="AL577" t="str">
        <f>IF(MAX(X577, Y577, Z577, AA577)&gt;0.9,
 "Critical",
 IF(AK577&lt;=0.2,"Very Low",
 IF(AK577&lt;=0.4,"Low",
 IF(AK577&lt;=0.6,"Medium",
 IF(AK577&lt;=0.8,"High","Critical")))))</f>
        <v>Very Low</v>
      </c>
      <c r="AM577" t="str">
        <f>IF(MAX(X577:AA577)&gt;0.9,"CRITICAL ALERT",
 IF(AK577&gt;0.8,"CRITICAL ALERT",
 IF(AK577&gt;0.6,"ALERT",
 IF(AK577&gt;=0.4,"REVIEW","NO ACTION"))))</f>
        <v>NO ACTION</v>
      </c>
      <c r="AN577" t="str">
        <f>IF(AM577="NO ACTION","",
 IF(_xlfn.TEXTJOIN(", ", TRUE,
  IF(X577&gt;0.7,"Login anomaly",""),
  IF(Y577&gt;0.7,"File anomaly",""),
  IF(Z577&gt;0.7,"Network anomaly",""),
  IF(AA577&gt;0.7,"USB anomaly","")
 )="",
 "General anomaly detected",
 _xlfn.TEXTJOIN(", ", TRUE,
  IF(X577&gt;0.7,"Login anomaly",""),
  IF(Y577&gt;0.7,"File anomaly",""),
  IF(Z577&gt;0.7,"Network anomaly",""),
  IF(AA577&gt;0.7,"USB anomaly","")
 )))</f>
        <v/>
      </c>
    </row>
    <row r="578" spans="1:40" x14ac:dyDescent="0.3">
      <c r="A578" t="s">
        <v>601</v>
      </c>
      <c r="B578">
        <v>0.12892249527410199</v>
      </c>
      <c r="C578">
        <v>0.36953165208440503</v>
      </c>
      <c r="D578">
        <v>0</v>
      </c>
      <c r="E578">
        <v>0</v>
      </c>
      <c r="F578">
        <v>0</v>
      </c>
      <c r="G578">
        <v>0.99366489182258499</v>
      </c>
      <c r="H578">
        <v>8</v>
      </c>
      <c r="I578">
        <v>8</v>
      </c>
      <c r="J578">
        <v>5.7726253518438998E-2</v>
      </c>
      <c r="K578">
        <v>8.9722675367047301E-3</v>
      </c>
      <c r="L578">
        <v>3.9538170279710898E-2</v>
      </c>
      <c r="M578">
        <v>4.9062049062049001E-3</v>
      </c>
      <c r="N578">
        <v>5.1149709915141998E-2</v>
      </c>
      <c r="O578">
        <v>531</v>
      </c>
      <c r="P578">
        <v>4.86812570145903E-2</v>
      </c>
      <c r="Q578">
        <v>4.8844629895858901E-2</v>
      </c>
      <c r="R578">
        <v>0</v>
      </c>
      <c r="S578">
        <v>0</v>
      </c>
      <c r="T578" t="s">
        <v>49</v>
      </c>
      <c r="U578">
        <v>1.0377358490566001E-2</v>
      </c>
      <c r="V578">
        <v>0</v>
      </c>
      <c r="W578">
        <v>0</v>
      </c>
      <c r="X578">
        <v>0</v>
      </c>
      <c r="Y578">
        <v>4.6659248818085801E-2</v>
      </c>
      <c r="Z578">
        <v>4.9668638174811E-2</v>
      </c>
      <c r="AA578">
        <v>0</v>
      </c>
      <c r="AB578">
        <v>2.5055000558495522E-2</v>
      </c>
      <c r="AC578">
        <v>5.2000000141561031E-4</v>
      </c>
      <c r="AD578">
        <v>6.5069999545812607E-3</v>
      </c>
      <c r="AE578">
        <v>2.6610000059008598E-3</v>
      </c>
      <c r="AF578">
        <f>0.16*X578 + 0.28*Y578 + 0.28*Z578 + 0.28*AA578</f>
        <v>2.6971808358011107E-2</v>
      </c>
      <c r="AG578">
        <f t="shared" si="24"/>
        <v>6.7214400786906481E-3</v>
      </c>
      <c r="AH578">
        <f>IF(T578="IT_Admin", 0.25, IF(AND(T578="HR", AA578&gt;0.6), 0.25, IF(AND(T578="General", Z578&gt;0.7), 0.2, 0.1)))</f>
        <v>0.1</v>
      </c>
      <c r="AI578">
        <f>IF(V578&gt;0.7, 0.1,
 IF(F578&gt;0.5, 0.08,
 IF(E578&gt;0.5, 0.05,
 0)))</f>
        <v>0</v>
      </c>
      <c r="AJ578">
        <f t="shared" si="25"/>
        <v>1.2796550562486785E-2</v>
      </c>
      <c r="AK578">
        <f t="shared" si="26"/>
        <v>1.4076205618735465E-2</v>
      </c>
      <c r="AL578" t="str">
        <f>IF(MAX(X578, Y578, Z578, AA578)&gt;0.9,
 "Critical",
 IF(AK578&lt;=0.2,"Very Low",
 IF(AK578&lt;=0.4,"Low",
 IF(AK578&lt;=0.6,"Medium",
 IF(AK578&lt;=0.8,"High","Critical")))))</f>
        <v>Very Low</v>
      </c>
      <c r="AM578" t="str">
        <f>IF(MAX(X578:AA578)&gt;0.9,"CRITICAL ALERT",
 IF(AK578&gt;0.8,"CRITICAL ALERT",
 IF(AK578&gt;0.6,"ALERT",
 IF(AK578&gt;=0.4,"REVIEW","NO ACTION"))))</f>
        <v>NO ACTION</v>
      </c>
      <c r="AN578" t="str">
        <f>IF(AM578="NO ACTION","",
 IF(_xlfn.TEXTJOIN(", ", TRUE,
  IF(X578&gt;0.7,"Login anomaly",""),
  IF(Y578&gt;0.7,"File anomaly",""),
  IF(Z578&gt;0.7,"Network anomaly",""),
  IF(AA578&gt;0.7,"USB anomaly","")
 )="",
 "General anomaly detected",
 _xlfn.TEXTJOIN(", ", TRUE,
  IF(X578&gt;0.7,"Login anomaly",""),
  IF(Y578&gt;0.7,"File anomaly",""),
  IF(Z578&gt;0.7,"Network anomaly",""),
  IF(AA578&gt;0.7,"USB anomaly","")
 )))</f>
        <v/>
      </c>
    </row>
    <row r="579" spans="1:40" x14ac:dyDescent="0.3">
      <c r="A579" t="s">
        <v>602</v>
      </c>
      <c r="B579">
        <v>0.12892249527410199</v>
      </c>
      <c r="C579">
        <v>0.26938321883834099</v>
      </c>
      <c r="D579">
        <v>7.4866899962459793E-2</v>
      </c>
      <c r="E579">
        <v>0</v>
      </c>
      <c r="F579">
        <v>0</v>
      </c>
      <c r="G579">
        <v>0.99369342085953805</v>
      </c>
      <c r="H579">
        <v>7</v>
      </c>
      <c r="I579">
        <v>8</v>
      </c>
      <c r="J579">
        <v>8.0482801393063297E-2</v>
      </c>
      <c r="K579">
        <v>2.0391517128874301E-2</v>
      </c>
      <c r="L579">
        <v>6.4526752753396699E-2</v>
      </c>
      <c r="M579">
        <v>2.3088023088023001E-3</v>
      </c>
      <c r="N579">
        <v>1.72846328874697E-2</v>
      </c>
      <c r="O579">
        <v>902</v>
      </c>
      <c r="P579">
        <v>6.9058641975308602E-2</v>
      </c>
      <c r="Q579">
        <v>6.9217013219257301E-2</v>
      </c>
      <c r="R579">
        <v>0</v>
      </c>
      <c r="S579">
        <v>0</v>
      </c>
      <c r="T579" t="s">
        <v>49</v>
      </c>
      <c r="U579">
        <v>4.71698113207547E-2</v>
      </c>
      <c r="V579">
        <v>0</v>
      </c>
      <c r="W579">
        <v>0</v>
      </c>
      <c r="X579">
        <v>2.24600699887379E-2</v>
      </c>
      <c r="Y579">
        <v>5.3545326521551903E-2</v>
      </c>
      <c r="Z579">
        <v>4.8349038340173102E-2</v>
      </c>
      <c r="AA579">
        <v>0</v>
      </c>
      <c r="AB579">
        <v>1.895499974489212E-2</v>
      </c>
      <c r="AC579">
        <v>1.749999937601388E-4</v>
      </c>
      <c r="AD579">
        <v>4.6799997799098492E-3</v>
      </c>
      <c r="AE579">
        <v>1.930000027641654E-3</v>
      </c>
      <c r="AF579">
        <f>0.16*X579 + 0.28*Y579 + 0.28*Z579 + 0.28*AA579</f>
        <v>3.2124033359481066E-2</v>
      </c>
      <c r="AG579">
        <f t="shared" ref="AG579:AG642" si="27">0.16*AB579 + 0.28*AC579 + 0.28*AD579 + 0.28*AE579</f>
        <v>4.9325999035499998E-3</v>
      </c>
      <c r="AH579">
        <f>IF(T579="IT_Admin", 0.25, IF(AND(T579="HR", AA579&gt;0.6), 0.25, IF(AND(T579="General", Z579&gt;0.7), 0.2, 0.1)))</f>
        <v>0.1</v>
      </c>
      <c r="AI579">
        <f>IF(V579&gt;0.7, 0.1,
 IF(F579&gt;0.5, 0.08,
 IF(E579&gt;0.5, 0.05,
 0)))</f>
        <v>0</v>
      </c>
      <c r="AJ579">
        <f t="shared" ref="AJ579:AJ642" si="28">0.3*AF579+0.7*AG579</f>
        <v>1.3090029940329319E-2</v>
      </c>
      <c r="AK579">
        <f t="shared" ref="AK579:AK642" si="29">MIN(1,AJ579*(1+AH579+AI579))</f>
        <v>1.4399032934362252E-2</v>
      </c>
      <c r="AL579" t="str">
        <f>IF(MAX(X579, Y579, Z579, AA579)&gt;0.9,
 "Critical",
 IF(AK579&lt;=0.2,"Very Low",
 IF(AK579&lt;=0.4,"Low",
 IF(AK579&lt;=0.6,"Medium",
 IF(AK579&lt;=0.8,"High","Critical")))))</f>
        <v>Very Low</v>
      </c>
      <c r="AM579" t="str">
        <f>IF(MAX(X579:AA579)&gt;0.9,"CRITICAL ALERT",
 IF(AK579&gt;0.8,"CRITICAL ALERT",
 IF(AK579&gt;0.6,"ALERT",
 IF(AK579&gt;=0.4,"REVIEW","NO ACTION"))))</f>
        <v>NO ACTION</v>
      </c>
      <c r="AN579" t="str">
        <f>IF(AM579="NO ACTION","",
 IF(_xlfn.TEXTJOIN(", ", TRUE,
  IF(X579&gt;0.7,"Login anomaly",""),
  IF(Y579&gt;0.7,"File anomaly",""),
  IF(Z579&gt;0.7,"Network anomaly",""),
  IF(AA579&gt;0.7,"USB anomaly","")
 )="",
 "General anomaly detected",
 _xlfn.TEXTJOIN(", ", TRUE,
  IF(X579&gt;0.7,"Login anomaly",""),
  IF(Y579&gt;0.7,"File anomaly",""),
  IF(Z579&gt;0.7,"Network anomaly",""),
  IF(AA579&gt;0.7,"USB anomaly","")
 )))</f>
        <v/>
      </c>
    </row>
    <row r="580" spans="1:40" x14ac:dyDescent="0.3">
      <c r="A580" t="s">
        <v>603</v>
      </c>
      <c r="B580">
        <v>0.12892249527410199</v>
      </c>
      <c r="C580">
        <v>0.18476582604220201</v>
      </c>
      <c r="D580">
        <v>0</v>
      </c>
      <c r="E580">
        <v>0</v>
      </c>
      <c r="F580">
        <v>0</v>
      </c>
      <c r="G580">
        <v>0.99366408894161995</v>
      </c>
      <c r="H580">
        <v>7</v>
      </c>
      <c r="I580">
        <v>7</v>
      </c>
      <c r="J580">
        <v>7.7095558418014395E-2</v>
      </c>
      <c r="K580">
        <v>1.1419249592169599E-2</v>
      </c>
      <c r="L580">
        <v>3.7717698191794199E-2</v>
      </c>
      <c r="M580">
        <v>1.44300144300144E-3</v>
      </c>
      <c r="N580">
        <v>1.1276063712831101E-2</v>
      </c>
      <c r="O580">
        <v>909</v>
      </c>
      <c r="P580">
        <v>6.22895622895622E-2</v>
      </c>
      <c r="Q580">
        <v>6.2449595006837499E-2</v>
      </c>
      <c r="R580">
        <v>0</v>
      </c>
      <c r="S580">
        <v>0</v>
      </c>
      <c r="T580" t="s">
        <v>49</v>
      </c>
      <c r="U580">
        <v>3.9622641509433898E-2</v>
      </c>
      <c r="V580">
        <v>0</v>
      </c>
      <c r="W580">
        <v>0</v>
      </c>
      <c r="X580">
        <v>0</v>
      </c>
      <c r="Y580">
        <v>3.7660779893349303E-2</v>
      </c>
      <c r="Z580">
        <v>4.1884162858869797E-2</v>
      </c>
      <c r="AA580">
        <v>0</v>
      </c>
      <c r="AB580">
        <v>3.6621998995542533E-2</v>
      </c>
      <c r="AC580">
        <v>7.3000002885237336E-5</v>
      </c>
      <c r="AD580">
        <v>5.7359999045729637E-3</v>
      </c>
      <c r="AE580">
        <v>1.551999943330884E-3</v>
      </c>
      <c r="AF580">
        <f>0.16*X580 + 0.28*Y580 + 0.28*Z580 + 0.28*AA580</f>
        <v>2.2272583970621349E-2</v>
      </c>
      <c r="AG580">
        <f t="shared" si="27"/>
        <v>7.9205997975077495E-3</v>
      </c>
      <c r="AH580">
        <f>IF(T580="IT_Admin", 0.25, IF(AND(T580="HR", AA580&gt;0.6), 0.25, IF(AND(T580="General", Z580&gt;0.7), 0.2, 0.1)))</f>
        <v>0.1</v>
      </c>
      <c r="AI580">
        <f>IF(V580&gt;0.7, 0.1,
 IF(F580&gt;0.5, 0.08,
 IF(E580&gt;0.5, 0.05,
 0)))</f>
        <v>0</v>
      </c>
      <c r="AJ580">
        <f t="shared" si="28"/>
        <v>1.2226195049441828E-2</v>
      </c>
      <c r="AK580">
        <f t="shared" si="29"/>
        <v>1.3448814554386011E-2</v>
      </c>
      <c r="AL580" t="str">
        <f>IF(MAX(X580, Y580, Z580, AA580)&gt;0.9,
 "Critical",
 IF(AK580&lt;=0.2,"Very Low",
 IF(AK580&lt;=0.4,"Low",
 IF(AK580&lt;=0.6,"Medium",
 IF(AK580&lt;=0.8,"High","Critical")))))</f>
        <v>Very Low</v>
      </c>
      <c r="AM580" t="str">
        <f>IF(MAX(X580:AA580)&gt;0.9,"CRITICAL ALERT",
 IF(AK580&gt;0.8,"CRITICAL ALERT",
 IF(AK580&gt;0.6,"ALERT",
 IF(AK580&gt;=0.4,"REVIEW","NO ACTION"))))</f>
        <v>NO ACTION</v>
      </c>
      <c r="AN580" t="str">
        <f>IF(AM580="NO ACTION","",
 IF(_xlfn.TEXTJOIN(", ", TRUE,
  IF(X580&gt;0.7,"Login anomaly",""),
  IF(Y580&gt;0.7,"File anomaly",""),
  IF(Z580&gt;0.7,"Network anomaly",""),
  IF(AA580&gt;0.7,"USB anomaly","")
 )="",
 "General anomaly detected",
 _xlfn.TEXTJOIN(", ", TRUE,
  IF(X580&gt;0.7,"Login anomaly",""),
  IF(Y580&gt;0.7,"File anomaly",""),
  IF(Z580&gt;0.7,"Network anomaly",""),
  IF(AA580&gt;0.7,"USB anomaly","")
 )))</f>
        <v/>
      </c>
    </row>
    <row r="581" spans="1:40" x14ac:dyDescent="0.3">
      <c r="A581" t="s">
        <v>604</v>
      </c>
      <c r="B581">
        <v>0.25179584120982901</v>
      </c>
      <c r="C581">
        <v>0.69356127238229803</v>
      </c>
      <c r="D581">
        <v>0.37998230095309099</v>
      </c>
      <c r="E581">
        <v>0</v>
      </c>
      <c r="F581">
        <v>0</v>
      </c>
      <c r="G581">
        <v>0.43898258225471098</v>
      </c>
      <c r="H581">
        <v>7</v>
      </c>
      <c r="I581">
        <v>15</v>
      </c>
      <c r="J581">
        <v>7.99103096226325E-2</v>
      </c>
      <c r="K581">
        <v>9.7879282218597003E-3</v>
      </c>
      <c r="L581">
        <v>3.1194075902499199E-2</v>
      </c>
      <c r="M581">
        <v>1.1544011544011501E-3</v>
      </c>
      <c r="N581">
        <v>8.7040472754758395E-3</v>
      </c>
      <c r="O581">
        <v>851</v>
      </c>
      <c r="P581">
        <v>6.3517115600448898E-2</v>
      </c>
      <c r="Q581">
        <v>6.3676847014271107E-2</v>
      </c>
      <c r="R581">
        <v>0.38200589970501397</v>
      </c>
      <c r="S581">
        <v>1</v>
      </c>
      <c r="T581" t="s">
        <v>49</v>
      </c>
      <c r="U581">
        <v>4.0754716981131998E-2</v>
      </c>
      <c r="V581">
        <v>0</v>
      </c>
      <c r="W581">
        <v>0</v>
      </c>
      <c r="X581">
        <v>0.113994690285927</v>
      </c>
      <c r="Y581">
        <v>3.4190314058418797E-2</v>
      </c>
      <c r="Z581">
        <v>4.1591888270459697E-2</v>
      </c>
      <c r="AA581">
        <v>0.38200589970501397</v>
      </c>
      <c r="AB581">
        <v>3.4416999667882919E-2</v>
      </c>
      <c r="AC581">
        <v>1.340000017080456E-4</v>
      </c>
      <c r="AD581">
        <v>4.9450001679360867E-3</v>
      </c>
      <c r="AE581">
        <v>0.1477289944887161</v>
      </c>
      <c r="AF581">
        <f>0.16*X581 + 0.28*Y581 + 0.28*Z581 + 0.28*AA581</f>
        <v>0.14641981901523821</v>
      </c>
      <c r="AG581">
        <f t="shared" si="27"/>
        <v>4.8292958451202135E-2</v>
      </c>
      <c r="AH581">
        <f>IF(T581="IT_Admin", 0.25, IF(AND(T581="HR", AA581&gt;0.6), 0.25, IF(AND(T581="General", Z581&gt;0.7), 0.2, 0.1)))</f>
        <v>0.1</v>
      </c>
      <c r="AI581">
        <f>IF(V581&gt;0.7, 0.1,
 IF(F581&gt;0.5, 0.08,
 IF(E581&gt;0.5, 0.05,
 0)))</f>
        <v>0</v>
      </c>
      <c r="AJ581">
        <f t="shared" si="28"/>
        <v>7.7731016620412957E-2</v>
      </c>
      <c r="AK581">
        <f t="shared" si="29"/>
        <v>8.5504118282454258E-2</v>
      </c>
      <c r="AL581" t="str">
        <f>IF(MAX(X581, Y581, Z581, AA581)&gt;0.9,
 "Critical",
 IF(AK581&lt;=0.2,"Very Low",
 IF(AK581&lt;=0.4,"Low",
 IF(AK581&lt;=0.6,"Medium",
 IF(AK581&lt;=0.8,"High","Critical")))))</f>
        <v>Very Low</v>
      </c>
      <c r="AM581" t="str">
        <f>IF(MAX(X581:AA581)&gt;0.9,"CRITICAL ALERT",
 IF(AK581&gt;0.8,"CRITICAL ALERT",
 IF(AK581&gt;0.6,"ALERT",
 IF(AK581&gt;=0.4,"REVIEW","NO ACTION"))))</f>
        <v>NO ACTION</v>
      </c>
      <c r="AN581" t="str">
        <f>IF(AM581="NO ACTION","",
 IF(_xlfn.TEXTJOIN(", ", TRUE,
  IF(X581&gt;0.7,"Login anomaly",""),
  IF(Y581&gt;0.7,"File anomaly",""),
  IF(Z581&gt;0.7,"Network anomaly",""),
  IF(AA581&gt;0.7,"USB anomaly","")
 )="",
 "General anomaly detected",
 _xlfn.TEXTJOIN(", ", TRUE,
  IF(X581&gt;0.7,"Login anomaly",""),
  IF(Y581&gt;0.7,"File anomaly",""),
  IF(Z581&gt;0.7,"Network anomaly",""),
  IF(AA581&gt;0.7,"USB anomaly","")
 )))</f>
        <v/>
      </c>
    </row>
    <row r="582" spans="1:40" x14ac:dyDescent="0.3">
      <c r="A582" t="s">
        <v>605</v>
      </c>
      <c r="B582">
        <v>0.12892249527410199</v>
      </c>
      <c r="C582">
        <v>0.36953165208440503</v>
      </c>
      <c r="D582">
        <v>0</v>
      </c>
      <c r="E582">
        <v>0</v>
      </c>
      <c r="F582">
        <v>0</v>
      </c>
      <c r="G582">
        <v>0.99370522320972199</v>
      </c>
      <c r="H582">
        <v>8</v>
      </c>
      <c r="I582">
        <v>8</v>
      </c>
      <c r="J582">
        <v>8.2295691999427503E-2</v>
      </c>
      <c r="K582">
        <v>1.2234910277324601E-2</v>
      </c>
      <c r="L582">
        <v>3.7865641268929599E-2</v>
      </c>
      <c r="M582">
        <v>2.59740259740259E-3</v>
      </c>
      <c r="N582">
        <v>1.9018091734854699E-2</v>
      </c>
      <c r="O582">
        <v>958</v>
      </c>
      <c r="P582">
        <v>6.7024410774410695E-2</v>
      </c>
      <c r="Q582">
        <v>6.7183281321224406E-2</v>
      </c>
      <c r="R582">
        <v>0</v>
      </c>
      <c r="S582">
        <v>0</v>
      </c>
      <c r="T582" t="s">
        <v>49</v>
      </c>
      <c r="U582">
        <v>2.54716981132075E-2</v>
      </c>
      <c r="V582">
        <v>0</v>
      </c>
      <c r="W582">
        <v>0</v>
      </c>
      <c r="X582">
        <v>0</v>
      </c>
      <c r="Y582">
        <v>4.10973865548067E-2</v>
      </c>
      <c r="Z582">
        <v>4.7821883158588298E-2</v>
      </c>
      <c r="AA582">
        <v>0</v>
      </c>
      <c r="AB582">
        <v>2.464300021529198E-2</v>
      </c>
      <c r="AC582">
        <v>6.5000000176951289E-5</v>
      </c>
      <c r="AD582">
        <v>4.8919999971985817E-3</v>
      </c>
      <c r="AE582">
        <v>1.695999992080033E-3</v>
      </c>
      <c r="AF582">
        <f>0.16*X582 + 0.28*Y582 + 0.28*Z582 + 0.28*AA582</f>
        <v>2.4897395519750603E-2</v>
      </c>
      <c r="AG582">
        <f t="shared" si="27"/>
        <v>5.8057200314942763E-3</v>
      </c>
      <c r="AH582">
        <f>IF(T582="IT_Admin", 0.25, IF(AND(T582="HR", AA582&gt;0.6), 0.25, IF(AND(T582="General", Z582&gt;0.7), 0.2, 0.1)))</f>
        <v>0.1</v>
      </c>
      <c r="AI582">
        <f>IF(V582&gt;0.7, 0.1,
 IF(F582&gt;0.5, 0.08,
 IF(E582&gt;0.5, 0.05,
 0)))</f>
        <v>0</v>
      </c>
      <c r="AJ582">
        <f t="shared" si="28"/>
        <v>1.1533222677971173E-2</v>
      </c>
      <c r="AK582">
        <f t="shared" si="29"/>
        <v>1.2686544945768291E-2</v>
      </c>
      <c r="AL582" t="str">
        <f>IF(MAX(X582, Y582, Z582, AA582)&gt;0.9,
 "Critical",
 IF(AK582&lt;=0.2,"Very Low",
 IF(AK582&lt;=0.4,"Low",
 IF(AK582&lt;=0.6,"Medium",
 IF(AK582&lt;=0.8,"High","Critical")))))</f>
        <v>Very Low</v>
      </c>
      <c r="AM582" t="str">
        <f>IF(MAX(X582:AA582)&gt;0.9,"CRITICAL ALERT",
 IF(AK582&gt;0.8,"CRITICAL ALERT",
 IF(AK582&gt;0.6,"ALERT",
 IF(AK582&gt;=0.4,"REVIEW","NO ACTION"))))</f>
        <v>NO ACTION</v>
      </c>
      <c r="AN582" t="str">
        <f>IF(AM582="NO ACTION","",
 IF(_xlfn.TEXTJOIN(", ", TRUE,
  IF(X582&gt;0.7,"Login anomaly",""),
  IF(Y582&gt;0.7,"File anomaly",""),
  IF(Z582&gt;0.7,"Network anomaly",""),
  IF(AA582&gt;0.7,"USB anomaly","")
 )="",
 "General anomaly detected",
 _xlfn.TEXTJOIN(", ", TRUE,
  IF(X582&gt;0.7,"Login anomaly",""),
  IF(Y582&gt;0.7,"File anomaly",""),
  IF(Z582&gt;0.7,"Network anomaly",""),
  IF(AA582&gt;0.7,"USB anomaly","")
 )))</f>
        <v/>
      </c>
    </row>
    <row r="583" spans="1:40" x14ac:dyDescent="0.3">
      <c r="A583" t="s">
        <v>606</v>
      </c>
      <c r="B583">
        <v>0.153497164461247</v>
      </c>
      <c r="C583">
        <v>0.30238504701053098</v>
      </c>
      <c r="D583">
        <v>0.55406682559057796</v>
      </c>
      <c r="E583">
        <v>1</v>
      </c>
      <c r="F583">
        <v>0.117073170731707</v>
      </c>
      <c r="G583">
        <v>0.812138589656339</v>
      </c>
      <c r="H583">
        <v>0</v>
      </c>
      <c r="I583">
        <v>23</v>
      </c>
      <c r="J583">
        <v>0.104909116931444</v>
      </c>
      <c r="K583">
        <v>3.0995106035889002E-2</v>
      </c>
      <c r="L583">
        <v>7.5296045281894597E-2</v>
      </c>
      <c r="M583">
        <v>2.3088023088023001E-3</v>
      </c>
      <c r="N583">
        <v>1.32693279698724E-2</v>
      </c>
      <c r="O583">
        <v>377</v>
      </c>
      <c r="P583">
        <v>9.1575476992143606E-2</v>
      </c>
      <c r="Q583">
        <v>9.1728321469897206E-2</v>
      </c>
      <c r="R583">
        <v>0.28466076696165099</v>
      </c>
      <c r="S583">
        <v>1</v>
      </c>
      <c r="T583" t="s">
        <v>24</v>
      </c>
      <c r="U583">
        <v>7.1698113207547098E-2</v>
      </c>
      <c r="V583">
        <v>0</v>
      </c>
      <c r="W583">
        <v>0.28766953682412699</v>
      </c>
      <c r="X583">
        <v>0.51304931596985603</v>
      </c>
      <c r="Y583">
        <v>6.2610644418197803E-2</v>
      </c>
      <c r="Z583">
        <v>6.0253017383235102E-2</v>
      </c>
      <c r="AA583">
        <v>0.28466076696165099</v>
      </c>
      <c r="AB583">
        <v>0.82451897859573364</v>
      </c>
      <c r="AC583">
        <v>9.9600001703947783E-4</v>
      </c>
      <c r="AD583">
        <v>1.740999985486269E-3</v>
      </c>
      <c r="AE583">
        <v>7.8083999454975128E-2</v>
      </c>
      <c r="AF583">
        <f>0.16*X583 + 0.28*Y583 + 0.28*Z583 + 0.28*AA583</f>
        <v>0.19619473060884046</v>
      </c>
      <c r="AG583">
        <f t="shared" si="27"/>
        <v>0.15455291642341765</v>
      </c>
      <c r="AH583">
        <f>IF(T583="IT_Admin", 0.25, IF(AND(T583="HR", AA583&gt;0.6), 0.25, IF(AND(T583="General", Z583&gt;0.7), 0.2, 0.1)))</f>
        <v>0.25</v>
      </c>
      <c r="AI583">
        <f>IF(V583&gt;0.7, 0.1,
 IF(F583&gt;0.5, 0.08,
 IF(E583&gt;0.5, 0.05,
 0)))</f>
        <v>0.05</v>
      </c>
      <c r="AJ583">
        <f t="shared" si="28"/>
        <v>0.16704546067904447</v>
      </c>
      <c r="AK583">
        <f t="shared" si="29"/>
        <v>0.21715909888275781</v>
      </c>
      <c r="AL583" t="str">
        <f>IF(MAX(X583, Y583, Z583, AA583)&gt;0.9,
 "Critical",
 IF(AK583&lt;=0.2,"Very Low",
 IF(AK583&lt;=0.4,"Low",
 IF(AK583&lt;=0.6,"Medium",
 IF(AK583&lt;=0.8,"High","Critical")))))</f>
        <v>Low</v>
      </c>
      <c r="AM583" t="str">
        <f>IF(MAX(X583:AA583)&gt;0.9,"CRITICAL ALERT",
 IF(AK583&gt;0.8,"CRITICAL ALERT",
 IF(AK583&gt;0.6,"ALERT",
 IF(AK583&gt;=0.4,"REVIEW","NO ACTION"))))</f>
        <v>NO ACTION</v>
      </c>
      <c r="AN583" t="str">
        <f>IF(AM583="NO ACTION","",
 IF(_xlfn.TEXTJOIN(", ", TRUE,
  IF(X583&gt;0.7,"Login anomaly",""),
  IF(Y583&gt;0.7,"File anomaly",""),
  IF(Z583&gt;0.7,"Network anomaly",""),
  IF(AA583&gt;0.7,"USB anomaly","")
 )="",
 "General anomaly detected",
 _xlfn.TEXTJOIN(", ", TRUE,
  IF(X583&gt;0.7,"Login anomaly",""),
  IF(Y583&gt;0.7,"File anomaly",""),
  IF(Z583&gt;0.7,"Network anomaly",""),
  IF(AA583&gt;0.7,"USB anomaly","")
 )))</f>
        <v/>
      </c>
    </row>
    <row r="584" spans="1:40" x14ac:dyDescent="0.3">
      <c r="A584" t="s">
        <v>607</v>
      </c>
      <c r="B584">
        <v>0.12892249527410199</v>
      </c>
      <c r="C584">
        <v>0.36953165208440503</v>
      </c>
      <c r="D584">
        <v>0</v>
      </c>
      <c r="E584">
        <v>0</v>
      </c>
      <c r="F584">
        <v>0</v>
      </c>
      <c r="G584">
        <v>0.99368159174665505</v>
      </c>
      <c r="H584">
        <v>8</v>
      </c>
      <c r="I584">
        <v>8</v>
      </c>
      <c r="J584">
        <v>9.2600543867181903E-2</v>
      </c>
      <c r="K584">
        <v>1.5497553017944501E-2</v>
      </c>
      <c r="L584">
        <v>4.26393843271572E-2</v>
      </c>
      <c r="M584">
        <v>4.6176046176046098E-3</v>
      </c>
      <c r="N584">
        <v>3.0057141670707901E-2</v>
      </c>
      <c r="O584">
        <v>921</v>
      </c>
      <c r="P584">
        <v>7.6985129068462402E-2</v>
      </c>
      <c r="Q584">
        <v>7.71415547529717E-2</v>
      </c>
      <c r="R584">
        <v>0</v>
      </c>
      <c r="S584">
        <v>0</v>
      </c>
      <c r="T584" t="s">
        <v>49</v>
      </c>
      <c r="U584">
        <v>1.8978912319644801E-2</v>
      </c>
      <c r="V584">
        <v>0</v>
      </c>
      <c r="W584">
        <v>0</v>
      </c>
      <c r="X584">
        <v>0</v>
      </c>
      <c r="Y584">
        <v>4.8856943438227302E-2</v>
      </c>
      <c r="Z584">
        <v>5.8213934109360599E-2</v>
      </c>
      <c r="AA584">
        <v>0</v>
      </c>
      <c r="AB584">
        <v>2.465800009667873E-2</v>
      </c>
      <c r="AC584">
        <v>1.230000052601099E-4</v>
      </c>
      <c r="AD584">
        <v>3.4709998872131109E-3</v>
      </c>
      <c r="AE584">
        <v>1.7829999560490251E-3</v>
      </c>
      <c r="AF584">
        <f>0.16*X584 + 0.28*Y584 + 0.28*Z584 + 0.28*AA584</f>
        <v>2.9979845713324613E-2</v>
      </c>
      <c r="AG584">
        <f t="shared" si="27"/>
        <v>5.4508399730548258E-3</v>
      </c>
      <c r="AH584">
        <f>IF(T584="IT_Admin", 0.25, IF(AND(T584="HR", AA584&gt;0.6), 0.25, IF(AND(T584="General", Z584&gt;0.7), 0.2, 0.1)))</f>
        <v>0.1</v>
      </c>
      <c r="AI584">
        <f>IF(V584&gt;0.7, 0.1,
 IF(F584&gt;0.5, 0.08,
 IF(E584&gt;0.5, 0.05,
 0)))</f>
        <v>0</v>
      </c>
      <c r="AJ584">
        <f t="shared" si="28"/>
        <v>1.280954169513576E-2</v>
      </c>
      <c r="AK584">
        <f t="shared" si="29"/>
        <v>1.4090495864649338E-2</v>
      </c>
      <c r="AL584" t="str">
        <f>IF(MAX(X584, Y584, Z584, AA584)&gt;0.9,
 "Critical",
 IF(AK584&lt;=0.2,"Very Low",
 IF(AK584&lt;=0.4,"Low",
 IF(AK584&lt;=0.6,"Medium",
 IF(AK584&lt;=0.8,"High","Critical")))))</f>
        <v>Very Low</v>
      </c>
      <c r="AM584" t="str">
        <f>IF(MAX(X584:AA584)&gt;0.9,"CRITICAL ALERT",
 IF(AK584&gt;0.8,"CRITICAL ALERT",
 IF(AK584&gt;0.6,"ALERT",
 IF(AK584&gt;=0.4,"REVIEW","NO ACTION"))))</f>
        <v>NO ACTION</v>
      </c>
      <c r="AN584" t="str">
        <f>IF(AM584="NO ACTION","",
 IF(_xlfn.TEXTJOIN(", ", TRUE,
  IF(X584&gt;0.7,"Login anomaly",""),
  IF(Y584&gt;0.7,"File anomaly",""),
  IF(Z584&gt;0.7,"Network anomaly",""),
  IF(AA584&gt;0.7,"USB anomaly","")
 )="",
 "General anomaly detected",
 _xlfn.TEXTJOIN(", ", TRUE,
  IF(X584&gt;0.7,"Login anomaly",""),
  IF(Y584&gt;0.7,"File anomaly",""),
  IF(Z584&gt;0.7,"Network anomaly",""),
  IF(AA584&gt;0.7,"USB anomaly","")
 )))</f>
        <v/>
      </c>
    </row>
    <row r="585" spans="1:40" x14ac:dyDescent="0.3">
      <c r="A585" t="s">
        <v>608</v>
      </c>
      <c r="B585">
        <v>7.4858223062381796E-2</v>
      </c>
      <c r="C585">
        <v>0.83510494641847</v>
      </c>
      <c r="D585">
        <v>0.49803666830412402</v>
      </c>
      <c r="E585">
        <v>0</v>
      </c>
      <c r="F585">
        <v>4.95049504950495E-2</v>
      </c>
      <c r="G585">
        <v>0.41951092823959601</v>
      </c>
      <c r="H585">
        <v>1</v>
      </c>
      <c r="I585">
        <v>23</v>
      </c>
      <c r="J585">
        <v>9.3984065645723001E-3</v>
      </c>
      <c r="K585">
        <v>1.6313213703099501E-3</v>
      </c>
      <c r="L585">
        <v>4.3239313132177097E-2</v>
      </c>
      <c r="M585">
        <v>5.7720057720057698E-4</v>
      </c>
      <c r="N585">
        <v>3.6195048076236101E-2</v>
      </c>
      <c r="O585">
        <v>132</v>
      </c>
      <c r="P585">
        <v>7.8914141414141402E-3</v>
      </c>
      <c r="Q585">
        <v>8.0647989059924909E-3</v>
      </c>
      <c r="R585">
        <v>1.3274336283185801E-2</v>
      </c>
      <c r="S585">
        <v>1</v>
      </c>
      <c r="T585" t="s">
        <v>49</v>
      </c>
      <c r="U585">
        <v>1.13207547169811E-2</v>
      </c>
      <c r="V585">
        <v>0</v>
      </c>
      <c r="W585">
        <v>6.9854074617661494E-2</v>
      </c>
      <c r="X585">
        <v>0.169212980689257</v>
      </c>
      <c r="Y585">
        <v>3.4357852301873798E-2</v>
      </c>
      <c r="Z585">
        <v>1.9212867715342901E-2</v>
      </c>
      <c r="AA585">
        <v>1.3274336283185801E-2</v>
      </c>
      <c r="AB585">
        <v>0.1548269987106323</v>
      </c>
      <c r="AC585">
        <v>4.7999998787418008E-4</v>
      </c>
      <c r="AD585">
        <v>1.331000030040741E-2</v>
      </c>
      <c r="AE585">
        <v>7.0257999002933502E-2</v>
      </c>
      <c r="AF585">
        <f>0.16*X585 + 0.28*Y585 + 0.28*Z585 + 0.28*AA585</f>
        <v>4.5790692674393819E-2</v>
      </c>
      <c r="AG585">
        <f t="shared" si="27"/>
        <v>4.8305759595241402E-2</v>
      </c>
      <c r="AH585">
        <f>IF(T585="IT_Admin", 0.25, IF(AND(T585="HR", AA585&gt;0.6), 0.25, IF(AND(T585="General", Z585&gt;0.7), 0.2, 0.1)))</f>
        <v>0.1</v>
      </c>
      <c r="AI585">
        <f>IF(V585&gt;0.7, 0.1,
 IF(F585&gt;0.5, 0.08,
 IF(E585&gt;0.5, 0.05,
 0)))</f>
        <v>0</v>
      </c>
      <c r="AJ585">
        <f t="shared" si="28"/>
        <v>4.7551239518987119E-2</v>
      </c>
      <c r="AK585">
        <f t="shared" si="29"/>
        <v>5.2306363470885839E-2</v>
      </c>
      <c r="AL585" t="str">
        <f>IF(MAX(X585, Y585, Z585, AA585)&gt;0.9,
 "Critical",
 IF(AK585&lt;=0.2,"Very Low",
 IF(AK585&lt;=0.4,"Low",
 IF(AK585&lt;=0.6,"Medium",
 IF(AK585&lt;=0.8,"High","Critical")))))</f>
        <v>Very Low</v>
      </c>
      <c r="AM585" t="str">
        <f>IF(MAX(X585:AA585)&gt;0.9,"CRITICAL ALERT",
 IF(AK585&gt;0.8,"CRITICAL ALERT",
 IF(AK585&gt;0.6,"ALERT",
 IF(AK585&gt;=0.4,"REVIEW","NO ACTION"))))</f>
        <v>NO ACTION</v>
      </c>
      <c r="AN585" t="str">
        <f>IF(AM585="NO ACTION","",
 IF(_xlfn.TEXTJOIN(", ", TRUE,
  IF(X585&gt;0.7,"Login anomaly",""),
  IF(Y585&gt;0.7,"File anomaly",""),
  IF(Z585&gt;0.7,"Network anomaly",""),
  IF(AA585&gt;0.7,"USB anomaly","")
 )="",
 "General anomaly detected",
 _xlfn.TEXTJOIN(", ", TRUE,
  IF(X585&gt;0.7,"Login anomaly",""),
  IF(Y585&gt;0.7,"File anomaly",""),
  IF(Z585&gt;0.7,"Network anomaly",""),
  IF(AA585&gt;0.7,"USB anomaly","")
 )))</f>
        <v/>
      </c>
    </row>
    <row r="586" spans="1:40" x14ac:dyDescent="0.3">
      <c r="A586" t="s">
        <v>609</v>
      </c>
      <c r="B586">
        <v>0.22873345935727701</v>
      </c>
      <c r="C586">
        <v>0.64804565587215901</v>
      </c>
      <c r="D586">
        <v>0.362683010334096</v>
      </c>
      <c r="E586">
        <v>0</v>
      </c>
      <c r="F586">
        <v>0</v>
      </c>
      <c r="G586">
        <v>0.49789000935580902</v>
      </c>
      <c r="H586">
        <v>7</v>
      </c>
      <c r="I586">
        <v>14</v>
      </c>
      <c r="J586">
        <v>5.6772100567721001E-2</v>
      </c>
      <c r="K586">
        <v>8.9722675367047301E-3</v>
      </c>
      <c r="L586">
        <v>4.0199896978952897E-2</v>
      </c>
      <c r="M586">
        <v>8.6580086580086504E-4</v>
      </c>
      <c r="N586">
        <v>9.1774891774891697E-3</v>
      </c>
      <c r="O586">
        <v>593</v>
      </c>
      <c r="P586">
        <v>4.6015712682379299E-2</v>
      </c>
      <c r="Q586">
        <v>4.6179739822574402E-2</v>
      </c>
      <c r="R586">
        <v>0</v>
      </c>
      <c r="S586">
        <v>0</v>
      </c>
      <c r="T586" t="s">
        <v>49</v>
      </c>
      <c r="U586">
        <v>4.6698113207547097E-2</v>
      </c>
      <c r="V586">
        <v>0</v>
      </c>
      <c r="W586">
        <v>0</v>
      </c>
      <c r="X586">
        <v>0.108804903100228</v>
      </c>
      <c r="Y586">
        <v>3.4207615356267401E-2</v>
      </c>
      <c r="Z586">
        <v>3.12804232804232E-2</v>
      </c>
      <c r="AA586">
        <v>0</v>
      </c>
      <c r="AB586">
        <v>2.1230999380350109E-2</v>
      </c>
      <c r="AC586">
        <v>1.530000008642673E-4</v>
      </c>
      <c r="AD586">
        <v>7.906000129878521E-3</v>
      </c>
      <c r="AE586">
        <v>7.3040002025663853E-3</v>
      </c>
      <c r="AF586">
        <f>0.16*X586 + 0.28*Y586 + 0.28*Z586 + 0.28*AA586</f>
        <v>3.5745435314309848E-2</v>
      </c>
      <c r="AG586">
        <f t="shared" si="27"/>
        <v>7.6985999941825865E-3</v>
      </c>
      <c r="AH586">
        <f>IF(T586="IT_Admin", 0.25, IF(AND(T586="HR", AA586&gt;0.6), 0.25, IF(AND(T586="General", Z586&gt;0.7), 0.2, 0.1)))</f>
        <v>0.1</v>
      </c>
      <c r="AI586">
        <f>IF(V586&gt;0.7, 0.1,
 IF(F586&gt;0.5, 0.08,
 IF(E586&gt;0.5, 0.05,
 0)))</f>
        <v>0</v>
      </c>
      <c r="AJ586">
        <f t="shared" si="28"/>
        <v>1.6112650590220764E-2</v>
      </c>
      <c r="AK586">
        <f t="shared" si="29"/>
        <v>1.7723915649242843E-2</v>
      </c>
      <c r="AL586" t="str">
        <f>IF(MAX(X586, Y586, Z586, AA586)&gt;0.9,
 "Critical",
 IF(AK586&lt;=0.2,"Very Low",
 IF(AK586&lt;=0.4,"Low",
 IF(AK586&lt;=0.6,"Medium",
 IF(AK586&lt;=0.8,"High","Critical")))))</f>
        <v>Very Low</v>
      </c>
      <c r="AM586" t="str">
        <f>IF(MAX(X586:AA586)&gt;0.9,"CRITICAL ALERT",
 IF(AK586&gt;0.8,"CRITICAL ALERT",
 IF(AK586&gt;0.6,"ALERT",
 IF(AK586&gt;=0.4,"REVIEW","NO ACTION"))))</f>
        <v>NO ACTION</v>
      </c>
      <c r="AN586" t="str">
        <f>IF(AM586="NO ACTION","",
 IF(_xlfn.TEXTJOIN(", ", TRUE,
  IF(X586&gt;0.7,"Login anomaly",""),
  IF(Y586&gt;0.7,"File anomaly",""),
  IF(Z586&gt;0.7,"Network anomaly",""),
  IF(AA586&gt;0.7,"USB anomaly","")
 )="",
 "General anomaly detected",
 _xlfn.TEXTJOIN(", ", TRUE,
  IF(X586&gt;0.7,"Login anomaly",""),
  IF(Y586&gt;0.7,"File anomaly",""),
  IF(Z586&gt;0.7,"Network anomaly",""),
  IF(AA586&gt;0.7,"USB anomaly","")
 )))</f>
        <v/>
      </c>
    </row>
    <row r="587" spans="1:40" x14ac:dyDescent="0.3">
      <c r="A587" t="s">
        <v>610</v>
      </c>
      <c r="B587">
        <v>0.12892249527410199</v>
      </c>
      <c r="C587">
        <v>0.36953165208440503</v>
      </c>
      <c r="D587">
        <v>0</v>
      </c>
      <c r="E587">
        <v>0</v>
      </c>
      <c r="F587">
        <v>0</v>
      </c>
      <c r="G587">
        <v>0.99367926339185697</v>
      </c>
      <c r="H587">
        <v>8</v>
      </c>
      <c r="I587">
        <v>8</v>
      </c>
      <c r="J587">
        <v>7.8479080196555501E-2</v>
      </c>
      <c r="K587">
        <v>8.1566068515497494E-3</v>
      </c>
      <c r="L587">
        <v>2.6467700765756899E-2</v>
      </c>
      <c r="M587">
        <v>1.44300144300144E-3</v>
      </c>
      <c r="N587">
        <v>1.1077878350605599E-2</v>
      </c>
      <c r="O587">
        <v>936</v>
      </c>
      <c r="P587">
        <v>6.1903759820426403E-2</v>
      </c>
      <c r="Q587">
        <v>6.2063887233072601E-2</v>
      </c>
      <c r="R587">
        <v>0</v>
      </c>
      <c r="S587">
        <v>0</v>
      </c>
      <c r="T587" t="s">
        <v>49</v>
      </c>
      <c r="U587">
        <v>2.83018867924528E-2</v>
      </c>
      <c r="V587">
        <v>0</v>
      </c>
      <c r="W587">
        <v>0</v>
      </c>
      <c r="X587">
        <v>0</v>
      </c>
      <c r="Y587">
        <v>3.2253029927371203E-2</v>
      </c>
      <c r="Z587">
        <v>4.1573407232498097E-2</v>
      </c>
      <c r="AA587">
        <v>0</v>
      </c>
      <c r="AB587">
        <v>2.4639999493956569E-2</v>
      </c>
      <c r="AC587">
        <v>2.200000017182902E-4</v>
      </c>
      <c r="AD587">
        <v>5.7950001209974289E-3</v>
      </c>
      <c r="AE587">
        <v>1.689999946393073E-3</v>
      </c>
      <c r="AF587">
        <f>0.16*X587 + 0.28*Y587 + 0.28*Z587 + 0.28*AA587</f>
        <v>2.0671402404763409E-2</v>
      </c>
      <c r="AG587">
        <f t="shared" si="27"/>
        <v>6.0997999383835136E-3</v>
      </c>
      <c r="AH587">
        <f>IF(T587="IT_Admin", 0.25, IF(AND(T587="HR", AA587&gt;0.6), 0.25, IF(AND(T587="General", Z587&gt;0.7), 0.2, 0.1)))</f>
        <v>0.1</v>
      </c>
      <c r="AI587">
        <f>IF(V587&gt;0.7, 0.1,
 IF(F587&gt;0.5, 0.08,
 IF(E587&gt;0.5, 0.05,
 0)))</f>
        <v>0</v>
      </c>
      <c r="AJ587">
        <f t="shared" si="28"/>
        <v>1.0471280678297482E-2</v>
      </c>
      <c r="AK587">
        <f t="shared" si="29"/>
        <v>1.151840874612723E-2</v>
      </c>
      <c r="AL587" t="str">
        <f>IF(MAX(X587, Y587, Z587, AA587)&gt;0.9,
 "Critical",
 IF(AK587&lt;=0.2,"Very Low",
 IF(AK587&lt;=0.4,"Low",
 IF(AK587&lt;=0.6,"Medium",
 IF(AK587&lt;=0.8,"High","Critical")))))</f>
        <v>Very Low</v>
      </c>
      <c r="AM587" t="str">
        <f>IF(MAX(X587:AA587)&gt;0.9,"CRITICAL ALERT",
 IF(AK587&gt;0.8,"CRITICAL ALERT",
 IF(AK587&gt;0.6,"ALERT",
 IF(AK587&gt;=0.4,"REVIEW","NO ACTION"))))</f>
        <v>NO ACTION</v>
      </c>
      <c r="AN587" t="str">
        <f>IF(AM587="NO ACTION","",
 IF(_xlfn.TEXTJOIN(", ", TRUE,
  IF(X587&gt;0.7,"Login anomaly",""),
  IF(Y587&gt;0.7,"File anomaly",""),
  IF(Z587&gt;0.7,"Network anomaly",""),
  IF(AA587&gt;0.7,"USB anomaly","")
 )="",
 "General anomaly detected",
 _xlfn.TEXTJOIN(", ", TRUE,
  IF(X587&gt;0.7,"Login anomaly",""),
  IF(Y587&gt;0.7,"File anomaly",""),
  IF(Z587&gt;0.7,"Network anomaly",""),
  IF(AA587&gt;0.7,"USB anomaly","")
 )))</f>
        <v/>
      </c>
    </row>
    <row r="588" spans="1:40" x14ac:dyDescent="0.3">
      <c r="A588" t="s">
        <v>611</v>
      </c>
      <c r="B588">
        <v>0.12892249527410199</v>
      </c>
      <c r="C588">
        <v>0.28062983433656202</v>
      </c>
      <c r="D588">
        <v>7.5079446679057096E-2</v>
      </c>
      <c r="E588">
        <v>0</v>
      </c>
      <c r="F588">
        <v>0</v>
      </c>
      <c r="G588">
        <v>0.99365418674305295</v>
      </c>
      <c r="H588">
        <v>7</v>
      </c>
      <c r="I588">
        <v>8</v>
      </c>
      <c r="J588">
        <v>0.123085730642622</v>
      </c>
      <c r="K588">
        <v>3.7520391517128798E-2</v>
      </c>
      <c r="L588">
        <v>7.7713674588818102E-2</v>
      </c>
      <c r="M588">
        <v>3.1746031746031698E-3</v>
      </c>
      <c r="N588">
        <v>1.55561695987227E-2</v>
      </c>
      <c r="O588">
        <v>1061</v>
      </c>
      <c r="P588">
        <v>0.10816498316498301</v>
      </c>
      <c r="Q588">
        <v>0.10831375574178601</v>
      </c>
      <c r="R588">
        <v>0</v>
      </c>
      <c r="S588">
        <v>0</v>
      </c>
      <c r="T588" t="s">
        <v>24</v>
      </c>
      <c r="U588">
        <v>6.5094339622641495E-2</v>
      </c>
      <c r="V588">
        <v>0</v>
      </c>
      <c r="W588">
        <v>0</v>
      </c>
      <c r="X588">
        <v>2.2523834003717099E-2</v>
      </c>
      <c r="Y588">
        <v>6.8140834302550302E-2</v>
      </c>
      <c r="Z588">
        <v>7.1121457738478999E-2</v>
      </c>
      <c r="AA588">
        <v>0</v>
      </c>
      <c r="AB588">
        <v>1.821699924767017E-2</v>
      </c>
      <c r="AC588">
        <v>9.4699999317526817E-4</v>
      </c>
      <c r="AD588">
        <v>1.099999994039536E-3</v>
      </c>
      <c r="AE588">
        <v>1.4029999729245899E-3</v>
      </c>
      <c r="AF588">
        <f>0.16*X588 + 0.28*Y588 + 0.28*Z588 + 0.28*AA588</f>
        <v>4.2597255212082949E-2</v>
      </c>
      <c r="AG588">
        <f t="shared" si="27"/>
        <v>3.8807198684662576E-3</v>
      </c>
      <c r="AH588">
        <f>IF(T588="IT_Admin", 0.25, IF(AND(T588="HR", AA588&gt;0.6), 0.25, IF(AND(T588="General", Z588&gt;0.7), 0.2, 0.1)))</f>
        <v>0.25</v>
      </c>
      <c r="AI588">
        <f>IF(V588&gt;0.7, 0.1,
 IF(F588&gt;0.5, 0.08,
 IF(E588&gt;0.5, 0.05,
 0)))</f>
        <v>0</v>
      </c>
      <c r="AJ588">
        <f t="shared" si="28"/>
        <v>1.5495680471551265E-2</v>
      </c>
      <c r="AK588">
        <f t="shared" si="29"/>
        <v>1.9369600589439082E-2</v>
      </c>
      <c r="AL588" t="str">
        <f>IF(MAX(X588, Y588, Z588, AA588)&gt;0.9,
 "Critical",
 IF(AK588&lt;=0.2,"Very Low",
 IF(AK588&lt;=0.4,"Low",
 IF(AK588&lt;=0.6,"Medium",
 IF(AK588&lt;=0.8,"High","Critical")))))</f>
        <v>Very Low</v>
      </c>
      <c r="AM588" t="str">
        <f>IF(MAX(X588:AA588)&gt;0.9,"CRITICAL ALERT",
 IF(AK588&gt;0.8,"CRITICAL ALERT",
 IF(AK588&gt;0.6,"ALERT",
 IF(AK588&gt;=0.4,"REVIEW","NO ACTION"))))</f>
        <v>NO ACTION</v>
      </c>
      <c r="AN588" t="str">
        <f>IF(AM588="NO ACTION","",
 IF(_xlfn.TEXTJOIN(", ", TRUE,
  IF(X588&gt;0.7,"Login anomaly",""),
  IF(Y588&gt;0.7,"File anomaly",""),
  IF(Z588&gt;0.7,"Network anomaly",""),
  IF(AA588&gt;0.7,"USB anomaly","")
 )="",
 "General anomaly detected",
 _xlfn.TEXTJOIN(", ", TRUE,
  IF(X588&gt;0.7,"Login anomaly",""),
  IF(Y588&gt;0.7,"File anomaly",""),
  IF(Z588&gt;0.7,"Network anomaly",""),
  IF(AA588&gt;0.7,"USB anomaly","")
 )))</f>
        <v/>
      </c>
    </row>
    <row r="589" spans="1:40" x14ac:dyDescent="0.3">
      <c r="A589" t="s">
        <v>612</v>
      </c>
      <c r="B589">
        <v>3.8941398865784398E-2</v>
      </c>
      <c r="C589">
        <v>0.18476582604220201</v>
      </c>
      <c r="D589">
        <v>0</v>
      </c>
      <c r="E589">
        <v>0</v>
      </c>
      <c r="F589">
        <v>0</v>
      </c>
      <c r="G589">
        <v>0.977025332282355</v>
      </c>
      <c r="H589">
        <v>7</v>
      </c>
      <c r="I589">
        <v>7</v>
      </c>
      <c r="J589">
        <v>1.0018605982539E-2</v>
      </c>
      <c r="K589">
        <v>2.4469820554649199E-3</v>
      </c>
      <c r="L589">
        <v>6.0937264553719402E-2</v>
      </c>
      <c r="M589">
        <v>2.88600288600288E-4</v>
      </c>
      <c r="N589">
        <v>1.700325514279E-2</v>
      </c>
      <c r="O589">
        <v>137</v>
      </c>
      <c r="P589">
        <v>8.5578002244668903E-3</v>
      </c>
      <c r="Q589">
        <v>8.7310214243136106E-3</v>
      </c>
      <c r="R589">
        <v>0</v>
      </c>
      <c r="S589">
        <v>0</v>
      </c>
      <c r="T589" t="s">
        <v>49</v>
      </c>
      <c r="U589">
        <v>2.54716981132075E-2</v>
      </c>
      <c r="V589">
        <v>0</v>
      </c>
      <c r="W589">
        <v>0</v>
      </c>
      <c r="X589">
        <v>0</v>
      </c>
      <c r="Y589">
        <v>3.7573330016204498E-2</v>
      </c>
      <c r="Z589">
        <v>1.1935982191796099E-2</v>
      </c>
      <c r="AA589">
        <v>0</v>
      </c>
      <c r="AB589">
        <v>5.1410000771284103E-2</v>
      </c>
      <c r="AC589">
        <v>2.8599999495781958E-4</v>
      </c>
      <c r="AD589">
        <v>1.5217999927699569E-2</v>
      </c>
      <c r="AE589">
        <v>2.2420000750571489E-3</v>
      </c>
      <c r="AF589">
        <f>0.16*X589 + 0.28*Y589 + 0.28*Z589 + 0.28*AA589</f>
        <v>1.3862607418240169E-2</v>
      </c>
      <c r="AG589">
        <f t="shared" si="27"/>
        <v>1.3194480122765528E-2</v>
      </c>
      <c r="AH589">
        <f>IF(T589="IT_Admin", 0.25, IF(AND(T589="HR", AA589&gt;0.6), 0.25, IF(AND(T589="General", Z589&gt;0.7), 0.2, 0.1)))</f>
        <v>0.1</v>
      </c>
      <c r="AI589">
        <f>IF(V589&gt;0.7, 0.1,
 IF(F589&gt;0.5, 0.08,
 IF(E589&gt;0.5, 0.05,
 0)))</f>
        <v>0</v>
      </c>
      <c r="AJ589">
        <f t="shared" si="28"/>
        <v>1.3394918311407919E-2</v>
      </c>
      <c r="AK589">
        <f t="shared" si="29"/>
        <v>1.4734410142548712E-2</v>
      </c>
      <c r="AL589" t="str">
        <f>IF(MAX(X589, Y589, Z589, AA589)&gt;0.9,
 "Critical",
 IF(AK589&lt;=0.2,"Very Low",
 IF(AK589&lt;=0.4,"Low",
 IF(AK589&lt;=0.6,"Medium",
 IF(AK589&lt;=0.8,"High","Critical")))))</f>
        <v>Very Low</v>
      </c>
      <c r="AM589" t="str">
        <f>IF(MAX(X589:AA589)&gt;0.9,"CRITICAL ALERT",
 IF(AK589&gt;0.8,"CRITICAL ALERT",
 IF(AK589&gt;0.6,"ALERT",
 IF(AK589&gt;=0.4,"REVIEW","NO ACTION"))))</f>
        <v>NO ACTION</v>
      </c>
      <c r="AN589" t="str">
        <f>IF(AM589="NO ACTION","",
 IF(_xlfn.TEXTJOIN(", ", TRUE,
  IF(X589&gt;0.7,"Login anomaly",""),
  IF(Y589&gt;0.7,"File anomaly",""),
  IF(Z589&gt;0.7,"Network anomaly",""),
  IF(AA589&gt;0.7,"USB anomaly","")
 )="",
 "General anomaly detected",
 _xlfn.TEXTJOIN(", ", TRUE,
  IF(X589&gt;0.7,"Login anomaly",""),
  IF(Y589&gt;0.7,"File anomaly",""),
  IF(Z589&gt;0.7,"Network anomaly",""),
  IF(AA589&gt;0.7,"USB anomaly","")
 )))</f>
        <v/>
      </c>
    </row>
    <row r="590" spans="1:40" x14ac:dyDescent="0.3">
      <c r="A590" t="s">
        <v>613</v>
      </c>
      <c r="B590">
        <v>0.12892249527410199</v>
      </c>
      <c r="C590">
        <v>0.18476582604220201</v>
      </c>
      <c r="D590">
        <v>0</v>
      </c>
      <c r="E590">
        <v>0</v>
      </c>
      <c r="F590">
        <v>0</v>
      </c>
      <c r="G590">
        <v>0.99366845126153003</v>
      </c>
      <c r="H590">
        <v>7</v>
      </c>
      <c r="I590">
        <v>7</v>
      </c>
      <c r="J590">
        <v>9.5987786842230804E-2</v>
      </c>
      <c r="K590">
        <v>9.7879282218597003E-3</v>
      </c>
      <c r="L590">
        <v>2.59821752683186E-2</v>
      </c>
      <c r="M590">
        <v>2.0202020202020202E-3</v>
      </c>
      <c r="N590">
        <v>1.26871090678725E-2</v>
      </c>
      <c r="O590">
        <v>357</v>
      </c>
      <c r="P590">
        <v>7.5757575757575704E-2</v>
      </c>
      <c r="Q590">
        <v>7.5914302745537995E-2</v>
      </c>
      <c r="R590">
        <v>0</v>
      </c>
      <c r="S590">
        <v>0</v>
      </c>
      <c r="T590" t="s">
        <v>24</v>
      </c>
      <c r="U590">
        <v>2.54716981132075E-2</v>
      </c>
      <c r="V590">
        <v>0</v>
      </c>
      <c r="W590">
        <v>0</v>
      </c>
      <c r="X590">
        <v>0</v>
      </c>
      <c r="Y590">
        <v>3.5994777722967199E-2</v>
      </c>
      <c r="Z590">
        <v>5.0529389081694402E-2</v>
      </c>
      <c r="AA590">
        <v>0</v>
      </c>
      <c r="AB590">
        <v>3.6894999444484711E-2</v>
      </c>
      <c r="AC590">
        <v>1.8000000272877509E-4</v>
      </c>
      <c r="AD590">
        <v>3.9599998854100704E-3</v>
      </c>
      <c r="AE590">
        <v>2.255999948829412E-3</v>
      </c>
      <c r="AF590">
        <f>0.16*X590 + 0.28*Y590 + 0.28*Z590 + 0.28*AA590</f>
        <v>2.4226766705305249E-2</v>
      </c>
      <c r="AG590">
        <f t="shared" si="27"/>
        <v>7.6940798654686667E-3</v>
      </c>
      <c r="AH590">
        <f>IF(T590="IT_Admin", 0.25, IF(AND(T590="HR", AA590&gt;0.6), 0.25, IF(AND(T590="General", Z590&gt;0.7), 0.2, 0.1)))</f>
        <v>0.25</v>
      </c>
      <c r="AI590">
        <f>IF(V590&gt;0.7, 0.1,
 IF(F590&gt;0.5, 0.08,
 IF(E590&gt;0.5, 0.05,
 0)))</f>
        <v>0</v>
      </c>
      <c r="AJ590">
        <f t="shared" si="28"/>
        <v>1.265388591741964E-2</v>
      </c>
      <c r="AK590">
        <f t="shared" si="29"/>
        <v>1.5817357396774551E-2</v>
      </c>
      <c r="AL590" t="str">
        <f>IF(MAX(X590, Y590, Z590, AA590)&gt;0.9,
 "Critical",
 IF(AK590&lt;=0.2,"Very Low",
 IF(AK590&lt;=0.4,"Low",
 IF(AK590&lt;=0.6,"Medium",
 IF(AK590&lt;=0.8,"High","Critical")))))</f>
        <v>Very Low</v>
      </c>
      <c r="AM590" t="str">
        <f>IF(MAX(X590:AA590)&gt;0.9,"CRITICAL ALERT",
 IF(AK590&gt;0.8,"CRITICAL ALERT",
 IF(AK590&gt;0.6,"ALERT",
 IF(AK590&gt;=0.4,"REVIEW","NO ACTION"))))</f>
        <v>NO ACTION</v>
      </c>
      <c r="AN590" t="str">
        <f>IF(AM590="NO ACTION","",
 IF(_xlfn.TEXTJOIN(", ", TRUE,
  IF(X590&gt;0.7,"Login anomaly",""),
  IF(Y590&gt;0.7,"File anomaly",""),
  IF(Z590&gt;0.7,"Network anomaly",""),
  IF(AA590&gt;0.7,"USB anomaly","")
 )="",
 "General anomaly detected",
 _xlfn.TEXTJOIN(", ", TRUE,
  IF(X590&gt;0.7,"Login anomaly",""),
  IF(Y590&gt;0.7,"File anomaly",""),
  IF(Z590&gt;0.7,"Network anomaly",""),
  IF(AA590&gt;0.7,"USB anomaly","")
 )))</f>
        <v/>
      </c>
    </row>
    <row r="591" spans="1:40" x14ac:dyDescent="0.3">
      <c r="A591" t="s">
        <v>614</v>
      </c>
      <c r="B591">
        <v>0.12892249527410199</v>
      </c>
      <c r="C591">
        <v>0.36953165208440503</v>
      </c>
      <c r="D591">
        <v>0</v>
      </c>
      <c r="E591">
        <v>0</v>
      </c>
      <c r="F591">
        <v>0</v>
      </c>
      <c r="G591">
        <v>0.99367139515840097</v>
      </c>
      <c r="H591">
        <v>8</v>
      </c>
      <c r="I591">
        <v>8</v>
      </c>
      <c r="J591">
        <v>8.4776489671294294E-2</v>
      </c>
      <c r="K591">
        <v>9.7879282218597003E-3</v>
      </c>
      <c r="L591">
        <v>2.9408556406396499E-2</v>
      </c>
      <c r="M591">
        <v>2.59740259740259E-3</v>
      </c>
      <c r="N591">
        <v>1.84631305843427E-2</v>
      </c>
      <c r="O591">
        <v>441</v>
      </c>
      <c r="P591">
        <v>6.7796015712682303E-2</v>
      </c>
      <c r="Q591">
        <v>6.7954696868754105E-2</v>
      </c>
      <c r="R591">
        <v>0</v>
      </c>
      <c r="S591">
        <v>0</v>
      </c>
      <c r="T591" t="s">
        <v>49</v>
      </c>
      <c r="U591">
        <v>2.0377358490565999E-2</v>
      </c>
      <c r="V591">
        <v>0</v>
      </c>
      <c r="W591">
        <v>0</v>
      </c>
      <c r="X591">
        <v>0</v>
      </c>
      <c r="Y591">
        <v>3.7198515312759903E-2</v>
      </c>
      <c r="Z591">
        <v>4.8062861661346497E-2</v>
      </c>
      <c r="AA591">
        <v>0</v>
      </c>
      <c r="AB591">
        <v>2.5149000808596611E-2</v>
      </c>
      <c r="AC591">
        <v>1.8099999579135331E-4</v>
      </c>
      <c r="AD591">
        <v>4.7329999506473541E-3</v>
      </c>
      <c r="AE591">
        <v>2.8739999979734421E-3</v>
      </c>
      <c r="AF591">
        <f>0.16*X591 + 0.28*Y591 + 0.28*Z591 + 0.28*AA591</f>
        <v>2.3873185552749795E-2</v>
      </c>
      <c r="AG591">
        <f t="shared" si="27"/>
        <v>6.204480113810861E-3</v>
      </c>
      <c r="AH591">
        <f>IF(T591="IT_Admin", 0.25, IF(AND(T591="HR", AA591&gt;0.6), 0.25, IF(AND(T591="General", Z591&gt;0.7), 0.2, 0.1)))</f>
        <v>0.1</v>
      </c>
      <c r="AI591">
        <f>IF(V591&gt;0.7, 0.1,
 IF(F591&gt;0.5, 0.08,
 IF(E591&gt;0.5, 0.05,
 0)))</f>
        <v>0</v>
      </c>
      <c r="AJ591">
        <f t="shared" si="28"/>
        <v>1.1505091745492541E-2</v>
      </c>
      <c r="AK591">
        <f t="shared" si="29"/>
        <v>1.2655600920041796E-2</v>
      </c>
      <c r="AL591" t="str">
        <f>IF(MAX(X591, Y591, Z591, AA591)&gt;0.9,
 "Critical",
 IF(AK591&lt;=0.2,"Very Low",
 IF(AK591&lt;=0.4,"Low",
 IF(AK591&lt;=0.6,"Medium",
 IF(AK591&lt;=0.8,"High","Critical")))))</f>
        <v>Very Low</v>
      </c>
      <c r="AM591" t="str">
        <f>IF(MAX(X591:AA591)&gt;0.9,"CRITICAL ALERT",
 IF(AK591&gt;0.8,"CRITICAL ALERT",
 IF(AK591&gt;0.6,"ALERT",
 IF(AK591&gt;=0.4,"REVIEW","NO ACTION"))))</f>
        <v>NO ACTION</v>
      </c>
      <c r="AN591" t="str">
        <f>IF(AM591="NO ACTION","",
 IF(_xlfn.TEXTJOIN(", ", TRUE,
  IF(X591&gt;0.7,"Login anomaly",""),
  IF(Y591&gt;0.7,"File anomaly",""),
  IF(Z591&gt;0.7,"Network anomaly",""),
  IF(AA591&gt;0.7,"USB anomaly","")
 )="",
 "General anomaly detected",
 _xlfn.TEXTJOIN(", ", TRUE,
  IF(X591&gt;0.7,"Login anomaly",""),
  IF(Y591&gt;0.7,"File anomaly",""),
  IF(Z591&gt;0.7,"Network anomaly",""),
  IF(AA591&gt;0.7,"USB anomaly","")
 )))</f>
        <v/>
      </c>
    </row>
    <row r="592" spans="1:40" x14ac:dyDescent="0.3">
      <c r="A592" t="s">
        <v>615</v>
      </c>
      <c r="B592">
        <v>0.12892249527410199</v>
      </c>
      <c r="C592">
        <v>0.36953165208440503</v>
      </c>
      <c r="D592">
        <v>0</v>
      </c>
      <c r="E592">
        <v>0</v>
      </c>
      <c r="F592">
        <v>0</v>
      </c>
      <c r="G592">
        <v>0.99366291138287199</v>
      </c>
      <c r="H592">
        <v>8</v>
      </c>
      <c r="I592">
        <v>8</v>
      </c>
      <c r="J592">
        <v>8.4871904966366096E-2</v>
      </c>
      <c r="K592">
        <v>1.38662316476345E-2</v>
      </c>
      <c r="L592">
        <v>4.1615415161405898E-2</v>
      </c>
      <c r="M592">
        <v>4.6176046176046098E-3</v>
      </c>
      <c r="N592">
        <v>3.2786545791029999E-2</v>
      </c>
      <c r="O592">
        <v>901</v>
      </c>
      <c r="P592">
        <v>7.0601851851851805E-2</v>
      </c>
      <c r="Q592">
        <v>7.07598443143167E-2</v>
      </c>
      <c r="R592">
        <v>0</v>
      </c>
      <c r="S592">
        <v>0</v>
      </c>
      <c r="T592" t="s">
        <v>49</v>
      </c>
      <c r="U592">
        <v>1.6981132075471601E-2</v>
      </c>
      <c r="V592">
        <v>0</v>
      </c>
      <c r="W592">
        <v>0</v>
      </c>
      <c r="X592">
        <v>0</v>
      </c>
      <c r="Y592">
        <v>4.76180523112852E-2</v>
      </c>
      <c r="Z592">
        <v>5.5475729427523102E-2</v>
      </c>
      <c r="AA592">
        <v>0</v>
      </c>
      <c r="AB592">
        <v>2.4661000818014141E-2</v>
      </c>
      <c r="AC592">
        <v>1.679999986663461E-4</v>
      </c>
      <c r="AD592">
        <v>4.1269999928772449E-3</v>
      </c>
      <c r="AE592">
        <v>1.801999984309077E-3</v>
      </c>
      <c r="AF592">
        <f>0.16*X592 + 0.28*Y592 + 0.28*Z592 + 0.28*AA592</f>
        <v>2.8866258886866329E-2</v>
      </c>
      <c r="AG592">
        <f t="shared" si="27"/>
        <v>5.6529201241210109E-3</v>
      </c>
      <c r="AH592">
        <f>IF(T592="IT_Admin", 0.25, IF(AND(T592="HR", AA592&gt;0.6), 0.25, IF(AND(T592="General", Z592&gt;0.7), 0.2, 0.1)))</f>
        <v>0.1</v>
      </c>
      <c r="AI592">
        <f>IF(V592&gt;0.7, 0.1,
 IF(F592&gt;0.5, 0.08,
 IF(E592&gt;0.5, 0.05,
 0)))</f>
        <v>0</v>
      </c>
      <c r="AJ592">
        <f t="shared" si="28"/>
        <v>1.2616921752944606E-2</v>
      </c>
      <c r="AK592">
        <f t="shared" si="29"/>
        <v>1.3878613928239067E-2</v>
      </c>
      <c r="AL592" t="str">
        <f>IF(MAX(X592, Y592, Z592, AA592)&gt;0.9,
 "Critical",
 IF(AK592&lt;=0.2,"Very Low",
 IF(AK592&lt;=0.4,"Low",
 IF(AK592&lt;=0.6,"Medium",
 IF(AK592&lt;=0.8,"High","Critical")))))</f>
        <v>Very Low</v>
      </c>
      <c r="AM592" t="str">
        <f>IF(MAX(X592:AA592)&gt;0.9,"CRITICAL ALERT",
 IF(AK592&gt;0.8,"CRITICAL ALERT",
 IF(AK592&gt;0.6,"ALERT",
 IF(AK592&gt;=0.4,"REVIEW","NO ACTION"))))</f>
        <v>NO ACTION</v>
      </c>
      <c r="AN592" t="str">
        <f>IF(AM592="NO ACTION","",
 IF(_xlfn.TEXTJOIN(", ", TRUE,
  IF(X592&gt;0.7,"Login anomaly",""),
  IF(Y592&gt;0.7,"File anomaly",""),
  IF(Z592&gt;0.7,"Network anomaly",""),
  IF(AA592&gt;0.7,"USB anomaly","")
 )="",
 "General anomaly detected",
 _xlfn.TEXTJOIN(", ", TRUE,
  IF(X592&gt;0.7,"Login anomaly",""),
  IF(Y592&gt;0.7,"File anomaly",""),
  IF(Z592&gt;0.7,"Network anomaly",""),
  IF(AA592&gt;0.7,"USB anomaly","")
 )))</f>
        <v/>
      </c>
    </row>
    <row r="593" spans="1:40" x14ac:dyDescent="0.3">
      <c r="A593" t="s">
        <v>616</v>
      </c>
      <c r="B593">
        <v>0.25973534971644602</v>
      </c>
      <c r="C593">
        <v>0.76072181633873603</v>
      </c>
      <c r="D593">
        <v>0.34545954394436101</v>
      </c>
      <c r="E593">
        <v>0</v>
      </c>
      <c r="F593">
        <v>0</v>
      </c>
      <c r="G593">
        <v>0.42114833213833902</v>
      </c>
      <c r="H593">
        <v>8</v>
      </c>
      <c r="I593">
        <v>15</v>
      </c>
      <c r="J593">
        <v>6.8126520681265207E-2</v>
      </c>
      <c r="K593">
        <v>1.6313213703099501E-3</v>
      </c>
      <c r="L593">
        <v>6.09514393070466E-3</v>
      </c>
      <c r="M593">
        <v>2.0202020202020202E-3</v>
      </c>
      <c r="N593">
        <v>1.78575708233768E-2</v>
      </c>
      <c r="O593">
        <v>278</v>
      </c>
      <c r="P593">
        <v>5.1767676767676699E-2</v>
      </c>
      <c r="Q593">
        <v>5.19302920859777E-2</v>
      </c>
      <c r="R593">
        <v>0.69174041297935096</v>
      </c>
      <c r="S593">
        <v>1</v>
      </c>
      <c r="T593" t="s">
        <v>49</v>
      </c>
      <c r="U593">
        <v>4.2452830188679201E-3</v>
      </c>
      <c r="V593">
        <v>0</v>
      </c>
      <c r="W593">
        <v>0</v>
      </c>
      <c r="X593">
        <v>0.103637863183308</v>
      </c>
      <c r="Y593">
        <v>2.2030147348618401E-2</v>
      </c>
      <c r="Z593">
        <v>3.8203634389956699E-2</v>
      </c>
      <c r="AA593">
        <v>0.69174041297935096</v>
      </c>
      <c r="AB593">
        <v>4.4787999242544167E-2</v>
      </c>
      <c r="AC593">
        <v>9.3099998775869608E-4</v>
      </c>
      <c r="AD593">
        <v>6.120000034570694E-3</v>
      </c>
      <c r="AE593">
        <v>0.46942800283432012</v>
      </c>
      <c r="AF593">
        <f>0.16*X593 + 0.28*Y593 + 0.28*Z593 + 0.28*AA593</f>
        <v>0.22713483263034862</v>
      </c>
      <c r="AG593">
        <f t="shared" si="27"/>
        <v>0.14058020067866894</v>
      </c>
      <c r="AH593">
        <f>IF(T593="IT_Admin", 0.25, IF(AND(T593="HR", AA593&gt;0.6), 0.25, IF(AND(T593="General", Z593&gt;0.7), 0.2, 0.1)))</f>
        <v>0.1</v>
      </c>
      <c r="AI593">
        <f>IF(V593&gt;0.7, 0.1,
 IF(F593&gt;0.5, 0.08,
 IF(E593&gt;0.5, 0.05,
 0)))</f>
        <v>0</v>
      </c>
      <c r="AJ593">
        <f t="shared" si="28"/>
        <v>0.16654659026417284</v>
      </c>
      <c r="AK593">
        <f t="shared" si="29"/>
        <v>0.18320124929059015</v>
      </c>
      <c r="AL593" t="str">
        <f>IF(MAX(X593, Y593, Z593, AA593)&gt;0.9,
 "Critical",
 IF(AK593&lt;=0.2,"Very Low",
 IF(AK593&lt;=0.4,"Low",
 IF(AK593&lt;=0.6,"Medium",
 IF(AK593&lt;=0.8,"High","Critical")))))</f>
        <v>Very Low</v>
      </c>
      <c r="AM593" t="str">
        <f>IF(MAX(X593:AA593)&gt;0.9,"CRITICAL ALERT",
 IF(AK593&gt;0.8,"CRITICAL ALERT",
 IF(AK593&gt;0.6,"ALERT",
 IF(AK593&gt;=0.4,"REVIEW","NO ACTION"))))</f>
        <v>NO ACTION</v>
      </c>
      <c r="AN593" t="str">
        <f>IF(AM593="NO ACTION","",
 IF(_xlfn.TEXTJOIN(", ", TRUE,
  IF(X593&gt;0.7,"Login anomaly",""),
  IF(Y593&gt;0.7,"File anomaly",""),
  IF(Z593&gt;0.7,"Network anomaly",""),
  IF(AA593&gt;0.7,"USB anomaly","")
 )="",
 "General anomaly detected",
 _xlfn.TEXTJOIN(", ", TRUE,
  IF(X593&gt;0.7,"Login anomaly",""),
  IF(Y593&gt;0.7,"File anomaly",""),
  IF(Z593&gt;0.7,"Network anomaly",""),
  IF(AA593&gt;0.7,"USB anomaly","")
 )))</f>
        <v/>
      </c>
    </row>
    <row r="594" spans="1:40" x14ac:dyDescent="0.3">
      <c r="A594" t="s">
        <v>617</v>
      </c>
      <c r="B594">
        <v>0.229489603024574</v>
      </c>
      <c r="C594">
        <v>0.75176406471508295</v>
      </c>
      <c r="D594">
        <v>0.361623672602914</v>
      </c>
      <c r="E594">
        <v>0</v>
      </c>
      <c r="F594">
        <v>0</v>
      </c>
      <c r="G594">
        <v>0.49579106285909702</v>
      </c>
      <c r="H594">
        <v>8</v>
      </c>
      <c r="I594">
        <v>14</v>
      </c>
      <c r="J594">
        <v>9.9661275702495097E-2</v>
      </c>
      <c r="K594">
        <v>3.2626427406199001E-3</v>
      </c>
      <c r="L594">
        <v>8.3422552556826901E-3</v>
      </c>
      <c r="M594">
        <v>1.44300144300144E-3</v>
      </c>
      <c r="N594">
        <v>8.7289872390158892E-3</v>
      </c>
      <c r="O594">
        <v>356</v>
      </c>
      <c r="P594">
        <v>7.53717732884399E-2</v>
      </c>
      <c r="Q594">
        <v>7.5528594971773194E-2</v>
      </c>
      <c r="R594">
        <v>0</v>
      </c>
      <c r="S594">
        <v>0</v>
      </c>
      <c r="T594" t="s">
        <v>24</v>
      </c>
      <c r="U594">
        <v>1.13207547169811E-2</v>
      </c>
      <c r="V594">
        <v>0</v>
      </c>
      <c r="W594">
        <v>0</v>
      </c>
      <c r="X594">
        <v>0.10848710178087401</v>
      </c>
      <c r="Y594">
        <v>2.6722078940045101E-2</v>
      </c>
      <c r="Z594">
        <v>4.8714658868670303E-2</v>
      </c>
      <c r="AA594">
        <v>0</v>
      </c>
      <c r="AB594">
        <v>3.3211998641490943E-2</v>
      </c>
      <c r="AC594">
        <v>7.3000002885237336E-4</v>
      </c>
      <c r="AD594">
        <v>3.7920000031590462E-3</v>
      </c>
      <c r="AE594">
        <v>9.0699996799230576E-3</v>
      </c>
      <c r="AF594">
        <f>0.16*X594 + 0.28*Y594 + 0.28*Z594 + 0.28*AA594</f>
        <v>3.8480222871380157E-2</v>
      </c>
      <c r="AG594">
        <f t="shared" si="27"/>
        <v>9.1196797019802052E-3</v>
      </c>
      <c r="AH594">
        <f>IF(T594="IT_Admin", 0.25, IF(AND(T594="HR", AA594&gt;0.6), 0.25, IF(AND(T594="General", Z594&gt;0.7), 0.2, 0.1)))</f>
        <v>0.25</v>
      </c>
      <c r="AI594">
        <f>IF(V594&gt;0.7, 0.1,
 IF(F594&gt;0.5, 0.08,
 IF(E594&gt;0.5, 0.05,
 0)))</f>
        <v>0</v>
      </c>
      <c r="AJ594">
        <f t="shared" si="28"/>
        <v>1.7927842652800188E-2</v>
      </c>
      <c r="AK594">
        <f t="shared" si="29"/>
        <v>2.2409803316000235E-2</v>
      </c>
      <c r="AL594" t="str">
        <f>IF(MAX(X594, Y594, Z594, AA594)&gt;0.9,
 "Critical",
 IF(AK594&lt;=0.2,"Very Low",
 IF(AK594&lt;=0.4,"Low",
 IF(AK594&lt;=0.6,"Medium",
 IF(AK594&lt;=0.8,"High","Critical")))))</f>
        <v>Very Low</v>
      </c>
      <c r="AM594" t="str">
        <f>IF(MAX(X594:AA594)&gt;0.9,"CRITICAL ALERT",
 IF(AK594&gt;0.8,"CRITICAL ALERT",
 IF(AK594&gt;0.6,"ALERT",
 IF(AK594&gt;=0.4,"REVIEW","NO ACTION"))))</f>
        <v>NO ACTION</v>
      </c>
      <c r="AN594" t="str">
        <f>IF(AM594="NO ACTION","",
 IF(_xlfn.TEXTJOIN(", ", TRUE,
  IF(X594&gt;0.7,"Login anomaly",""),
  IF(Y594&gt;0.7,"File anomaly",""),
  IF(Z594&gt;0.7,"Network anomaly",""),
  IF(AA594&gt;0.7,"USB anomaly","")
 )="",
 "General anomaly detected",
 _xlfn.TEXTJOIN(", ", TRUE,
  IF(X594&gt;0.7,"Login anomaly",""),
  IF(Y594&gt;0.7,"File anomaly",""),
  IF(Z594&gt;0.7,"Network anomaly",""),
  IF(AA594&gt;0.7,"USB anomaly","")
 )))</f>
        <v/>
      </c>
    </row>
    <row r="595" spans="1:40" x14ac:dyDescent="0.3">
      <c r="A595" t="s">
        <v>618</v>
      </c>
      <c r="B595">
        <v>0.277126654064272</v>
      </c>
      <c r="C595">
        <v>0.70872861631113504</v>
      </c>
      <c r="D595">
        <v>0.37483914519091899</v>
      </c>
      <c r="E595">
        <v>0</v>
      </c>
      <c r="F595">
        <v>0</v>
      </c>
      <c r="G595">
        <v>0.385457652695674</v>
      </c>
      <c r="H595">
        <v>7</v>
      </c>
      <c r="I595">
        <v>16</v>
      </c>
      <c r="J595">
        <v>8.9642669719956103E-2</v>
      </c>
      <c r="K595">
        <v>8.9722675367047301E-3</v>
      </c>
      <c r="L595">
        <v>2.5498342298221201E-2</v>
      </c>
      <c r="M595">
        <v>2.59740259740259E-3</v>
      </c>
      <c r="N595">
        <v>1.74635343425152E-2</v>
      </c>
      <c r="O595">
        <v>965</v>
      </c>
      <c r="P595">
        <v>7.1022727272727196E-2</v>
      </c>
      <c r="Q595">
        <v>7.1180616431151103E-2</v>
      </c>
      <c r="R595">
        <v>0.474926253687315</v>
      </c>
      <c r="S595">
        <v>1</v>
      </c>
      <c r="T595" t="s">
        <v>49</v>
      </c>
      <c r="U595">
        <v>1.86792452830188E-2</v>
      </c>
      <c r="V595">
        <v>0</v>
      </c>
      <c r="W595">
        <v>0</v>
      </c>
      <c r="X595">
        <v>0.112451743557275</v>
      </c>
      <c r="Y595">
        <v>3.59167653958564E-2</v>
      </c>
      <c r="Z595">
        <v>4.9599050100642403E-2</v>
      </c>
      <c r="AA595">
        <v>0.474926253687315</v>
      </c>
      <c r="AB595">
        <v>4.6999998390674591E-2</v>
      </c>
      <c r="AC595">
        <v>2.3400000645779071E-4</v>
      </c>
      <c r="AD595">
        <v>3.7710000760853291E-3</v>
      </c>
      <c r="AE595">
        <v>0.21954099833965299</v>
      </c>
      <c r="AF595">
        <f>0.16*X595 + 0.28*Y595 + 0.28*Z595 + 0.28*AA595</f>
        <v>0.17491605834063187</v>
      </c>
      <c r="AG595">
        <f t="shared" si="27"/>
        <v>7.0112879300722852E-2</v>
      </c>
      <c r="AH595">
        <f>IF(T595="IT_Admin", 0.25, IF(AND(T595="HR", AA595&gt;0.6), 0.25, IF(AND(T595="General", Z595&gt;0.7), 0.2, 0.1)))</f>
        <v>0.1</v>
      </c>
      <c r="AI595">
        <f>IF(V595&gt;0.7, 0.1,
 IF(F595&gt;0.5, 0.08,
 IF(E595&gt;0.5, 0.05,
 0)))</f>
        <v>0</v>
      </c>
      <c r="AJ595">
        <f t="shared" si="28"/>
        <v>0.10155383301269555</v>
      </c>
      <c r="AK595">
        <f t="shared" si="29"/>
        <v>0.11170921631396512</v>
      </c>
      <c r="AL595" t="str">
        <f>IF(MAX(X595, Y595, Z595, AA595)&gt;0.9,
 "Critical",
 IF(AK595&lt;=0.2,"Very Low",
 IF(AK595&lt;=0.4,"Low",
 IF(AK595&lt;=0.6,"Medium",
 IF(AK595&lt;=0.8,"High","Critical")))))</f>
        <v>Very Low</v>
      </c>
      <c r="AM595" t="str">
        <f>IF(MAX(X595:AA595)&gt;0.9,"CRITICAL ALERT",
 IF(AK595&gt;0.8,"CRITICAL ALERT",
 IF(AK595&gt;0.6,"ALERT",
 IF(AK595&gt;=0.4,"REVIEW","NO ACTION"))))</f>
        <v>NO ACTION</v>
      </c>
      <c r="AN595" t="str">
        <f>IF(AM595="NO ACTION","",
 IF(_xlfn.TEXTJOIN(", ", TRUE,
  IF(X595&gt;0.7,"Login anomaly",""),
  IF(Y595&gt;0.7,"File anomaly",""),
  IF(Z595&gt;0.7,"Network anomaly",""),
  IF(AA595&gt;0.7,"USB anomaly","")
 )="",
 "General anomaly detected",
 _xlfn.TEXTJOIN(", ", TRUE,
  IF(X595&gt;0.7,"Login anomaly",""),
  IF(Y595&gt;0.7,"File anomaly",""),
  IF(Z595&gt;0.7,"Network anomaly",""),
  IF(AA595&gt;0.7,"USB anomaly","")
 )))</f>
        <v/>
      </c>
    </row>
    <row r="596" spans="1:40" x14ac:dyDescent="0.3">
      <c r="A596" t="s">
        <v>619</v>
      </c>
      <c r="B596">
        <v>0.12892249527410199</v>
      </c>
      <c r="C596">
        <v>0.36953165208440503</v>
      </c>
      <c r="D596">
        <v>0</v>
      </c>
      <c r="E596">
        <v>0</v>
      </c>
      <c r="F596">
        <v>0</v>
      </c>
      <c r="G596">
        <v>0.99368284959349995</v>
      </c>
      <c r="H596">
        <v>8</v>
      </c>
      <c r="I596">
        <v>8</v>
      </c>
      <c r="J596">
        <v>8.4013167310719894E-2</v>
      </c>
      <c r="K596">
        <v>8.1566068515497503E-4</v>
      </c>
      <c r="L596">
        <v>2.4729165494620001E-3</v>
      </c>
      <c r="M596">
        <v>2.88600288600288E-4</v>
      </c>
      <c r="N596">
        <v>2.0700452184030799E-3</v>
      </c>
      <c r="O596">
        <v>311</v>
      </c>
      <c r="P596">
        <v>6.2254489337822599E-2</v>
      </c>
      <c r="Q596">
        <v>6.2414530663768002E-2</v>
      </c>
      <c r="R596">
        <v>0</v>
      </c>
      <c r="S596">
        <v>0</v>
      </c>
      <c r="T596" t="s">
        <v>49</v>
      </c>
      <c r="U596">
        <v>8.4905660377358402E-3</v>
      </c>
      <c r="V596">
        <v>0</v>
      </c>
      <c r="W596">
        <v>0</v>
      </c>
      <c r="X596">
        <v>0</v>
      </c>
      <c r="Y596">
        <v>1.86601053023959E-2</v>
      </c>
      <c r="Z596">
        <v>3.8180711690054797E-2</v>
      </c>
      <c r="AA596">
        <v>0</v>
      </c>
      <c r="AB596">
        <v>2.5244999676942829E-2</v>
      </c>
      <c r="AC596">
        <v>1.1579999700188639E-3</v>
      </c>
      <c r="AD596">
        <v>5.9270001947879791E-3</v>
      </c>
      <c r="AE596">
        <v>3.035000059753656E-3</v>
      </c>
      <c r="AF596">
        <f>0.16*X596 + 0.28*Y596 + 0.28*Z596 + 0.28*AA596</f>
        <v>1.5915428757886197E-2</v>
      </c>
      <c r="AG596">
        <f t="shared" si="27"/>
        <v>6.872800011187793E-3</v>
      </c>
      <c r="AH596">
        <f>IF(T596="IT_Admin", 0.25, IF(AND(T596="HR", AA596&gt;0.6), 0.25, IF(AND(T596="General", Z596&gt;0.7), 0.2, 0.1)))</f>
        <v>0.1</v>
      </c>
      <c r="AI596">
        <f>IF(V596&gt;0.7, 0.1,
 IF(F596&gt;0.5, 0.08,
 IF(E596&gt;0.5, 0.05,
 0)))</f>
        <v>0</v>
      </c>
      <c r="AJ596">
        <f t="shared" si="28"/>
        <v>9.5855886351973139E-3</v>
      </c>
      <c r="AK596">
        <f t="shared" si="29"/>
        <v>1.0544147498717045E-2</v>
      </c>
      <c r="AL596" t="str">
        <f>IF(MAX(X596, Y596, Z596, AA596)&gt;0.9,
 "Critical",
 IF(AK596&lt;=0.2,"Very Low",
 IF(AK596&lt;=0.4,"Low",
 IF(AK596&lt;=0.6,"Medium",
 IF(AK596&lt;=0.8,"High","Critical")))))</f>
        <v>Very Low</v>
      </c>
      <c r="AM596" t="str">
        <f>IF(MAX(X596:AA596)&gt;0.9,"CRITICAL ALERT",
 IF(AK596&gt;0.8,"CRITICAL ALERT",
 IF(AK596&gt;0.6,"ALERT",
 IF(AK596&gt;=0.4,"REVIEW","NO ACTION"))))</f>
        <v>NO ACTION</v>
      </c>
      <c r="AN596" t="str">
        <f>IF(AM596="NO ACTION","",
 IF(_xlfn.TEXTJOIN(", ", TRUE,
  IF(X596&gt;0.7,"Login anomaly",""),
  IF(Y596&gt;0.7,"File anomaly",""),
  IF(Z596&gt;0.7,"Network anomaly",""),
  IF(AA596&gt;0.7,"USB anomaly","")
 )="",
 "General anomaly detected",
 _xlfn.TEXTJOIN(", ", TRUE,
  IF(X596&gt;0.7,"Login anomaly",""),
  IF(Y596&gt;0.7,"File anomaly",""),
  IF(Z596&gt;0.7,"Network anomaly",""),
  IF(AA596&gt;0.7,"USB anomaly","")
 )))</f>
        <v/>
      </c>
    </row>
    <row r="597" spans="1:40" x14ac:dyDescent="0.3">
      <c r="A597" t="s">
        <v>620</v>
      </c>
      <c r="B597">
        <v>0.12892249527410199</v>
      </c>
      <c r="C597">
        <v>0</v>
      </c>
      <c r="D597">
        <v>0</v>
      </c>
      <c r="E597">
        <v>0</v>
      </c>
      <c r="F597">
        <v>1</v>
      </c>
      <c r="G597">
        <v>0.99368201994983596</v>
      </c>
      <c r="H597">
        <v>6</v>
      </c>
      <c r="I597">
        <v>6</v>
      </c>
      <c r="J597">
        <v>7.07027336482038E-2</v>
      </c>
      <c r="K597">
        <v>1.4681892332789499E-2</v>
      </c>
      <c r="L597">
        <v>5.2864203950435798E-2</v>
      </c>
      <c r="M597">
        <v>2.0202020202020202E-3</v>
      </c>
      <c r="N597">
        <v>1.7209078002621999E-2</v>
      </c>
      <c r="O597">
        <v>796</v>
      </c>
      <c r="P597">
        <v>5.92732884399551E-2</v>
      </c>
      <c r="Q597">
        <v>5.9434061502857703E-2</v>
      </c>
      <c r="R597">
        <v>0</v>
      </c>
      <c r="S597">
        <v>0</v>
      </c>
      <c r="T597" t="s">
        <v>49</v>
      </c>
      <c r="U597">
        <v>3.8207547169811298E-2</v>
      </c>
      <c r="V597">
        <v>0</v>
      </c>
      <c r="W597">
        <v>0</v>
      </c>
      <c r="X597">
        <v>0.4</v>
      </c>
      <c r="Y597">
        <v>4.5735372105645197E-2</v>
      </c>
      <c r="Z597">
        <v>4.2447604265021803E-2</v>
      </c>
      <c r="AA597">
        <v>0</v>
      </c>
      <c r="AB597">
        <v>0.119148001074791</v>
      </c>
      <c r="AC597">
        <v>2.9999999242136252E-5</v>
      </c>
      <c r="AD597">
        <v>6.0450001619756222E-3</v>
      </c>
      <c r="AE597">
        <v>3.1999999919207767E-5</v>
      </c>
      <c r="AF597">
        <f>0.16*X597 + 0.28*Y597 + 0.28*Z597 + 0.28*AA597</f>
        <v>8.8691233383786774E-2</v>
      </c>
      <c r="AG597">
        <f t="shared" si="27"/>
        <v>2.0773640217084909E-2</v>
      </c>
      <c r="AH597">
        <f>IF(T597="IT_Admin", 0.25, IF(AND(T597="HR", AA597&gt;0.6), 0.25, IF(AND(T597="General", Z597&gt;0.7), 0.2, 0.1)))</f>
        <v>0.1</v>
      </c>
      <c r="AI597">
        <f>IF(V597&gt;0.7, 0.1,
 IF(F597&gt;0.5, 0.08,
 IF(E597&gt;0.5, 0.05,
 0)))</f>
        <v>0.08</v>
      </c>
      <c r="AJ597">
        <f t="shared" si="28"/>
        <v>4.1148918167095469E-2</v>
      </c>
      <c r="AK597">
        <f t="shared" si="29"/>
        <v>4.8555723437172661E-2</v>
      </c>
      <c r="AL597" t="str">
        <f>IF(MAX(X597, Y597, Z597, AA597)&gt;0.9,
 "Critical",
 IF(AK597&lt;=0.2,"Very Low",
 IF(AK597&lt;=0.4,"Low",
 IF(AK597&lt;=0.6,"Medium",
 IF(AK597&lt;=0.8,"High","Critical")))))</f>
        <v>Very Low</v>
      </c>
      <c r="AM597" t="str">
        <f>IF(MAX(X597:AA597)&gt;0.9,"CRITICAL ALERT",
 IF(AK597&gt;0.8,"CRITICAL ALERT",
 IF(AK597&gt;0.6,"ALERT",
 IF(AK597&gt;=0.4,"REVIEW","NO ACTION"))))</f>
        <v>NO ACTION</v>
      </c>
      <c r="AN597" t="str">
        <f>IF(AM597="NO ACTION","",
 IF(_xlfn.TEXTJOIN(", ", TRUE,
  IF(X597&gt;0.7,"Login anomaly",""),
  IF(Y597&gt;0.7,"File anomaly",""),
  IF(Z597&gt;0.7,"Network anomaly",""),
  IF(AA597&gt;0.7,"USB anomaly","")
 )="",
 "General anomaly detected",
 _xlfn.TEXTJOIN(", ", TRUE,
  IF(X597&gt;0.7,"Login anomaly",""),
  IF(Y597&gt;0.7,"File anomaly",""),
  IF(Z597&gt;0.7,"Network anomaly",""),
  IF(AA597&gt;0.7,"USB anomaly","")
 )))</f>
        <v/>
      </c>
    </row>
    <row r="598" spans="1:40" x14ac:dyDescent="0.3">
      <c r="A598" t="s">
        <v>621</v>
      </c>
      <c r="B598">
        <v>0.12892249527410199</v>
      </c>
      <c r="C598">
        <v>0.55429747812660801</v>
      </c>
      <c r="D598">
        <v>0</v>
      </c>
      <c r="E598">
        <v>0</v>
      </c>
      <c r="F598">
        <v>0</v>
      </c>
      <c r="G598">
        <v>0.99368268901730705</v>
      </c>
      <c r="H598">
        <v>9</v>
      </c>
      <c r="I598">
        <v>9</v>
      </c>
      <c r="J598">
        <v>0.114927722913983</v>
      </c>
      <c r="K598">
        <v>9.7879282218597003E-3</v>
      </c>
      <c r="L598">
        <v>2.1709216038193299E-2</v>
      </c>
      <c r="M598">
        <v>3.1746031746031698E-3</v>
      </c>
      <c r="N598">
        <v>1.6658118646519601E-2</v>
      </c>
      <c r="O598">
        <v>1008</v>
      </c>
      <c r="P598">
        <v>9.0242704826038106E-2</v>
      </c>
      <c r="Q598">
        <v>9.0395876433255001E-2</v>
      </c>
      <c r="R598">
        <v>0</v>
      </c>
      <c r="S598">
        <v>0</v>
      </c>
      <c r="T598" t="s">
        <v>24</v>
      </c>
      <c r="U598">
        <v>1.6981132075471601E-2</v>
      </c>
      <c r="V598">
        <v>0</v>
      </c>
      <c r="W598">
        <v>0</v>
      </c>
      <c r="X598">
        <v>0</v>
      </c>
      <c r="Y598">
        <v>3.88375881958491E-2</v>
      </c>
      <c r="Z598">
        <v>6.0808870354230701E-2</v>
      </c>
      <c r="AA598">
        <v>0</v>
      </c>
      <c r="AB598">
        <v>2.897999994456768E-2</v>
      </c>
      <c r="AC598">
        <v>2.6699999580159778E-4</v>
      </c>
      <c r="AD598">
        <v>2.4200000334531069E-3</v>
      </c>
      <c r="AE598">
        <v>1.386999967508018E-3</v>
      </c>
      <c r="AF598">
        <f>0.16*X598 + 0.28*Y598 + 0.28*Z598 + 0.28*AA598</f>
        <v>2.7901008394022347E-2</v>
      </c>
      <c r="AG598">
        <f t="shared" si="27"/>
        <v>5.7775199902243913E-3</v>
      </c>
      <c r="AH598">
        <f>IF(T598="IT_Admin", 0.25, IF(AND(T598="HR", AA598&gt;0.6), 0.25, IF(AND(T598="General", Z598&gt;0.7), 0.2, 0.1)))</f>
        <v>0.25</v>
      </c>
      <c r="AI598">
        <f>IF(V598&gt;0.7, 0.1,
 IF(F598&gt;0.5, 0.08,
 IF(E598&gt;0.5, 0.05,
 0)))</f>
        <v>0</v>
      </c>
      <c r="AJ598">
        <f t="shared" si="28"/>
        <v>1.2414566511363778E-2</v>
      </c>
      <c r="AK598">
        <f t="shared" si="29"/>
        <v>1.5518208139204723E-2</v>
      </c>
      <c r="AL598" t="str">
        <f>IF(MAX(X598, Y598, Z598, AA598)&gt;0.9,
 "Critical",
 IF(AK598&lt;=0.2,"Very Low",
 IF(AK598&lt;=0.4,"Low",
 IF(AK598&lt;=0.6,"Medium",
 IF(AK598&lt;=0.8,"High","Critical")))))</f>
        <v>Very Low</v>
      </c>
      <c r="AM598" t="str">
        <f>IF(MAX(X598:AA598)&gt;0.9,"CRITICAL ALERT",
 IF(AK598&gt;0.8,"CRITICAL ALERT",
 IF(AK598&gt;0.6,"ALERT",
 IF(AK598&gt;=0.4,"REVIEW","NO ACTION"))))</f>
        <v>NO ACTION</v>
      </c>
      <c r="AN598" t="str">
        <f>IF(AM598="NO ACTION","",
 IF(_xlfn.TEXTJOIN(", ", TRUE,
  IF(X598&gt;0.7,"Login anomaly",""),
  IF(Y598&gt;0.7,"File anomaly",""),
  IF(Z598&gt;0.7,"Network anomaly",""),
  IF(AA598&gt;0.7,"USB anomaly","")
 )="",
 "General anomaly detected",
 _xlfn.TEXTJOIN(", ", TRUE,
  IF(X598&gt;0.7,"Login anomaly",""),
  IF(Y598&gt;0.7,"File anomaly",""),
  IF(Z598&gt;0.7,"Network anomaly",""),
  IF(AA598&gt;0.7,"USB anomaly","")
 )))</f>
        <v/>
      </c>
    </row>
    <row r="599" spans="1:40" x14ac:dyDescent="0.3">
      <c r="A599" t="s">
        <v>622</v>
      </c>
      <c r="B599">
        <v>0.272589792060491</v>
      </c>
      <c r="C599">
        <v>0.71536230855236205</v>
      </c>
      <c r="D599">
        <v>0.38030886025838201</v>
      </c>
      <c r="E599">
        <v>0</v>
      </c>
      <c r="F599">
        <v>0</v>
      </c>
      <c r="G599">
        <v>0.394413740160376</v>
      </c>
      <c r="H599">
        <v>7</v>
      </c>
      <c r="I599">
        <v>16</v>
      </c>
      <c r="J599">
        <v>9.0501407375602305E-2</v>
      </c>
      <c r="K599">
        <v>8.9722675367047301E-3</v>
      </c>
      <c r="L599">
        <v>2.5257033065114998E-2</v>
      </c>
      <c r="M599">
        <v>2.59740259740259E-3</v>
      </c>
      <c r="N599">
        <v>1.72982643014188E-2</v>
      </c>
      <c r="O599">
        <v>1001</v>
      </c>
      <c r="P599">
        <v>7.1654040404040401E-2</v>
      </c>
      <c r="Q599">
        <v>7.1811774606402701E-2</v>
      </c>
      <c r="R599">
        <v>0.66519174041297902</v>
      </c>
      <c r="S599">
        <v>1</v>
      </c>
      <c r="T599" t="s">
        <v>49</v>
      </c>
      <c r="U599">
        <v>1.86792452830188E-2</v>
      </c>
      <c r="V599">
        <v>0</v>
      </c>
      <c r="W599">
        <v>0</v>
      </c>
      <c r="X599">
        <v>0.11409265807751399</v>
      </c>
      <c r="Y599">
        <v>3.5918277298103603E-2</v>
      </c>
      <c r="Z599">
        <v>4.9911729962991799E-2</v>
      </c>
      <c r="AA599">
        <v>0.66519174041297902</v>
      </c>
      <c r="AB599">
        <v>4.6275001019239433E-2</v>
      </c>
      <c r="AC599">
        <v>2.3200000578071919E-4</v>
      </c>
      <c r="AD599">
        <v>3.6510000936686988E-3</v>
      </c>
      <c r="AE599">
        <v>0.43363600969314581</v>
      </c>
      <c r="AF599">
        <f>0.16*X599 + 0.28*Y599 + 0.28*Z599 + 0.28*AA599</f>
        <v>0.22854091464114307</v>
      </c>
      <c r="AG599">
        <f t="shared" si="27"/>
        <v>0.12990932290500498</v>
      </c>
      <c r="AH599">
        <f>IF(T599="IT_Admin", 0.25, IF(AND(T599="HR", AA599&gt;0.6), 0.25, IF(AND(T599="General", Z599&gt;0.7), 0.2, 0.1)))</f>
        <v>0.1</v>
      </c>
      <c r="AI599">
        <f>IF(V599&gt;0.7, 0.1,
 IF(F599&gt;0.5, 0.08,
 IF(E599&gt;0.5, 0.05,
 0)))</f>
        <v>0</v>
      </c>
      <c r="AJ599">
        <f t="shared" si="28"/>
        <v>0.15949880042584641</v>
      </c>
      <c r="AK599">
        <f t="shared" si="29"/>
        <v>0.17544868046843107</v>
      </c>
      <c r="AL599" t="str">
        <f>IF(MAX(X599, Y599, Z599, AA599)&gt;0.9,
 "Critical",
 IF(AK599&lt;=0.2,"Very Low",
 IF(AK599&lt;=0.4,"Low",
 IF(AK599&lt;=0.6,"Medium",
 IF(AK599&lt;=0.8,"High","Critical")))))</f>
        <v>Very Low</v>
      </c>
      <c r="AM599" t="str">
        <f>IF(MAX(X599:AA599)&gt;0.9,"CRITICAL ALERT",
 IF(AK599&gt;0.8,"CRITICAL ALERT",
 IF(AK599&gt;0.6,"ALERT",
 IF(AK599&gt;=0.4,"REVIEW","NO ACTION"))))</f>
        <v>NO ACTION</v>
      </c>
      <c r="AN599" t="str">
        <f>IF(AM599="NO ACTION","",
 IF(_xlfn.TEXTJOIN(", ", TRUE,
  IF(X599&gt;0.7,"Login anomaly",""),
  IF(Y599&gt;0.7,"File anomaly",""),
  IF(Z599&gt;0.7,"Network anomaly",""),
  IF(AA599&gt;0.7,"USB anomaly","")
 )="",
 "General anomaly detected",
 _xlfn.TEXTJOIN(", ", TRUE,
  IF(X599&gt;0.7,"Login anomaly",""),
  IF(Y599&gt;0.7,"File anomaly",""),
  IF(Z599&gt;0.7,"Network anomaly",""),
  IF(AA599&gt;0.7,"USB anomaly","")
 )))</f>
        <v/>
      </c>
    </row>
    <row r="600" spans="1:40" x14ac:dyDescent="0.3">
      <c r="A600" t="s">
        <v>623</v>
      </c>
      <c r="B600">
        <v>0.12892249527410199</v>
      </c>
      <c r="C600">
        <v>0.28277204681241402</v>
      </c>
      <c r="D600">
        <v>7.4993488433305694E-2</v>
      </c>
      <c r="E600">
        <v>0</v>
      </c>
      <c r="F600">
        <v>0</v>
      </c>
      <c r="G600">
        <v>0.99368317074588597</v>
      </c>
      <c r="H600">
        <v>7</v>
      </c>
      <c r="I600">
        <v>8</v>
      </c>
      <c r="J600">
        <v>0.122942607700014</v>
      </c>
      <c r="K600">
        <v>1.9575856443719401E-2</v>
      </c>
      <c r="L600">
        <v>4.0593375303019902E-2</v>
      </c>
      <c r="M600">
        <v>1.1544011544011501E-3</v>
      </c>
      <c r="N600">
        <v>5.66336151154121E-3</v>
      </c>
      <c r="O600">
        <v>1134</v>
      </c>
      <c r="P600">
        <v>9.9361672278338906E-2</v>
      </c>
      <c r="Q600">
        <v>9.9512605631333503E-2</v>
      </c>
      <c r="R600">
        <v>0</v>
      </c>
      <c r="S600">
        <v>0</v>
      </c>
      <c r="T600" t="s">
        <v>24</v>
      </c>
      <c r="U600">
        <v>8.1509433962264094E-2</v>
      </c>
      <c r="V600">
        <v>0</v>
      </c>
      <c r="W600">
        <v>0</v>
      </c>
      <c r="X600">
        <v>2.2498046529991701E-2</v>
      </c>
      <c r="Y600">
        <v>4.6584217644975098E-2</v>
      </c>
      <c r="Z600">
        <v>6.1882347971619803E-2</v>
      </c>
      <c r="AA600">
        <v>0</v>
      </c>
      <c r="AB600">
        <v>1.8109999597072601E-2</v>
      </c>
      <c r="AC600">
        <v>7.2800001362338662E-4</v>
      </c>
      <c r="AD600">
        <v>1.862999983131886E-3</v>
      </c>
      <c r="AE600">
        <v>1.3350000372156501E-3</v>
      </c>
      <c r="AF600">
        <f>0.16*X600 + 0.28*Y600 + 0.28*Z600 + 0.28*AA600</f>
        <v>3.3970325817445246E-2</v>
      </c>
      <c r="AG600">
        <f t="shared" si="27"/>
        <v>3.996879945043475E-3</v>
      </c>
      <c r="AH600">
        <f>IF(T600="IT_Admin", 0.25, IF(AND(T600="HR", AA600&gt;0.6), 0.25, IF(AND(T600="General", Z600&gt;0.7), 0.2, 0.1)))</f>
        <v>0.25</v>
      </c>
      <c r="AI600">
        <f>IF(V600&gt;0.7, 0.1,
 IF(F600&gt;0.5, 0.08,
 IF(E600&gt;0.5, 0.05,
 0)))</f>
        <v>0</v>
      </c>
      <c r="AJ600">
        <f t="shared" si="28"/>
        <v>1.2988913706764006E-2</v>
      </c>
      <c r="AK600">
        <f t="shared" si="29"/>
        <v>1.6236142133455006E-2</v>
      </c>
      <c r="AL600" t="str">
        <f>IF(MAX(X600, Y600, Z600, AA600)&gt;0.9,
 "Critical",
 IF(AK600&lt;=0.2,"Very Low",
 IF(AK600&lt;=0.4,"Low",
 IF(AK600&lt;=0.6,"Medium",
 IF(AK600&lt;=0.8,"High","Critical")))))</f>
        <v>Very Low</v>
      </c>
      <c r="AM600" t="str">
        <f>IF(MAX(X600:AA600)&gt;0.9,"CRITICAL ALERT",
 IF(AK600&gt;0.8,"CRITICAL ALERT",
 IF(AK600&gt;0.6,"ALERT",
 IF(AK600&gt;=0.4,"REVIEW","NO ACTION"))))</f>
        <v>NO ACTION</v>
      </c>
      <c r="AN600" t="str">
        <f>IF(AM600="NO ACTION","",
 IF(_xlfn.TEXTJOIN(", ", TRUE,
  IF(X600&gt;0.7,"Login anomaly",""),
  IF(Y600&gt;0.7,"File anomaly",""),
  IF(Z600&gt;0.7,"Network anomaly",""),
  IF(AA600&gt;0.7,"USB anomaly","")
 )="",
 "General anomaly detected",
 _xlfn.TEXTJOIN(", ", TRUE,
  IF(X600&gt;0.7,"Login anomaly",""),
  IF(Y600&gt;0.7,"File anomaly",""),
  IF(Z600&gt;0.7,"Network anomaly",""),
  IF(AA600&gt;0.7,"USB anomaly","")
 )))</f>
        <v/>
      </c>
    </row>
    <row r="601" spans="1:40" x14ac:dyDescent="0.3">
      <c r="A601" t="s">
        <v>624</v>
      </c>
      <c r="B601">
        <v>0.12892249527410199</v>
      </c>
      <c r="C601">
        <v>0.36953165208440503</v>
      </c>
      <c r="D601">
        <v>0</v>
      </c>
      <c r="E601">
        <v>0</v>
      </c>
      <c r="F601">
        <v>0</v>
      </c>
      <c r="G601">
        <v>0.99365086816839898</v>
      </c>
      <c r="H601">
        <v>8</v>
      </c>
      <c r="I601">
        <v>8</v>
      </c>
      <c r="J601">
        <v>8.4060874958255802E-2</v>
      </c>
      <c r="K601">
        <v>1.38662316476345E-2</v>
      </c>
      <c r="L601">
        <v>4.2015789840378098E-2</v>
      </c>
      <c r="M601">
        <v>2.59740259740259E-3</v>
      </c>
      <c r="N601">
        <v>1.8619863441595101E-2</v>
      </c>
      <c r="O601">
        <v>921</v>
      </c>
      <c r="P601">
        <v>6.9023569023569001E-2</v>
      </c>
      <c r="Q601">
        <v>6.9181948876187796E-2</v>
      </c>
      <c r="R601">
        <v>0</v>
      </c>
      <c r="S601">
        <v>0</v>
      </c>
      <c r="T601" t="s">
        <v>49</v>
      </c>
      <c r="U601">
        <v>2.8867924528301801E-2</v>
      </c>
      <c r="V601">
        <v>0</v>
      </c>
      <c r="W601">
        <v>0</v>
      </c>
      <c r="X601">
        <v>0</v>
      </c>
      <c r="Y601">
        <v>4.3406028944318699E-2</v>
      </c>
      <c r="Z601">
        <v>4.8862086790779399E-2</v>
      </c>
      <c r="AA601">
        <v>0</v>
      </c>
      <c r="AB601">
        <v>2.4645999073982239E-2</v>
      </c>
      <c r="AC601">
        <v>2.5999999706982632E-5</v>
      </c>
      <c r="AD601">
        <v>4.6509997919201851E-3</v>
      </c>
      <c r="AE601">
        <v>1.7290000105276699E-3</v>
      </c>
      <c r="AF601">
        <f>0.16*X601 + 0.28*Y601 + 0.28*Z601 + 0.28*AA601</f>
        <v>2.5835072405827469E-2</v>
      </c>
      <c r="AG601">
        <f t="shared" si="27"/>
        <v>5.7370397964405136E-3</v>
      </c>
      <c r="AH601">
        <f>IF(T601="IT_Admin", 0.25, IF(AND(T601="HR", AA601&gt;0.6), 0.25, IF(AND(T601="General", Z601&gt;0.7), 0.2, 0.1)))</f>
        <v>0.1</v>
      </c>
      <c r="AI601">
        <f>IF(V601&gt;0.7, 0.1,
 IF(F601&gt;0.5, 0.08,
 IF(E601&gt;0.5, 0.05,
 0)))</f>
        <v>0</v>
      </c>
      <c r="AJ601">
        <f t="shared" si="28"/>
        <v>1.1766449579256599E-2</v>
      </c>
      <c r="AK601">
        <f t="shared" si="29"/>
        <v>1.2943094537182261E-2</v>
      </c>
      <c r="AL601" t="str">
        <f>IF(MAX(X601, Y601, Z601, AA601)&gt;0.9,
 "Critical",
 IF(AK601&lt;=0.2,"Very Low",
 IF(AK601&lt;=0.4,"Low",
 IF(AK601&lt;=0.6,"Medium",
 IF(AK601&lt;=0.8,"High","Critical")))))</f>
        <v>Very Low</v>
      </c>
      <c r="AM601" t="str">
        <f>IF(MAX(X601:AA601)&gt;0.9,"CRITICAL ALERT",
 IF(AK601&gt;0.8,"CRITICAL ALERT",
 IF(AK601&gt;0.6,"ALERT",
 IF(AK601&gt;=0.4,"REVIEW","NO ACTION"))))</f>
        <v>NO ACTION</v>
      </c>
      <c r="AN601" t="str">
        <f>IF(AM601="NO ACTION","",
 IF(_xlfn.TEXTJOIN(", ", TRUE,
  IF(X601&gt;0.7,"Login anomaly",""),
  IF(Y601&gt;0.7,"File anomaly",""),
  IF(Z601&gt;0.7,"Network anomaly",""),
  IF(AA601&gt;0.7,"USB anomaly","")
 )="",
 "General anomaly detected",
 _xlfn.TEXTJOIN(", ", TRUE,
  IF(X601&gt;0.7,"Login anomaly",""),
  IF(Y601&gt;0.7,"File anomaly",""),
  IF(Z601&gt;0.7,"Network anomaly",""),
  IF(AA601&gt;0.7,"USB anomaly","")
 )))</f>
        <v/>
      </c>
    </row>
    <row r="602" spans="1:40" x14ac:dyDescent="0.3">
      <c r="A602" t="s">
        <v>625</v>
      </c>
      <c r="B602">
        <v>0.14858223062381801</v>
      </c>
      <c r="C602">
        <v>0.37837434904864198</v>
      </c>
      <c r="D602">
        <v>0.25077084660552101</v>
      </c>
      <c r="E602">
        <v>0</v>
      </c>
      <c r="F602">
        <v>0</v>
      </c>
      <c r="G602">
        <v>0.84367555807307704</v>
      </c>
      <c r="H602">
        <v>7</v>
      </c>
      <c r="I602">
        <v>15</v>
      </c>
      <c r="J602">
        <v>7.9099279614522205E-2</v>
      </c>
      <c r="K602">
        <v>1.1419249592169599E-2</v>
      </c>
      <c r="L602">
        <v>3.6765116517677901E-2</v>
      </c>
      <c r="M602">
        <v>2.59740259740259E-3</v>
      </c>
      <c r="N602">
        <v>1.97843046910996E-2</v>
      </c>
      <c r="O602">
        <v>908</v>
      </c>
      <c r="P602">
        <v>6.4323793490460093E-2</v>
      </c>
      <c r="Q602">
        <v>6.4483326904870394E-2</v>
      </c>
      <c r="R602">
        <v>0.20058997050147401</v>
      </c>
      <c r="S602">
        <v>1</v>
      </c>
      <c r="T602" t="s">
        <v>49</v>
      </c>
      <c r="U602">
        <v>2.3773584905660301E-2</v>
      </c>
      <c r="V602">
        <v>0</v>
      </c>
      <c r="W602">
        <v>0</v>
      </c>
      <c r="X602">
        <v>7.5231253981656296E-2</v>
      </c>
      <c r="Y602">
        <v>4.01377055890733E-2</v>
      </c>
      <c r="Z602">
        <v>4.6507997970715899E-2</v>
      </c>
      <c r="AA602">
        <v>0.20058997050147401</v>
      </c>
      <c r="AB602">
        <v>2.710999920964241E-3</v>
      </c>
      <c r="AC602">
        <v>1.029999984893948E-4</v>
      </c>
      <c r="AD602">
        <v>4.7789998352527618E-3</v>
      </c>
      <c r="AE602">
        <v>7.3299996554851532E-2</v>
      </c>
      <c r="AF602">
        <f>0.16*X602 + 0.28*Y602 + 0.28*Z602 + 0.28*AA602</f>
        <v>9.2462989374218707E-2</v>
      </c>
      <c r="AG602">
        <f t="shared" si="27"/>
        <v>2.2324718976160514E-2</v>
      </c>
      <c r="AH602">
        <f>IF(T602="IT_Admin", 0.25, IF(AND(T602="HR", AA602&gt;0.6), 0.25, IF(AND(T602="General", Z602&gt;0.7), 0.2, 0.1)))</f>
        <v>0.1</v>
      </c>
      <c r="AI602">
        <f>IF(V602&gt;0.7, 0.1,
 IF(F602&gt;0.5, 0.08,
 IF(E602&gt;0.5, 0.05,
 0)))</f>
        <v>0</v>
      </c>
      <c r="AJ602">
        <f t="shared" si="28"/>
        <v>4.336620009557797E-2</v>
      </c>
      <c r="AK602">
        <f t="shared" si="29"/>
        <v>4.7702820105135768E-2</v>
      </c>
      <c r="AL602" t="str">
        <f>IF(MAX(X602, Y602, Z602, AA602)&gt;0.9,
 "Critical",
 IF(AK602&lt;=0.2,"Very Low",
 IF(AK602&lt;=0.4,"Low",
 IF(AK602&lt;=0.6,"Medium",
 IF(AK602&lt;=0.8,"High","Critical")))))</f>
        <v>Very Low</v>
      </c>
      <c r="AM602" t="str">
        <f>IF(MAX(X602:AA602)&gt;0.9,"CRITICAL ALERT",
 IF(AK602&gt;0.8,"CRITICAL ALERT",
 IF(AK602&gt;0.6,"ALERT",
 IF(AK602&gt;=0.4,"REVIEW","NO ACTION"))))</f>
        <v>NO ACTION</v>
      </c>
      <c r="AN602" t="str">
        <f>IF(AM602="NO ACTION","",
 IF(_xlfn.TEXTJOIN(", ", TRUE,
  IF(X602&gt;0.7,"Login anomaly",""),
  IF(Y602&gt;0.7,"File anomaly",""),
  IF(Z602&gt;0.7,"Network anomaly",""),
  IF(AA602&gt;0.7,"USB anomaly","")
 )="",
 "General anomaly detected",
 _xlfn.TEXTJOIN(", ", TRUE,
  IF(X602&gt;0.7,"Login anomaly",""),
  IF(Y602&gt;0.7,"File anomaly",""),
  IF(Z602&gt;0.7,"Network anomaly",""),
  IF(AA602&gt;0.7,"USB anomaly","")
 )))</f>
        <v/>
      </c>
    </row>
    <row r="603" spans="1:40" x14ac:dyDescent="0.3">
      <c r="A603" t="s">
        <v>626</v>
      </c>
      <c r="B603">
        <v>0.13837429111531099</v>
      </c>
      <c r="C603">
        <v>0.41047975407213699</v>
      </c>
      <c r="D603">
        <v>0.14399421599703799</v>
      </c>
      <c r="E603">
        <v>0</v>
      </c>
      <c r="F603">
        <v>0</v>
      </c>
      <c r="G603">
        <v>0.91629281141937502</v>
      </c>
      <c r="H603">
        <v>8</v>
      </c>
      <c r="I603">
        <v>15</v>
      </c>
      <c r="J603">
        <v>8.2820476122322406E-2</v>
      </c>
      <c r="K603">
        <v>1.7944535073409401E-2</v>
      </c>
      <c r="L603">
        <v>5.51853841353806E-2</v>
      </c>
      <c r="M603">
        <v>5.7720057720057703E-3</v>
      </c>
      <c r="N603">
        <v>4.1995403282020102E-2</v>
      </c>
      <c r="O603">
        <v>859</v>
      </c>
      <c r="P603">
        <v>7.1408529741863E-2</v>
      </c>
      <c r="Q603">
        <v>7.1566324204916001E-2</v>
      </c>
      <c r="R603">
        <v>0.38790560471976399</v>
      </c>
      <c r="S603">
        <v>1</v>
      </c>
      <c r="T603" t="s">
        <v>49</v>
      </c>
      <c r="U603">
        <v>1.77897574123989E-2</v>
      </c>
      <c r="V603">
        <v>0</v>
      </c>
      <c r="W603">
        <v>0</v>
      </c>
      <c r="X603">
        <v>4.3198264799111402E-2</v>
      </c>
      <c r="Y603">
        <v>5.6755408276760802E-2</v>
      </c>
      <c r="Z603">
        <v>5.9643279157925902E-2</v>
      </c>
      <c r="AA603">
        <v>0.38790560471976399</v>
      </c>
      <c r="AB603">
        <v>1.0375999845564371E-2</v>
      </c>
      <c r="AC603">
        <v>3.7799999699927872E-4</v>
      </c>
      <c r="AD603">
        <v>3.4169999416917558E-3</v>
      </c>
      <c r="AE603">
        <v>0.16061499714851379</v>
      </c>
      <c r="AF603">
        <f>0.16*X603 + 0.28*Y603 + 0.28*Z603 + 0.28*AA603</f>
        <v>0.14811692417110403</v>
      </c>
      <c r="AG603">
        <f t="shared" si="27"/>
        <v>4.7694959159707652E-2</v>
      </c>
      <c r="AH603">
        <f>IF(T603="IT_Admin", 0.25, IF(AND(T603="HR", AA603&gt;0.6), 0.25, IF(AND(T603="General", Z603&gt;0.7), 0.2, 0.1)))</f>
        <v>0.1</v>
      </c>
      <c r="AI603">
        <f>IF(V603&gt;0.7, 0.1,
 IF(F603&gt;0.5, 0.08,
 IF(E603&gt;0.5, 0.05,
 0)))</f>
        <v>0</v>
      </c>
      <c r="AJ603">
        <f t="shared" si="28"/>
        <v>7.7821548663126572E-2</v>
      </c>
      <c r="AK603">
        <f t="shared" si="29"/>
        <v>8.5603703529439232E-2</v>
      </c>
      <c r="AL603" t="str">
        <f>IF(MAX(X603, Y603, Z603, AA603)&gt;0.9,
 "Critical",
 IF(AK603&lt;=0.2,"Very Low",
 IF(AK603&lt;=0.4,"Low",
 IF(AK603&lt;=0.6,"Medium",
 IF(AK603&lt;=0.8,"High","Critical")))))</f>
        <v>Very Low</v>
      </c>
      <c r="AM603" t="str">
        <f>IF(MAX(X603:AA603)&gt;0.9,"CRITICAL ALERT",
 IF(AK603&gt;0.8,"CRITICAL ALERT",
 IF(AK603&gt;0.6,"ALERT",
 IF(AK603&gt;=0.4,"REVIEW","NO ACTION"))))</f>
        <v>NO ACTION</v>
      </c>
      <c r="AN603" t="str">
        <f>IF(AM603="NO ACTION","",
 IF(_xlfn.TEXTJOIN(", ", TRUE,
  IF(X603&gt;0.7,"Login anomaly",""),
  IF(Y603&gt;0.7,"File anomaly",""),
  IF(Z603&gt;0.7,"Network anomaly",""),
  IF(AA603&gt;0.7,"USB anomaly","")
 )="",
 "General anomaly detected",
 _xlfn.TEXTJOIN(", ", TRUE,
  IF(X603&gt;0.7,"Login anomaly",""),
  IF(Y603&gt;0.7,"File anomaly",""),
  IF(Z603&gt;0.7,"Network anomaly",""),
  IF(AA603&gt;0.7,"USB anomaly","")
 )))</f>
        <v/>
      </c>
    </row>
    <row r="604" spans="1:40" x14ac:dyDescent="0.3">
      <c r="A604" t="s">
        <v>627</v>
      </c>
      <c r="B604">
        <v>0.12892249527410199</v>
      </c>
      <c r="C604">
        <v>0.46432455414083901</v>
      </c>
      <c r="D604">
        <v>7.5107235637207503E-2</v>
      </c>
      <c r="E604">
        <v>0</v>
      </c>
      <c r="F604">
        <v>0</v>
      </c>
      <c r="G604">
        <v>0.99367634625768397</v>
      </c>
      <c r="H604">
        <v>8</v>
      </c>
      <c r="I604">
        <v>9</v>
      </c>
      <c r="J604">
        <v>0.10142645866132299</v>
      </c>
      <c r="K604">
        <v>9.7879282218597003E-3</v>
      </c>
      <c r="L604">
        <v>2.45922325275451E-2</v>
      </c>
      <c r="M604">
        <v>1.7316017316017301E-3</v>
      </c>
      <c r="N604">
        <v>1.02929137185354E-2</v>
      </c>
      <c r="O604">
        <v>848</v>
      </c>
      <c r="P604">
        <v>7.9615600448933704E-2</v>
      </c>
      <c r="Q604">
        <v>7.9771380483186605E-2</v>
      </c>
      <c r="R604">
        <v>0</v>
      </c>
      <c r="S604">
        <v>0</v>
      </c>
      <c r="T604" t="s">
        <v>24</v>
      </c>
      <c r="U604">
        <v>2.9110512129380001E-2</v>
      </c>
      <c r="V604">
        <v>0</v>
      </c>
      <c r="W604">
        <v>0</v>
      </c>
      <c r="X604">
        <v>2.2532170691162201E-2</v>
      </c>
      <c r="Y604">
        <v>3.5669282111597901E-2</v>
      </c>
      <c r="Z604">
        <v>5.1886525756774403E-2</v>
      </c>
      <c r="AA604">
        <v>0</v>
      </c>
      <c r="AB604">
        <v>1.321600005030632E-2</v>
      </c>
      <c r="AC604">
        <v>1.829999964684248E-4</v>
      </c>
      <c r="AD604">
        <v>3.6180000752210621E-3</v>
      </c>
      <c r="AE604">
        <v>1.8939999863505359E-3</v>
      </c>
      <c r="AF604">
        <f>0.16*X604 + 0.28*Y604 + 0.28*Z604 + 0.28*AA604</f>
        <v>2.8120773513730199E-2</v>
      </c>
      <c r="AG604">
        <f t="shared" si="27"/>
        <v>3.7091600243002176E-3</v>
      </c>
      <c r="AH604">
        <f>IF(T604="IT_Admin", 0.25, IF(AND(T604="HR", AA604&gt;0.6), 0.25, IF(AND(T604="General", Z604&gt;0.7), 0.2, 0.1)))</f>
        <v>0.25</v>
      </c>
      <c r="AI604">
        <f>IF(V604&gt;0.7, 0.1,
 IF(F604&gt;0.5, 0.08,
 IF(E604&gt;0.5, 0.05,
 0)))</f>
        <v>0</v>
      </c>
      <c r="AJ604">
        <f t="shared" si="28"/>
        <v>1.1032644071129211E-2</v>
      </c>
      <c r="AK604">
        <f t="shared" si="29"/>
        <v>1.3790805088911513E-2</v>
      </c>
      <c r="AL604" t="str">
        <f>IF(MAX(X604, Y604, Z604, AA604)&gt;0.9,
 "Critical",
 IF(AK604&lt;=0.2,"Very Low",
 IF(AK604&lt;=0.4,"Low",
 IF(AK604&lt;=0.6,"Medium",
 IF(AK604&lt;=0.8,"High","Critical")))))</f>
        <v>Very Low</v>
      </c>
      <c r="AM604" t="str">
        <f>IF(MAX(X604:AA604)&gt;0.9,"CRITICAL ALERT",
 IF(AK604&gt;0.8,"CRITICAL ALERT",
 IF(AK604&gt;0.6,"ALERT",
 IF(AK604&gt;=0.4,"REVIEW","NO ACTION"))))</f>
        <v>NO ACTION</v>
      </c>
      <c r="AN604" t="str">
        <f>IF(AM604="NO ACTION","",
 IF(_xlfn.TEXTJOIN(", ", TRUE,
  IF(X604&gt;0.7,"Login anomaly",""),
  IF(Y604&gt;0.7,"File anomaly",""),
  IF(Z604&gt;0.7,"Network anomaly",""),
  IF(AA604&gt;0.7,"USB anomaly","")
 )="",
 "General anomaly detected",
 _xlfn.TEXTJOIN(", ", TRUE,
  IF(X604&gt;0.7,"Login anomaly",""),
  IF(Y604&gt;0.7,"File anomaly",""),
  IF(Z604&gt;0.7,"Network anomaly",""),
  IF(AA604&gt;0.7,"USB anomaly","")
 )))</f>
        <v/>
      </c>
    </row>
    <row r="605" spans="1:40" x14ac:dyDescent="0.3">
      <c r="A605" t="s">
        <v>628</v>
      </c>
      <c r="B605">
        <v>0.12892249527410199</v>
      </c>
      <c r="C605">
        <v>0.27688096250382199</v>
      </c>
      <c r="D605">
        <v>7.5132489407342906E-2</v>
      </c>
      <c r="E605">
        <v>0</v>
      </c>
      <c r="F605">
        <v>0</v>
      </c>
      <c r="G605">
        <v>0.99368592730386596</v>
      </c>
      <c r="H605">
        <v>7</v>
      </c>
      <c r="I605">
        <v>8</v>
      </c>
      <c r="J605">
        <v>0.10886885167692301</v>
      </c>
      <c r="K605">
        <v>2.1207177814029299E-2</v>
      </c>
      <c r="L605">
        <v>4.9648638515565002E-2</v>
      </c>
      <c r="M605">
        <v>3.1746031746031698E-3</v>
      </c>
      <c r="N605">
        <v>1.75831650252288E-2</v>
      </c>
      <c r="O605">
        <v>1009</v>
      </c>
      <c r="P605">
        <v>9.0698653198653195E-2</v>
      </c>
      <c r="Q605">
        <v>9.0851712893158895E-2</v>
      </c>
      <c r="R605">
        <v>0</v>
      </c>
      <c r="S605">
        <v>0</v>
      </c>
      <c r="T605" t="s">
        <v>24</v>
      </c>
      <c r="U605">
        <v>3.6792452830188602E-2</v>
      </c>
      <c r="V605">
        <v>0</v>
      </c>
      <c r="W605">
        <v>0</v>
      </c>
      <c r="X605">
        <v>2.2539746822202798E-2</v>
      </c>
      <c r="Y605">
        <v>5.1873039100735902E-2</v>
      </c>
      <c r="Z605">
        <v>6.1452457929283402E-2</v>
      </c>
      <c r="AA605">
        <v>0</v>
      </c>
      <c r="AB605">
        <v>1.8369000405073169E-2</v>
      </c>
      <c r="AC605">
        <v>2.4999999368446879E-5</v>
      </c>
      <c r="AD605">
        <v>2.364000072702765E-3</v>
      </c>
      <c r="AE605">
        <v>1.481999992392957E-3</v>
      </c>
      <c r="AF605">
        <f>0.16*X605 + 0.28*Y605 + 0.28*Z605 + 0.28*AA605</f>
        <v>3.5337498659957854E-2</v>
      </c>
      <c r="AG605">
        <f t="shared" si="27"/>
        <v>4.0229200828616743E-3</v>
      </c>
      <c r="AH605">
        <f>IF(T605="IT_Admin", 0.25, IF(AND(T605="HR", AA605&gt;0.6), 0.25, IF(AND(T605="General", Z605&gt;0.7), 0.2, 0.1)))</f>
        <v>0.25</v>
      </c>
      <c r="AI605">
        <f>IF(V605&gt;0.7, 0.1,
 IF(F605&gt;0.5, 0.08,
 IF(E605&gt;0.5, 0.05,
 0)))</f>
        <v>0</v>
      </c>
      <c r="AJ605">
        <f t="shared" si="28"/>
        <v>1.3417293655990528E-2</v>
      </c>
      <c r="AK605">
        <f t="shared" si="29"/>
        <v>1.677161706998816E-2</v>
      </c>
      <c r="AL605" t="str">
        <f>IF(MAX(X605, Y605, Z605, AA605)&gt;0.9,
 "Critical",
 IF(AK605&lt;=0.2,"Very Low",
 IF(AK605&lt;=0.4,"Low",
 IF(AK605&lt;=0.6,"Medium",
 IF(AK605&lt;=0.8,"High","Critical")))))</f>
        <v>Very Low</v>
      </c>
      <c r="AM605" t="str">
        <f>IF(MAX(X605:AA605)&gt;0.9,"CRITICAL ALERT",
 IF(AK605&gt;0.8,"CRITICAL ALERT",
 IF(AK605&gt;0.6,"ALERT",
 IF(AK605&gt;=0.4,"REVIEW","NO ACTION"))))</f>
        <v>NO ACTION</v>
      </c>
      <c r="AN605" t="str">
        <f>IF(AM605="NO ACTION","",
 IF(_xlfn.TEXTJOIN(", ", TRUE,
  IF(X605&gt;0.7,"Login anomaly",""),
  IF(Y605&gt;0.7,"File anomaly",""),
  IF(Z605&gt;0.7,"Network anomaly",""),
  IF(AA605&gt;0.7,"USB anomaly","")
 )="",
 "General anomaly detected",
 _xlfn.TEXTJOIN(", ", TRUE,
  IF(X605&gt;0.7,"Login anomaly",""),
  IF(Y605&gt;0.7,"File anomaly",""),
  IF(Z605&gt;0.7,"Network anomaly",""),
  IF(AA605&gt;0.7,"USB anomaly","")
 )))</f>
        <v/>
      </c>
    </row>
    <row r="606" spans="1:40" x14ac:dyDescent="0.3">
      <c r="A606" t="s">
        <v>629</v>
      </c>
      <c r="B606">
        <v>0.12892249527410199</v>
      </c>
      <c r="C606">
        <v>0.460040129189136</v>
      </c>
      <c r="D606">
        <v>7.51173381640724E-2</v>
      </c>
      <c r="E606">
        <v>0</v>
      </c>
      <c r="F606">
        <v>0</v>
      </c>
      <c r="G606">
        <v>0.99365394587876399</v>
      </c>
      <c r="H606">
        <v>8</v>
      </c>
      <c r="I606">
        <v>9</v>
      </c>
      <c r="J606">
        <v>7.7858880778588796E-2</v>
      </c>
      <c r="K606">
        <v>4.4045676998368602E-2</v>
      </c>
      <c r="L606">
        <v>0.144060607100118</v>
      </c>
      <c r="M606">
        <v>1.1544011544011501E-3</v>
      </c>
      <c r="N606">
        <v>8.9326813822843097E-3</v>
      </c>
      <c r="O606">
        <v>807</v>
      </c>
      <c r="P606">
        <v>7.6739618406285001E-2</v>
      </c>
      <c r="Q606">
        <v>7.6896104351484904E-2</v>
      </c>
      <c r="R606">
        <v>0</v>
      </c>
      <c r="S606">
        <v>0</v>
      </c>
      <c r="T606" t="s">
        <v>49</v>
      </c>
      <c r="U606">
        <v>0.18339622641509401</v>
      </c>
      <c r="V606">
        <v>0</v>
      </c>
      <c r="W606">
        <v>0</v>
      </c>
      <c r="X606">
        <v>2.2535201449221699E-2</v>
      </c>
      <c r="Y606">
        <v>9.02818841204623E-2</v>
      </c>
      <c r="Z606">
        <v>4.9616843596684702E-2</v>
      </c>
      <c r="AA606">
        <v>0</v>
      </c>
      <c r="AB606">
        <v>1.338300015777349E-2</v>
      </c>
      <c r="AC606">
        <v>1.072499994188547E-2</v>
      </c>
      <c r="AD606">
        <v>3.9289998821914196E-3</v>
      </c>
      <c r="AE606">
        <v>2.0679999142885208E-3</v>
      </c>
      <c r="AF606">
        <f>0.16*X606 + 0.28*Y606 + 0.28*Z606 + 0.28*AA606</f>
        <v>4.2777275992676639E-2</v>
      </c>
      <c r="AG606">
        <f t="shared" si="27"/>
        <v>6.8234399519860739E-3</v>
      </c>
      <c r="AH606">
        <f>IF(T606="IT_Admin", 0.25, IF(AND(T606="HR", AA606&gt;0.6), 0.25, IF(AND(T606="General", Z606&gt;0.7), 0.2, 0.1)))</f>
        <v>0.1</v>
      </c>
      <c r="AI606">
        <f>IF(V606&gt;0.7, 0.1,
 IF(F606&gt;0.5, 0.08,
 IF(E606&gt;0.5, 0.05,
 0)))</f>
        <v>0</v>
      </c>
      <c r="AJ606">
        <f t="shared" si="28"/>
        <v>1.7609590764193241E-2</v>
      </c>
      <c r="AK606">
        <f t="shared" si="29"/>
        <v>1.9370549840612566E-2</v>
      </c>
      <c r="AL606" t="str">
        <f>IF(MAX(X606, Y606, Z606, AA606)&gt;0.9,
 "Critical",
 IF(AK606&lt;=0.2,"Very Low",
 IF(AK606&lt;=0.4,"Low",
 IF(AK606&lt;=0.6,"Medium",
 IF(AK606&lt;=0.8,"High","Critical")))))</f>
        <v>Very Low</v>
      </c>
      <c r="AM606" t="str">
        <f>IF(MAX(X606:AA606)&gt;0.9,"CRITICAL ALERT",
 IF(AK606&gt;0.8,"CRITICAL ALERT",
 IF(AK606&gt;0.6,"ALERT",
 IF(AK606&gt;=0.4,"REVIEW","NO ACTION"))))</f>
        <v>NO ACTION</v>
      </c>
      <c r="AN606" t="str">
        <f>IF(AM606="NO ACTION","",
 IF(_xlfn.TEXTJOIN(", ", TRUE,
  IF(X606&gt;0.7,"Login anomaly",""),
  IF(Y606&gt;0.7,"File anomaly",""),
  IF(Z606&gt;0.7,"Network anomaly",""),
  IF(AA606&gt;0.7,"USB anomaly","")
 )="",
 "General anomaly detected",
 _xlfn.TEXTJOIN(", ", TRUE,
  IF(X606&gt;0.7,"Login anomaly",""),
  IF(Y606&gt;0.7,"File anomaly",""),
  IF(Z606&gt;0.7,"Network anomaly",""),
  IF(AA606&gt;0.7,"USB anomaly","")
 )))</f>
        <v/>
      </c>
    </row>
    <row r="607" spans="1:40" x14ac:dyDescent="0.3">
      <c r="A607" t="s">
        <v>630</v>
      </c>
      <c r="B607">
        <v>0.24083175803402601</v>
      </c>
      <c r="C607">
        <v>0.77509408147813197</v>
      </c>
      <c r="D607">
        <v>0.37289111778050199</v>
      </c>
      <c r="E607">
        <v>0</v>
      </c>
      <c r="F607">
        <v>0</v>
      </c>
      <c r="G607">
        <v>0.46561780191469399</v>
      </c>
      <c r="H607">
        <v>8</v>
      </c>
      <c r="I607">
        <v>15</v>
      </c>
      <c r="J607">
        <v>7.9385525499737597E-2</v>
      </c>
      <c r="K607">
        <v>2.0391517128874301E-2</v>
      </c>
      <c r="L607">
        <v>6.5415977027410005E-2</v>
      </c>
      <c r="M607">
        <v>2.8860028860028799E-3</v>
      </c>
      <c r="N607">
        <v>2.1903534186338201E-2</v>
      </c>
      <c r="O607">
        <v>854</v>
      </c>
      <c r="P607">
        <v>6.8532547699214297E-2</v>
      </c>
      <c r="Q607">
        <v>6.86910480732143E-2</v>
      </c>
      <c r="R607">
        <v>0</v>
      </c>
      <c r="S607">
        <v>0</v>
      </c>
      <c r="T607" t="s">
        <v>49</v>
      </c>
      <c r="U607">
        <v>3.8593481989708397E-2</v>
      </c>
      <c r="V607">
        <v>0</v>
      </c>
      <c r="W607">
        <v>0</v>
      </c>
      <c r="X607">
        <v>0.11186733533415</v>
      </c>
      <c r="Y607">
        <v>5.5156153869553998E-2</v>
      </c>
      <c r="Z607">
        <v>4.9880942294063903E-2</v>
      </c>
      <c r="AA607">
        <v>0</v>
      </c>
      <c r="AB607">
        <v>4.2683001607656479E-2</v>
      </c>
      <c r="AC607">
        <v>1.900000061141327E-4</v>
      </c>
      <c r="AD607">
        <v>4.3810000643134117E-3</v>
      </c>
      <c r="AE607">
        <v>6.4799999818205833E-3</v>
      </c>
      <c r="AF607">
        <f>0.16*X607 + 0.28*Y607 + 0.28*Z607 + 0.28*AA607</f>
        <v>4.7309160579277018E-2</v>
      </c>
      <c r="AG607">
        <f t="shared" si="27"/>
        <v>9.9235602718545125E-3</v>
      </c>
      <c r="AH607">
        <f>IF(T607="IT_Admin", 0.25, IF(AND(T607="HR", AA607&gt;0.6), 0.25, IF(AND(T607="General", Z607&gt;0.7), 0.2, 0.1)))</f>
        <v>0.1</v>
      </c>
      <c r="AI607">
        <f>IF(V607&gt;0.7, 0.1,
 IF(F607&gt;0.5, 0.08,
 IF(E607&gt;0.5, 0.05,
 0)))</f>
        <v>0</v>
      </c>
      <c r="AJ607">
        <f t="shared" si="28"/>
        <v>2.1139240364081262E-2</v>
      </c>
      <c r="AK607">
        <f t="shared" si="29"/>
        <v>2.3253164400489391E-2</v>
      </c>
      <c r="AL607" t="str">
        <f>IF(MAX(X607, Y607, Z607, AA607)&gt;0.9,
 "Critical",
 IF(AK607&lt;=0.2,"Very Low",
 IF(AK607&lt;=0.4,"Low",
 IF(AK607&lt;=0.6,"Medium",
 IF(AK607&lt;=0.8,"High","Critical")))))</f>
        <v>Very Low</v>
      </c>
      <c r="AM607" t="str">
        <f>IF(MAX(X607:AA607)&gt;0.9,"CRITICAL ALERT",
 IF(AK607&gt;0.8,"CRITICAL ALERT",
 IF(AK607&gt;0.6,"ALERT",
 IF(AK607&gt;=0.4,"REVIEW","NO ACTION"))))</f>
        <v>NO ACTION</v>
      </c>
      <c r="AN607" t="str">
        <f>IF(AM607="NO ACTION","",
 IF(_xlfn.TEXTJOIN(", ", TRUE,
  IF(X607&gt;0.7,"Login anomaly",""),
  IF(Y607&gt;0.7,"File anomaly",""),
  IF(Z607&gt;0.7,"Network anomaly",""),
  IF(AA607&gt;0.7,"USB anomaly","")
 )="",
 "General anomaly detected",
 _xlfn.TEXTJOIN(", ", TRUE,
  IF(X607&gt;0.7,"Login anomaly",""),
  IF(Y607&gt;0.7,"File anomaly",""),
  IF(Z607&gt;0.7,"Network anomaly",""),
  IF(AA607&gt;0.7,"USB anomaly","")
 )))</f>
        <v/>
      </c>
    </row>
    <row r="608" spans="1:40" x14ac:dyDescent="0.3">
      <c r="A608" t="s">
        <v>631</v>
      </c>
      <c r="B608">
        <v>0.12892249527410199</v>
      </c>
      <c r="C608">
        <v>0</v>
      </c>
      <c r="D608">
        <v>0</v>
      </c>
      <c r="E608">
        <v>0</v>
      </c>
      <c r="F608">
        <v>1</v>
      </c>
      <c r="G608">
        <v>0.99366628348292496</v>
      </c>
      <c r="H608">
        <v>6</v>
      </c>
      <c r="I608">
        <v>6</v>
      </c>
      <c r="J608">
        <v>0.101760412194074</v>
      </c>
      <c r="K608">
        <v>1.4681892332789499E-2</v>
      </c>
      <c r="L608">
        <v>3.6767573093684697E-2</v>
      </c>
      <c r="M608">
        <v>2.0202020202020202E-3</v>
      </c>
      <c r="N608">
        <v>1.1969082782927401E-2</v>
      </c>
      <c r="O608">
        <v>1178</v>
      </c>
      <c r="P608">
        <v>8.21057800224467E-2</v>
      </c>
      <c r="Q608">
        <v>8.2260948841123394E-2</v>
      </c>
      <c r="R608">
        <v>0</v>
      </c>
      <c r="S608">
        <v>0</v>
      </c>
      <c r="T608" t="s">
        <v>24</v>
      </c>
      <c r="U608">
        <v>3.8207547169811298E-2</v>
      </c>
      <c r="V608">
        <v>0</v>
      </c>
      <c r="W608">
        <v>0</v>
      </c>
      <c r="X608">
        <v>0.4</v>
      </c>
      <c r="Y608">
        <v>4.2326593820535503E-2</v>
      </c>
      <c r="Z608">
        <v>5.4051101126639002E-2</v>
      </c>
      <c r="AA608">
        <v>0</v>
      </c>
      <c r="AB608">
        <v>0.1188229992985725</v>
      </c>
      <c r="AC608">
        <v>4.1999999666586518E-5</v>
      </c>
      <c r="AD608">
        <v>3.4719998948276039E-3</v>
      </c>
      <c r="AE608">
        <v>2.5300000561401248E-4</v>
      </c>
      <c r="AF608">
        <f>0.16*X608 + 0.28*Y608 + 0.28*Z608 + 0.28*AA608</f>
        <v>9.0985754585208869E-2</v>
      </c>
      <c r="AG608">
        <f t="shared" si="27"/>
        <v>2.0066439859801895E-2</v>
      </c>
      <c r="AH608">
        <f>IF(T608="IT_Admin", 0.25, IF(AND(T608="HR", AA608&gt;0.6), 0.25, IF(AND(T608="General", Z608&gt;0.7), 0.2, 0.1)))</f>
        <v>0.25</v>
      </c>
      <c r="AI608">
        <f>IF(V608&gt;0.7, 0.1,
 IF(F608&gt;0.5, 0.08,
 IF(E608&gt;0.5, 0.05,
 0)))</f>
        <v>0.08</v>
      </c>
      <c r="AJ608">
        <f t="shared" si="28"/>
        <v>4.1342234277423985E-2</v>
      </c>
      <c r="AK608">
        <f t="shared" si="29"/>
        <v>5.4985171588973904E-2</v>
      </c>
      <c r="AL608" t="str">
        <f>IF(MAX(X608, Y608, Z608, AA608)&gt;0.9,
 "Critical",
 IF(AK608&lt;=0.2,"Very Low",
 IF(AK608&lt;=0.4,"Low",
 IF(AK608&lt;=0.6,"Medium",
 IF(AK608&lt;=0.8,"High","Critical")))))</f>
        <v>Very Low</v>
      </c>
      <c r="AM608" t="str">
        <f>IF(MAX(X608:AA608)&gt;0.9,"CRITICAL ALERT",
 IF(AK608&gt;0.8,"CRITICAL ALERT",
 IF(AK608&gt;0.6,"ALERT",
 IF(AK608&gt;=0.4,"REVIEW","NO ACTION"))))</f>
        <v>NO ACTION</v>
      </c>
      <c r="AN608" t="str">
        <f>IF(AM608="NO ACTION","",
 IF(_xlfn.TEXTJOIN(", ", TRUE,
  IF(X608&gt;0.7,"Login anomaly",""),
  IF(Y608&gt;0.7,"File anomaly",""),
  IF(Z608&gt;0.7,"Network anomaly",""),
  IF(AA608&gt;0.7,"USB anomaly","")
 )="",
 "General anomaly detected",
 _xlfn.TEXTJOIN(", ", TRUE,
  IF(X608&gt;0.7,"Login anomaly",""),
  IF(Y608&gt;0.7,"File anomaly",""),
  IF(Z608&gt;0.7,"Network anomaly",""),
  IF(AA608&gt;0.7,"USB anomaly","")
 )))</f>
        <v/>
      </c>
    </row>
    <row r="609" spans="1:40" x14ac:dyDescent="0.3">
      <c r="A609" t="s">
        <v>632</v>
      </c>
      <c r="B609">
        <v>0.12892249527410199</v>
      </c>
      <c r="C609">
        <v>0.55429747812660801</v>
      </c>
      <c r="D609">
        <v>0</v>
      </c>
      <c r="E609">
        <v>0</v>
      </c>
      <c r="F609">
        <v>0</v>
      </c>
      <c r="G609">
        <v>0.99367350941160903</v>
      </c>
      <c r="H609">
        <v>9</v>
      </c>
      <c r="I609">
        <v>9</v>
      </c>
      <c r="J609">
        <v>7.5330375459186097E-2</v>
      </c>
      <c r="K609">
        <v>8.1566068515497494E-3</v>
      </c>
      <c r="L609">
        <v>2.75705216309967E-2</v>
      </c>
      <c r="M609">
        <v>2.3088023088023001E-3</v>
      </c>
      <c r="N609">
        <v>1.84631305843427E-2</v>
      </c>
      <c r="O609">
        <v>785</v>
      </c>
      <c r="P609">
        <v>6.0009820426486997E-2</v>
      </c>
      <c r="Q609">
        <v>6.0170412707317898E-2</v>
      </c>
      <c r="R609">
        <v>0</v>
      </c>
      <c r="S609">
        <v>0</v>
      </c>
      <c r="T609" t="s">
        <v>49</v>
      </c>
      <c r="U609">
        <v>1.8867924528301799E-2</v>
      </c>
      <c r="V609">
        <v>0</v>
      </c>
      <c r="W609">
        <v>0</v>
      </c>
      <c r="X609">
        <v>0</v>
      </c>
      <c r="Y609">
        <v>3.4390275082638401E-2</v>
      </c>
      <c r="Z609">
        <v>4.3391144489629302E-2</v>
      </c>
      <c r="AA609">
        <v>0</v>
      </c>
      <c r="AB609">
        <v>2.8913000598549839E-2</v>
      </c>
      <c r="AC609">
        <v>2.5000001187436283E-4</v>
      </c>
      <c r="AD609">
        <v>5.8410000056028366E-3</v>
      </c>
      <c r="AE609">
        <v>1.9420000026002531E-3</v>
      </c>
      <c r="AF609">
        <f>0.16*X609 + 0.28*Y609 + 0.28*Z609 + 0.28*AA609</f>
        <v>2.1778797480234958E-2</v>
      </c>
      <c r="AG609">
        <f t="shared" si="27"/>
        <v>6.8753201013896622E-3</v>
      </c>
      <c r="AH609">
        <f>IF(T609="IT_Admin", 0.25, IF(AND(T609="HR", AA609&gt;0.6), 0.25, IF(AND(T609="General", Z609&gt;0.7), 0.2, 0.1)))</f>
        <v>0.1</v>
      </c>
      <c r="AI609">
        <f>IF(V609&gt;0.7, 0.1,
 IF(F609&gt;0.5, 0.08,
 IF(E609&gt;0.5, 0.05,
 0)))</f>
        <v>0</v>
      </c>
      <c r="AJ609">
        <f t="shared" si="28"/>
        <v>1.134636331504325E-2</v>
      </c>
      <c r="AK609">
        <f t="shared" si="29"/>
        <v>1.2480999646547575E-2</v>
      </c>
      <c r="AL609" t="str">
        <f>IF(MAX(X609, Y609, Z609, AA609)&gt;0.9,
 "Critical",
 IF(AK609&lt;=0.2,"Very Low",
 IF(AK609&lt;=0.4,"Low",
 IF(AK609&lt;=0.6,"Medium",
 IF(AK609&lt;=0.8,"High","Critical")))))</f>
        <v>Very Low</v>
      </c>
      <c r="AM609" t="str">
        <f>IF(MAX(X609:AA609)&gt;0.9,"CRITICAL ALERT",
 IF(AK609&gt;0.8,"CRITICAL ALERT",
 IF(AK609&gt;0.6,"ALERT",
 IF(AK609&gt;=0.4,"REVIEW","NO ACTION"))))</f>
        <v>NO ACTION</v>
      </c>
      <c r="AN609" t="str">
        <f>IF(AM609="NO ACTION","",
 IF(_xlfn.TEXTJOIN(", ", TRUE,
  IF(X609&gt;0.7,"Login anomaly",""),
  IF(Y609&gt;0.7,"File anomaly",""),
  IF(Z609&gt;0.7,"Network anomaly",""),
  IF(AA609&gt;0.7,"USB anomaly","")
 )="",
 "General anomaly detected",
 _xlfn.TEXTJOIN(", ", TRUE,
  IF(X609&gt;0.7,"Login anomaly",""),
  IF(Y609&gt;0.7,"File anomaly",""),
  IF(Z609&gt;0.7,"Network anomaly",""),
  IF(AA609&gt;0.7,"USB anomaly","")
 )))</f>
        <v/>
      </c>
    </row>
    <row r="610" spans="1:40" x14ac:dyDescent="0.3">
      <c r="A610" t="s">
        <v>633</v>
      </c>
      <c r="B610">
        <v>0.140642722117202</v>
      </c>
      <c r="C610">
        <v>0.448155407847044</v>
      </c>
      <c r="D610">
        <v>0.39065567859452999</v>
      </c>
      <c r="E610">
        <v>0.36347517730496398</v>
      </c>
      <c r="F610">
        <v>7.9787234042553196E-2</v>
      </c>
      <c r="G610">
        <v>0.89923449917619003</v>
      </c>
      <c r="H610">
        <v>0</v>
      </c>
      <c r="I610">
        <v>23</v>
      </c>
      <c r="J610">
        <v>9.4174896235866598E-2</v>
      </c>
      <c r="K610">
        <v>1.4681892332789499E-2</v>
      </c>
      <c r="L610">
        <v>3.9721612569124799E-2</v>
      </c>
      <c r="M610">
        <v>8.6580086580086504E-4</v>
      </c>
      <c r="N610">
        <v>5.5417380328951797E-3</v>
      </c>
      <c r="O610">
        <v>934</v>
      </c>
      <c r="P610">
        <v>7.5968013468013407E-2</v>
      </c>
      <c r="Q610">
        <v>7.6124688803955204E-2</v>
      </c>
      <c r="R610">
        <v>6.4896755162241804E-2</v>
      </c>
      <c r="S610">
        <v>1</v>
      </c>
      <c r="T610" t="s">
        <v>49</v>
      </c>
      <c r="U610">
        <v>7.6415094339622597E-2</v>
      </c>
      <c r="V610">
        <v>0</v>
      </c>
      <c r="W610">
        <v>0.10342478045928299</v>
      </c>
      <c r="X610">
        <v>0.25815415038686901</v>
      </c>
      <c r="Y610">
        <v>4.0358306941604298E-2</v>
      </c>
      <c r="Z610">
        <v>4.77975032939661E-2</v>
      </c>
      <c r="AA610">
        <v>6.4896755162241804E-2</v>
      </c>
      <c r="AB610">
        <v>0.19099800288677221</v>
      </c>
      <c r="AC610">
        <v>5.8900000294670463E-4</v>
      </c>
      <c r="AD610">
        <v>3.3690000418573618E-3</v>
      </c>
      <c r="AE610">
        <v>5.9151999652385712E-2</v>
      </c>
      <c r="AF610">
        <f>0.16*X610 + 0.28*Y610 + 0.28*Z610 + 0.28*AA610</f>
        <v>8.4159382373286462E-2</v>
      </c>
      <c r="AG610">
        <f t="shared" si="27"/>
        <v>4.8230480377096693E-2</v>
      </c>
      <c r="AH610">
        <f>IF(T610="IT_Admin", 0.25, IF(AND(T610="HR", AA610&gt;0.6), 0.25, IF(AND(T610="General", Z610&gt;0.7), 0.2, 0.1)))</f>
        <v>0.1</v>
      </c>
      <c r="AI610">
        <f>IF(V610&gt;0.7, 0.1,
 IF(F610&gt;0.5, 0.08,
 IF(E610&gt;0.5, 0.05,
 0)))</f>
        <v>0</v>
      </c>
      <c r="AJ610">
        <f t="shared" si="28"/>
        <v>5.900915097595362E-2</v>
      </c>
      <c r="AK610">
        <f t="shared" si="29"/>
        <v>6.4910066073548989E-2</v>
      </c>
      <c r="AL610" t="str">
        <f>IF(MAX(X610, Y610, Z610, AA610)&gt;0.9,
 "Critical",
 IF(AK610&lt;=0.2,"Very Low",
 IF(AK610&lt;=0.4,"Low",
 IF(AK610&lt;=0.6,"Medium",
 IF(AK610&lt;=0.8,"High","Critical")))))</f>
        <v>Very Low</v>
      </c>
      <c r="AM610" t="str">
        <f>IF(MAX(X610:AA610)&gt;0.9,"CRITICAL ALERT",
 IF(AK610&gt;0.8,"CRITICAL ALERT",
 IF(AK610&gt;0.6,"ALERT",
 IF(AK610&gt;=0.4,"REVIEW","NO ACTION"))))</f>
        <v>NO ACTION</v>
      </c>
      <c r="AN610" t="str">
        <f>IF(AM610="NO ACTION","",
 IF(_xlfn.TEXTJOIN(", ", TRUE,
  IF(X610&gt;0.7,"Login anomaly",""),
  IF(Y610&gt;0.7,"File anomaly",""),
  IF(Z610&gt;0.7,"Network anomaly",""),
  IF(AA610&gt;0.7,"USB anomaly","")
 )="",
 "General anomaly detected",
 _xlfn.TEXTJOIN(", ", TRUE,
  IF(X610&gt;0.7,"Login anomaly",""),
  IF(Y610&gt;0.7,"File anomaly",""),
  IF(Z610&gt;0.7,"Network anomaly",""),
  IF(AA610&gt;0.7,"USB anomaly","")
 )))</f>
        <v/>
      </c>
    </row>
    <row r="611" spans="1:40" x14ac:dyDescent="0.3">
      <c r="A611" t="s">
        <v>634</v>
      </c>
      <c r="B611">
        <v>0.230623818525519</v>
      </c>
      <c r="C611">
        <v>0.74809095039237095</v>
      </c>
      <c r="D611">
        <v>0.35609676649293898</v>
      </c>
      <c r="E611">
        <v>0</v>
      </c>
      <c r="F611">
        <v>0</v>
      </c>
      <c r="G611">
        <v>0.49241553888734702</v>
      </c>
      <c r="H611">
        <v>8</v>
      </c>
      <c r="I611">
        <v>14</v>
      </c>
      <c r="J611">
        <v>8.0387386097991495E-2</v>
      </c>
      <c r="K611">
        <v>1.4681892332789499E-2</v>
      </c>
      <c r="L611">
        <v>4.6514243357572801E-2</v>
      </c>
      <c r="M611">
        <v>2.2222222222222199E-2</v>
      </c>
      <c r="N611">
        <v>0.16656147271531799</v>
      </c>
      <c r="O611">
        <v>816</v>
      </c>
      <c r="P611">
        <v>7.6213524130190793E-2</v>
      </c>
      <c r="Q611">
        <v>7.6370139205441903E-2</v>
      </c>
      <c r="R611">
        <v>0</v>
      </c>
      <c r="S611">
        <v>0</v>
      </c>
      <c r="T611" t="s">
        <v>49</v>
      </c>
      <c r="U611">
        <v>3.9187227866473101E-3</v>
      </c>
      <c r="V611">
        <v>0</v>
      </c>
      <c r="W611">
        <v>0</v>
      </c>
      <c r="X611">
        <v>0.106829029947881</v>
      </c>
      <c r="Y611">
        <v>8.93030407129803E-2</v>
      </c>
      <c r="Z611">
        <v>0.112352703564242</v>
      </c>
      <c r="AA611">
        <v>0</v>
      </c>
      <c r="AB611">
        <v>3.3197999000549323E-2</v>
      </c>
      <c r="AC611">
        <v>7.3970002122223377E-3</v>
      </c>
      <c r="AD611">
        <v>2.7479999698698521E-3</v>
      </c>
      <c r="AE611">
        <v>5.8490000665187836E-3</v>
      </c>
      <c r="AF611">
        <f>0.16*X611 + 0.28*Y611 + 0.28*Z611 + 0.28*AA611</f>
        <v>7.3556253189283216E-2</v>
      </c>
      <c r="AG611">
        <f t="shared" si="27"/>
        <v>9.7899999096989661E-3</v>
      </c>
      <c r="AH611">
        <f>IF(T611="IT_Admin", 0.25, IF(AND(T611="HR", AA611&gt;0.6), 0.25, IF(AND(T611="General", Z611&gt;0.7), 0.2, 0.1)))</f>
        <v>0.1</v>
      </c>
      <c r="AI611">
        <f>IF(V611&gt;0.7, 0.1,
 IF(F611&gt;0.5, 0.08,
 IF(E611&gt;0.5, 0.05,
 0)))</f>
        <v>0</v>
      </c>
      <c r="AJ611">
        <f t="shared" si="28"/>
        <v>2.891987589357424E-2</v>
      </c>
      <c r="AK611">
        <f t="shared" si="29"/>
        <v>3.181186348293167E-2</v>
      </c>
      <c r="AL611" t="str">
        <f>IF(MAX(X611, Y611, Z611, AA611)&gt;0.9,
 "Critical",
 IF(AK611&lt;=0.2,"Very Low",
 IF(AK611&lt;=0.4,"Low",
 IF(AK611&lt;=0.6,"Medium",
 IF(AK611&lt;=0.8,"High","Critical")))))</f>
        <v>Very Low</v>
      </c>
      <c r="AM611" t="str">
        <f>IF(MAX(X611:AA611)&gt;0.9,"CRITICAL ALERT",
 IF(AK611&gt;0.8,"CRITICAL ALERT",
 IF(AK611&gt;0.6,"ALERT",
 IF(AK611&gt;=0.4,"REVIEW","NO ACTION"))))</f>
        <v>NO ACTION</v>
      </c>
      <c r="AN611" t="str">
        <f>IF(AM611="NO ACTION","",
 IF(_xlfn.TEXTJOIN(", ", TRUE,
  IF(X611&gt;0.7,"Login anomaly",""),
  IF(Y611&gt;0.7,"File anomaly",""),
  IF(Z611&gt;0.7,"Network anomaly",""),
  IF(AA611&gt;0.7,"USB anomaly","")
 )="",
 "General anomaly detected",
 _xlfn.TEXTJOIN(", ", TRUE,
  IF(X611&gt;0.7,"Login anomaly",""),
  IF(Y611&gt;0.7,"File anomaly",""),
  IF(Z611&gt;0.7,"Network anomaly",""),
  IF(AA611&gt;0.7,"USB anomaly","")
 )))</f>
        <v/>
      </c>
    </row>
    <row r="612" spans="1:40" x14ac:dyDescent="0.3">
      <c r="A612" t="s">
        <v>635</v>
      </c>
      <c r="B612">
        <v>0.27939508506616201</v>
      </c>
      <c r="C612">
        <v>0.50331902006651097</v>
      </c>
      <c r="D612">
        <v>0.47807399942011303</v>
      </c>
      <c r="E612">
        <v>0</v>
      </c>
      <c r="F612">
        <v>0.48990578734858597</v>
      </c>
      <c r="G612">
        <v>0.38121408386716898</v>
      </c>
      <c r="H612">
        <v>0</v>
      </c>
      <c r="I612">
        <v>23</v>
      </c>
      <c r="J612">
        <v>7.6809312532799004E-2</v>
      </c>
      <c r="K612">
        <v>1.30505709624796E-2</v>
      </c>
      <c r="L612">
        <v>4.3266086700680002E-2</v>
      </c>
      <c r="M612">
        <v>5.7720057720057698E-4</v>
      </c>
      <c r="N612">
        <v>4.5271824838388304E-3</v>
      </c>
      <c r="O612">
        <v>804</v>
      </c>
      <c r="P612">
        <v>6.2359708193041499E-2</v>
      </c>
      <c r="Q612">
        <v>6.2519723692976606E-2</v>
      </c>
      <c r="R612">
        <v>1.7699115044247701E-2</v>
      </c>
      <c r="S612">
        <v>1</v>
      </c>
      <c r="T612" t="s">
        <v>49</v>
      </c>
      <c r="U612">
        <v>9.0566037735848995E-2</v>
      </c>
      <c r="V612">
        <v>0</v>
      </c>
      <c r="W612">
        <v>0.69171073040478204</v>
      </c>
      <c r="X612">
        <v>0.33938451476546799</v>
      </c>
      <c r="Y612">
        <v>3.8353060602051403E-2</v>
      </c>
      <c r="Z612">
        <v>3.9226697909360397E-2</v>
      </c>
      <c r="AA612">
        <v>1.7699115044247701E-2</v>
      </c>
      <c r="AB612">
        <v>0.18746000528335571</v>
      </c>
      <c r="AC612">
        <v>1.0900000343099241E-3</v>
      </c>
      <c r="AD612">
        <v>4.7470000572502613E-3</v>
      </c>
      <c r="AE612">
        <v>6.8351000547409058E-2</v>
      </c>
      <c r="AF612">
        <f>0.16*X612 + 0.28*Y612 + 0.28*Z612 + 0.28*AA612</f>
        <v>8.0979606958059558E-2</v>
      </c>
      <c r="AG612">
        <f t="shared" si="27"/>
        <v>5.0766241024248308E-2</v>
      </c>
      <c r="AH612">
        <f>IF(T612="IT_Admin", 0.25, IF(AND(T612="HR", AA612&gt;0.6), 0.25, IF(AND(T612="General", Z612&gt;0.7), 0.2, 0.1)))</f>
        <v>0.1</v>
      </c>
      <c r="AI612">
        <f>IF(V612&gt;0.7, 0.1,
 IF(F612&gt;0.5, 0.08,
 IF(E612&gt;0.5, 0.05,
 0)))</f>
        <v>0</v>
      </c>
      <c r="AJ612">
        <f t="shared" si="28"/>
        <v>5.983025080439168E-2</v>
      </c>
      <c r="AK612">
        <f t="shared" si="29"/>
        <v>6.5813275884830852E-2</v>
      </c>
      <c r="AL612" t="str">
        <f>IF(MAX(X612, Y612, Z612, AA612)&gt;0.9,
 "Critical",
 IF(AK612&lt;=0.2,"Very Low",
 IF(AK612&lt;=0.4,"Low",
 IF(AK612&lt;=0.6,"Medium",
 IF(AK612&lt;=0.8,"High","Critical")))))</f>
        <v>Very Low</v>
      </c>
      <c r="AM612" t="str">
        <f>IF(MAX(X612:AA612)&gt;0.9,"CRITICAL ALERT",
 IF(AK612&gt;0.8,"CRITICAL ALERT",
 IF(AK612&gt;0.6,"ALERT",
 IF(AK612&gt;=0.4,"REVIEW","NO ACTION"))))</f>
        <v>NO ACTION</v>
      </c>
      <c r="AN612" t="str">
        <f>IF(AM612="NO ACTION","",
 IF(_xlfn.TEXTJOIN(", ", TRUE,
  IF(X612&gt;0.7,"Login anomaly",""),
  IF(Y612&gt;0.7,"File anomaly",""),
  IF(Z612&gt;0.7,"Network anomaly",""),
  IF(AA612&gt;0.7,"USB anomaly","")
 )="",
 "General anomaly detected",
 _xlfn.TEXTJOIN(", ", TRUE,
  IF(X612&gt;0.7,"Login anomaly",""),
  IF(Y612&gt;0.7,"File anomaly",""),
  IF(Z612&gt;0.7,"Network anomaly",""),
  IF(AA612&gt;0.7,"USB anomaly","")
 )))</f>
        <v/>
      </c>
    </row>
    <row r="613" spans="1:40" x14ac:dyDescent="0.3">
      <c r="A613" t="s">
        <v>636</v>
      </c>
      <c r="B613">
        <v>0.12892249527410199</v>
      </c>
      <c r="C613">
        <v>0.26831211260041599</v>
      </c>
      <c r="D613">
        <v>7.4788307505895393E-2</v>
      </c>
      <c r="E613">
        <v>0</v>
      </c>
      <c r="F613">
        <v>0</v>
      </c>
      <c r="G613">
        <v>0.99367599834260001</v>
      </c>
      <c r="H613">
        <v>7</v>
      </c>
      <c r="I613">
        <v>8</v>
      </c>
      <c r="J613">
        <v>7.1513763656314094E-2</v>
      </c>
      <c r="K613">
        <v>1.38662316476345E-2</v>
      </c>
      <c r="L613">
        <v>4.9362965856348501E-2</v>
      </c>
      <c r="M613">
        <v>3.1746031746031698E-3</v>
      </c>
      <c r="N613">
        <v>2.67371664978047E-2</v>
      </c>
      <c r="O613">
        <v>806</v>
      </c>
      <c r="P613">
        <v>6.0079966329966303E-2</v>
      </c>
      <c r="Q613">
        <v>6.0240541393456901E-2</v>
      </c>
      <c r="R613">
        <v>0</v>
      </c>
      <c r="S613">
        <v>0</v>
      </c>
      <c r="T613" t="s">
        <v>49</v>
      </c>
      <c r="U613">
        <v>2.40566037735849E-2</v>
      </c>
      <c r="V613">
        <v>0</v>
      </c>
      <c r="W613">
        <v>0</v>
      </c>
      <c r="X613">
        <v>2.2436492251768601E-2</v>
      </c>
      <c r="Y613">
        <v>4.7005385608778497E-2</v>
      </c>
      <c r="Z613">
        <v>4.6742846397101703E-2</v>
      </c>
      <c r="AA613">
        <v>0</v>
      </c>
      <c r="AB613">
        <v>1.9138999283313751E-2</v>
      </c>
      <c r="AC613">
        <v>7.7999997301958501E-5</v>
      </c>
      <c r="AD613">
        <v>5.5689997971057892E-3</v>
      </c>
      <c r="AE613">
        <v>2.182000083848834E-3</v>
      </c>
      <c r="AF613">
        <f>0.16*X613 + 0.28*Y613 + 0.28*Z613 + 0.28*AA613</f>
        <v>2.9839343721929437E-2</v>
      </c>
      <c r="AG613">
        <f t="shared" si="27"/>
        <v>5.2543598512420431E-3</v>
      </c>
      <c r="AH613">
        <f>IF(T613="IT_Admin", 0.25, IF(AND(T613="HR", AA613&gt;0.6), 0.25, IF(AND(T613="General", Z613&gt;0.7), 0.2, 0.1)))</f>
        <v>0.1</v>
      </c>
      <c r="AI613">
        <f>IF(V613&gt;0.7, 0.1,
 IF(F613&gt;0.5, 0.08,
 IF(E613&gt;0.5, 0.05,
 0)))</f>
        <v>0</v>
      </c>
      <c r="AJ613">
        <f t="shared" si="28"/>
        <v>1.262985501244826E-2</v>
      </c>
      <c r="AK613">
        <f t="shared" si="29"/>
        <v>1.3892840513693086E-2</v>
      </c>
      <c r="AL613" t="str">
        <f>IF(MAX(X613, Y613, Z613, AA613)&gt;0.9,
 "Critical",
 IF(AK613&lt;=0.2,"Very Low",
 IF(AK613&lt;=0.4,"Low",
 IF(AK613&lt;=0.6,"Medium",
 IF(AK613&lt;=0.8,"High","Critical")))))</f>
        <v>Very Low</v>
      </c>
      <c r="AM613" t="str">
        <f>IF(MAX(X613:AA613)&gt;0.9,"CRITICAL ALERT",
 IF(AK613&gt;0.8,"CRITICAL ALERT",
 IF(AK613&gt;0.6,"ALERT",
 IF(AK613&gt;=0.4,"REVIEW","NO ACTION"))))</f>
        <v>NO ACTION</v>
      </c>
      <c r="AN613" t="str">
        <f>IF(AM613="NO ACTION","",
 IF(_xlfn.TEXTJOIN(", ", TRUE,
  IF(X613&gt;0.7,"Login anomaly",""),
  IF(Y613&gt;0.7,"File anomaly",""),
  IF(Z613&gt;0.7,"Network anomaly",""),
  IF(AA613&gt;0.7,"USB anomaly","")
 )="",
 "General anomaly detected",
 _xlfn.TEXTJOIN(", ", TRUE,
  IF(X613&gt;0.7,"Login anomaly",""),
  IF(Y613&gt;0.7,"File anomaly",""),
  IF(Z613&gt;0.7,"Network anomaly",""),
  IF(AA613&gt;0.7,"USB anomaly","")
 )))</f>
        <v/>
      </c>
    </row>
    <row r="614" spans="1:40" x14ac:dyDescent="0.3">
      <c r="A614" t="s">
        <v>637</v>
      </c>
      <c r="B614">
        <v>0.26086956521739102</v>
      </c>
      <c r="C614">
        <v>0.66877774498272702</v>
      </c>
      <c r="D614">
        <v>0.420382936425577</v>
      </c>
      <c r="E614">
        <v>0</v>
      </c>
      <c r="F614">
        <v>0</v>
      </c>
      <c r="G614">
        <v>0.418696158588861</v>
      </c>
      <c r="H614">
        <v>7</v>
      </c>
      <c r="I614">
        <v>17</v>
      </c>
      <c r="J614">
        <v>0.101712704546538</v>
      </c>
      <c r="K614">
        <v>9.7879282218597003E-3</v>
      </c>
      <c r="L614">
        <v>2.4523185548057401E-2</v>
      </c>
      <c r="M614">
        <v>1.44300144300144E-3</v>
      </c>
      <c r="N614">
        <v>8.55334547426264E-3</v>
      </c>
      <c r="O614">
        <v>968</v>
      </c>
      <c r="P614">
        <v>7.9685746352413003E-2</v>
      </c>
      <c r="Q614">
        <v>7.9841509169325697E-2</v>
      </c>
      <c r="R614">
        <v>0.68584070796460095</v>
      </c>
      <c r="S614">
        <v>1</v>
      </c>
      <c r="T614" t="s">
        <v>24</v>
      </c>
      <c r="U614">
        <v>3.3962264150943298E-2</v>
      </c>
      <c r="V614">
        <v>0</v>
      </c>
      <c r="W614">
        <v>0</v>
      </c>
      <c r="X614">
        <v>0.12611488092767301</v>
      </c>
      <c r="Y614">
        <v>3.5170137325615199E-2</v>
      </c>
      <c r="Z614">
        <v>5.1232786001152802E-2</v>
      </c>
      <c r="AA614">
        <v>0.68584070796460095</v>
      </c>
      <c r="AB614">
        <v>4.5292001217603677E-2</v>
      </c>
      <c r="AC614">
        <v>1.5500000154133889E-4</v>
      </c>
      <c r="AD614">
        <v>2.9800001066178079E-3</v>
      </c>
      <c r="AE614">
        <v>0.45921900868415833</v>
      </c>
      <c r="AF614">
        <f>0.16*X614 + 0.28*Y614 + 0.28*Z614 + 0.28*AA614</f>
        <v>0.23640659771001099</v>
      </c>
      <c r="AG614">
        <f t="shared" si="27"/>
        <v>0.13670584265666549</v>
      </c>
      <c r="AH614">
        <f>IF(T614="IT_Admin", 0.25, IF(AND(T614="HR", AA614&gt;0.6), 0.25, IF(AND(T614="General", Z614&gt;0.7), 0.2, 0.1)))</f>
        <v>0.25</v>
      </c>
      <c r="AI614">
        <f>IF(V614&gt;0.7, 0.1,
 IF(F614&gt;0.5, 0.08,
 IF(E614&gt;0.5, 0.05,
 0)))</f>
        <v>0</v>
      </c>
      <c r="AJ614">
        <f t="shared" si="28"/>
        <v>0.16661606917266913</v>
      </c>
      <c r="AK614">
        <f t="shared" si="29"/>
        <v>0.20827008646583642</v>
      </c>
      <c r="AL614" t="str">
        <f>IF(MAX(X614, Y614, Z614, AA614)&gt;0.9,
 "Critical",
 IF(AK614&lt;=0.2,"Very Low",
 IF(AK614&lt;=0.4,"Low",
 IF(AK614&lt;=0.6,"Medium",
 IF(AK614&lt;=0.8,"High","Critical")))))</f>
        <v>Low</v>
      </c>
      <c r="AM614" t="str">
        <f>IF(MAX(X614:AA614)&gt;0.9,"CRITICAL ALERT",
 IF(AK614&gt;0.8,"CRITICAL ALERT",
 IF(AK614&gt;0.6,"ALERT",
 IF(AK614&gt;=0.4,"REVIEW","NO ACTION"))))</f>
        <v>NO ACTION</v>
      </c>
      <c r="AN614" t="str">
        <f>IF(AM614="NO ACTION","",
 IF(_xlfn.TEXTJOIN(", ", TRUE,
  IF(X614&gt;0.7,"Login anomaly",""),
  IF(Y614&gt;0.7,"File anomaly",""),
  IF(Z614&gt;0.7,"Network anomaly",""),
  IF(AA614&gt;0.7,"USB anomaly","")
 )="",
 "General anomaly detected",
 _xlfn.TEXTJOIN(", ", TRUE,
  IF(X614&gt;0.7,"Login anomaly",""),
  IF(Y614&gt;0.7,"File anomaly",""),
  IF(Z614&gt;0.7,"Network anomaly",""),
  IF(AA614&gt;0.7,"USB anomaly","")
 )))</f>
        <v/>
      </c>
    </row>
    <row r="615" spans="1:40" x14ac:dyDescent="0.3">
      <c r="A615" t="s">
        <v>638</v>
      </c>
      <c r="B615">
        <v>0.12892249527410199</v>
      </c>
      <c r="C615">
        <v>0</v>
      </c>
      <c r="D615">
        <v>0</v>
      </c>
      <c r="E615">
        <v>0</v>
      </c>
      <c r="F615">
        <v>1</v>
      </c>
      <c r="G615">
        <v>0.99368646255784199</v>
      </c>
      <c r="H615">
        <v>6</v>
      </c>
      <c r="I615">
        <v>6</v>
      </c>
      <c r="J615">
        <v>8.9690377367491997E-2</v>
      </c>
      <c r="K615">
        <v>1.2234910277324601E-2</v>
      </c>
      <c r="L615">
        <v>3.4752020899336003E-2</v>
      </c>
      <c r="M615">
        <v>3.4632034632034602E-3</v>
      </c>
      <c r="N615">
        <v>2.3272359824083901E-2</v>
      </c>
      <c r="O615">
        <v>988</v>
      </c>
      <c r="P615">
        <v>7.2881593714927001E-2</v>
      </c>
      <c r="Q615">
        <v>7.3039026613836294E-2</v>
      </c>
      <c r="R615">
        <v>0</v>
      </c>
      <c r="S615">
        <v>0</v>
      </c>
      <c r="T615" t="s">
        <v>49</v>
      </c>
      <c r="U615">
        <v>1.9593613933236501E-2</v>
      </c>
      <c r="V615">
        <v>0</v>
      </c>
      <c r="W615">
        <v>0</v>
      </c>
      <c r="X615">
        <v>0.4</v>
      </c>
      <c r="Y615">
        <v>4.22957938703915E-2</v>
      </c>
      <c r="Z615">
        <v>5.30379001585898E-2</v>
      </c>
      <c r="AA615">
        <v>0</v>
      </c>
      <c r="AB615">
        <v>0.1190449967980385</v>
      </c>
      <c r="AC615">
        <v>9.9999997473787516E-5</v>
      </c>
      <c r="AD615">
        <v>4.1450001299381256E-3</v>
      </c>
      <c r="AE615">
        <v>4.6000001020729542E-5</v>
      </c>
      <c r="AF615">
        <f>0.16*X615 + 0.28*Y615 + 0.28*Z615 + 0.28*AA615</f>
        <v>9.0693434328114761E-2</v>
      </c>
      <c r="AG615">
        <f t="shared" si="27"/>
        <v>2.0248679523647301E-2</v>
      </c>
      <c r="AH615">
        <f>IF(T615="IT_Admin", 0.25, IF(AND(T615="HR", AA615&gt;0.6), 0.25, IF(AND(T615="General", Z615&gt;0.7), 0.2, 0.1)))</f>
        <v>0.1</v>
      </c>
      <c r="AI615">
        <f>IF(V615&gt;0.7, 0.1,
 IF(F615&gt;0.5, 0.08,
 IF(E615&gt;0.5, 0.05,
 0)))</f>
        <v>0.08</v>
      </c>
      <c r="AJ615">
        <f t="shared" si="28"/>
        <v>4.1382105964987537E-2</v>
      </c>
      <c r="AK615">
        <f t="shared" si="29"/>
        <v>4.8830885038685302E-2</v>
      </c>
      <c r="AL615" t="str">
        <f>IF(MAX(X615, Y615, Z615, AA615)&gt;0.9,
 "Critical",
 IF(AK615&lt;=0.2,"Very Low",
 IF(AK615&lt;=0.4,"Low",
 IF(AK615&lt;=0.6,"Medium",
 IF(AK615&lt;=0.8,"High","Critical")))))</f>
        <v>Very Low</v>
      </c>
      <c r="AM615" t="str">
        <f>IF(MAX(X615:AA615)&gt;0.9,"CRITICAL ALERT",
 IF(AK615&gt;0.8,"CRITICAL ALERT",
 IF(AK615&gt;0.6,"ALERT",
 IF(AK615&gt;=0.4,"REVIEW","NO ACTION"))))</f>
        <v>NO ACTION</v>
      </c>
      <c r="AN615" t="str">
        <f>IF(AM615="NO ACTION","",
 IF(_xlfn.TEXTJOIN(", ", TRUE,
  IF(X615&gt;0.7,"Login anomaly",""),
  IF(Y615&gt;0.7,"File anomaly",""),
  IF(Z615&gt;0.7,"Network anomaly",""),
  IF(AA615&gt;0.7,"USB anomaly","")
 )="",
 "General anomaly detected",
 _xlfn.TEXTJOIN(", ", TRUE,
  IF(X615&gt;0.7,"Login anomaly",""),
  IF(Y615&gt;0.7,"File anomaly",""),
  IF(Z615&gt;0.7,"Network anomaly",""),
  IF(AA615&gt;0.7,"USB anomaly","")
 )))</f>
        <v/>
      </c>
    </row>
    <row r="616" spans="1:40" x14ac:dyDescent="0.3">
      <c r="A616" t="s">
        <v>639</v>
      </c>
      <c r="B616">
        <v>0.24650283553875199</v>
      </c>
      <c r="C616">
        <v>0.62499293900555997</v>
      </c>
      <c r="D616">
        <v>0.39350855936892498</v>
      </c>
      <c r="E616">
        <v>0</v>
      </c>
      <c r="F616">
        <v>0</v>
      </c>
      <c r="G616">
        <v>0.45155843005378399</v>
      </c>
      <c r="H616">
        <v>7</v>
      </c>
      <c r="I616">
        <v>15</v>
      </c>
      <c r="J616">
        <v>9.0501407375602305E-2</v>
      </c>
      <c r="K616">
        <v>1.6313213703099499E-2</v>
      </c>
      <c r="L616">
        <v>4.59218783002091E-2</v>
      </c>
      <c r="M616">
        <v>2.8860028860028799E-3</v>
      </c>
      <c r="N616">
        <v>1.9220293668243099E-2</v>
      </c>
      <c r="O616">
        <v>892</v>
      </c>
      <c r="P616">
        <v>7.4950897867564495E-2</v>
      </c>
      <c r="Q616">
        <v>7.5107822854938805E-2</v>
      </c>
      <c r="R616">
        <v>0</v>
      </c>
      <c r="S616">
        <v>0</v>
      </c>
      <c r="T616" t="s">
        <v>49</v>
      </c>
      <c r="U616">
        <v>3.08747855917667E-2</v>
      </c>
      <c r="V616">
        <v>0</v>
      </c>
      <c r="W616">
        <v>0</v>
      </c>
      <c r="X616">
        <v>0.11805256781067699</v>
      </c>
      <c r="Y616">
        <v>4.6827308725698E-2</v>
      </c>
      <c r="Z616">
        <v>5.2658656187836002E-2</v>
      </c>
      <c r="AA616">
        <v>0</v>
      </c>
      <c r="AB616">
        <v>3.0045999214053151E-2</v>
      </c>
      <c r="AC616">
        <v>2.9000000722589899E-5</v>
      </c>
      <c r="AD616">
        <v>3.6359999794512991E-3</v>
      </c>
      <c r="AE616">
        <v>7.9579995945096016E-3</v>
      </c>
      <c r="AF616">
        <f>0.16*X616 + 0.28*Y616 + 0.28*Z616 + 0.28*AA616</f>
        <v>4.6744481025497844E-2</v>
      </c>
      <c r="AG616">
        <f t="shared" si="27"/>
        <v>8.0617997551598822E-3</v>
      </c>
      <c r="AH616">
        <f>IF(T616="IT_Admin", 0.25, IF(AND(T616="HR", AA616&gt;0.6), 0.25, IF(AND(T616="General", Z616&gt;0.7), 0.2, 0.1)))</f>
        <v>0.1</v>
      </c>
      <c r="AI616">
        <f>IF(V616&gt;0.7, 0.1,
 IF(F616&gt;0.5, 0.08,
 IF(E616&gt;0.5, 0.05,
 0)))</f>
        <v>0</v>
      </c>
      <c r="AJ616">
        <f t="shared" si="28"/>
        <v>1.966660413626127E-2</v>
      </c>
      <c r="AK616">
        <f t="shared" si="29"/>
        <v>2.1633264549887399E-2</v>
      </c>
      <c r="AL616" t="str">
        <f>IF(MAX(X616, Y616, Z616, AA616)&gt;0.9,
 "Critical",
 IF(AK616&lt;=0.2,"Very Low",
 IF(AK616&lt;=0.4,"Low",
 IF(AK616&lt;=0.6,"Medium",
 IF(AK616&lt;=0.8,"High","Critical")))))</f>
        <v>Very Low</v>
      </c>
      <c r="AM616" t="str">
        <f>IF(MAX(X616:AA616)&gt;0.9,"CRITICAL ALERT",
 IF(AK616&gt;0.8,"CRITICAL ALERT",
 IF(AK616&gt;0.6,"ALERT",
 IF(AK616&gt;=0.4,"REVIEW","NO ACTION"))))</f>
        <v>NO ACTION</v>
      </c>
      <c r="AN616" t="str">
        <f>IF(AM616="NO ACTION","",
 IF(_xlfn.TEXTJOIN(", ", TRUE,
  IF(X616&gt;0.7,"Login anomaly",""),
  IF(Y616&gt;0.7,"File anomaly",""),
  IF(Z616&gt;0.7,"Network anomaly",""),
  IF(AA616&gt;0.7,"USB anomaly","")
 )="",
 "General anomaly detected",
 _xlfn.TEXTJOIN(", ", TRUE,
  IF(X616&gt;0.7,"Login anomaly",""),
  IF(Y616&gt;0.7,"File anomaly",""),
  IF(Z616&gt;0.7,"Network anomaly",""),
  IF(AA616&gt;0.7,"USB anomaly","")
 )))</f>
        <v/>
      </c>
    </row>
    <row r="617" spans="1:40" x14ac:dyDescent="0.3">
      <c r="A617" t="s">
        <v>640</v>
      </c>
      <c r="B617">
        <v>0.12892249527410199</v>
      </c>
      <c r="C617">
        <v>0.27848762186071102</v>
      </c>
      <c r="D617">
        <v>7.5124914167671697E-2</v>
      </c>
      <c r="E617">
        <v>0</v>
      </c>
      <c r="F617">
        <v>0</v>
      </c>
      <c r="G617">
        <v>0.99366232260349796</v>
      </c>
      <c r="H617">
        <v>7</v>
      </c>
      <c r="I617">
        <v>8</v>
      </c>
      <c r="J617">
        <v>7.8717618434234998E-2</v>
      </c>
      <c r="K617">
        <v>1.38662316476345E-2</v>
      </c>
      <c r="L617">
        <v>4.4859154470059302E-2</v>
      </c>
      <c r="M617">
        <v>3.4632034632034602E-3</v>
      </c>
      <c r="N617">
        <v>2.6506585056433898E-2</v>
      </c>
      <c r="O617">
        <v>831</v>
      </c>
      <c r="P617">
        <v>6.5516273849607107E-2</v>
      </c>
      <c r="Q617">
        <v>6.5675514569234497E-2</v>
      </c>
      <c r="R617">
        <v>0</v>
      </c>
      <c r="S617">
        <v>0</v>
      </c>
      <c r="T617" t="s">
        <v>49</v>
      </c>
      <c r="U617">
        <v>2.2206095791001398E-2</v>
      </c>
      <c r="V617">
        <v>0</v>
      </c>
      <c r="W617">
        <v>0</v>
      </c>
      <c r="X617">
        <v>2.25374742503015E-2</v>
      </c>
      <c r="Y617">
        <v>4.6125076438806797E-2</v>
      </c>
      <c r="Z617">
        <v>4.9912398332337897E-2</v>
      </c>
      <c r="AA617">
        <v>0</v>
      </c>
      <c r="AB617">
        <v>1.8417000770568851E-2</v>
      </c>
      <c r="AC617">
        <v>8.1999998656101525E-5</v>
      </c>
      <c r="AD617">
        <v>4.8549999482929707E-3</v>
      </c>
      <c r="AE617">
        <v>2.2309999912977219E-3</v>
      </c>
      <c r="AF617">
        <f>0.16*X617 + 0.28*Y617 + 0.28*Z617 + 0.28*AA617</f>
        <v>3.0496488815968753E-2</v>
      </c>
      <c r="AG617">
        <f t="shared" si="27"/>
        <v>4.953760106000119E-3</v>
      </c>
      <c r="AH617">
        <f>IF(T617="IT_Admin", 0.25, IF(AND(T617="HR", AA617&gt;0.6), 0.25, IF(AND(T617="General", Z617&gt;0.7), 0.2, 0.1)))</f>
        <v>0.1</v>
      </c>
      <c r="AI617">
        <f>IF(V617&gt;0.7, 0.1,
 IF(F617&gt;0.5, 0.08,
 IF(E617&gt;0.5, 0.05,
 0)))</f>
        <v>0</v>
      </c>
      <c r="AJ617">
        <f t="shared" si="28"/>
        <v>1.2616578718990709E-2</v>
      </c>
      <c r="AK617">
        <f t="shared" si="29"/>
        <v>1.387823659088978E-2</v>
      </c>
      <c r="AL617" t="str">
        <f>IF(MAX(X617, Y617, Z617, AA617)&gt;0.9,
 "Critical",
 IF(AK617&lt;=0.2,"Very Low",
 IF(AK617&lt;=0.4,"Low",
 IF(AK617&lt;=0.6,"Medium",
 IF(AK617&lt;=0.8,"High","Critical")))))</f>
        <v>Very Low</v>
      </c>
      <c r="AM617" t="str">
        <f>IF(MAX(X617:AA617)&gt;0.9,"CRITICAL ALERT",
 IF(AK617&gt;0.8,"CRITICAL ALERT",
 IF(AK617&gt;0.6,"ALERT",
 IF(AK617&gt;=0.4,"REVIEW","NO ACTION"))))</f>
        <v>NO ACTION</v>
      </c>
      <c r="AN617" t="str">
        <f>IF(AM617="NO ACTION","",
 IF(_xlfn.TEXTJOIN(", ", TRUE,
  IF(X617&gt;0.7,"Login anomaly",""),
  IF(Y617&gt;0.7,"File anomaly",""),
  IF(Z617&gt;0.7,"Network anomaly",""),
  IF(AA617&gt;0.7,"USB anomaly","")
 )="",
 "General anomaly detected",
 _xlfn.TEXTJOIN(", ", TRUE,
  IF(X617&gt;0.7,"Login anomaly",""),
  IF(Y617&gt;0.7,"File anomaly",""),
  IF(Z617&gt;0.7,"Network anomaly",""),
  IF(AA617&gt;0.7,"USB anomaly","")
 )))</f>
        <v/>
      </c>
    </row>
    <row r="618" spans="1:40" x14ac:dyDescent="0.3">
      <c r="A618" t="s">
        <v>641</v>
      </c>
      <c r="B618">
        <v>0.12892249527410199</v>
      </c>
      <c r="C618">
        <v>0.27795206874174799</v>
      </c>
      <c r="D618">
        <v>7.5129964412319103E-2</v>
      </c>
      <c r="E618">
        <v>0</v>
      </c>
      <c r="F618">
        <v>0</v>
      </c>
      <c r="G618">
        <v>0.99366754132976898</v>
      </c>
      <c r="H618">
        <v>7</v>
      </c>
      <c r="I618">
        <v>8</v>
      </c>
      <c r="J618">
        <v>0.102762272792328</v>
      </c>
      <c r="K618">
        <v>2.2022838499184301E-2</v>
      </c>
      <c r="L618">
        <v>5.46149175134076E-2</v>
      </c>
      <c r="M618">
        <v>1.1544011544011501E-3</v>
      </c>
      <c r="N618">
        <v>6.77295017267226E-3</v>
      </c>
      <c r="O618">
        <v>1129</v>
      </c>
      <c r="P618">
        <v>8.5578002244668896E-2</v>
      </c>
      <c r="Q618">
        <v>8.5732318805007104E-2</v>
      </c>
      <c r="R618">
        <v>0</v>
      </c>
      <c r="S618">
        <v>0</v>
      </c>
      <c r="T618" t="s">
        <v>24</v>
      </c>
      <c r="U618">
        <v>9.1698113207547102E-2</v>
      </c>
      <c r="V618">
        <v>0</v>
      </c>
      <c r="W618">
        <v>0</v>
      </c>
      <c r="X618">
        <v>2.2538989323695701E-2</v>
      </c>
      <c r="Y618">
        <v>4.9891798366971198E-2</v>
      </c>
      <c r="Z618">
        <v>5.4055981415870202E-2</v>
      </c>
      <c r="AA618">
        <v>0</v>
      </c>
      <c r="AB618">
        <v>1.8459999933838841E-2</v>
      </c>
      <c r="AC618">
        <v>1.1180000146850939E-3</v>
      </c>
      <c r="AD618">
        <v>3.0700000934302811E-3</v>
      </c>
      <c r="AE618">
        <v>1.3269999762997029E-3</v>
      </c>
      <c r="AF618">
        <f>0.16*X618 + 0.28*Y618 + 0.28*Z618 + 0.28*AA618</f>
        <v>3.2711616630986907E-2</v>
      </c>
      <c r="AG618">
        <f t="shared" si="27"/>
        <v>4.4978000130504363E-3</v>
      </c>
      <c r="AH618">
        <f>IF(T618="IT_Admin", 0.25, IF(AND(T618="HR", AA618&gt;0.6), 0.25, IF(AND(T618="General", Z618&gt;0.7), 0.2, 0.1)))</f>
        <v>0.25</v>
      </c>
      <c r="AI618">
        <f>IF(V618&gt;0.7, 0.1,
 IF(F618&gt;0.5, 0.08,
 IF(E618&gt;0.5, 0.05,
 0)))</f>
        <v>0</v>
      </c>
      <c r="AJ618">
        <f t="shared" si="28"/>
        <v>1.2961944998431377E-2</v>
      </c>
      <c r="AK618">
        <f t="shared" si="29"/>
        <v>1.6202431248039221E-2</v>
      </c>
      <c r="AL618" t="str">
        <f>IF(MAX(X618, Y618, Z618, AA618)&gt;0.9,
 "Critical",
 IF(AK618&lt;=0.2,"Very Low",
 IF(AK618&lt;=0.4,"Low",
 IF(AK618&lt;=0.6,"Medium",
 IF(AK618&lt;=0.8,"High","Critical")))))</f>
        <v>Very Low</v>
      </c>
      <c r="AM618" t="str">
        <f>IF(MAX(X618:AA618)&gt;0.9,"CRITICAL ALERT",
 IF(AK618&gt;0.8,"CRITICAL ALERT",
 IF(AK618&gt;0.6,"ALERT",
 IF(AK618&gt;=0.4,"REVIEW","NO ACTION"))))</f>
        <v>NO ACTION</v>
      </c>
      <c r="AN618" t="str">
        <f>IF(AM618="NO ACTION","",
 IF(_xlfn.TEXTJOIN(", ", TRUE,
  IF(X618&gt;0.7,"Login anomaly",""),
  IF(Y618&gt;0.7,"File anomaly",""),
  IF(Z618&gt;0.7,"Network anomaly",""),
  IF(AA618&gt;0.7,"USB anomaly","")
 )="",
 "General anomaly detected",
 _xlfn.TEXTJOIN(", ", TRUE,
  IF(X618&gt;0.7,"Login anomaly",""),
  IF(Y618&gt;0.7,"File anomaly",""),
  IF(Z618&gt;0.7,"Network anomaly",""),
  IF(AA618&gt;0.7,"USB anomaly","")
 )))</f>
        <v/>
      </c>
    </row>
    <row r="619" spans="1:40" x14ac:dyDescent="0.3">
      <c r="A619" t="s">
        <v>642</v>
      </c>
      <c r="B619">
        <v>0.26086956521739102</v>
      </c>
      <c r="C619">
        <v>0.72175814755102496</v>
      </c>
      <c r="D619">
        <v>0.39600197378580998</v>
      </c>
      <c r="E619">
        <v>0</v>
      </c>
      <c r="F619">
        <v>0</v>
      </c>
      <c r="G619">
        <v>0.41841494588144701</v>
      </c>
      <c r="H619">
        <v>7</v>
      </c>
      <c r="I619">
        <v>17</v>
      </c>
      <c r="J619">
        <v>9.0358284432994596E-2</v>
      </c>
      <c r="K619">
        <v>1.30505709624796E-2</v>
      </c>
      <c r="L619">
        <v>3.6795539769140698E-2</v>
      </c>
      <c r="M619">
        <v>4.0404040404040404E-3</v>
      </c>
      <c r="N619">
        <v>2.6950920473827199E-2</v>
      </c>
      <c r="O619">
        <v>842</v>
      </c>
      <c r="P619">
        <v>7.4003928170594799E-2</v>
      </c>
      <c r="Q619">
        <v>7.4161085592061401E-2</v>
      </c>
      <c r="R619">
        <v>0</v>
      </c>
      <c r="S619">
        <v>0</v>
      </c>
      <c r="T619" t="s">
        <v>49</v>
      </c>
      <c r="U619">
        <v>1.8113207547169798E-2</v>
      </c>
      <c r="V619">
        <v>0</v>
      </c>
      <c r="W619">
        <v>0</v>
      </c>
      <c r="X619">
        <v>0.118800592135743</v>
      </c>
      <c r="Y619">
        <v>4.4554702913317402E-2</v>
      </c>
      <c r="Z619">
        <v>5.5182725091887798E-2</v>
      </c>
      <c r="AA619">
        <v>0</v>
      </c>
      <c r="AB619">
        <v>4.8680998384952552E-2</v>
      </c>
      <c r="AC619">
        <v>1.4699999883305279E-4</v>
      </c>
      <c r="AD619">
        <v>3.5220000427216291E-3</v>
      </c>
      <c r="AE619">
        <v>8.8860001415014267E-3</v>
      </c>
      <c r="AF619">
        <f>0.16*X619 + 0.28*Y619 + 0.28*Z619 + 0.28*AA619</f>
        <v>4.693457458317634E-2</v>
      </c>
      <c r="AG619">
        <f t="shared" si="27"/>
        <v>1.1304359792848119E-2</v>
      </c>
      <c r="AH619">
        <f>IF(T619="IT_Admin", 0.25, IF(AND(T619="HR", AA619&gt;0.6), 0.25, IF(AND(T619="General", Z619&gt;0.7), 0.2, 0.1)))</f>
        <v>0.1</v>
      </c>
      <c r="AI619">
        <f>IF(V619&gt;0.7, 0.1,
 IF(F619&gt;0.5, 0.08,
 IF(E619&gt;0.5, 0.05,
 0)))</f>
        <v>0</v>
      </c>
      <c r="AJ619">
        <f t="shared" si="28"/>
        <v>2.1993424229946584E-2</v>
      </c>
      <c r="AK619">
        <f t="shared" si="29"/>
        <v>2.4192766652941244E-2</v>
      </c>
      <c r="AL619" t="str">
        <f>IF(MAX(X619, Y619, Z619, AA619)&gt;0.9,
 "Critical",
 IF(AK619&lt;=0.2,"Very Low",
 IF(AK619&lt;=0.4,"Low",
 IF(AK619&lt;=0.6,"Medium",
 IF(AK619&lt;=0.8,"High","Critical")))))</f>
        <v>Very Low</v>
      </c>
      <c r="AM619" t="str">
        <f>IF(MAX(X619:AA619)&gt;0.9,"CRITICAL ALERT",
 IF(AK619&gt;0.8,"CRITICAL ALERT",
 IF(AK619&gt;0.6,"ALERT",
 IF(AK619&gt;=0.4,"REVIEW","NO ACTION"))))</f>
        <v>NO ACTION</v>
      </c>
      <c r="AN619" t="str">
        <f>IF(AM619="NO ACTION","",
 IF(_xlfn.TEXTJOIN(", ", TRUE,
  IF(X619&gt;0.7,"Login anomaly",""),
  IF(Y619&gt;0.7,"File anomaly",""),
  IF(Z619&gt;0.7,"Network anomaly",""),
  IF(AA619&gt;0.7,"USB anomaly","")
 )="",
 "General anomaly detected",
 _xlfn.TEXTJOIN(", ", TRUE,
  IF(X619&gt;0.7,"Login anomaly",""),
  IF(Y619&gt;0.7,"File anomaly",""),
  IF(Z619&gt;0.7,"Network anomaly",""),
  IF(AA619&gt;0.7,"USB anomaly","")
 )))</f>
        <v/>
      </c>
    </row>
    <row r="620" spans="1:40" x14ac:dyDescent="0.3">
      <c r="A620" t="s">
        <v>643</v>
      </c>
      <c r="B620">
        <v>0.12892249527410199</v>
      </c>
      <c r="C620">
        <v>0.18476582604220201</v>
      </c>
      <c r="D620">
        <v>0</v>
      </c>
      <c r="E620">
        <v>0</v>
      </c>
      <c r="F620">
        <v>0</v>
      </c>
      <c r="G620">
        <v>0.99367899576486896</v>
      </c>
      <c r="H620">
        <v>7</v>
      </c>
      <c r="I620">
        <v>7</v>
      </c>
      <c r="J620">
        <v>9.9804398645102793E-2</v>
      </c>
      <c r="K620">
        <v>6.5252854812398002E-3</v>
      </c>
      <c r="L620">
        <v>1.6660641397615202E-2</v>
      </c>
      <c r="M620">
        <v>2.0202020202020202E-3</v>
      </c>
      <c r="N620">
        <v>1.22030991845011E-2</v>
      </c>
      <c r="O620">
        <v>935</v>
      </c>
      <c r="P620">
        <v>7.7160493827160503E-2</v>
      </c>
      <c r="Q620">
        <v>7.7316876468319307E-2</v>
      </c>
      <c r="R620">
        <v>0</v>
      </c>
      <c r="S620">
        <v>0</v>
      </c>
      <c r="T620" t="s">
        <v>24</v>
      </c>
      <c r="U620">
        <v>1.6981132075471601E-2</v>
      </c>
      <c r="V620">
        <v>0</v>
      </c>
      <c r="W620">
        <v>0</v>
      </c>
      <c r="X620">
        <v>0</v>
      </c>
      <c r="Y620">
        <v>3.1952130183178502E-2</v>
      </c>
      <c r="Z620">
        <v>5.1177535970096701E-2</v>
      </c>
      <c r="AA620">
        <v>0</v>
      </c>
      <c r="AB620">
        <v>3.6586999893188477E-2</v>
      </c>
      <c r="AC620">
        <v>4.3099999311380088E-4</v>
      </c>
      <c r="AD620">
        <v>3.8419999182224269E-3</v>
      </c>
      <c r="AE620">
        <v>1.361000002361834E-3</v>
      </c>
      <c r="AF620">
        <f>0.16*X620 + 0.28*Y620 + 0.28*Z620 + 0.28*AA620</f>
        <v>2.327630652291706E-2</v>
      </c>
      <c r="AG620">
        <f t="shared" si="27"/>
        <v>7.4314399587456139E-3</v>
      </c>
      <c r="AH620">
        <f>IF(T620="IT_Admin", 0.25, IF(AND(T620="HR", AA620&gt;0.6), 0.25, IF(AND(T620="General", Z620&gt;0.7), 0.2, 0.1)))</f>
        <v>0.25</v>
      </c>
      <c r="AI620">
        <f>IF(V620&gt;0.7, 0.1,
 IF(F620&gt;0.5, 0.08,
 IF(E620&gt;0.5, 0.05,
 0)))</f>
        <v>0</v>
      </c>
      <c r="AJ620">
        <f t="shared" si="28"/>
        <v>1.2184899927997046E-2</v>
      </c>
      <c r="AK620">
        <f t="shared" si="29"/>
        <v>1.5231124909996308E-2</v>
      </c>
      <c r="AL620" t="str">
        <f>IF(MAX(X620, Y620, Z620, AA620)&gt;0.9,
 "Critical",
 IF(AK620&lt;=0.2,"Very Low",
 IF(AK620&lt;=0.4,"Low",
 IF(AK620&lt;=0.6,"Medium",
 IF(AK620&lt;=0.8,"High","Critical")))))</f>
        <v>Very Low</v>
      </c>
      <c r="AM620" t="str">
        <f>IF(MAX(X620:AA620)&gt;0.9,"CRITICAL ALERT",
 IF(AK620&gt;0.8,"CRITICAL ALERT",
 IF(AK620&gt;0.6,"ALERT",
 IF(AK620&gt;=0.4,"REVIEW","NO ACTION"))))</f>
        <v>NO ACTION</v>
      </c>
      <c r="AN620" t="str">
        <f>IF(AM620="NO ACTION","",
 IF(_xlfn.TEXTJOIN(", ", TRUE,
  IF(X620&gt;0.7,"Login anomaly",""),
  IF(Y620&gt;0.7,"File anomaly",""),
  IF(Z620&gt;0.7,"Network anomaly",""),
  IF(AA620&gt;0.7,"USB anomaly","")
 )="",
 "General anomaly detected",
 _xlfn.TEXTJOIN(", ", TRUE,
  IF(X620&gt;0.7,"Login anomaly",""),
  IF(Y620&gt;0.7,"File anomaly",""),
  IF(Z620&gt;0.7,"Network anomaly",""),
  IF(AA620&gt;0.7,"USB anomaly","")
 )))</f>
        <v/>
      </c>
    </row>
    <row r="621" spans="1:40" x14ac:dyDescent="0.3">
      <c r="A621" t="s">
        <v>644</v>
      </c>
      <c r="B621">
        <v>0.248393194706994</v>
      </c>
      <c r="C621">
        <v>0.57693897874599998</v>
      </c>
      <c r="D621">
        <v>0.40503079147390503</v>
      </c>
      <c r="E621">
        <v>0.13783829214994101</v>
      </c>
      <c r="F621">
        <v>1.81543116490166E-2</v>
      </c>
      <c r="G621">
        <v>0.44693790389364801</v>
      </c>
      <c r="H621">
        <v>0</v>
      </c>
      <c r="I621">
        <v>22</v>
      </c>
      <c r="J621">
        <v>9.3506989170363999E-2</v>
      </c>
      <c r="K621">
        <v>2.8548123980424101E-2</v>
      </c>
      <c r="L621">
        <v>7.7786754158903904E-2</v>
      </c>
      <c r="M621">
        <v>8.3694083694083703E-3</v>
      </c>
      <c r="N621">
        <v>5.3951804486155601E-2</v>
      </c>
      <c r="O621">
        <v>824</v>
      </c>
      <c r="P621">
        <v>8.5086980920314206E-2</v>
      </c>
      <c r="Q621">
        <v>8.5241418002033706E-2</v>
      </c>
      <c r="R621">
        <v>1.4749262536873101E-2</v>
      </c>
      <c r="S621">
        <v>1</v>
      </c>
      <c r="T621" t="s">
        <v>49</v>
      </c>
      <c r="U621">
        <v>1.98113207547169E-2</v>
      </c>
      <c r="V621">
        <v>0</v>
      </c>
      <c r="W621">
        <v>4.6083957050717599E-2</v>
      </c>
      <c r="X621">
        <v>0.17012244974676</v>
      </c>
      <c r="Y621">
        <v>7.3780316259371398E-2</v>
      </c>
      <c r="Z621">
        <v>7.26329103466508E-2</v>
      </c>
      <c r="AA621">
        <v>1.4749262536873101E-2</v>
      </c>
      <c r="AB621">
        <v>0.12960100173950201</v>
      </c>
      <c r="AC621">
        <v>1.1769999982789161E-3</v>
      </c>
      <c r="AD621">
        <v>1.7249999800696969E-3</v>
      </c>
      <c r="AE621">
        <v>6.9798000156879425E-2</v>
      </c>
      <c r="AF621">
        <f>0.16*X621 + 0.28*Y621 + 0.28*Z621 + 0.28*AA621</f>
        <v>7.234508891949229E-2</v>
      </c>
      <c r="AG621">
        <f t="shared" si="27"/>
        <v>4.1092160316184179E-2</v>
      </c>
      <c r="AH621">
        <f>IF(T621="IT_Admin", 0.25, IF(AND(T621="HR", AA621&gt;0.6), 0.25, IF(AND(T621="General", Z621&gt;0.7), 0.2, 0.1)))</f>
        <v>0.1</v>
      </c>
      <c r="AI621">
        <f>IF(V621&gt;0.7, 0.1,
 IF(F621&gt;0.5, 0.08,
 IF(E621&gt;0.5, 0.05,
 0)))</f>
        <v>0</v>
      </c>
      <c r="AJ621">
        <f t="shared" si="28"/>
        <v>5.0468038897176611E-2</v>
      </c>
      <c r="AK621">
        <f t="shared" si="29"/>
        <v>5.5514842786894274E-2</v>
      </c>
      <c r="AL621" t="str">
        <f>IF(MAX(X621, Y621, Z621, AA621)&gt;0.9,
 "Critical",
 IF(AK621&lt;=0.2,"Very Low",
 IF(AK621&lt;=0.4,"Low",
 IF(AK621&lt;=0.6,"Medium",
 IF(AK621&lt;=0.8,"High","Critical")))))</f>
        <v>Very Low</v>
      </c>
      <c r="AM621" t="str">
        <f>IF(MAX(X621:AA621)&gt;0.9,"CRITICAL ALERT",
 IF(AK621&gt;0.8,"CRITICAL ALERT",
 IF(AK621&gt;0.6,"ALERT",
 IF(AK621&gt;=0.4,"REVIEW","NO ACTION"))))</f>
        <v>NO ACTION</v>
      </c>
      <c r="AN621" t="str">
        <f>IF(AM621="NO ACTION","",
 IF(_xlfn.TEXTJOIN(", ", TRUE,
  IF(X621&gt;0.7,"Login anomaly",""),
  IF(Y621&gt;0.7,"File anomaly",""),
  IF(Z621&gt;0.7,"Network anomaly",""),
  IF(AA621&gt;0.7,"USB anomaly","")
 )="",
 "General anomaly detected",
 _xlfn.TEXTJOIN(", ", TRUE,
  IF(X621&gt;0.7,"Login anomaly",""),
  IF(Y621&gt;0.7,"File anomaly",""),
  IF(Z621&gt;0.7,"Network anomaly",""),
  IF(AA621&gt;0.7,"USB anomaly","")
 )))</f>
        <v/>
      </c>
    </row>
    <row r="622" spans="1:40" x14ac:dyDescent="0.3">
      <c r="A622" t="s">
        <v>645</v>
      </c>
      <c r="B622">
        <v>0.12892249527410199</v>
      </c>
      <c r="C622">
        <v>0.18476582604220201</v>
      </c>
      <c r="D622">
        <v>0</v>
      </c>
      <c r="E622">
        <v>0</v>
      </c>
      <c r="F622">
        <v>0</v>
      </c>
      <c r="G622">
        <v>0.99369532101115499</v>
      </c>
      <c r="H622">
        <v>7</v>
      </c>
      <c r="I622">
        <v>7</v>
      </c>
      <c r="J622">
        <v>9.0453699728066397E-2</v>
      </c>
      <c r="K622">
        <v>8.1566068515497494E-3</v>
      </c>
      <c r="L622">
        <v>2.2973017497895199E-2</v>
      </c>
      <c r="M622">
        <v>3.7518037518037501E-3</v>
      </c>
      <c r="N622">
        <v>2.49995255781683E-2</v>
      </c>
      <c r="O622">
        <v>885</v>
      </c>
      <c r="P622">
        <v>7.1829405162738502E-2</v>
      </c>
      <c r="Q622">
        <v>7.1987096321750405E-2</v>
      </c>
      <c r="R622">
        <v>0</v>
      </c>
      <c r="S622">
        <v>0</v>
      </c>
      <c r="T622" t="s">
        <v>49</v>
      </c>
      <c r="U622">
        <v>1.21293800539083E-2</v>
      </c>
      <c r="V622">
        <v>0</v>
      </c>
      <c r="W622">
        <v>0</v>
      </c>
      <c r="X622">
        <v>0</v>
      </c>
      <c r="Y622">
        <v>3.7077106368011398E-2</v>
      </c>
      <c r="Z622">
        <v>5.3097453328910402E-2</v>
      </c>
      <c r="AA622">
        <v>0</v>
      </c>
      <c r="AB622">
        <v>3.6651000380516052E-2</v>
      </c>
      <c r="AC622">
        <v>3.5399998887442052E-4</v>
      </c>
      <c r="AD622">
        <v>4.1579999960958958E-3</v>
      </c>
      <c r="AE622">
        <v>1.641000038944185E-3</v>
      </c>
      <c r="AF622">
        <f>0.16*X622 + 0.28*Y622 + 0.28*Z622 + 0.28*AA622</f>
        <v>2.5248876715138105E-2</v>
      </c>
      <c r="AG622">
        <f t="shared" si="27"/>
        <v>7.5870000675786293E-3</v>
      </c>
      <c r="AH622">
        <f>IF(T622="IT_Admin", 0.25, IF(AND(T622="HR", AA622&gt;0.6), 0.25, IF(AND(T622="General", Z622&gt;0.7), 0.2, 0.1)))</f>
        <v>0.1</v>
      </c>
      <c r="AI622">
        <f>IF(V622&gt;0.7, 0.1,
 IF(F622&gt;0.5, 0.08,
 IF(E622&gt;0.5, 0.05,
 0)))</f>
        <v>0</v>
      </c>
      <c r="AJ622">
        <f t="shared" si="28"/>
        <v>1.2885563061846472E-2</v>
      </c>
      <c r="AK622">
        <f t="shared" si="29"/>
        <v>1.417411936803112E-2</v>
      </c>
      <c r="AL622" t="str">
        <f>IF(MAX(X622, Y622, Z622, AA622)&gt;0.9,
 "Critical",
 IF(AK622&lt;=0.2,"Very Low",
 IF(AK622&lt;=0.4,"Low",
 IF(AK622&lt;=0.6,"Medium",
 IF(AK622&lt;=0.8,"High","Critical")))))</f>
        <v>Very Low</v>
      </c>
      <c r="AM622" t="str">
        <f>IF(MAX(X622:AA622)&gt;0.9,"CRITICAL ALERT",
 IF(AK622&gt;0.8,"CRITICAL ALERT",
 IF(AK622&gt;0.6,"ALERT",
 IF(AK622&gt;=0.4,"REVIEW","NO ACTION"))))</f>
        <v>NO ACTION</v>
      </c>
      <c r="AN622" t="str">
        <f>IF(AM622="NO ACTION","",
 IF(_xlfn.TEXTJOIN(", ", TRUE,
  IF(X622&gt;0.7,"Login anomaly",""),
  IF(Y622&gt;0.7,"File anomaly",""),
  IF(Z622&gt;0.7,"Network anomaly",""),
  IF(AA622&gt;0.7,"USB anomaly","")
 )="",
 "General anomaly detected",
 _xlfn.TEXTJOIN(", ", TRUE,
  IF(X622&gt;0.7,"Login anomaly",""),
  IF(Y622&gt;0.7,"File anomaly",""),
  IF(Z622&gt;0.7,"Network anomaly",""),
  IF(AA622&gt;0.7,"USB anomaly","")
 )))</f>
        <v/>
      </c>
    </row>
    <row r="623" spans="1:40" x14ac:dyDescent="0.3">
      <c r="A623" t="s">
        <v>646</v>
      </c>
      <c r="B623">
        <v>0.12892249527410199</v>
      </c>
      <c r="C623">
        <v>0.18476582604220201</v>
      </c>
      <c r="D623">
        <v>0</v>
      </c>
      <c r="E623">
        <v>0</v>
      </c>
      <c r="F623">
        <v>0</v>
      </c>
      <c r="G623">
        <v>0.99368726543880703</v>
      </c>
      <c r="H623">
        <v>7</v>
      </c>
      <c r="I623">
        <v>7</v>
      </c>
      <c r="J623">
        <v>9.4031773293258902E-2</v>
      </c>
      <c r="K623">
        <v>1.4681892332789499E-2</v>
      </c>
      <c r="L623">
        <v>3.9781918661082001E-2</v>
      </c>
      <c r="M623">
        <v>8.6580086580086504E-4</v>
      </c>
      <c r="N623">
        <v>5.5501516027831798E-3</v>
      </c>
      <c r="O623">
        <v>943</v>
      </c>
      <c r="P623">
        <v>7.5862794612794604E-2</v>
      </c>
      <c r="Q623">
        <v>7.6019495774746607E-2</v>
      </c>
      <c r="R623">
        <v>0</v>
      </c>
      <c r="S623">
        <v>0</v>
      </c>
      <c r="T623" t="s">
        <v>49</v>
      </c>
      <c r="U623">
        <v>7.6415094339622597E-2</v>
      </c>
      <c r="V623">
        <v>0</v>
      </c>
      <c r="W623">
        <v>0</v>
      </c>
      <c r="X623">
        <v>0</v>
      </c>
      <c r="Y623">
        <v>4.0362359470027698E-2</v>
      </c>
      <c r="Z623">
        <v>4.7737737408789997E-2</v>
      </c>
      <c r="AA623">
        <v>0</v>
      </c>
      <c r="AB623">
        <v>3.6612000316381448E-2</v>
      </c>
      <c r="AC623">
        <v>5.9800001326948404E-4</v>
      </c>
      <c r="AD623">
        <v>4.1550002060830593E-3</v>
      </c>
      <c r="AE623">
        <v>1.3849999522790311E-3</v>
      </c>
      <c r="AF623">
        <f>0.16*X623 + 0.28*Y623 + 0.28*Z623 + 0.28*AA623</f>
        <v>2.4668027126068956E-2</v>
      </c>
      <c r="AG623">
        <f t="shared" si="27"/>
        <v>7.5765600986778727E-3</v>
      </c>
      <c r="AH623">
        <f>IF(T623="IT_Admin", 0.25, IF(AND(T623="HR", AA623&gt;0.6), 0.25, IF(AND(T623="General", Z623&gt;0.7), 0.2, 0.1)))</f>
        <v>0.1</v>
      </c>
      <c r="AI623">
        <f>IF(V623&gt;0.7, 0.1,
 IF(F623&gt;0.5, 0.08,
 IF(E623&gt;0.5, 0.05,
 0)))</f>
        <v>0</v>
      </c>
      <c r="AJ623">
        <f t="shared" si="28"/>
        <v>1.2704000206895195E-2</v>
      </c>
      <c r="AK623">
        <f t="shared" si="29"/>
        <v>1.3974400227584716E-2</v>
      </c>
      <c r="AL623" t="str">
        <f>IF(MAX(X623, Y623, Z623, AA623)&gt;0.9,
 "Critical",
 IF(AK623&lt;=0.2,"Very Low",
 IF(AK623&lt;=0.4,"Low",
 IF(AK623&lt;=0.6,"Medium",
 IF(AK623&lt;=0.8,"High","Critical")))))</f>
        <v>Very Low</v>
      </c>
      <c r="AM623" t="str">
        <f>IF(MAX(X623:AA623)&gt;0.9,"CRITICAL ALERT",
 IF(AK623&gt;0.8,"CRITICAL ALERT",
 IF(AK623&gt;0.6,"ALERT",
 IF(AK623&gt;=0.4,"REVIEW","NO ACTION"))))</f>
        <v>NO ACTION</v>
      </c>
      <c r="AN623" t="str">
        <f>IF(AM623="NO ACTION","",
 IF(_xlfn.TEXTJOIN(", ", TRUE,
  IF(X623&gt;0.7,"Login anomaly",""),
  IF(Y623&gt;0.7,"File anomaly",""),
  IF(Z623&gt;0.7,"Network anomaly",""),
  IF(AA623&gt;0.7,"USB anomaly","")
 )="",
 "General anomaly detected",
 _xlfn.TEXTJOIN(", ", TRUE,
  IF(X623&gt;0.7,"Login anomaly",""),
  IF(Y623&gt;0.7,"File anomaly",""),
  IF(Z623&gt;0.7,"Network anomaly",""),
  IF(AA623&gt;0.7,"USB anomaly","")
 )))</f>
        <v/>
      </c>
    </row>
    <row r="624" spans="1:40" x14ac:dyDescent="0.3">
      <c r="A624" t="s">
        <v>647</v>
      </c>
      <c r="B624">
        <v>0.12892249527410199</v>
      </c>
      <c r="C624">
        <v>0</v>
      </c>
      <c r="D624">
        <v>0</v>
      </c>
      <c r="E624">
        <v>0</v>
      </c>
      <c r="F624">
        <v>1</v>
      </c>
      <c r="G624">
        <v>0.99369344762223699</v>
      </c>
      <c r="H624">
        <v>6</v>
      </c>
      <c r="I624">
        <v>6</v>
      </c>
      <c r="J624">
        <v>8.9928915605171494E-2</v>
      </c>
      <c r="K624">
        <v>1.4681892332789499E-2</v>
      </c>
      <c r="L624">
        <v>4.1592101203332302E-2</v>
      </c>
      <c r="M624">
        <v>2.3088023088023001E-3</v>
      </c>
      <c r="N624">
        <v>1.54738618230681E-2</v>
      </c>
      <c r="O624">
        <v>812</v>
      </c>
      <c r="P624">
        <v>7.3547979797979807E-2</v>
      </c>
      <c r="Q624">
        <v>7.3705249132157494E-2</v>
      </c>
      <c r="R624">
        <v>0</v>
      </c>
      <c r="S624">
        <v>0</v>
      </c>
      <c r="T624" t="s">
        <v>49</v>
      </c>
      <c r="U624">
        <v>3.3962264150943298E-2</v>
      </c>
      <c r="V624">
        <v>0</v>
      </c>
      <c r="W624">
        <v>0</v>
      </c>
      <c r="X624">
        <v>0.4</v>
      </c>
      <c r="Y624">
        <v>4.3423992269620897E-2</v>
      </c>
      <c r="Z624">
        <v>5.0318332608015097E-2</v>
      </c>
      <c r="AA624">
        <v>0</v>
      </c>
      <c r="AB624">
        <v>0.1191309988498688</v>
      </c>
      <c r="AC624">
        <v>9.9999997473787516E-6</v>
      </c>
      <c r="AD624">
        <v>4.2440001852810383E-3</v>
      </c>
      <c r="AE624">
        <v>2.400000084890053E-5</v>
      </c>
      <c r="AF624">
        <f>0.16*X624 + 0.28*Y624 + 0.28*Z624 + 0.28*AA624</f>
        <v>9.0247850965738091E-2</v>
      </c>
      <c r="AG624">
        <f t="shared" si="27"/>
        <v>2.025879986802466E-2</v>
      </c>
      <c r="AH624">
        <f>IF(T624="IT_Admin", 0.25, IF(AND(T624="HR", AA624&gt;0.6), 0.25, IF(AND(T624="General", Z624&gt;0.7), 0.2, 0.1)))</f>
        <v>0.1</v>
      </c>
      <c r="AI624">
        <f>IF(V624&gt;0.7, 0.1,
 IF(F624&gt;0.5, 0.08,
 IF(E624&gt;0.5, 0.05,
 0)))</f>
        <v>0.08</v>
      </c>
      <c r="AJ624">
        <f t="shared" si="28"/>
        <v>4.1255515197338687E-2</v>
      </c>
      <c r="AK624">
        <f t="shared" si="29"/>
        <v>4.8681507932859656E-2</v>
      </c>
      <c r="AL624" t="str">
        <f>IF(MAX(X624, Y624, Z624, AA624)&gt;0.9,
 "Critical",
 IF(AK624&lt;=0.2,"Very Low",
 IF(AK624&lt;=0.4,"Low",
 IF(AK624&lt;=0.6,"Medium",
 IF(AK624&lt;=0.8,"High","Critical")))))</f>
        <v>Very Low</v>
      </c>
      <c r="AM624" t="str">
        <f>IF(MAX(X624:AA624)&gt;0.9,"CRITICAL ALERT",
 IF(AK624&gt;0.8,"CRITICAL ALERT",
 IF(AK624&gt;0.6,"ALERT",
 IF(AK624&gt;=0.4,"REVIEW","NO ACTION"))))</f>
        <v>NO ACTION</v>
      </c>
      <c r="AN624" t="str">
        <f>IF(AM624="NO ACTION","",
 IF(_xlfn.TEXTJOIN(", ", TRUE,
  IF(X624&gt;0.7,"Login anomaly",""),
  IF(Y624&gt;0.7,"File anomaly",""),
  IF(Z624&gt;0.7,"Network anomaly",""),
  IF(AA624&gt;0.7,"USB anomaly","")
 )="",
 "General anomaly detected",
 _xlfn.TEXTJOIN(", ", TRUE,
  IF(X624&gt;0.7,"Login anomaly",""),
  IF(Y624&gt;0.7,"File anomaly",""),
  IF(Z624&gt;0.7,"Network anomaly",""),
  IF(AA624&gt;0.7,"USB anomaly","")
 )))</f>
        <v/>
      </c>
    </row>
    <row r="625" spans="1:40" x14ac:dyDescent="0.3">
      <c r="A625" t="s">
        <v>648</v>
      </c>
      <c r="B625">
        <v>0.18071833648393101</v>
      </c>
      <c r="C625">
        <v>0.79847970051018302</v>
      </c>
      <c r="D625">
        <v>0.36901176256186102</v>
      </c>
      <c r="E625">
        <v>0</v>
      </c>
      <c r="F625">
        <v>0</v>
      </c>
      <c r="G625">
        <v>0.412433160374161</v>
      </c>
      <c r="H625">
        <v>8</v>
      </c>
      <c r="I625">
        <v>16</v>
      </c>
      <c r="J625">
        <v>2.18978102189781E-2</v>
      </c>
      <c r="K625">
        <v>1.6313213703099501E-3</v>
      </c>
      <c r="L625">
        <v>1.8824011320473601E-2</v>
      </c>
      <c r="M625">
        <v>2.2799422799422799E-2</v>
      </c>
      <c r="N625">
        <v>0.62241441508682804</v>
      </c>
      <c r="O625">
        <v>184</v>
      </c>
      <c r="P625">
        <v>2.78829966329966E-2</v>
      </c>
      <c r="Q625">
        <v>2.8051474455625999E-2</v>
      </c>
      <c r="R625">
        <v>0</v>
      </c>
      <c r="S625">
        <v>0</v>
      </c>
      <c r="T625" t="s">
        <v>49</v>
      </c>
      <c r="U625">
        <v>4.2452830188679201E-4</v>
      </c>
      <c r="V625">
        <v>0</v>
      </c>
      <c r="W625">
        <v>0</v>
      </c>
      <c r="X625">
        <v>0.110703528768558</v>
      </c>
      <c r="Y625">
        <v>0.20051589223008101</v>
      </c>
      <c r="Z625">
        <v>0.26569556401452898</v>
      </c>
      <c r="AA625">
        <v>0</v>
      </c>
      <c r="AB625">
        <v>5.060100182890892E-2</v>
      </c>
      <c r="AC625">
        <v>0.11645799875259399</v>
      </c>
      <c r="AD625">
        <v>2.903099916875362E-2</v>
      </c>
      <c r="AE625">
        <v>3.6649999674409628E-3</v>
      </c>
      <c r="AF625">
        <f>0.16*X625 + 0.28*Y625 + 0.28*Z625 + 0.28*AA625</f>
        <v>0.14825177235146009</v>
      </c>
      <c r="AG625">
        <f t="shared" si="27"/>
        <v>4.9859279701486237E-2</v>
      </c>
      <c r="AH625">
        <f>IF(T625="IT_Admin", 0.25, IF(AND(T625="HR", AA625&gt;0.6), 0.25, IF(AND(T625="General", Z625&gt;0.7), 0.2, 0.1)))</f>
        <v>0.1</v>
      </c>
      <c r="AI625">
        <f>IF(V625&gt;0.7, 0.1,
 IF(F625&gt;0.5, 0.08,
 IF(E625&gt;0.5, 0.05,
 0)))</f>
        <v>0</v>
      </c>
      <c r="AJ625">
        <f t="shared" si="28"/>
        <v>7.9377027496478389E-2</v>
      </c>
      <c r="AK625">
        <f t="shared" si="29"/>
        <v>8.7314730246126238E-2</v>
      </c>
      <c r="AL625" t="str">
        <f>IF(MAX(X625, Y625, Z625, AA625)&gt;0.9,
 "Critical",
 IF(AK625&lt;=0.2,"Very Low",
 IF(AK625&lt;=0.4,"Low",
 IF(AK625&lt;=0.6,"Medium",
 IF(AK625&lt;=0.8,"High","Critical")))))</f>
        <v>Very Low</v>
      </c>
      <c r="AM625" t="str">
        <f>IF(MAX(X625:AA625)&gt;0.9,"CRITICAL ALERT",
 IF(AK625&gt;0.8,"CRITICAL ALERT",
 IF(AK625&gt;0.6,"ALERT",
 IF(AK625&gt;=0.4,"REVIEW","NO ACTION"))))</f>
        <v>NO ACTION</v>
      </c>
      <c r="AN625" t="str">
        <f>IF(AM625="NO ACTION","",
 IF(_xlfn.TEXTJOIN(", ", TRUE,
  IF(X625&gt;0.7,"Login anomaly",""),
  IF(Y625&gt;0.7,"File anomaly",""),
  IF(Z625&gt;0.7,"Network anomaly",""),
  IF(AA625&gt;0.7,"USB anomaly","")
 )="",
 "General anomaly detected",
 _xlfn.TEXTJOIN(", ", TRUE,
  IF(X625&gt;0.7,"Login anomaly",""),
  IF(Y625&gt;0.7,"File anomaly",""),
  IF(Z625&gt;0.7,"Network anomaly",""),
  IF(AA625&gt;0.7,"USB anomaly","")
 )))</f>
        <v/>
      </c>
    </row>
    <row r="626" spans="1:40" x14ac:dyDescent="0.3">
      <c r="A626" t="s">
        <v>649</v>
      </c>
      <c r="B626">
        <v>0.12892249527410199</v>
      </c>
      <c r="C626">
        <v>0.18476582604220201</v>
      </c>
      <c r="D626">
        <v>0</v>
      </c>
      <c r="E626">
        <v>0</v>
      </c>
      <c r="F626">
        <v>0</v>
      </c>
      <c r="G626">
        <v>0.99369106574204102</v>
      </c>
      <c r="H626">
        <v>7</v>
      </c>
      <c r="I626">
        <v>7</v>
      </c>
      <c r="J626">
        <v>7.8335957253947805E-2</v>
      </c>
      <c r="K626">
        <v>1.8760195758564399E-2</v>
      </c>
      <c r="L626">
        <v>6.0986596482117399E-2</v>
      </c>
      <c r="M626">
        <v>3.1746031746031698E-3</v>
      </c>
      <c r="N626">
        <v>2.4415724597873899E-2</v>
      </c>
      <c r="O626">
        <v>795</v>
      </c>
      <c r="P626">
        <v>6.7199775533108796E-2</v>
      </c>
      <c r="Q626">
        <v>6.7358603036572096E-2</v>
      </c>
      <c r="R626">
        <v>0</v>
      </c>
      <c r="S626">
        <v>0</v>
      </c>
      <c r="T626" t="s">
        <v>49</v>
      </c>
      <c r="U626">
        <v>3.2547169811320699E-2</v>
      </c>
      <c r="V626">
        <v>0</v>
      </c>
      <c r="W626">
        <v>0</v>
      </c>
      <c r="X626">
        <v>0</v>
      </c>
      <c r="Y626">
        <v>5.3485207071210399E-2</v>
      </c>
      <c r="Z626">
        <v>5.0086155159014899E-2</v>
      </c>
      <c r="AA626">
        <v>0</v>
      </c>
      <c r="AB626">
        <v>3.6694999784231193E-2</v>
      </c>
      <c r="AC626">
        <v>1.0699999984353779E-4</v>
      </c>
      <c r="AD626">
        <v>4.7329999506473541E-3</v>
      </c>
      <c r="AE626">
        <v>1.786999986506999E-3</v>
      </c>
      <c r="AF626">
        <f>0.16*X626 + 0.28*Y626 + 0.28*Z626 + 0.28*AA626</f>
        <v>2.8999981424463084E-2</v>
      </c>
      <c r="AG626">
        <f t="shared" si="27"/>
        <v>7.7267599478363994E-3</v>
      </c>
      <c r="AH626">
        <f>IF(T626="IT_Admin", 0.25, IF(AND(T626="HR", AA626&gt;0.6), 0.25, IF(AND(T626="General", Z626&gt;0.7), 0.2, 0.1)))</f>
        <v>0.1</v>
      </c>
      <c r="AI626">
        <f>IF(V626&gt;0.7, 0.1,
 IF(F626&gt;0.5, 0.08,
 IF(E626&gt;0.5, 0.05,
 0)))</f>
        <v>0</v>
      </c>
      <c r="AJ626">
        <f t="shared" si="28"/>
        <v>1.4108726390824404E-2</v>
      </c>
      <c r="AK626">
        <f t="shared" si="29"/>
        <v>1.5519599029906846E-2</v>
      </c>
      <c r="AL626" t="str">
        <f>IF(MAX(X626, Y626, Z626, AA626)&gt;0.9,
 "Critical",
 IF(AK626&lt;=0.2,"Very Low",
 IF(AK626&lt;=0.4,"Low",
 IF(AK626&lt;=0.6,"Medium",
 IF(AK626&lt;=0.8,"High","Critical")))))</f>
        <v>Very Low</v>
      </c>
      <c r="AM626" t="str">
        <f>IF(MAX(X626:AA626)&gt;0.9,"CRITICAL ALERT",
 IF(AK626&gt;0.8,"CRITICAL ALERT",
 IF(AK626&gt;0.6,"ALERT",
 IF(AK626&gt;=0.4,"REVIEW","NO ACTION"))))</f>
        <v>NO ACTION</v>
      </c>
      <c r="AN626" t="str">
        <f>IF(AM626="NO ACTION","",
 IF(_xlfn.TEXTJOIN(", ", TRUE,
  IF(X626&gt;0.7,"Login anomaly",""),
  IF(Y626&gt;0.7,"File anomaly",""),
  IF(Z626&gt;0.7,"Network anomaly",""),
  IF(AA626&gt;0.7,"USB anomaly","")
 )="",
 "General anomaly detected",
 _xlfn.TEXTJOIN(", ", TRUE,
  IF(X626&gt;0.7,"Login anomaly",""),
  IF(Y626&gt;0.7,"File anomaly",""),
  IF(Z626&gt;0.7,"Network anomaly",""),
  IF(AA626&gt;0.7,"USB anomaly","")
 )))</f>
        <v/>
      </c>
    </row>
    <row r="627" spans="1:40" x14ac:dyDescent="0.3">
      <c r="A627" t="s">
        <v>650</v>
      </c>
      <c r="B627">
        <v>0.29187145557655902</v>
      </c>
      <c r="C627">
        <v>0.83644632330703295</v>
      </c>
      <c r="D627">
        <v>0.480981697979667</v>
      </c>
      <c r="E627">
        <v>0.17611683848797199</v>
      </c>
      <c r="F627">
        <v>3.8659793814432901E-2</v>
      </c>
      <c r="G627">
        <v>0.35863454246215498</v>
      </c>
      <c r="H627">
        <v>0</v>
      </c>
      <c r="I627">
        <v>23</v>
      </c>
      <c r="J627">
        <v>9.2695959162253705E-2</v>
      </c>
      <c r="K627">
        <v>1.6313213703099499E-2</v>
      </c>
      <c r="L627">
        <v>4.4837480763345899E-2</v>
      </c>
      <c r="M627">
        <v>4.0404040404040404E-3</v>
      </c>
      <c r="N627">
        <v>2.6272996909547201E-2</v>
      </c>
      <c r="O627">
        <v>872</v>
      </c>
      <c r="P627">
        <v>7.7125420875420805E-2</v>
      </c>
      <c r="Q627">
        <v>7.7281812125249802E-2</v>
      </c>
      <c r="R627">
        <v>0.72861356932153298</v>
      </c>
      <c r="S627">
        <v>1</v>
      </c>
      <c r="T627" t="s">
        <v>49</v>
      </c>
      <c r="U627">
        <v>2.26415094339622E-2</v>
      </c>
      <c r="V627">
        <v>0</v>
      </c>
      <c r="W627">
        <v>5.6567249664585803E-2</v>
      </c>
      <c r="X627">
        <v>0.21259347846606499</v>
      </c>
      <c r="Y627">
        <v>4.8839831286987802E-2</v>
      </c>
      <c r="Z627">
        <v>5.6784451289071398E-2</v>
      </c>
      <c r="AA627">
        <v>0.72861356932153298</v>
      </c>
      <c r="AB627">
        <v>0.19029900431633001</v>
      </c>
      <c r="AC627">
        <v>9.4000002718530595E-5</v>
      </c>
      <c r="AD627">
        <v>2.5720000267028809E-3</v>
      </c>
      <c r="AE627">
        <v>0.50489598512649536</v>
      </c>
      <c r="AF627">
        <f>0.16*X627 + 0.28*Y627 + 0.28*Z627 + 0.28*AA627</f>
        <v>0.26760155508589623</v>
      </c>
      <c r="AG627">
        <f t="shared" si="27"/>
        <v>0.17256519653426952</v>
      </c>
      <c r="AH627">
        <f>IF(T627="IT_Admin", 0.25, IF(AND(T627="HR", AA627&gt;0.6), 0.25, IF(AND(T627="General", Z627&gt;0.7), 0.2, 0.1)))</f>
        <v>0.1</v>
      </c>
      <c r="AI627">
        <f>IF(V627&gt;0.7, 0.1,
 IF(F627&gt;0.5, 0.08,
 IF(E627&gt;0.5, 0.05,
 0)))</f>
        <v>0</v>
      </c>
      <c r="AJ627">
        <f t="shared" si="28"/>
        <v>0.20107610409975751</v>
      </c>
      <c r="AK627">
        <f t="shared" si="29"/>
        <v>0.22118371450973329</v>
      </c>
      <c r="AL627" t="str">
        <f>IF(MAX(X627, Y627, Z627, AA627)&gt;0.9,
 "Critical",
 IF(AK627&lt;=0.2,"Very Low",
 IF(AK627&lt;=0.4,"Low",
 IF(AK627&lt;=0.6,"Medium",
 IF(AK627&lt;=0.8,"High","Critical")))))</f>
        <v>Low</v>
      </c>
      <c r="AM627" t="str">
        <f>IF(MAX(X627:AA627)&gt;0.9,"CRITICAL ALERT",
 IF(AK627&gt;0.8,"CRITICAL ALERT",
 IF(AK627&gt;0.6,"ALERT",
 IF(AK627&gt;=0.4,"REVIEW","NO ACTION"))))</f>
        <v>NO ACTION</v>
      </c>
      <c r="AN627" t="str">
        <f>IF(AM627="NO ACTION","",
 IF(_xlfn.TEXTJOIN(", ", TRUE,
  IF(X627&gt;0.7,"Login anomaly",""),
  IF(Y627&gt;0.7,"File anomaly",""),
  IF(Z627&gt;0.7,"Network anomaly",""),
  IF(AA627&gt;0.7,"USB anomaly","")
 )="",
 "General anomaly detected",
 _xlfn.TEXTJOIN(", ", TRUE,
  IF(X627&gt;0.7,"Login anomaly",""),
  IF(Y627&gt;0.7,"File anomaly",""),
  IF(Z627&gt;0.7,"Network anomaly",""),
  IF(AA627&gt;0.7,"USB anomaly","")
 )))</f>
        <v/>
      </c>
    </row>
    <row r="628" spans="1:40" x14ac:dyDescent="0.3">
      <c r="A628" t="s">
        <v>651</v>
      </c>
      <c r="B628">
        <v>0.12892249527410199</v>
      </c>
      <c r="C628">
        <v>0.36953165208440503</v>
      </c>
      <c r="D628">
        <v>0</v>
      </c>
      <c r="E628">
        <v>0</v>
      </c>
      <c r="F628">
        <v>0</v>
      </c>
      <c r="G628">
        <v>0.99367594481720201</v>
      </c>
      <c r="H628">
        <v>8</v>
      </c>
      <c r="I628">
        <v>8</v>
      </c>
      <c r="J628">
        <v>0.12327656123276499</v>
      </c>
      <c r="K628">
        <v>1.9575856443719401E-2</v>
      </c>
      <c r="L628">
        <v>4.0483621101737102E-2</v>
      </c>
      <c r="M628">
        <v>8.6580086580086504E-4</v>
      </c>
      <c r="N628">
        <v>4.2360369127460596E-3</v>
      </c>
      <c r="O628">
        <v>1064</v>
      </c>
      <c r="P628">
        <v>9.9466891133557805E-2</v>
      </c>
      <c r="Q628">
        <v>9.9617798660542101E-2</v>
      </c>
      <c r="R628">
        <v>0</v>
      </c>
      <c r="S628">
        <v>0</v>
      </c>
      <c r="T628" t="s">
        <v>24</v>
      </c>
      <c r="U628">
        <v>0.10188679245283</v>
      </c>
      <c r="V628">
        <v>0</v>
      </c>
      <c r="W628">
        <v>0</v>
      </c>
      <c r="X628">
        <v>0</v>
      </c>
      <c r="Y628">
        <v>4.6167933871245501E-2</v>
      </c>
      <c r="Z628">
        <v>6.1374549445233101E-2</v>
      </c>
      <c r="AA628">
        <v>0</v>
      </c>
      <c r="AB628">
        <v>2.486900053918362E-2</v>
      </c>
      <c r="AC628">
        <v>1.505999942310154E-3</v>
      </c>
      <c r="AD628">
        <v>1.887000049464405E-3</v>
      </c>
      <c r="AE628">
        <v>1.239000004716218E-3</v>
      </c>
      <c r="AF628">
        <f>0.16*X628 + 0.28*Y628 + 0.28*Z628 + 0.28*AA628</f>
        <v>3.0111895328614011E-2</v>
      </c>
      <c r="AG628">
        <f t="shared" si="27"/>
        <v>5.276000085286797E-3</v>
      </c>
      <c r="AH628">
        <f>IF(T628="IT_Admin", 0.25, IF(AND(T628="HR", AA628&gt;0.6), 0.25, IF(AND(T628="General", Z628&gt;0.7), 0.2, 0.1)))</f>
        <v>0.25</v>
      </c>
      <c r="AI628">
        <f>IF(V628&gt;0.7, 0.1,
 IF(F628&gt;0.5, 0.08,
 IF(E628&gt;0.5, 0.05,
 0)))</f>
        <v>0</v>
      </c>
      <c r="AJ628">
        <f t="shared" si="28"/>
        <v>1.2726768658284961E-2</v>
      </c>
      <c r="AK628">
        <f t="shared" si="29"/>
        <v>1.5908460822856199E-2</v>
      </c>
      <c r="AL628" t="str">
        <f>IF(MAX(X628, Y628, Z628, AA628)&gt;0.9,
 "Critical",
 IF(AK628&lt;=0.2,"Very Low",
 IF(AK628&lt;=0.4,"Low",
 IF(AK628&lt;=0.6,"Medium",
 IF(AK628&lt;=0.8,"High","Critical")))))</f>
        <v>Very Low</v>
      </c>
      <c r="AM628" t="str">
        <f>IF(MAX(X628:AA628)&gt;0.9,"CRITICAL ALERT",
 IF(AK628&gt;0.8,"CRITICAL ALERT",
 IF(AK628&gt;0.6,"ALERT",
 IF(AK628&gt;=0.4,"REVIEW","NO ACTION"))))</f>
        <v>NO ACTION</v>
      </c>
      <c r="AN628" t="str">
        <f>IF(AM628="NO ACTION","",
 IF(_xlfn.TEXTJOIN(", ", TRUE,
  IF(X628&gt;0.7,"Login anomaly",""),
  IF(Y628&gt;0.7,"File anomaly",""),
  IF(Z628&gt;0.7,"Network anomaly",""),
  IF(AA628&gt;0.7,"USB anomaly","")
 )="",
 "General anomaly detected",
 _xlfn.TEXTJOIN(", ", TRUE,
  IF(X628&gt;0.7,"Login anomaly",""),
  IF(Y628&gt;0.7,"File anomaly",""),
  IF(Z628&gt;0.7,"Network anomaly",""),
  IF(AA628&gt;0.7,"USB anomaly","")
 )))</f>
        <v/>
      </c>
    </row>
    <row r="629" spans="1:40" x14ac:dyDescent="0.3">
      <c r="A629" t="s">
        <v>652</v>
      </c>
      <c r="B629">
        <v>0.25444234404536797</v>
      </c>
      <c r="C629">
        <v>0.58622894289313299</v>
      </c>
      <c r="D629">
        <v>0.36043889393936102</v>
      </c>
      <c r="E629">
        <v>0</v>
      </c>
      <c r="F629">
        <v>0</v>
      </c>
      <c r="G629">
        <v>0.43294694745950701</v>
      </c>
      <c r="H629">
        <v>7</v>
      </c>
      <c r="I629">
        <v>14</v>
      </c>
      <c r="J629">
        <v>5.7344592338151798E-2</v>
      </c>
      <c r="K629">
        <v>8.9722675367047301E-3</v>
      </c>
      <c r="L629">
        <v>3.9800229403354398E-2</v>
      </c>
      <c r="M629">
        <v>1.7316017316017301E-3</v>
      </c>
      <c r="N629">
        <v>1.8172493068930502E-2</v>
      </c>
      <c r="O629">
        <v>552</v>
      </c>
      <c r="P629">
        <v>4.6857463524130102E-2</v>
      </c>
      <c r="Q629">
        <v>4.7021284056243201E-2</v>
      </c>
      <c r="R629">
        <v>0.77286135693215297</v>
      </c>
      <c r="S629">
        <v>1</v>
      </c>
      <c r="T629" t="s">
        <v>49</v>
      </c>
      <c r="U629">
        <v>2.6684636118598299E-2</v>
      </c>
      <c r="V629">
        <v>0</v>
      </c>
      <c r="W629">
        <v>0</v>
      </c>
      <c r="X629">
        <v>0.108131668181808</v>
      </c>
      <c r="Y629">
        <v>3.6820781089986702E-2</v>
      </c>
      <c r="Z629">
        <v>3.5383475342050302E-2</v>
      </c>
      <c r="AA629">
        <v>0.77286135693215297</v>
      </c>
      <c r="AB629">
        <v>2.5077000260353088E-2</v>
      </c>
      <c r="AC629">
        <v>1.1800000356743109E-4</v>
      </c>
      <c r="AD629">
        <v>6.8149999715387821E-3</v>
      </c>
      <c r="AE629">
        <v>0.59398198127746582</v>
      </c>
      <c r="AF629">
        <f>0.16*X629 + 0.28*Y629 + 0.28*Z629 + 0.28*AA629</f>
        <v>0.25391943865106248</v>
      </c>
      <c r="AG629">
        <f t="shared" si="27"/>
        <v>0.17226851479237668</v>
      </c>
      <c r="AH629">
        <f>IF(T629="IT_Admin", 0.25, IF(AND(T629="HR", AA629&gt;0.6), 0.25, IF(AND(T629="General", Z629&gt;0.7), 0.2, 0.1)))</f>
        <v>0.1</v>
      </c>
      <c r="AI629">
        <f>IF(V629&gt;0.7, 0.1,
 IF(F629&gt;0.5, 0.08,
 IF(E629&gt;0.5, 0.05,
 0)))</f>
        <v>0</v>
      </c>
      <c r="AJ629">
        <f t="shared" si="28"/>
        <v>0.19676379194998239</v>
      </c>
      <c r="AK629">
        <f t="shared" si="29"/>
        <v>0.21644017114498065</v>
      </c>
      <c r="AL629" t="str">
        <f>IF(MAX(X629, Y629, Z629, AA629)&gt;0.9,
 "Critical",
 IF(AK629&lt;=0.2,"Very Low",
 IF(AK629&lt;=0.4,"Low",
 IF(AK629&lt;=0.6,"Medium",
 IF(AK629&lt;=0.8,"High","Critical")))))</f>
        <v>Low</v>
      </c>
      <c r="AM629" t="str">
        <f>IF(MAX(X629:AA629)&gt;0.9,"CRITICAL ALERT",
 IF(AK629&gt;0.8,"CRITICAL ALERT",
 IF(AK629&gt;0.6,"ALERT",
 IF(AK629&gt;=0.4,"REVIEW","NO ACTION"))))</f>
        <v>NO ACTION</v>
      </c>
      <c r="AN629" t="str">
        <f>IF(AM629="NO ACTION","",
 IF(_xlfn.TEXTJOIN(", ", TRUE,
  IF(X629&gt;0.7,"Login anomaly",""),
  IF(Y629&gt;0.7,"File anomaly",""),
  IF(Z629&gt;0.7,"Network anomaly",""),
  IF(AA629&gt;0.7,"USB anomaly","")
 )="",
 "General anomaly detected",
 _xlfn.TEXTJOIN(", ", TRUE,
  IF(X629&gt;0.7,"Login anomaly",""),
  IF(Y629&gt;0.7,"File anomaly",""),
  IF(Z629&gt;0.7,"Network anomaly",""),
  IF(AA629&gt;0.7,"USB anomaly","")
 )))</f>
        <v/>
      </c>
    </row>
    <row r="630" spans="1:40" x14ac:dyDescent="0.3">
      <c r="A630" t="s">
        <v>653</v>
      </c>
      <c r="B630">
        <v>0.26918714555765599</v>
      </c>
      <c r="C630">
        <v>0.70577448914165397</v>
      </c>
      <c r="D630">
        <v>0.36992104550631499</v>
      </c>
      <c r="E630">
        <v>0</v>
      </c>
      <c r="F630">
        <v>0</v>
      </c>
      <c r="G630">
        <v>0.40119966136391</v>
      </c>
      <c r="H630">
        <v>7</v>
      </c>
      <c r="I630">
        <v>15</v>
      </c>
      <c r="J630">
        <v>8.5205858499117396E-2</v>
      </c>
      <c r="K630">
        <v>1.4681892332789499E-2</v>
      </c>
      <c r="L630">
        <v>4.3891162073868201E-2</v>
      </c>
      <c r="M630">
        <v>2.3088023088023001E-3</v>
      </c>
      <c r="N630">
        <v>1.6329200918815599E-2</v>
      </c>
      <c r="O630">
        <v>842</v>
      </c>
      <c r="P630">
        <v>7.00757575757575E-2</v>
      </c>
      <c r="Q630">
        <v>7.02338791682737E-2</v>
      </c>
      <c r="R630">
        <v>0</v>
      </c>
      <c r="S630">
        <v>0</v>
      </c>
      <c r="T630" t="s">
        <v>49</v>
      </c>
      <c r="U630">
        <v>3.3962264150943298E-2</v>
      </c>
      <c r="V630">
        <v>0</v>
      </c>
      <c r="W630">
        <v>0</v>
      </c>
      <c r="X630">
        <v>0.110976313651894</v>
      </c>
      <c r="Y630">
        <v>4.3885513012402302E-2</v>
      </c>
      <c r="Z630">
        <v>4.8577134912980803E-2</v>
      </c>
      <c r="AA630">
        <v>0</v>
      </c>
      <c r="AB630">
        <v>4.1668999940156937E-2</v>
      </c>
      <c r="AC630">
        <v>2.3000000510364771E-5</v>
      </c>
      <c r="AD630">
        <v>4.2500002309679994E-3</v>
      </c>
      <c r="AE630">
        <v>8.2459999248385429E-3</v>
      </c>
      <c r="AF630">
        <f>0.16*X630 + 0.28*Y630 + 0.28*Z630 + 0.28*AA630</f>
        <v>4.3645751603410311E-2</v>
      </c>
      <c r="AG630">
        <f t="shared" si="27"/>
        <v>1.0172360034193844E-2</v>
      </c>
      <c r="AH630">
        <f>IF(T630="IT_Admin", 0.25, IF(AND(T630="HR", AA630&gt;0.6), 0.25, IF(AND(T630="General", Z630&gt;0.7), 0.2, 0.1)))</f>
        <v>0.1</v>
      </c>
      <c r="AI630">
        <f>IF(V630&gt;0.7, 0.1,
 IF(F630&gt;0.5, 0.08,
 IF(E630&gt;0.5, 0.05,
 0)))</f>
        <v>0</v>
      </c>
      <c r="AJ630">
        <f t="shared" si="28"/>
        <v>2.0214377504958782E-2</v>
      </c>
      <c r="AK630">
        <f t="shared" si="29"/>
        <v>2.2235815255454663E-2</v>
      </c>
      <c r="AL630" t="str">
        <f>IF(MAX(X630, Y630, Z630, AA630)&gt;0.9,
 "Critical",
 IF(AK630&lt;=0.2,"Very Low",
 IF(AK630&lt;=0.4,"Low",
 IF(AK630&lt;=0.6,"Medium",
 IF(AK630&lt;=0.8,"High","Critical")))))</f>
        <v>Very Low</v>
      </c>
      <c r="AM630" t="str">
        <f>IF(MAX(X630:AA630)&gt;0.9,"CRITICAL ALERT",
 IF(AK630&gt;0.8,"CRITICAL ALERT",
 IF(AK630&gt;0.6,"ALERT",
 IF(AK630&gt;=0.4,"REVIEW","NO ACTION"))))</f>
        <v>NO ACTION</v>
      </c>
      <c r="AN630" t="str">
        <f>IF(AM630="NO ACTION","",
 IF(_xlfn.TEXTJOIN(", ", TRUE,
  IF(X630&gt;0.7,"Login anomaly",""),
  IF(Y630&gt;0.7,"File anomaly",""),
  IF(Z630&gt;0.7,"Network anomaly",""),
  IF(AA630&gt;0.7,"USB anomaly","")
 )="",
 "General anomaly detected",
 _xlfn.TEXTJOIN(", ", TRUE,
  IF(X630&gt;0.7,"Login anomaly",""),
  IF(Y630&gt;0.7,"File anomaly",""),
  IF(Z630&gt;0.7,"Network anomaly",""),
  IF(AA630&gt;0.7,"USB anomaly","")
 )))</f>
        <v/>
      </c>
    </row>
    <row r="631" spans="1:40" x14ac:dyDescent="0.3">
      <c r="A631" t="s">
        <v>654</v>
      </c>
      <c r="B631">
        <v>0.12892249527410199</v>
      </c>
      <c r="C631">
        <v>0.27902317497967399</v>
      </c>
      <c r="D631">
        <v>7.51173381640724E-2</v>
      </c>
      <c r="E631">
        <v>0</v>
      </c>
      <c r="F631">
        <v>0</v>
      </c>
      <c r="G631">
        <v>0.99365349091288402</v>
      </c>
      <c r="H631">
        <v>7</v>
      </c>
      <c r="I631">
        <v>8</v>
      </c>
      <c r="J631">
        <v>7.3088116024998803E-2</v>
      </c>
      <c r="K631">
        <v>1.2234910277324601E-2</v>
      </c>
      <c r="L631">
        <v>4.2620402989751699E-2</v>
      </c>
      <c r="M631">
        <v>5.7720057720057698E-4</v>
      </c>
      <c r="N631">
        <v>4.7569288948599202E-3</v>
      </c>
      <c r="O631">
        <v>739</v>
      </c>
      <c r="P631">
        <v>5.92732884399551E-2</v>
      </c>
      <c r="Q631">
        <v>5.9434061502857703E-2</v>
      </c>
      <c r="R631">
        <v>0</v>
      </c>
      <c r="S631">
        <v>0</v>
      </c>
      <c r="T631" t="s">
        <v>49</v>
      </c>
      <c r="U631">
        <v>8.4905660377358402E-2</v>
      </c>
      <c r="V631">
        <v>0</v>
      </c>
      <c r="W631">
        <v>0</v>
      </c>
      <c r="X631">
        <v>2.2535201449221699E-2</v>
      </c>
      <c r="Y631">
        <v>3.7354903368333497E-2</v>
      </c>
      <c r="Z631">
        <v>3.7466744621917E-2</v>
      </c>
      <c r="AA631">
        <v>0</v>
      </c>
      <c r="AB631">
        <v>1.8265999853610989E-2</v>
      </c>
      <c r="AC631">
        <v>8.6899998132139444E-4</v>
      </c>
      <c r="AD631">
        <v>6.3609997741878033E-3</v>
      </c>
      <c r="AE631">
        <v>1.973999897018075E-3</v>
      </c>
      <c r="AF631">
        <f>0.16*X631 + 0.28*Y631 + 0.28*Z631 + 0.28*AA631</f>
        <v>2.4555693669145614E-2</v>
      </c>
      <c r="AG631">
        <f t="shared" si="27"/>
        <v>5.4996798792853949E-3</v>
      </c>
      <c r="AH631">
        <f>IF(T631="IT_Admin", 0.25, IF(AND(T631="HR", AA631&gt;0.6), 0.25, IF(AND(T631="General", Z631&gt;0.7), 0.2, 0.1)))</f>
        <v>0.1</v>
      </c>
      <c r="AI631">
        <f>IF(V631&gt;0.7, 0.1,
 IF(F631&gt;0.5, 0.08,
 IF(E631&gt;0.5, 0.05,
 0)))</f>
        <v>0</v>
      </c>
      <c r="AJ631">
        <f t="shared" si="28"/>
        <v>1.121648401624346E-2</v>
      </c>
      <c r="AK631">
        <f t="shared" si="29"/>
        <v>1.2338132417867808E-2</v>
      </c>
      <c r="AL631" t="str">
        <f>IF(MAX(X631, Y631, Z631, AA631)&gt;0.9,
 "Critical",
 IF(AK631&lt;=0.2,"Very Low",
 IF(AK631&lt;=0.4,"Low",
 IF(AK631&lt;=0.6,"Medium",
 IF(AK631&lt;=0.8,"High","Critical")))))</f>
        <v>Very Low</v>
      </c>
      <c r="AM631" t="str">
        <f>IF(MAX(X631:AA631)&gt;0.9,"CRITICAL ALERT",
 IF(AK631&gt;0.8,"CRITICAL ALERT",
 IF(AK631&gt;0.6,"ALERT",
 IF(AK631&gt;=0.4,"REVIEW","NO ACTION"))))</f>
        <v>NO ACTION</v>
      </c>
      <c r="AN631" t="str">
        <f>IF(AM631="NO ACTION","",
 IF(_xlfn.TEXTJOIN(", ", TRUE,
  IF(X631&gt;0.7,"Login anomaly",""),
  IF(Y631&gt;0.7,"File anomaly",""),
  IF(Z631&gt;0.7,"Network anomaly",""),
  IF(AA631&gt;0.7,"USB anomaly","")
 )="",
 "General anomaly detected",
 _xlfn.TEXTJOIN(", ", TRUE,
  IF(X631&gt;0.7,"Login anomaly",""),
  IF(Y631&gt;0.7,"File anomaly",""),
  IF(Z631&gt;0.7,"Network anomaly",""),
  IF(AA631&gt;0.7,"USB anomaly","")
 )))</f>
        <v/>
      </c>
    </row>
    <row r="632" spans="1:40" x14ac:dyDescent="0.3">
      <c r="A632" t="s">
        <v>655</v>
      </c>
      <c r="B632">
        <v>0.13156899810964001</v>
      </c>
      <c r="C632">
        <v>0.48396048753099602</v>
      </c>
      <c r="D632">
        <v>0.22863962071963001</v>
      </c>
      <c r="E632">
        <v>0</v>
      </c>
      <c r="F632">
        <v>1.7045454545454499E-2</v>
      </c>
      <c r="G632">
        <v>0.97088683830608102</v>
      </c>
      <c r="H632">
        <v>3</v>
      </c>
      <c r="I632">
        <v>23</v>
      </c>
      <c r="J632">
        <v>8.58260579170841E-2</v>
      </c>
      <c r="K632">
        <v>1.0603588907014599E-2</v>
      </c>
      <c r="L632">
        <v>3.1470741764162098E-2</v>
      </c>
      <c r="M632">
        <v>3.1746031746031698E-3</v>
      </c>
      <c r="N632">
        <v>2.22908527786576E-2</v>
      </c>
      <c r="O632">
        <v>820</v>
      </c>
      <c r="P632">
        <v>6.9198933782267102E-2</v>
      </c>
      <c r="Q632">
        <v>6.9357270591535403E-2</v>
      </c>
      <c r="R632">
        <v>0.38643067846607598</v>
      </c>
      <c r="S632">
        <v>1</v>
      </c>
      <c r="T632" t="s">
        <v>49</v>
      </c>
      <c r="U632">
        <v>1.8396226415094301E-2</v>
      </c>
      <c r="V632">
        <v>0</v>
      </c>
      <c r="W632">
        <v>1.7505716584241899E-2</v>
      </c>
      <c r="X632">
        <v>7.5410068034071007E-2</v>
      </c>
      <c r="Y632">
        <v>3.95878382990952E-2</v>
      </c>
      <c r="Z632">
        <v>5.0435701380823303E-2</v>
      </c>
      <c r="AA632">
        <v>0.38643067846607598</v>
      </c>
      <c r="AB632">
        <v>6.3474997878074646E-2</v>
      </c>
      <c r="AC632">
        <v>1.780000020517036E-4</v>
      </c>
      <c r="AD632">
        <v>3.8840000052005048E-3</v>
      </c>
      <c r="AE632">
        <v>0.15031999349594119</v>
      </c>
      <c r="AF632">
        <f>0.16*X632 + 0.28*Y632 + 0.28*Z632 + 0.28*AA632</f>
        <v>0.14547279196632984</v>
      </c>
      <c r="AG632">
        <f t="shared" si="27"/>
        <v>5.3382957841386094E-2</v>
      </c>
      <c r="AH632">
        <f>IF(T632="IT_Admin", 0.25, IF(AND(T632="HR", AA632&gt;0.6), 0.25, IF(AND(T632="General", Z632&gt;0.7), 0.2, 0.1)))</f>
        <v>0.1</v>
      </c>
      <c r="AI632">
        <f>IF(V632&gt;0.7, 0.1,
 IF(F632&gt;0.5, 0.08,
 IF(E632&gt;0.5, 0.05,
 0)))</f>
        <v>0</v>
      </c>
      <c r="AJ632">
        <f t="shared" si="28"/>
        <v>8.1009908078869208E-2</v>
      </c>
      <c r="AK632">
        <f t="shared" si="29"/>
        <v>8.9110898886756135E-2</v>
      </c>
      <c r="AL632" t="str">
        <f>IF(MAX(X632, Y632, Z632, AA632)&gt;0.9,
 "Critical",
 IF(AK632&lt;=0.2,"Very Low",
 IF(AK632&lt;=0.4,"Low",
 IF(AK632&lt;=0.6,"Medium",
 IF(AK632&lt;=0.8,"High","Critical")))))</f>
        <v>Very Low</v>
      </c>
      <c r="AM632" t="str">
        <f>IF(MAX(X632:AA632)&gt;0.9,"CRITICAL ALERT",
 IF(AK632&gt;0.8,"CRITICAL ALERT",
 IF(AK632&gt;0.6,"ALERT",
 IF(AK632&gt;=0.4,"REVIEW","NO ACTION"))))</f>
        <v>NO ACTION</v>
      </c>
      <c r="AN632" t="str">
        <f>IF(AM632="NO ACTION","",
 IF(_xlfn.TEXTJOIN(", ", TRUE,
  IF(X632&gt;0.7,"Login anomaly",""),
  IF(Y632&gt;0.7,"File anomaly",""),
  IF(Z632&gt;0.7,"Network anomaly",""),
  IF(AA632&gt;0.7,"USB anomaly","")
 )="",
 "General anomaly detected",
 _xlfn.TEXTJOIN(", ", TRUE,
  IF(X632&gt;0.7,"Login anomaly",""),
  IF(Y632&gt;0.7,"File anomaly",""),
  IF(Z632&gt;0.7,"Network anomaly",""),
  IF(AA632&gt;0.7,"USB anomaly","")
 )))</f>
        <v/>
      </c>
    </row>
    <row r="633" spans="1:40" x14ac:dyDescent="0.3">
      <c r="A633" t="s">
        <v>656</v>
      </c>
      <c r="B633">
        <v>0.235538752362948</v>
      </c>
      <c r="C633">
        <v>0.602920063927187</v>
      </c>
      <c r="D633">
        <v>0.383982766364244</v>
      </c>
      <c r="E633">
        <v>0</v>
      </c>
      <c r="F633">
        <v>0</v>
      </c>
      <c r="G633">
        <v>0.47936188280987901</v>
      </c>
      <c r="H633">
        <v>7</v>
      </c>
      <c r="I633">
        <v>13</v>
      </c>
      <c r="J633">
        <v>9.1741806211535701E-2</v>
      </c>
      <c r="K633">
        <v>2.0391517128874301E-2</v>
      </c>
      <c r="L633">
        <v>5.66282498230017E-2</v>
      </c>
      <c r="M633">
        <v>2.0202020202020202E-3</v>
      </c>
      <c r="N633">
        <v>1.3272769185632201E-2</v>
      </c>
      <c r="O633">
        <v>932</v>
      </c>
      <c r="P633">
        <v>7.7195566778900104E-2</v>
      </c>
      <c r="Q633">
        <v>7.7351940811388895E-2</v>
      </c>
      <c r="R633">
        <v>0.974926253687315</v>
      </c>
      <c r="S633">
        <v>1</v>
      </c>
      <c r="T633" t="s">
        <v>49</v>
      </c>
      <c r="U633">
        <v>5.3066037735849003E-2</v>
      </c>
      <c r="V633">
        <v>0</v>
      </c>
      <c r="W633">
        <v>0</v>
      </c>
      <c r="X633">
        <v>0.115194829909273</v>
      </c>
      <c r="Y633">
        <v>5.0644316909497597E-2</v>
      </c>
      <c r="Z633">
        <v>5.1626447741592897E-2</v>
      </c>
      <c r="AA633">
        <v>0.974926253687315</v>
      </c>
      <c r="AB633">
        <v>2.0036999136209491E-2</v>
      </c>
      <c r="AC633">
        <v>2.200000017182902E-4</v>
      </c>
      <c r="AD633">
        <v>3.1129999551922079E-3</v>
      </c>
      <c r="AE633">
        <v>0.97626101970672607</v>
      </c>
      <c r="AF633">
        <f>0.16*X633 + 0.28*Y633 + 0.28*Z633 + 0.28*AA633</f>
        <v>0.32004633792023729</v>
      </c>
      <c r="AG633">
        <f t="shared" si="27"/>
        <v>0.2774922453676118</v>
      </c>
      <c r="AH633">
        <f>IF(T633="IT_Admin", 0.25, IF(AND(T633="HR", AA633&gt;0.6), 0.25, IF(AND(T633="General", Z633&gt;0.7), 0.2, 0.1)))</f>
        <v>0.1</v>
      </c>
      <c r="AI633">
        <f>IF(V633&gt;0.7, 0.1,
 IF(F633&gt;0.5, 0.08,
 IF(E633&gt;0.5, 0.05,
 0)))</f>
        <v>0</v>
      </c>
      <c r="AJ633">
        <f t="shared" si="28"/>
        <v>0.29025847313339947</v>
      </c>
      <c r="AK633">
        <f t="shared" si="29"/>
        <v>0.31928432044673943</v>
      </c>
      <c r="AL633" t="str">
        <f>IF(MAX(X633, Y633, Z633, AA633)&gt;0.9,
 "Critical",
 IF(AK633&lt;=0.2,"Very Low",
 IF(AK633&lt;=0.4,"Low",
 IF(AK633&lt;=0.6,"Medium",
 IF(AK633&lt;=0.8,"High","Critical")))))</f>
        <v>Critical</v>
      </c>
      <c r="AM633" t="str">
        <f>IF(MAX(X633:AA633)&gt;0.9,"CRITICAL ALERT",
 IF(AK633&gt;0.8,"CRITICAL ALERT",
 IF(AK633&gt;0.6,"ALERT",
 IF(AK633&gt;=0.4,"REVIEW","NO ACTION"))))</f>
        <v>CRITICAL ALERT</v>
      </c>
      <c r="AN633" t="str">
        <f>IF(AM633="NO ACTION","",
 IF(_xlfn.TEXTJOIN(", ", TRUE,
  IF(X633&gt;0.7,"Login anomaly",""),
  IF(Y633&gt;0.7,"File anomaly",""),
  IF(Z633&gt;0.7,"Network anomaly",""),
  IF(AA633&gt;0.7,"USB anomaly","")
 )="",
 "General anomaly detected",
 _xlfn.TEXTJOIN(", ", TRUE,
  IF(X633&gt;0.7,"Login anomaly",""),
  IF(Y633&gt;0.7,"File anomaly",""),
  IF(Z633&gt;0.7,"Network anomaly",""),
  IF(AA633&gt;0.7,"USB anomaly","")
 )))</f>
        <v>USB anomaly</v>
      </c>
    </row>
    <row r="634" spans="1:40" x14ac:dyDescent="0.3">
      <c r="A634" t="s">
        <v>657</v>
      </c>
      <c r="B634">
        <v>0.12892249527410199</v>
      </c>
      <c r="C634">
        <v>0.27848762186071102</v>
      </c>
      <c r="D634">
        <v>7.5124914167671697E-2</v>
      </c>
      <c r="E634">
        <v>0</v>
      </c>
      <c r="F634">
        <v>0</v>
      </c>
      <c r="G634">
        <v>0.99369210948729503</v>
      </c>
      <c r="H634">
        <v>7</v>
      </c>
      <c r="I634">
        <v>8</v>
      </c>
      <c r="J634">
        <v>9.0739945613281803E-2</v>
      </c>
      <c r="K634">
        <v>1.5497553017944501E-2</v>
      </c>
      <c r="L634">
        <v>4.3511401101545798E-2</v>
      </c>
      <c r="M634">
        <v>4.3290043290043203E-3</v>
      </c>
      <c r="N634">
        <v>2.8754849415572999E-2</v>
      </c>
      <c r="O634">
        <v>901</v>
      </c>
      <c r="P634">
        <v>7.54769921436588E-2</v>
      </c>
      <c r="Q634">
        <v>7.5633788000981805E-2</v>
      </c>
      <c r="R634">
        <v>0</v>
      </c>
      <c r="S634">
        <v>0</v>
      </c>
      <c r="T634" t="s">
        <v>49</v>
      </c>
      <c r="U634">
        <v>2.0165094339622599E-2</v>
      </c>
      <c r="V634">
        <v>0</v>
      </c>
      <c r="W634">
        <v>0</v>
      </c>
      <c r="X634">
        <v>2.25374742503015E-2</v>
      </c>
      <c r="Y634">
        <v>4.8530144498101203E-2</v>
      </c>
      <c r="Z634">
        <v>5.6788135052424499E-2</v>
      </c>
      <c r="AA634">
        <v>0</v>
      </c>
      <c r="AB634">
        <v>1.842200011014938E-2</v>
      </c>
      <c r="AC634">
        <v>1.049999991664663E-4</v>
      </c>
      <c r="AD634">
        <v>3.625999903306365E-3</v>
      </c>
      <c r="AE634">
        <v>2.2299999836832281E-3</v>
      </c>
      <c r="AF634">
        <f>0.16*X634 + 0.28*Y634 + 0.28*Z634 + 0.28*AA634</f>
        <v>3.3095114154195443E-2</v>
      </c>
      <c r="AG634">
        <f t="shared" si="27"/>
        <v>4.6165999857475971E-3</v>
      </c>
      <c r="AH634">
        <f>IF(T634="IT_Admin", 0.25, IF(AND(T634="HR", AA634&gt;0.6), 0.25, IF(AND(T634="General", Z634&gt;0.7), 0.2, 0.1)))</f>
        <v>0.1</v>
      </c>
      <c r="AI634">
        <f>IF(V634&gt;0.7, 0.1,
 IF(F634&gt;0.5, 0.08,
 IF(E634&gt;0.5, 0.05,
 0)))</f>
        <v>0</v>
      </c>
      <c r="AJ634">
        <f t="shared" si="28"/>
        <v>1.3160154236281951E-2</v>
      </c>
      <c r="AK634">
        <f t="shared" si="29"/>
        <v>1.4476169659910148E-2</v>
      </c>
      <c r="AL634" t="str">
        <f>IF(MAX(X634, Y634, Z634, AA634)&gt;0.9,
 "Critical",
 IF(AK634&lt;=0.2,"Very Low",
 IF(AK634&lt;=0.4,"Low",
 IF(AK634&lt;=0.6,"Medium",
 IF(AK634&lt;=0.8,"High","Critical")))))</f>
        <v>Very Low</v>
      </c>
      <c r="AM634" t="str">
        <f>IF(MAX(X634:AA634)&gt;0.9,"CRITICAL ALERT",
 IF(AK634&gt;0.8,"CRITICAL ALERT",
 IF(AK634&gt;0.6,"ALERT",
 IF(AK634&gt;=0.4,"REVIEW","NO ACTION"))))</f>
        <v>NO ACTION</v>
      </c>
      <c r="AN634" t="str">
        <f>IF(AM634="NO ACTION","",
 IF(_xlfn.TEXTJOIN(", ", TRUE,
  IF(X634&gt;0.7,"Login anomaly",""),
  IF(Y634&gt;0.7,"File anomaly",""),
  IF(Z634&gt;0.7,"Network anomaly",""),
  IF(AA634&gt;0.7,"USB anomaly","")
 )="",
 "General anomaly detected",
 _xlfn.TEXTJOIN(", ", TRUE,
  IF(X634&gt;0.7,"Login anomaly",""),
  IF(Y634&gt;0.7,"File anomaly",""),
  IF(Z634&gt;0.7,"Network anomaly",""),
  IF(AA634&gt;0.7,"USB anomaly","")
 )))</f>
        <v/>
      </c>
    </row>
    <row r="635" spans="1:40" x14ac:dyDescent="0.3">
      <c r="A635" t="s">
        <v>658</v>
      </c>
      <c r="B635">
        <v>0.12892249527410199</v>
      </c>
      <c r="C635">
        <v>0.27795206874174799</v>
      </c>
      <c r="D635">
        <v>7.5129964412319103E-2</v>
      </c>
      <c r="E635">
        <v>0</v>
      </c>
      <c r="F635">
        <v>0</v>
      </c>
      <c r="G635">
        <v>0.99369786346754396</v>
      </c>
      <c r="H635">
        <v>7</v>
      </c>
      <c r="I635">
        <v>8</v>
      </c>
      <c r="J635">
        <v>8.2581937884642895E-2</v>
      </c>
      <c r="K635">
        <v>1.1419249592169599E-2</v>
      </c>
      <c r="L635">
        <v>3.5219117954434602E-2</v>
      </c>
      <c r="M635">
        <v>1.7316017316017301E-3</v>
      </c>
      <c r="N635">
        <v>1.26349073353681E-2</v>
      </c>
      <c r="O635">
        <v>820</v>
      </c>
      <c r="P635">
        <v>6.6463243546576803E-2</v>
      </c>
      <c r="Q635">
        <v>6.6622251832111901E-2</v>
      </c>
      <c r="R635">
        <v>0</v>
      </c>
      <c r="S635">
        <v>0</v>
      </c>
      <c r="T635" t="s">
        <v>49</v>
      </c>
      <c r="U635">
        <v>3.3962264150943298E-2</v>
      </c>
      <c r="V635">
        <v>0</v>
      </c>
      <c r="W635">
        <v>0</v>
      </c>
      <c r="X635">
        <v>2.2538989323695701E-2</v>
      </c>
      <c r="Y635">
        <v>3.7916418754756299E-2</v>
      </c>
      <c r="Z635">
        <v>4.4931909062093399E-2</v>
      </c>
      <c r="AA635">
        <v>0</v>
      </c>
      <c r="AB635">
        <v>1.839900016784668E-2</v>
      </c>
      <c r="AC635">
        <v>7.0000001869630069E-5</v>
      </c>
      <c r="AD635">
        <v>5.1139998249709606E-3</v>
      </c>
      <c r="AE635">
        <v>2.0639998838305469E-3</v>
      </c>
      <c r="AF635">
        <f>0.16*X635 + 0.28*Y635 + 0.28*Z635 + 0.28*AA635</f>
        <v>2.6803770080509229E-2</v>
      </c>
      <c r="AG635">
        <f t="shared" si="27"/>
        <v>4.9732799458433877E-3</v>
      </c>
      <c r="AH635">
        <f>IF(T635="IT_Admin", 0.25, IF(AND(T635="HR", AA635&gt;0.6), 0.25, IF(AND(T635="General", Z635&gt;0.7), 0.2, 0.1)))</f>
        <v>0.1</v>
      </c>
      <c r="AI635">
        <f>IF(V635&gt;0.7, 0.1,
 IF(F635&gt;0.5, 0.08,
 IF(E635&gt;0.5, 0.05,
 0)))</f>
        <v>0</v>
      </c>
      <c r="AJ635">
        <f t="shared" si="28"/>
        <v>1.152242698624314E-2</v>
      </c>
      <c r="AK635">
        <f t="shared" si="29"/>
        <v>1.2674669684867454E-2</v>
      </c>
      <c r="AL635" t="str">
        <f>IF(MAX(X635, Y635, Z635, AA635)&gt;0.9,
 "Critical",
 IF(AK635&lt;=0.2,"Very Low",
 IF(AK635&lt;=0.4,"Low",
 IF(AK635&lt;=0.6,"Medium",
 IF(AK635&lt;=0.8,"High","Critical")))))</f>
        <v>Very Low</v>
      </c>
      <c r="AM635" t="str">
        <f>IF(MAX(X635:AA635)&gt;0.9,"CRITICAL ALERT",
 IF(AK635&gt;0.8,"CRITICAL ALERT",
 IF(AK635&gt;0.6,"ALERT",
 IF(AK635&gt;=0.4,"REVIEW","NO ACTION"))))</f>
        <v>NO ACTION</v>
      </c>
      <c r="AN635" t="str">
        <f>IF(AM635="NO ACTION","",
 IF(_xlfn.TEXTJOIN(", ", TRUE,
  IF(X635&gt;0.7,"Login anomaly",""),
  IF(Y635&gt;0.7,"File anomaly",""),
  IF(Z635&gt;0.7,"Network anomaly",""),
  IF(AA635&gt;0.7,"USB anomaly","")
 )="",
 "General anomaly detected",
 _xlfn.TEXTJOIN(", ", TRUE,
  IF(X635&gt;0.7,"Login anomaly",""),
  IF(Y635&gt;0.7,"File anomaly",""),
  IF(Z635&gt;0.7,"Network anomaly",""),
  IF(AA635&gt;0.7,"USB anomaly","")
 )))</f>
        <v/>
      </c>
    </row>
    <row r="636" spans="1:40" x14ac:dyDescent="0.3">
      <c r="A636" t="s">
        <v>659</v>
      </c>
      <c r="B636">
        <v>0.12892249527410199</v>
      </c>
      <c r="C636">
        <v>0.36953165208440503</v>
      </c>
      <c r="D636">
        <v>0</v>
      </c>
      <c r="E636">
        <v>0</v>
      </c>
      <c r="F636">
        <v>0</v>
      </c>
      <c r="G636">
        <v>0.99368020008631597</v>
      </c>
      <c r="H636">
        <v>8</v>
      </c>
      <c r="I636">
        <v>8</v>
      </c>
      <c r="J636">
        <v>8.1580077286388997E-2</v>
      </c>
      <c r="K636">
        <v>9.7879282218597003E-3</v>
      </c>
      <c r="L636">
        <v>3.0557462108570601E-2</v>
      </c>
      <c r="M636">
        <v>3.4632034632034602E-3</v>
      </c>
      <c r="N636">
        <v>2.5579240972826899E-2</v>
      </c>
      <c r="O636">
        <v>880</v>
      </c>
      <c r="P636">
        <v>6.5867003367003296E-2</v>
      </c>
      <c r="Q636">
        <v>6.6026157999929794E-2</v>
      </c>
      <c r="R636">
        <v>0</v>
      </c>
      <c r="S636">
        <v>0</v>
      </c>
      <c r="T636" t="s">
        <v>49</v>
      </c>
      <c r="U636">
        <v>1.5674891146589199E-2</v>
      </c>
      <c r="V636">
        <v>0</v>
      </c>
      <c r="W636">
        <v>0</v>
      </c>
      <c r="X636">
        <v>0</v>
      </c>
      <c r="Y636">
        <v>3.9268518803411201E-2</v>
      </c>
      <c r="Z636">
        <v>4.97518984093328E-2</v>
      </c>
      <c r="AA636">
        <v>0</v>
      </c>
      <c r="AB636">
        <v>2.466299943625927E-2</v>
      </c>
      <c r="AC636">
        <v>2.2499999613501129E-4</v>
      </c>
      <c r="AD636">
        <v>4.8719998449087143E-3</v>
      </c>
      <c r="AE636">
        <v>1.8090000376105311E-3</v>
      </c>
      <c r="AF636">
        <f>0.16*X636 + 0.28*Y636 + 0.28*Z636 + 0.28*AA636</f>
        <v>2.4925716819568323E-2</v>
      </c>
      <c r="AG636">
        <f t="shared" si="27"/>
        <v>5.8797598758246741E-3</v>
      </c>
      <c r="AH636">
        <f>IF(T636="IT_Admin", 0.25, IF(AND(T636="HR", AA636&gt;0.6), 0.25, IF(AND(T636="General", Z636&gt;0.7), 0.2, 0.1)))</f>
        <v>0.1</v>
      </c>
      <c r="AI636">
        <f>IF(V636&gt;0.7, 0.1,
 IF(F636&gt;0.5, 0.08,
 IF(E636&gt;0.5, 0.05,
 0)))</f>
        <v>0</v>
      </c>
      <c r="AJ636">
        <f t="shared" si="28"/>
        <v>1.1593546958947768E-2</v>
      </c>
      <c r="AK636">
        <f t="shared" si="29"/>
        <v>1.2752901654842545E-2</v>
      </c>
      <c r="AL636" t="str">
        <f>IF(MAX(X636, Y636, Z636, AA636)&gt;0.9,
 "Critical",
 IF(AK636&lt;=0.2,"Very Low",
 IF(AK636&lt;=0.4,"Low",
 IF(AK636&lt;=0.6,"Medium",
 IF(AK636&lt;=0.8,"High","Critical")))))</f>
        <v>Very Low</v>
      </c>
      <c r="AM636" t="str">
        <f>IF(MAX(X636:AA636)&gt;0.9,"CRITICAL ALERT",
 IF(AK636&gt;0.8,"CRITICAL ALERT",
 IF(AK636&gt;0.6,"ALERT",
 IF(AK636&gt;=0.4,"REVIEW","NO ACTION"))))</f>
        <v>NO ACTION</v>
      </c>
      <c r="AN636" t="str">
        <f>IF(AM636="NO ACTION","",
 IF(_xlfn.TEXTJOIN(", ", TRUE,
  IF(X636&gt;0.7,"Login anomaly",""),
  IF(Y636&gt;0.7,"File anomaly",""),
  IF(Z636&gt;0.7,"Network anomaly",""),
  IF(AA636&gt;0.7,"USB anomaly","")
 )="",
 "General anomaly detected",
 _xlfn.TEXTJOIN(", ", TRUE,
  IF(X636&gt;0.7,"Login anomaly",""),
  IF(Y636&gt;0.7,"File anomaly",""),
  IF(Z636&gt;0.7,"Network anomaly",""),
  IF(AA636&gt;0.7,"USB anomaly","")
 )))</f>
        <v/>
      </c>
    </row>
    <row r="637" spans="1:40" x14ac:dyDescent="0.3">
      <c r="A637" t="s">
        <v>660</v>
      </c>
      <c r="B637">
        <v>0.12892249527410199</v>
      </c>
      <c r="C637">
        <v>0.282236493693451</v>
      </c>
      <c r="D637">
        <v>7.5018780494472401E-2</v>
      </c>
      <c r="E637">
        <v>0</v>
      </c>
      <c r="F637">
        <v>0</v>
      </c>
      <c r="G637">
        <v>0.993693554673032</v>
      </c>
      <c r="H637">
        <v>7</v>
      </c>
      <c r="I637">
        <v>8</v>
      </c>
      <c r="J637">
        <v>8.6207719097371294E-2</v>
      </c>
      <c r="K637">
        <v>1.71288743882544E-2</v>
      </c>
      <c r="L637">
        <v>5.0612904610015302E-2</v>
      </c>
      <c r="M637">
        <v>2.0202020202020202E-3</v>
      </c>
      <c r="N637">
        <v>1.4122460811202499E-2</v>
      </c>
      <c r="O637">
        <v>929</v>
      </c>
      <c r="P637">
        <v>7.1724186307519602E-2</v>
      </c>
      <c r="Q637">
        <v>7.1881903292541793E-2</v>
      </c>
      <c r="R637">
        <v>0</v>
      </c>
      <c r="S637">
        <v>0</v>
      </c>
      <c r="T637" t="s">
        <v>49</v>
      </c>
      <c r="U637">
        <v>4.4575471698113198E-2</v>
      </c>
      <c r="V637">
        <v>0</v>
      </c>
      <c r="W637">
        <v>0</v>
      </c>
      <c r="X637">
        <v>2.25056341483417E-2</v>
      </c>
      <c r="Y637">
        <v>4.6784734367842598E-2</v>
      </c>
      <c r="Z637">
        <v>4.8683496108992801E-2</v>
      </c>
      <c r="AA637">
        <v>0</v>
      </c>
      <c r="AB637">
        <v>1.8052000552415851E-2</v>
      </c>
      <c r="AC637">
        <v>4.3000000005122267E-5</v>
      </c>
      <c r="AD637">
        <v>4.4339997693896294E-3</v>
      </c>
      <c r="AE637">
        <v>1.892999978736043E-3</v>
      </c>
      <c r="AF637">
        <f>0.16*X637 + 0.28*Y637 + 0.28*Z637 + 0.28*AA637</f>
        <v>3.0332005997248584E-2</v>
      </c>
      <c r="AG637">
        <f t="shared" si="27"/>
        <v>4.6719200178631593E-3</v>
      </c>
      <c r="AH637">
        <f>IF(T637="IT_Admin", 0.25, IF(AND(T637="HR", AA637&gt;0.6), 0.25, IF(AND(T637="General", Z637&gt;0.7), 0.2, 0.1)))</f>
        <v>0.1</v>
      </c>
      <c r="AI637">
        <f>IF(V637&gt;0.7, 0.1,
 IF(F637&gt;0.5, 0.08,
 IF(E637&gt;0.5, 0.05,
 0)))</f>
        <v>0</v>
      </c>
      <c r="AJ637">
        <f t="shared" si="28"/>
        <v>1.2369945811678785E-2</v>
      </c>
      <c r="AK637">
        <f t="shared" si="29"/>
        <v>1.3606940392846665E-2</v>
      </c>
      <c r="AL637" t="str">
        <f>IF(MAX(X637, Y637, Z637, AA637)&gt;0.9,
 "Critical",
 IF(AK637&lt;=0.2,"Very Low",
 IF(AK637&lt;=0.4,"Low",
 IF(AK637&lt;=0.6,"Medium",
 IF(AK637&lt;=0.8,"High","Critical")))))</f>
        <v>Very Low</v>
      </c>
      <c r="AM637" t="str">
        <f>IF(MAX(X637:AA637)&gt;0.9,"CRITICAL ALERT",
 IF(AK637&gt;0.8,"CRITICAL ALERT",
 IF(AK637&gt;0.6,"ALERT",
 IF(AK637&gt;=0.4,"REVIEW","NO ACTION"))))</f>
        <v>NO ACTION</v>
      </c>
      <c r="AN637" t="str">
        <f>IF(AM637="NO ACTION","",
 IF(_xlfn.TEXTJOIN(", ", TRUE,
  IF(X637&gt;0.7,"Login anomaly",""),
  IF(Y637&gt;0.7,"File anomaly",""),
  IF(Z637&gt;0.7,"Network anomaly",""),
  IF(AA637&gt;0.7,"USB anomaly","")
 )="",
 "General anomaly detected",
 _xlfn.TEXTJOIN(", ", TRUE,
  IF(X637&gt;0.7,"Login anomaly",""),
  IF(Y637&gt;0.7,"File anomaly",""),
  IF(Z637&gt;0.7,"Network anomaly",""),
  IF(AA637&gt;0.7,"USB anomaly","")
 )))</f>
        <v/>
      </c>
    </row>
    <row r="638" spans="1:40" x14ac:dyDescent="0.3">
      <c r="A638" t="s">
        <v>661</v>
      </c>
      <c r="B638">
        <v>0.27221172022684298</v>
      </c>
      <c r="C638">
        <v>0.73702169283132701</v>
      </c>
      <c r="D638">
        <v>0.39929268618487002</v>
      </c>
      <c r="E638">
        <v>0</v>
      </c>
      <c r="F638">
        <v>0</v>
      </c>
      <c r="G638">
        <v>0.39488495042257099</v>
      </c>
      <c r="H638">
        <v>7</v>
      </c>
      <c r="I638">
        <v>17</v>
      </c>
      <c r="J638">
        <v>9.0262869137922794E-2</v>
      </c>
      <c r="K638">
        <v>8.1566068515497494E-3</v>
      </c>
      <c r="L638">
        <v>2.30214582306267E-2</v>
      </c>
      <c r="M638">
        <v>2.8860028860028799E-3</v>
      </c>
      <c r="N638">
        <v>1.92709533774372E-2</v>
      </c>
      <c r="O638">
        <v>897</v>
      </c>
      <c r="P638">
        <v>7.1268237934904596E-2</v>
      </c>
      <c r="Q638">
        <v>7.1426066832637802E-2</v>
      </c>
      <c r="R638">
        <v>0.96607669616519098</v>
      </c>
      <c r="S638">
        <v>1</v>
      </c>
      <c r="T638" t="s">
        <v>49</v>
      </c>
      <c r="U638">
        <v>1.54373927958833E-2</v>
      </c>
      <c r="V638">
        <v>0</v>
      </c>
      <c r="W638">
        <v>0</v>
      </c>
      <c r="X638">
        <v>0.119787805855461</v>
      </c>
      <c r="Y638">
        <v>3.5344588956129103E-2</v>
      </c>
      <c r="Z638">
        <v>5.0469324111917603E-2</v>
      </c>
      <c r="AA638">
        <v>0.96607669616519098</v>
      </c>
      <c r="AB638">
        <v>5.3141999989748001E-2</v>
      </c>
      <c r="AC638">
        <v>2.8800001018680632E-4</v>
      </c>
      <c r="AD638">
        <v>3.5339999012649059E-3</v>
      </c>
      <c r="AE638">
        <v>0.95261901617050171</v>
      </c>
      <c r="AF638">
        <f>0.16*X638 + 0.28*Y638 + 0.28*Z638 + 0.28*AA638</f>
        <v>0.31369541952218033</v>
      </c>
      <c r="AG638">
        <f t="shared" si="27"/>
        <v>0.27630620450130666</v>
      </c>
      <c r="AH638">
        <f>IF(T638="IT_Admin", 0.25, IF(AND(T638="HR", AA638&gt;0.6), 0.25, IF(AND(T638="General", Z638&gt;0.7), 0.2, 0.1)))</f>
        <v>0.1</v>
      </c>
      <c r="AI638">
        <f>IF(V638&gt;0.7, 0.1,
 IF(F638&gt;0.5, 0.08,
 IF(E638&gt;0.5, 0.05,
 0)))</f>
        <v>0</v>
      </c>
      <c r="AJ638">
        <f t="shared" si="28"/>
        <v>0.28752296900756874</v>
      </c>
      <c r="AK638">
        <f t="shared" si="29"/>
        <v>0.31627526590832566</v>
      </c>
      <c r="AL638" t="str">
        <f>IF(MAX(X638, Y638, Z638, AA638)&gt;0.9,
 "Critical",
 IF(AK638&lt;=0.2,"Very Low",
 IF(AK638&lt;=0.4,"Low",
 IF(AK638&lt;=0.6,"Medium",
 IF(AK638&lt;=0.8,"High","Critical")))))</f>
        <v>Critical</v>
      </c>
      <c r="AM638" t="str">
        <f>IF(MAX(X638:AA638)&gt;0.9,"CRITICAL ALERT",
 IF(AK638&gt;0.8,"CRITICAL ALERT",
 IF(AK638&gt;0.6,"ALERT",
 IF(AK638&gt;=0.4,"REVIEW","NO ACTION"))))</f>
        <v>CRITICAL ALERT</v>
      </c>
      <c r="AN638" t="str">
        <f>IF(AM638="NO ACTION","",
 IF(_xlfn.TEXTJOIN(", ", TRUE,
  IF(X638&gt;0.7,"Login anomaly",""),
  IF(Y638&gt;0.7,"File anomaly",""),
  IF(Z638&gt;0.7,"Network anomaly",""),
  IF(AA638&gt;0.7,"USB anomaly","")
 )="",
 "General anomaly detected",
 _xlfn.TEXTJOIN(", ", TRUE,
  IF(X638&gt;0.7,"Login anomaly",""),
  IF(Y638&gt;0.7,"File anomaly",""),
  IF(Z638&gt;0.7,"Network anomaly",""),
  IF(AA638&gt;0.7,"USB anomaly","")
 )))</f>
        <v>USB anomaly</v>
      </c>
    </row>
    <row r="639" spans="1:40" x14ac:dyDescent="0.3">
      <c r="A639" t="s">
        <v>662</v>
      </c>
      <c r="B639">
        <v>0.23969754253308101</v>
      </c>
      <c r="C639">
        <v>0.59397289845228496</v>
      </c>
      <c r="D639">
        <v>0.37748289624452602</v>
      </c>
      <c r="E639">
        <v>0</v>
      </c>
      <c r="F639">
        <v>0</v>
      </c>
      <c r="G639">
        <v>0.46849822091883703</v>
      </c>
      <c r="H639">
        <v>7</v>
      </c>
      <c r="I639">
        <v>16</v>
      </c>
      <c r="J639">
        <v>0.102809980439864</v>
      </c>
      <c r="K639">
        <v>1.2234910277324601E-2</v>
      </c>
      <c r="L639">
        <v>3.03275737940964E-2</v>
      </c>
      <c r="M639">
        <v>3.7518037518037501E-3</v>
      </c>
      <c r="N639">
        <v>2.2001897279675001E-2</v>
      </c>
      <c r="O639">
        <v>994</v>
      </c>
      <c r="P639">
        <v>8.2666947250280495E-2</v>
      </c>
      <c r="Q639">
        <v>8.2821978330235899E-2</v>
      </c>
      <c r="R639">
        <v>0</v>
      </c>
      <c r="S639">
        <v>0</v>
      </c>
      <c r="T639" t="s">
        <v>24</v>
      </c>
      <c r="U639">
        <v>1.81940700808625E-2</v>
      </c>
      <c r="V639">
        <v>0</v>
      </c>
      <c r="W639">
        <v>0</v>
      </c>
      <c r="X639">
        <v>0.113244868873357</v>
      </c>
      <c r="Y639">
        <v>4.2326352168923602E-2</v>
      </c>
      <c r="Z639">
        <v>5.8400927262038299E-2</v>
      </c>
      <c r="AA639">
        <v>0</v>
      </c>
      <c r="AB639">
        <v>2.771499939262867E-2</v>
      </c>
      <c r="AC639">
        <v>1.5799999528098849E-4</v>
      </c>
      <c r="AD639">
        <v>2.7650000993162389E-3</v>
      </c>
      <c r="AE639">
        <v>8.4030004218220711E-3</v>
      </c>
      <c r="AF639">
        <f>0.16*X639 + 0.28*Y639 + 0.28*Z639 + 0.28*AA639</f>
        <v>4.6322817260406456E-2</v>
      </c>
      <c r="AG639">
        <f t="shared" si="27"/>
        <v>7.6056800474179915E-3</v>
      </c>
      <c r="AH639">
        <f>IF(T639="IT_Admin", 0.25, IF(AND(T639="HR", AA639&gt;0.6), 0.25, IF(AND(T639="General", Z639&gt;0.7), 0.2, 0.1)))</f>
        <v>0.25</v>
      </c>
      <c r="AI639">
        <f>IF(V639&gt;0.7, 0.1,
 IF(F639&gt;0.5, 0.08,
 IF(E639&gt;0.5, 0.05,
 0)))</f>
        <v>0</v>
      </c>
      <c r="AJ639">
        <f t="shared" si="28"/>
        <v>1.9220821211314531E-2</v>
      </c>
      <c r="AK639">
        <f t="shared" si="29"/>
        <v>2.4026026514143164E-2</v>
      </c>
      <c r="AL639" t="str">
        <f>IF(MAX(X639, Y639, Z639, AA639)&gt;0.9,
 "Critical",
 IF(AK639&lt;=0.2,"Very Low",
 IF(AK639&lt;=0.4,"Low",
 IF(AK639&lt;=0.6,"Medium",
 IF(AK639&lt;=0.8,"High","Critical")))))</f>
        <v>Very Low</v>
      </c>
      <c r="AM639" t="str">
        <f>IF(MAX(X639:AA639)&gt;0.9,"CRITICAL ALERT",
 IF(AK639&gt;0.8,"CRITICAL ALERT",
 IF(AK639&gt;0.6,"ALERT",
 IF(AK639&gt;=0.4,"REVIEW","NO ACTION"))))</f>
        <v>NO ACTION</v>
      </c>
      <c r="AN639" t="str">
        <f>IF(AM639="NO ACTION","",
 IF(_xlfn.TEXTJOIN(", ", TRUE,
  IF(X639&gt;0.7,"Login anomaly",""),
  IF(Y639&gt;0.7,"File anomaly",""),
  IF(Z639&gt;0.7,"Network anomaly",""),
  IF(AA639&gt;0.7,"USB anomaly","")
 )="",
 "General anomaly detected",
 _xlfn.TEXTJOIN(", ", TRUE,
  IF(X639&gt;0.7,"Login anomaly",""),
  IF(Y639&gt;0.7,"File anomaly",""),
  IF(Z639&gt;0.7,"Network anomaly",""),
  IF(AA639&gt;0.7,"USB anomaly","")
 )))</f>
        <v/>
      </c>
    </row>
    <row r="640" spans="1:40" x14ac:dyDescent="0.3">
      <c r="A640" t="s">
        <v>663</v>
      </c>
      <c r="B640">
        <v>0.23327032136105799</v>
      </c>
      <c r="C640">
        <v>0.76018789941679199</v>
      </c>
      <c r="D640">
        <v>0.36788008244583098</v>
      </c>
      <c r="E640">
        <v>0</v>
      </c>
      <c r="F640">
        <v>0</v>
      </c>
      <c r="G640">
        <v>0.48517136598854199</v>
      </c>
      <c r="H640">
        <v>8</v>
      </c>
      <c r="I640">
        <v>16</v>
      </c>
      <c r="J640">
        <v>8.7400410285768795E-2</v>
      </c>
      <c r="K640">
        <v>8.9722675367047301E-3</v>
      </c>
      <c r="L640">
        <v>2.6150722313472399E-2</v>
      </c>
      <c r="M640">
        <v>2.8860028860028799E-3</v>
      </c>
      <c r="N640">
        <v>1.9900380270548999E-2</v>
      </c>
      <c r="O640">
        <v>927</v>
      </c>
      <c r="P640">
        <v>6.9514590347923594E-2</v>
      </c>
      <c r="Q640">
        <v>6.9672849679161195E-2</v>
      </c>
      <c r="R640">
        <v>0.76843657817109101</v>
      </c>
      <c r="S640">
        <v>1</v>
      </c>
      <c r="T640" t="s">
        <v>49</v>
      </c>
      <c r="U640">
        <v>1.6981132075471601E-2</v>
      </c>
      <c r="V640">
        <v>0</v>
      </c>
      <c r="W640">
        <v>0</v>
      </c>
      <c r="X640">
        <v>0.110364024733749</v>
      </c>
      <c r="Y640">
        <v>3.6525557295054599E-2</v>
      </c>
      <c r="Z640">
        <v>4.96689063169738E-2</v>
      </c>
      <c r="AA640">
        <v>0.76843657817109101</v>
      </c>
      <c r="AB640">
        <v>4.0249999612569809E-2</v>
      </c>
      <c r="AC640">
        <v>2.4100000155158341E-4</v>
      </c>
      <c r="AD640">
        <v>3.8260000292211771E-3</v>
      </c>
      <c r="AE640">
        <v>0.58949297666549683</v>
      </c>
      <c r="AF640">
        <f>0.16*X640 + 0.28*Y640 + 0.28*Z640 + 0.28*AA640</f>
        <v>0.25695493565667332</v>
      </c>
      <c r="AG640">
        <f t="shared" si="27"/>
        <v>0.17263679341296667</v>
      </c>
      <c r="AH640">
        <f>IF(T640="IT_Admin", 0.25, IF(AND(T640="HR", AA640&gt;0.6), 0.25, IF(AND(T640="General", Z640&gt;0.7), 0.2, 0.1)))</f>
        <v>0.1</v>
      </c>
      <c r="AI640">
        <f>IF(V640&gt;0.7, 0.1,
 IF(F640&gt;0.5, 0.08,
 IF(E640&gt;0.5, 0.05,
 0)))</f>
        <v>0</v>
      </c>
      <c r="AJ640">
        <f t="shared" si="28"/>
        <v>0.19793223608607866</v>
      </c>
      <c r="AK640">
        <f t="shared" si="29"/>
        <v>0.21772545969468654</v>
      </c>
      <c r="AL640" t="str">
        <f>IF(MAX(X640, Y640, Z640, AA640)&gt;0.9,
 "Critical",
 IF(AK640&lt;=0.2,"Very Low",
 IF(AK640&lt;=0.4,"Low",
 IF(AK640&lt;=0.6,"Medium",
 IF(AK640&lt;=0.8,"High","Critical")))))</f>
        <v>Low</v>
      </c>
      <c r="AM640" t="str">
        <f>IF(MAX(X640:AA640)&gt;0.9,"CRITICAL ALERT",
 IF(AK640&gt;0.8,"CRITICAL ALERT",
 IF(AK640&gt;0.6,"ALERT",
 IF(AK640&gt;=0.4,"REVIEW","NO ACTION"))))</f>
        <v>NO ACTION</v>
      </c>
      <c r="AN640" t="str">
        <f>IF(AM640="NO ACTION","",
 IF(_xlfn.TEXTJOIN(", ", TRUE,
  IF(X640&gt;0.7,"Login anomaly",""),
  IF(Y640&gt;0.7,"File anomaly",""),
  IF(Z640&gt;0.7,"Network anomaly",""),
  IF(AA640&gt;0.7,"USB anomaly","")
 )="",
 "General anomaly detected",
 _xlfn.TEXTJOIN(", ", TRUE,
  IF(X640&gt;0.7,"Login anomaly",""),
  IF(Y640&gt;0.7,"File anomaly",""),
  IF(Z640&gt;0.7,"Network anomaly",""),
  IF(AA640&gt;0.7,"USB anomaly","")
 )))</f>
        <v/>
      </c>
    </row>
    <row r="641" spans="1:40" x14ac:dyDescent="0.3">
      <c r="A641" t="s">
        <v>664</v>
      </c>
      <c r="B641">
        <v>0.13988657844990501</v>
      </c>
      <c r="C641">
        <v>0.34038410198683799</v>
      </c>
      <c r="D641">
        <v>0.197112463470033</v>
      </c>
      <c r="E641">
        <v>0</v>
      </c>
      <c r="F641">
        <v>0</v>
      </c>
      <c r="G641">
        <v>0.90484703847385495</v>
      </c>
      <c r="H641">
        <v>7</v>
      </c>
      <c r="I641">
        <v>15</v>
      </c>
      <c r="J641">
        <v>7.5616621344401502E-2</v>
      </c>
      <c r="K641">
        <v>1.0603588907014599E-2</v>
      </c>
      <c r="L641">
        <v>3.57064265047475E-2</v>
      </c>
      <c r="M641">
        <v>2.0202020202020202E-3</v>
      </c>
      <c r="N641">
        <v>1.6094276094276001E-2</v>
      </c>
      <c r="O641">
        <v>804</v>
      </c>
      <c r="P641">
        <v>6.1132154882154802E-2</v>
      </c>
      <c r="Q641">
        <v>6.1292471685542901E-2</v>
      </c>
      <c r="R641">
        <v>0</v>
      </c>
      <c r="S641">
        <v>0</v>
      </c>
      <c r="T641" t="s">
        <v>49</v>
      </c>
      <c r="U641">
        <v>2.75943396226415E-2</v>
      </c>
      <c r="V641">
        <v>0</v>
      </c>
      <c r="W641">
        <v>0</v>
      </c>
      <c r="X641">
        <v>5.9133739041010103E-2</v>
      </c>
      <c r="Y641">
        <v>3.7804820349536902E-2</v>
      </c>
      <c r="Z641">
        <v>4.3117003367003297E-2</v>
      </c>
      <c r="AA641">
        <v>0</v>
      </c>
      <c r="AB641">
        <v>7.036999799311161E-3</v>
      </c>
      <c r="AC641">
        <v>9.0000001364387572E-5</v>
      </c>
      <c r="AD641">
        <v>5.6139999069273472E-3</v>
      </c>
      <c r="AE641">
        <v>3.847999963909388E-3</v>
      </c>
      <c r="AF641">
        <f>0.16*X641 + 0.28*Y641 + 0.28*Z641 + 0.28*AA641</f>
        <v>3.2119508887192873E-2</v>
      </c>
      <c r="AG641">
        <f t="shared" si="27"/>
        <v>3.8004799321061009E-3</v>
      </c>
      <c r="AH641">
        <f>IF(T641="IT_Admin", 0.25, IF(AND(T641="HR", AA641&gt;0.6), 0.25, IF(AND(T641="General", Z641&gt;0.7), 0.2, 0.1)))</f>
        <v>0.1</v>
      </c>
      <c r="AI641">
        <f>IF(V641&gt;0.7, 0.1,
 IF(F641&gt;0.5, 0.08,
 IF(E641&gt;0.5, 0.05,
 0)))</f>
        <v>0</v>
      </c>
      <c r="AJ641">
        <f t="shared" si="28"/>
        <v>1.2296188618632133E-2</v>
      </c>
      <c r="AK641">
        <f t="shared" si="29"/>
        <v>1.3525807480495347E-2</v>
      </c>
      <c r="AL641" t="str">
        <f>IF(MAX(X641, Y641, Z641, AA641)&gt;0.9,
 "Critical",
 IF(AK641&lt;=0.2,"Very Low",
 IF(AK641&lt;=0.4,"Low",
 IF(AK641&lt;=0.6,"Medium",
 IF(AK641&lt;=0.8,"High","Critical")))))</f>
        <v>Very Low</v>
      </c>
      <c r="AM641" t="str">
        <f>IF(MAX(X641:AA641)&gt;0.9,"CRITICAL ALERT",
 IF(AK641&gt;0.8,"CRITICAL ALERT",
 IF(AK641&gt;0.6,"ALERT",
 IF(AK641&gt;=0.4,"REVIEW","NO ACTION"))))</f>
        <v>NO ACTION</v>
      </c>
      <c r="AN641" t="str">
        <f>IF(AM641="NO ACTION","",
 IF(_xlfn.TEXTJOIN(", ", TRUE,
  IF(X641&gt;0.7,"Login anomaly",""),
  IF(Y641&gt;0.7,"File anomaly",""),
  IF(Z641&gt;0.7,"Network anomaly",""),
  IF(AA641&gt;0.7,"USB anomaly","")
 )="",
 "General anomaly detected",
 _xlfn.TEXTJOIN(", ", TRUE,
  IF(X641&gt;0.7,"Login anomaly",""),
  IF(Y641&gt;0.7,"File anomaly",""),
  IF(Z641&gt;0.7,"Network anomaly",""),
  IF(AA641&gt;0.7,"USB anomaly","")
 )))</f>
        <v/>
      </c>
    </row>
    <row r="642" spans="1:40" x14ac:dyDescent="0.3">
      <c r="A642" t="s">
        <v>665</v>
      </c>
      <c r="B642">
        <v>2.1928166351606802E-2</v>
      </c>
      <c r="C642">
        <v>0.48277522288446501</v>
      </c>
      <c r="D642">
        <v>0.36487428095364699</v>
      </c>
      <c r="E642">
        <v>0</v>
      </c>
      <c r="F642">
        <v>0.27419354838709598</v>
      </c>
      <c r="G642">
        <v>0.44012000223551301</v>
      </c>
      <c r="H642">
        <v>6</v>
      </c>
      <c r="I642">
        <v>12</v>
      </c>
      <c r="J642">
        <v>6.2019941796669998E-4</v>
      </c>
      <c r="K642">
        <v>0</v>
      </c>
      <c r="L642">
        <v>0</v>
      </c>
      <c r="M642">
        <v>0</v>
      </c>
      <c r="N642">
        <v>0</v>
      </c>
      <c r="O642">
        <v>15</v>
      </c>
      <c r="P642">
        <v>4.55948372615039E-4</v>
      </c>
      <c r="Q642">
        <v>6.3115817525158597E-4</v>
      </c>
      <c r="R642">
        <v>0</v>
      </c>
      <c r="S642">
        <v>0</v>
      </c>
      <c r="T642" t="s">
        <v>49</v>
      </c>
      <c r="U642">
        <v>0</v>
      </c>
      <c r="V642">
        <v>0</v>
      </c>
      <c r="W642">
        <v>0</v>
      </c>
      <c r="X642">
        <v>0.21913970364093299</v>
      </c>
      <c r="Y642">
        <v>1.2403988359334001E-4</v>
      </c>
      <c r="Z642">
        <v>2.7356902356902302E-4</v>
      </c>
      <c r="AA642">
        <v>0</v>
      </c>
      <c r="AB642">
        <v>4.8126000910997391E-2</v>
      </c>
      <c r="AC642">
        <v>1.9590000156313181E-3</v>
      </c>
      <c r="AD642">
        <v>1.75819993019104E-2</v>
      </c>
      <c r="AE642">
        <v>5.9960000216960907E-3</v>
      </c>
      <c r="AF642">
        <f>0.16*X642 + 0.28*Y642 + 0.28*Z642 + 0.28*AA642</f>
        <v>3.5173683076554739E-2</v>
      </c>
      <c r="AG642">
        <f t="shared" si="27"/>
        <v>1.485051996074617E-2</v>
      </c>
      <c r="AH642">
        <f>IF(T642="IT_Admin", 0.25, IF(AND(T642="HR", AA642&gt;0.6), 0.25, IF(AND(T642="General", Z642&gt;0.7), 0.2, 0.1)))</f>
        <v>0.1</v>
      </c>
      <c r="AI642">
        <f>IF(V642&gt;0.7, 0.1,
 IF(F642&gt;0.5, 0.08,
 IF(E642&gt;0.5, 0.05,
 0)))</f>
        <v>0</v>
      </c>
      <c r="AJ642">
        <f t="shared" si="28"/>
        <v>2.0947468895488739E-2</v>
      </c>
      <c r="AK642">
        <f t="shared" si="29"/>
        <v>2.3042215785037616E-2</v>
      </c>
      <c r="AL642" t="str">
        <f>IF(MAX(X642, Y642, Z642, AA642)&gt;0.9,
 "Critical",
 IF(AK642&lt;=0.2,"Very Low",
 IF(AK642&lt;=0.4,"Low",
 IF(AK642&lt;=0.6,"Medium",
 IF(AK642&lt;=0.8,"High","Critical")))))</f>
        <v>Very Low</v>
      </c>
      <c r="AM642" t="str">
        <f>IF(MAX(X642:AA642)&gt;0.9,"CRITICAL ALERT",
 IF(AK642&gt;0.8,"CRITICAL ALERT",
 IF(AK642&gt;0.6,"ALERT",
 IF(AK642&gt;=0.4,"REVIEW","NO ACTION"))))</f>
        <v>NO ACTION</v>
      </c>
      <c r="AN642" t="str">
        <f>IF(AM642="NO ACTION","",
 IF(_xlfn.TEXTJOIN(", ", TRUE,
  IF(X642&gt;0.7,"Login anomaly",""),
  IF(Y642&gt;0.7,"File anomaly",""),
  IF(Z642&gt;0.7,"Network anomaly",""),
  IF(AA642&gt;0.7,"USB anomaly","")
 )="",
 "General anomaly detected",
 _xlfn.TEXTJOIN(", ", TRUE,
  IF(X642&gt;0.7,"Login anomaly",""),
  IF(Y642&gt;0.7,"File anomaly",""),
  IF(Z642&gt;0.7,"Network anomaly",""),
  IF(AA642&gt;0.7,"USB anomaly","")
 )))</f>
        <v/>
      </c>
    </row>
    <row r="643" spans="1:40" x14ac:dyDescent="0.3">
      <c r="A643" t="s">
        <v>666</v>
      </c>
      <c r="B643">
        <v>0.12892249527410199</v>
      </c>
      <c r="C643">
        <v>0.18476582604220201</v>
      </c>
      <c r="D643">
        <v>0</v>
      </c>
      <c r="E643">
        <v>0</v>
      </c>
      <c r="F643">
        <v>0</v>
      </c>
      <c r="G643">
        <v>0.99367300092033095</v>
      </c>
      <c r="H643">
        <v>7</v>
      </c>
      <c r="I643">
        <v>7</v>
      </c>
      <c r="J643">
        <v>9.4508849768617897E-2</v>
      </c>
      <c r="K643">
        <v>1.4681892332789499E-2</v>
      </c>
      <c r="L643">
        <v>3.9581606885346399E-2</v>
      </c>
      <c r="M643">
        <v>2.3088023088023001E-3</v>
      </c>
      <c r="N643">
        <v>1.47258805869077E-2</v>
      </c>
      <c r="O643">
        <v>931</v>
      </c>
      <c r="P643">
        <v>7.6914983164983103E-2</v>
      </c>
      <c r="Q643">
        <v>7.7071426066832593E-2</v>
      </c>
      <c r="R643">
        <v>0</v>
      </c>
      <c r="S643">
        <v>0</v>
      </c>
      <c r="T643" t="s">
        <v>49</v>
      </c>
      <c r="U643">
        <v>3.3962264150943298E-2</v>
      </c>
      <c r="V643">
        <v>0</v>
      </c>
      <c r="W643">
        <v>0</v>
      </c>
      <c r="X643">
        <v>0</v>
      </c>
      <c r="Y643">
        <v>4.3110337572469098E-2</v>
      </c>
      <c r="Z643">
        <v>5.2039342133752997E-2</v>
      </c>
      <c r="AA643">
        <v>0</v>
      </c>
      <c r="AB643">
        <v>3.6646001040935523E-2</v>
      </c>
      <c r="AC643">
        <v>1.400000019202707E-5</v>
      </c>
      <c r="AD643">
        <v>3.81499994546175E-3</v>
      </c>
      <c r="AE643">
        <v>1.628000056371093E-3</v>
      </c>
      <c r="AF643">
        <f>0.16*X643 + 0.28*Y643 + 0.28*Z643 + 0.28*AA643</f>
        <v>2.6641910317742191E-2</v>
      </c>
      <c r="AG643">
        <f t="shared" ref="AG643:AG706" si="30">0.16*AB643 + 0.28*AC643 + 0.28*AD643 + 0.28*AE643</f>
        <v>7.3913201671166476E-3</v>
      </c>
      <c r="AH643">
        <f>IF(T643="IT_Admin", 0.25, IF(AND(T643="HR", AA643&gt;0.6), 0.25, IF(AND(T643="General", Z643&gt;0.7), 0.2, 0.1)))</f>
        <v>0.1</v>
      </c>
      <c r="AI643">
        <f>IF(V643&gt;0.7, 0.1,
 IF(F643&gt;0.5, 0.08,
 IF(E643&gt;0.5, 0.05,
 0)))</f>
        <v>0</v>
      </c>
      <c r="AJ643">
        <f t="shared" ref="AJ643:AJ706" si="31">0.3*AF643+0.7*AG643</f>
        <v>1.3166497212304311E-2</v>
      </c>
      <c r="AK643">
        <f t="shared" ref="AK643:AK706" si="32">MIN(1,AJ643*(1+AH643+AI643))</f>
        <v>1.4483146933534743E-2</v>
      </c>
      <c r="AL643" t="str">
        <f>IF(MAX(X643, Y643, Z643, AA643)&gt;0.9,
 "Critical",
 IF(AK643&lt;=0.2,"Very Low",
 IF(AK643&lt;=0.4,"Low",
 IF(AK643&lt;=0.6,"Medium",
 IF(AK643&lt;=0.8,"High","Critical")))))</f>
        <v>Very Low</v>
      </c>
      <c r="AM643" t="str">
        <f>IF(MAX(X643:AA643)&gt;0.9,"CRITICAL ALERT",
 IF(AK643&gt;0.8,"CRITICAL ALERT",
 IF(AK643&gt;0.6,"ALERT",
 IF(AK643&gt;=0.4,"REVIEW","NO ACTION"))))</f>
        <v>NO ACTION</v>
      </c>
      <c r="AN643" t="str">
        <f>IF(AM643="NO ACTION","",
 IF(_xlfn.TEXTJOIN(", ", TRUE,
  IF(X643&gt;0.7,"Login anomaly",""),
  IF(Y643&gt;0.7,"File anomaly",""),
  IF(Z643&gt;0.7,"Network anomaly",""),
  IF(AA643&gt;0.7,"USB anomaly","")
 )="",
 "General anomaly detected",
 _xlfn.TEXTJOIN(", ", TRUE,
  IF(X643&gt;0.7,"Login anomaly",""),
  IF(Y643&gt;0.7,"File anomaly",""),
  IF(Z643&gt;0.7,"Network anomaly",""),
  IF(AA643&gt;0.7,"USB anomaly","")
 )))</f>
        <v/>
      </c>
    </row>
    <row r="644" spans="1:40" x14ac:dyDescent="0.3">
      <c r="A644" t="s">
        <v>667</v>
      </c>
      <c r="B644">
        <v>0.12892249527410199</v>
      </c>
      <c r="C644">
        <v>0.36953165208440503</v>
      </c>
      <c r="D644">
        <v>0</v>
      </c>
      <c r="E644">
        <v>0</v>
      </c>
      <c r="F644">
        <v>0</v>
      </c>
      <c r="G644">
        <v>0.99367990569662901</v>
      </c>
      <c r="H644">
        <v>8</v>
      </c>
      <c r="I644">
        <v>8</v>
      </c>
      <c r="J644">
        <v>9.7371308620771896E-2</v>
      </c>
      <c r="K644">
        <v>1.1419249592169599E-2</v>
      </c>
      <c r="L644">
        <v>2.9882887961338402E-2</v>
      </c>
      <c r="M644">
        <v>2.8860028860028799E-3</v>
      </c>
      <c r="N644">
        <v>1.7867545726783202E-2</v>
      </c>
      <c r="O644">
        <v>874</v>
      </c>
      <c r="P644">
        <v>7.7897025813692497E-2</v>
      </c>
      <c r="Q644">
        <v>7.8053227672779502E-2</v>
      </c>
      <c r="R644">
        <v>0</v>
      </c>
      <c r="S644">
        <v>0</v>
      </c>
      <c r="T644" t="s">
        <v>24</v>
      </c>
      <c r="U644">
        <v>2.16123499142367E-2</v>
      </c>
      <c r="V644">
        <v>0</v>
      </c>
      <c r="W644">
        <v>0</v>
      </c>
      <c r="X644">
        <v>0</v>
      </c>
      <c r="Y644">
        <v>3.97759694228585E-2</v>
      </c>
      <c r="Z644">
        <v>5.3885233778928801E-2</v>
      </c>
      <c r="AA644">
        <v>0</v>
      </c>
      <c r="AB644">
        <v>2.4625999853014949E-2</v>
      </c>
      <c r="AC644">
        <v>1.380000030621886E-4</v>
      </c>
      <c r="AD644">
        <v>3.6220001056790352E-3</v>
      </c>
      <c r="AE644">
        <v>1.44599995110184E-3</v>
      </c>
      <c r="AF644">
        <f>0.16*X644 + 0.28*Y644 + 0.28*Z644 + 0.28*AA644</f>
        <v>2.6225136896500446E-2</v>
      </c>
      <c r="AG644">
        <f t="shared" si="30"/>
        <v>5.3978399932384496E-3</v>
      </c>
      <c r="AH644">
        <f>IF(T644="IT_Admin", 0.25, IF(AND(T644="HR", AA644&gt;0.6), 0.25, IF(AND(T644="General", Z644&gt;0.7), 0.2, 0.1)))</f>
        <v>0.25</v>
      </c>
      <c r="AI644">
        <f>IF(V644&gt;0.7, 0.1,
 IF(F644&gt;0.5, 0.08,
 IF(E644&gt;0.5, 0.05,
 0)))</f>
        <v>0</v>
      </c>
      <c r="AJ644">
        <f t="shared" si="31"/>
        <v>1.1646029064217049E-2</v>
      </c>
      <c r="AK644">
        <f t="shared" si="32"/>
        <v>1.4557536330271311E-2</v>
      </c>
      <c r="AL644" t="str">
        <f>IF(MAX(X644, Y644, Z644, AA644)&gt;0.9,
 "Critical",
 IF(AK644&lt;=0.2,"Very Low",
 IF(AK644&lt;=0.4,"Low",
 IF(AK644&lt;=0.6,"Medium",
 IF(AK644&lt;=0.8,"High","Critical")))))</f>
        <v>Very Low</v>
      </c>
      <c r="AM644" t="str">
        <f>IF(MAX(X644:AA644)&gt;0.9,"CRITICAL ALERT",
 IF(AK644&gt;0.8,"CRITICAL ALERT",
 IF(AK644&gt;0.6,"ALERT",
 IF(AK644&gt;=0.4,"REVIEW","NO ACTION"))))</f>
        <v>NO ACTION</v>
      </c>
      <c r="AN644" t="str">
        <f>IF(AM644="NO ACTION","",
 IF(_xlfn.TEXTJOIN(", ", TRUE,
  IF(X644&gt;0.7,"Login anomaly",""),
  IF(Y644&gt;0.7,"File anomaly",""),
  IF(Z644&gt;0.7,"Network anomaly",""),
  IF(AA644&gt;0.7,"USB anomaly","")
 )="",
 "General anomaly detected",
 _xlfn.TEXTJOIN(", ", TRUE,
  IF(X644&gt;0.7,"Login anomaly",""),
  IF(Y644&gt;0.7,"File anomaly",""),
  IF(Z644&gt;0.7,"Network anomaly",""),
  IF(AA644&gt;0.7,"USB anomaly","")
 )))</f>
        <v/>
      </c>
    </row>
    <row r="645" spans="1:40" x14ac:dyDescent="0.3">
      <c r="A645" t="s">
        <v>668</v>
      </c>
      <c r="B645">
        <v>0.12892249527410199</v>
      </c>
      <c r="C645">
        <v>0.27313209067108202</v>
      </c>
      <c r="D645">
        <v>7.5061757440099602E-2</v>
      </c>
      <c r="E645">
        <v>0</v>
      </c>
      <c r="F645">
        <v>0</v>
      </c>
      <c r="G645">
        <v>0.99369243063968105</v>
      </c>
      <c r="H645">
        <v>7</v>
      </c>
      <c r="I645">
        <v>8</v>
      </c>
      <c r="J645">
        <v>8.8593101474166297E-2</v>
      </c>
      <c r="K645">
        <v>2.2022838499184301E-2</v>
      </c>
      <c r="L645">
        <v>6.3326319501314204E-2</v>
      </c>
      <c r="M645">
        <v>1.7316017316017301E-3</v>
      </c>
      <c r="N645">
        <v>1.17799136059071E-2</v>
      </c>
      <c r="O645">
        <v>632</v>
      </c>
      <c r="P645">
        <v>7.5441919191919199E-2</v>
      </c>
      <c r="Q645">
        <v>7.5598723657912203E-2</v>
      </c>
      <c r="R645">
        <v>0</v>
      </c>
      <c r="S645">
        <v>0</v>
      </c>
      <c r="T645" t="s">
        <v>49</v>
      </c>
      <c r="U645">
        <v>6.5498652291105103E-2</v>
      </c>
      <c r="V645">
        <v>0</v>
      </c>
      <c r="W645">
        <v>0</v>
      </c>
      <c r="X645">
        <v>2.2518527232029802E-2</v>
      </c>
      <c r="Y645">
        <v>5.2915754127262501E-2</v>
      </c>
      <c r="Z645">
        <v>4.9977116957514299E-2</v>
      </c>
      <c r="AA645">
        <v>0</v>
      </c>
      <c r="AB645">
        <v>1.880699954926968E-2</v>
      </c>
      <c r="AC645">
        <v>4.2200001189485192E-4</v>
      </c>
      <c r="AD645">
        <v>4.0219998918473721E-3</v>
      </c>
      <c r="AE645">
        <v>2.4399999529123311E-3</v>
      </c>
      <c r="AF645">
        <f>0.16*X645 + 0.28*Y645 + 0.28*Z645 + 0.28*AA645</f>
        <v>3.2412968260862277E-2</v>
      </c>
      <c r="AG645">
        <f t="shared" si="30"/>
        <v>4.9366398877464246E-3</v>
      </c>
      <c r="AH645">
        <f>IF(T645="IT_Admin", 0.25, IF(AND(T645="HR", AA645&gt;0.6), 0.25, IF(AND(T645="General", Z645&gt;0.7), 0.2, 0.1)))</f>
        <v>0.1</v>
      </c>
      <c r="AI645">
        <f>IF(V645&gt;0.7, 0.1,
 IF(F645&gt;0.5, 0.08,
 IF(E645&gt;0.5, 0.05,
 0)))</f>
        <v>0</v>
      </c>
      <c r="AJ645">
        <f t="shared" si="31"/>
        <v>1.317953839968118E-2</v>
      </c>
      <c r="AK645">
        <f t="shared" si="32"/>
        <v>1.4497492239649299E-2</v>
      </c>
      <c r="AL645" t="str">
        <f>IF(MAX(X645, Y645, Z645, AA645)&gt;0.9,
 "Critical",
 IF(AK645&lt;=0.2,"Very Low",
 IF(AK645&lt;=0.4,"Low",
 IF(AK645&lt;=0.6,"Medium",
 IF(AK645&lt;=0.8,"High","Critical")))))</f>
        <v>Very Low</v>
      </c>
      <c r="AM645" t="str">
        <f>IF(MAX(X645:AA645)&gt;0.9,"CRITICAL ALERT",
 IF(AK645&gt;0.8,"CRITICAL ALERT",
 IF(AK645&gt;0.6,"ALERT",
 IF(AK645&gt;=0.4,"REVIEW","NO ACTION"))))</f>
        <v>NO ACTION</v>
      </c>
      <c r="AN645" t="str">
        <f>IF(AM645="NO ACTION","",
 IF(_xlfn.TEXTJOIN(", ", TRUE,
  IF(X645&gt;0.7,"Login anomaly",""),
  IF(Y645&gt;0.7,"File anomaly",""),
  IF(Z645&gt;0.7,"Network anomaly",""),
  IF(AA645&gt;0.7,"USB anomaly","")
 )="",
 "General anomaly detected",
 _xlfn.TEXTJOIN(", ", TRUE,
  IF(X645&gt;0.7,"Login anomaly",""),
  IF(Y645&gt;0.7,"File anomaly",""),
  IF(Z645&gt;0.7,"Network anomaly",""),
  IF(AA645&gt;0.7,"USB anomaly","")
 )))</f>
        <v/>
      </c>
    </row>
    <row r="646" spans="1:40" x14ac:dyDescent="0.3">
      <c r="A646" t="s">
        <v>669</v>
      </c>
      <c r="B646">
        <v>0.25141776937618099</v>
      </c>
      <c r="C646">
        <v>0.631352284502952</v>
      </c>
      <c r="D646">
        <v>0.46235575629771702</v>
      </c>
      <c r="E646">
        <v>0.27238000332170698</v>
      </c>
      <c r="F646">
        <v>2.8400597907324299E-2</v>
      </c>
      <c r="G646">
        <v>0.43985370665141699</v>
      </c>
      <c r="H646">
        <v>0</v>
      </c>
      <c r="I646">
        <v>23</v>
      </c>
      <c r="J646">
        <v>6.9796288345021704E-2</v>
      </c>
      <c r="K646">
        <v>1.0603588907014599E-2</v>
      </c>
      <c r="L646">
        <v>3.8673854320537097E-2</v>
      </c>
      <c r="M646">
        <v>1.1544011544011501E-3</v>
      </c>
      <c r="N646">
        <v>9.9610350291549094E-3</v>
      </c>
      <c r="O646">
        <v>692</v>
      </c>
      <c r="P646">
        <v>5.6432379349045998E-2</v>
      </c>
      <c r="Q646">
        <v>5.6593849714225597E-2</v>
      </c>
      <c r="R646">
        <v>1</v>
      </c>
      <c r="S646">
        <v>1</v>
      </c>
      <c r="T646" t="s">
        <v>49</v>
      </c>
      <c r="U646">
        <v>4.4150943396226397E-2</v>
      </c>
      <c r="V646">
        <v>0</v>
      </c>
      <c r="W646">
        <v>3.5843405617430303E-2</v>
      </c>
      <c r="X646">
        <v>0.231780967048757</v>
      </c>
      <c r="Y646">
        <v>3.6284495338019397E-2</v>
      </c>
      <c r="Z646">
        <v>3.7843841621089502E-2</v>
      </c>
      <c r="AA646">
        <v>1</v>
      </c>
      <c r="AB646">
        <v>0.17638400197029111</v>
      </c>
      <c r="AC646">
        <v>1.219999976456165E-4</v>
      </c>
      <c r="AD646">
        <v>5.2919997833669194E-3</v>
      </c>
      <c r="AE646">
        <v>1</v>
      </c>
      <c r="AF646">
        <f>0.16*X646 + 0.28*Y646 + 0.28*Z646 + 0.28*AA646</f>
        <v>0.33784088907635162</v>
      </c>
      <c r="AG646">
        <f t="shared" si="30"/>
        <v>0.30973736025393012</v>
      </c>
      <c r="AH646">
        <f>IF(T646="IT_Admin", 0.25, IF(AND(T646="HR", AA646&gt;0.6), 0.25, IF(AND(T646="General", Z646&gt;0.7), 0.2, 0.1)))</f>
        <v>0.1</v>
      </c>
      <c r="AI646">
        <f>IF(V646&gt;0.7, 0.1,
 IF(F646&gt;0.5, 0.08,
 IF(E646&gt;0.5, 0.05,
 0)))</f>
        <v>0</v>
      </c>
      <c r="AJ646">
        <f t="shared" si="31"/>
        <v>0.31816841890065656</v>
      </c>
      <c r="AK646">
        <f t="shared" si="32"/>
        <v>0.34998526079072223</v>
      </c>
      <c r="AL646" t="str">
        <f>IF(MAX(X646, Y646, Z646, AA646)&gt;0.9,
 "Critical",
 IF(AK646&lt;=0.2,"Very Low",
 IF(AK646&lt;=0.4,"Low",
 IF(AK646&lt;=0.6,"Medium",
 IF(AK646&lt;=0.8,"High","Critical")))))</f>
        <v>Critical</v>
      </c>
      <c r="AM646" t="str">
        <f>IF(MAX(X646:AA646)&gt;0.9,"CRITICAL ALERT",
 IF(AK646&gt;0.8,"CRITICAL ALERT",
 IF(AK646&gt;0.6,"ALERT",
 IF(AK646&gt;=0.4,"REVIEW","NO ACTION"))))</f>
        <v>CRITICAL ALERT</v>
      </c>
      <c r="AN646" t="str">
        <f>IF(AM646="NO ACTION","",
 IF(_xlfn.TEXTJOIN(", ", TRUE,
  IF(X646&gt;0.7,"Login anomaly",""),
  IF(Y646&gt;0.7,"File anomaly",""),
  IF(Z646&gt;0.7,"Network anomaly",""),
  IF(AA646&gt;0.7,"USB anomaly","")
 )="",
 "General anomaly detected",
 _xlfn.TEXTJOIN(", ", TRUE,
  IF(X646&gt;0.7,"Login anomaly",""),
  IF(Y646&gt;0.7,"File anomaly",""),
  IF(Z646&gt;0.7,"Network anomaly",""),
  IF(AA646&gt;0.7,"USB anomaly","")
 )))</f>
        <v>USB anomaly</v>
      </c>
    </row>
    <row r="647" spans="1:40" x14ac:dyDescent="0.3">
      <c r="A647" t="s">
        <v>670</v>
      </c>
      <c r="B647">
        <v>1.0586011342155E-2</v>
      </c>
      <c r="C647">
        <v>0.242505146680391</v>
      </c>
      <c r="D647">
        <v>0.16802876165045699</v>
      </c>
      <c r="E647">
        <v>0</v>
      </c>
      <c r="F647">
        <v>0</v>
      </c>
      <c r="G647">
        <v>0.83029242847213702</v>
      </c>
      <c r="H647">
        <v>7</v>
      </c>
      <c r="I647">
        <v>12</v>
      </c>
      <c r="J647">
        <v>7.1561471303850004E-4</v>
      </c>
      <c r="K647">
        <v>0</v>
      </c>
      <c r="L647">
        <v>0</v>
      </c>
      <c r="M647">
        <v>0</v>
      </c>
      <c r="N647">
        <v>0</v>
      </c>
      <c r="O647">
        <v>19</v>
      </c>
      <c r="P647">
        <v>5.2609427609427598E-4</v>
      </c>
      <c r="Q647">
        <v>7.0128686139065105E-4</v>
      </c>
      <c r="R647">
        <v>0</v>
      </c>
      <c r="S647">
        <v>0</v>
      </c>
      <c r="T647" t="s">
        <v>49</v>
      </c>
      <c r="U647">
        <v>0</v>
      </c>
      <c r="V647">
        <v>0</v>
      </c>
      <c r="W647">
        <v>0</v>
      </c>
      <c r="X647">
        <v>5.0408628495137303E-2</v>
      </c>
      <c r="Y647">
        <v>1.4312294260770001E-4</v>
      </c>
      <c r="Z647">
        <v>3.1565656565656498E-4</v>
      </c>
      <c r="AA647">
        <v>0</v>
      </c>
      <c r="AB647">
        <v>3.1330998986959457E-2</v>
      </c>
      <c r="AC647">
        <v>1.9670000765472651E-3</v>
      </c>
      <c r="AD647">
        <v>1.777300052344799E-2</v>
      </c>
      <c r="AE647">
        <v>3.7450001109391451E-3</v>
      </c>
      <c r="AF647">
        <f>0.16*X647 + 0.28*Y647 + 0.28*Z647 + 0.28*AA647</f>
        <v>8.1938388215359627E-3</v>
      </c>
      <c r="AG647">
        <f t="shared" si="30"/>
        <v>1.1588760036975147E-2</v>
      </c>
      <c r="AH647">
        <f>IF(T647="IT_Admin", 0.25, IF(AND(T647="HR", AA647&gt;0.6), 0.25, IF(AND(T647="General", Z647&gt;0.7), 0.2, 0.1)))</f>
        <v>0.1</v>
      </c>
      <c r="AI647">
        <f>IF(V647&gt;0.7, 0.1,
 IF(F647&gt;0.5, 0.08,
 IF(E647&gt;0.5, 0.05,
 0)))</f>
        <v>0</v>
      </c>
      <c r="AJ647">
        <f t="shared" si="31"/>
        <v>1.0570283672343391E-2</v>
      </c>
      <c r="AK647">
        <f t="shared" si="32"/>
        <v>1.1627312039577731E-2</v>
      </c>
      <c r="AL647" t="str">
        <f>IF(MAX(X647, Y647, Z647, AA647)&gt;0.9,
 "Critical",
 IF(AK647&lt;=0.2,"Very Low",
 IF(AK647&lt;=0.4,"Low",
 IF(AK647&lt;=0.6,"Medium",
 IF(AK647&lt;=0.8,"High","Critical")))))</f>
        <v>Very Low</v>
      </c>
      <c r="AM647" t="str">
        <f>IF(MAX(X647:AA647)&gt;0.9,"CRITICAL ALERT",
 IF(AK647&gt;0.8,"CRITICAL ALERT",
 IF(AK647&gt;0.6,"ALERT",
 IF(AK647&gt;=0.4,"REVIEW","NO ACTION"))))</f>
        <v>NO ACTION</v>
      </c>
      <c r="AN647" t="str">
        <f>IF(AM647="NO ACTION","",
 IF(_xlfn.TEXTJOIN(", ", TRUE,
  IF(X647&gt;0.7,"Login anomaly",""),
  IF(Y647&gt;0.7,"File anomaly",""),
  IF(Z647&gt;0.7,"Network anomaly",""),
  IF(AA647&gt;0.7,"USB anomaly","")
 )="",
 "General anomaly detected",
 _xlfn.TEXTJOIN(", ", TRUE,
  IF(X647&gt;0.7,"Login anomaly",""),
  IF(Y647&gt;0.7,"File anomaly",""),
  IF(Z647&gt;0.7,"Network anomaly",""),
  IF(AA647&gt;0.7,"USB anomaly","")
 )))</f>
        <v/>
      </c>
    </row>
    <row r="648" spans="1:40" x14ac:dyDescent="0.3">
      <c r="A648" t="s">
        <v>671</v>
      </c>
      <c r="B648">
        <v>0.12892249527410199</v>
      </c>
      <c r="C648">
        <v>0.26991877195730402</v>
      </c>
      <c r="D648">
        <v>7.4902366299490403E-2</v>
      </c>
      <c r="E648">
        <v>0</v>
      </c>
      <c r="F648">
        <v>0</v>
      </c>
      <c r="G648">
        <v>0.99368426801653797</v>
      </c>
      <c r="H648">
        <v>7</v>
      </c>
      <c r="I648">
        <v>8</v>
      </c>
      <c r="J648">
        <v>5.8155622346262099E-2</v>
      </c>
      <c r="K648">
        <v>5.7096247960848204E-3</v>
      </c>
      <c r="L648">
        <v>2.4975649006902901E-2</v>
      </c>
      <c r="M648">
        <v>8.6580086580086504E-4</v>
      </c>
      <c r="N648">
        <v>8.96004866593101E-3</v>
      </c>
      <c r="O648">
        <v>562</v>
      </c>
      <c r="P648">
        <v>4.5629910213243502E-2</v>
      </c>
      <c r="Q648">
        <v>4.5794032048809503E-2</v>
      </c>
      <c r="R648">
        <v>0</v>
      </c>
      <c r="S648">
        <v>0</v>
      </c>
      <c r="T648" t="s">
        <v>49</v>
      </c>
      <c r="U648">
        <v>2.9716981132075399E-2</v>
      </c>
      <c r="V648">
        <v>0</v>
      </c>
      <c r="W648">
        <v>0</v>
      </c>
      <c r="X648">
        <v>2.2470709889847101E-2</v>
      </c>
      <c r="Y648">
        <v>2.6806963572483199E-2</v>
      </c>
      <c r="Z648">
        <v>3.0961965594318502E-2</v>
      </c>
      <c r="AA648">
        <v>0</v>
      </c>
      <c r="AB648">
        <v>1.9101999700069431E-2</v>
      </c>
      <c r="AC648">
        <v>3.3199999597854912E-4</v>
      </c>
      <c r="AD648">
        <v>8.2750003784894943E-3</v>
      </c>
      <c r="AE648">
        <v>2.4069999344646931E-3</v>
      </c>
      <c r="AF648">
        <f>0.16*X648 + 0.28*Y648 + 0.28*Z648 + 0.28*AA648</f>
        <v>1.9770613749080013E-2</v>
      </c>
      <c r="AG648">
        <f t="shared" si="30"/>
        <v>6.1402400385122749E-3</v>
      </c>
      <c r="AH648">
        <f>IF(T648="IT_Admin", 0.25, IF(AND(T648="HR", AA648&gt;0.6), 0.25, IF(AND(T648="General", Z648&gt;0.7), 0.2, 0.1)))</f>
        <v>0.1</v>
      </c>
      <c r="AI648">
        <f>IF(V648&gt;0.7, 0.1,
 IF(F648&gt;0.5, 0.08,
 IF(E648&gt;0.5, 0.05,
 0)))</f>
        <v>0</v>
      </c>
      <c r="AJ648">
        <f t="shared" si="31"/>
        <v>1.0229352151682596E-2</v>
      </c>
      <c r="AK648">
        <f t="shared" si="32"/>
        <v>1.1252287366850857E-2</v>
      </c>
      <c r="AL648" t="str">
        <f>IF(MAX(X648, Y648, Z648, AA648)&gt;0.9,
 "Critical",
 IF(AK648&lt;=0.2,"Very Low",
 IF(AK648&lt;=0.4,"Low",
 IF(AK648&lt;=0.6,"Medium",
 IF(AK648&lt;=0.8,"High","Critical")))))</f>
        <v>Very Low</v>
      </c>
      <c r="AM648" t="str">
        <f>IF(MAX(X648:AA648)&gt;0.9,"CRITICAL ALERT",
 IF(AK648&gt;0.8,"CRITICAL ALERT",
 IF(AK648&gt;0.6,"ALERT",
 IF(AK648&gt;=0.4,"REVIEW","NO ACTION"))))</f>
        <v>NO ACTION</v>
      </c>
      <c r="AN648" t="str">
        <f>IF(AM648="NO ACTION","",
 IF(_xlfn.TEXTJOIN(", ", TRUE,
  IF(X648&gt;0.7,"Login anomaly",""),
  IF(Y648&gt;0.7,"File anomaly",""),
  IF(Z648&gt;0.7,"Network anomaly",""),
  IF(AA648&gt;0.7,"USB anomaly","")
 )="",
 "General anomaly detected",
 _xlfn.TEXTJOIN(", ", TRUE,
  IF(X648&gt;0.7,"Login anomaly",""),
  IF(Y648&gt;0.7,"File anomaly",""),
  IF(Z648&gt;0.7,"Network anomaly",""),
  IF(AA648&gt;0.7,"USB anomaly","")
 )))</f>
        <v/>
      </c>
    </row>
    <row r="649" spans="1:40" x14ac:dyDescent="0.3">
      <c r="A649" t="s">
        <v>672</v>
      </c>
      <c r="B649">
        <v>0.12892249527410199</v>
      </c>
      <c r="C649">
        <v>0.36953165208440503</v>
      </c>
      <c r="D649">
        <v>0</v>
      </c>
      <c r="E649">
        <v>0</v>
      </c>
      <c r="F649">
        <v>0</v>
      </c>
      <c r="G649">
        <v>0.99366250994238903</v>
      </c>
      <c r="H649">
        <v>8</v>
      </c>
      <c r="I649">
        <v>8</v>
      </c>
      <c r="J649">
        <v>6.0874958255808402E-2</v>
      </c>
      <c r="K649">
        <v>1.1419249592169599E-2</v>
      </c>
      <c r="L649">
        <v>4.7728640725135399E-2</v>
      </c>
      <c r="M649">
        <v>2.59740259740259E-3</v>
      </c>
      <c r="N649">
        <v>2.56840739276336E-2</v>
      </c>
      <c r="O649">
        <v>666</v>
      </c>
      <c r="P649">
        <v>5.0925925925925902E-2</v>
      </c>
      <c r="Q649">
        <v>5.1088747852308901E-2</v>
      </c>
      <c r="R649">
        <v>0</v>
      </c>
      <c r="S649">
        <v>0</v>
      </c>
      <c r="T649" t="s">
        <v>49</v>
      </c>
      <c r="U649">
        <v>2.3773584905660301E-2</v>
      </c>
      <c r="V649">
        <v>0</v>
      </c>
      <c r="W649">
        <v>0</v>
      </c>
      <c r="X649">
        <v>0</v>
      </c>
      <c r="Y649">
        <v>4.3744534192019402E-2</v>
      </c>
      <c r="Z649">
        <v>4.0829185126608998E-2</v>
      </c>
      <c r="AA649">
        <v>0</v>
      </c>
      <c r="AB649">
        <v>2.4718999862670898E-2</v>
      </c>
      <c r="AC649">
        <v>8.9000001025851816E-5</v>
      </c>
      <c r="AD649">
        <v>6.9450000301003456E-3</v>
      </c>
      <c r="AE649">
        <v>2.0220000296831131E-3</v>
      </c>
      <c r="AF649">
        <f>0.16*X649 + 0.28*Y649 + 0.28*Z649 + 0.28*AA649</f>
        <v>2.3680641409215955E-2</v>
      </c>
      <c r="AG649">
        <f t="shared" si="30"/>
        <v>6.4907199950539505E-3</v>
      </c>
      <c r="AH649">
        <f>IF(T649="IT_Admin", 0.25, IF(AND(T649="HR", AA649&gt;0.6), 0.25, IF(AND(T649="General", Z649&gt;0.7), 0.2, 0.1)))</f>
        <v>0.1</v>
      </c>
      <c r="AI649">
        <f>IF(V649&gt;0.7, 0.1,
 IF(F649&gt;0.5, 0.08,
 IF(E649&gt;0.5, 0.05,
 0)))</f>
        <v>0</v>
      </c>
      <c r="AJ649">
        <f t="shared" si="31"/>
        <v>1.1647696419302552E-2</v>
      </c>
      <c r="AK649">
        <f t="shared" si="32"/>
        <v>1.2812466061232809E-2</v>
      </c>
      <c r="AL649" t="str">
        <f>IF(MAX(X649, Y649, Z649, AA649)&gt;0.9,
 "Critical",
 IF(AK649&lt;=0.2,"Very Low",
 IF(AK649&lt;=0.4,"Low",
 IF(AK649&lt;=0.6,"Medium",
 IF(AK649&lt;=0.8,"High","Critical")))))</f>
        <v>Very Low</v>
      </c>
      <c r="AM649" t="str">
        <f>IF(MAX(X649:AA649)&gt;0.9,"CRITICAL ALERT",
 IF(AK649&gt;0.8,"CRITICAL ALERT",
 IF(AK649&gt;0.6,"ALERT",
 IF(AK649&gt;=0.4,"REVIEW","NO ACTION"))))</f>
        <v>NO ACTION</v>
      </c>
      <c r="AN649" t="str">
        <f>IF(AM649="NO ACTION","",
 IF(_xlfn.TEXTJOIN(", ", TRUE,
  IF(X649&gt;0.7,"Login anomaly",""),
  IF(Y649&gt;0.7,"File anomaly",""),
  IF(Z649&gt;0.7,"Network anomaly",""),
  IF(AA649&gt;0.7,"USB anomaly","")
 )="",
 "General anomaly detected",
 _xlfn.TEXTJOIN(", ", TRUE,
  IF(X649&gt;0.7,"Login anomaly",""),
  IF(Y649&gt;0.7,"File anomaly",""),
  IF(Z649&gt;0.7,"Network anomaly",""),
  IF(AA649&gt;0.7,"USB anomaly","")
 )))</f>
        <v/>
      </c>
    </row>
    <row r="650" spans="1:40" x14ac:dyDescent="0.3">
      <c r="A650" t="s">
        <v>673</v>
      </c>
      <c r="B650">
        <v>0.12892249527410199</v>
      </c>
      <c r="C650">
        <v>0.18476582604220201</v>
      </c>
      <c r="D650">
        <v>0</v>
      </c>
      <c r="E650">
        <v>0</v>
      </c>
      <c r="F650">
        <v>0</v>
      </c>
      <c r="G650">
        <v>0.99366762161786604</v>
      </c>
      <c r="H650">
        <v>7</v>
      </c>
      <c r="I650">
        <v>7</v>
      </c>
      <c r="J650">
        <v>8.3488383187825005E-2</v>
      </c>
      <c r="K650">
        <v>1.38662316476345E-2</v>
      </c>
      <c r="L650">
        <v>4.2303077292278099E-2</v>
      </c>
      <c r="M650">
        <v>1.1544011544011501E-3</v>
      </c>
      <c r="N650">
        <v>8.3320794431905494E-3</v>
      </c>
      <c r="O650">
        <v>758</v>
      </c>
      <c r="P650">
        <v>6.7901234567901203E-2</v>
      </c>
      <c r="Q650">
        <v>6.8059889897962703E-2</v>
      </c>
      <c r="R650">
        <v>0</v>
      </c>
      <c r="S650">
        <v>0</v>
      </c>
      <c r="T650" t="s">
        <v>49</v>
      </c>
      <c r="U650">
        <v>5.77358490566037E-2</v>
      </c>
      <c r="V650">
        <v>0</v>
      </c>
      <c r="W650">
        <v>0</v>
      </c>
      <c r="X650">
        <v>0</v>
      </c>
      <c r="Y650">
        <v>4.0348839116661199E-2</v>
      </c>
      <c r="Z650">
        <v>4.4073572518016899E-2</v>
      </c>
      <c r="AA650">
        <v>0</v>
      </c>
      <c r="AB650">
        <v>3.6653999239206307E-2</v>
      </c>
      <c r="AC650">
        <v>1.9900000188499689E-4</v>
      </c>
      <c r="AD650">
        <v>5.0710001960396767E-3</v>
      </c>
      <c r="AE650">
        <v>1.6560000367462639E-3</v>
      </c>
      <c r="AF650">
        <f>0.16*X650 + 0.28*Y650 + 0.28*Z650 + 0.28*AA650</f>
        <v>2.3638275257709868E-2</v>
      </c>
      <c r="AG650">
        <f t="shared" si="30"/>
        <v>7.8039199439808712E-3</v>
      </c>
      <c r="AH650">
        <f>IF(T650="IT_Admin", 0.25, IF(AND(T650="HR", AA650&gt;0.6), 0.25, IF(AND(T650="General", Z650&gt;0.7), 0.2, 0.1)))</f>
        <v>0.1</v>
      </c>
      <c r="AI650">
        <f>IF(V650&gt;0.7, 0.1,
 IF(F650&gt;0.5, 0.08,
 IF(E650&gt;0.5, 0.05,
 0)))</f>
        <v>0</v>
      </c>
      <c r="AJ650">
        <f t="shared" si="31"/>
        <v>1.255422653809957E-2</v>
      </c>
      <c r="AK650">
        <f t="shared" si="32"/>
        <v>1.3809649191909528E-2</v>
      </c>
      <c r="AL650" t="str">
        <f>IF(MAX(X650, Y650, Z650, AA650)&gt;0.9,
 "Critical",
 IF(AK650&lt;=0.2,"Very Low",
 IF(AK650&lt;=0.4,"Low",
 IF(AK650&lt;=0.6,"Medium",
 IF(AK650&lt;=0.8,"High","Critical")))))</f>
        <v>Very Low</v>
      </c>
      <c r="AM650" t="str">
        <f>IF(MAX(X650:AA650)&gt;0.9,"CRITICAL ALERT",
 IF(AK650&gt;0.8,"CRITICAL ALERT",
 IF(AK650&gt;0.6,"ALERT",
 IF(AK650&gt;=0.4,"REVIEW","NO ACTION"))))</f>
        <v>NO ACTION</v>
      </c>
      <c r="AN650" t="str">
        <f>IF(AM650="NO ACTION","",
 IF(_xlfn.TEXTJOIN(", ", TRUE,
  IF(X650&gt;0.7,"Login anomaly",""),
  IF(Y650&gt;0.7,"File anomaly",""),
  IF(Z650&gt;0.7,"Network anomaly",""),
  IF(AA650&gt;0.7,"USB anomaly","")
 )="",
 "General anomaly detected",
 _xlfn.TEXTJOIN(", ", TRUE,
  IF(X650&gt;0.7,"Login anomaly",""),
  IF(Y650&gt;0.7,"File anomaly",""),
  IF(Z650&gt;0.7,"Network anomaly",""),
  IF(AA650&gt;0.7,"USB anomaly","")
 )))</f>
        <v/>
      </c>
    </row>
    <row r="651" spans="1:40" x14ac:dyDescent="0.3">
      <c r="A651" t="s">
        <v>674</v>
      </c>
      <c r="B651">
        <v>0.12892249527410199</v>
      </c>
      <c r="C651">
        <v>0.27473875002797099</v>
      </c>
      <c r="D651">
        <v>7.5107235637207503E-2</v>
      </c>
      <c r="E651">
        <v>0</v>
      </c>
      <c r="F651">
        <v>0</v>
      </c>
      <c r="G651">
        <v>0.99368292988159601</v>
      </c>
      <c r="H651">
        <v>7</v>
      </c>
      <c r="I651">
        <v>8</v>
      </c>
      <c r="J651">
        <v>7.7858880778588796E-2</v>
      </c>
      <c r="K651">
        <v>1.5497553017944501E-2</v>
      </c>
      <c r="L651">
        <v>5.0687991387078697E-2</v>
      </c>
      <c r="M651">
        <v>2.0202020202020202E-3</v>
      </c>
      <c r="N651">
        <v>1.56321924189975E-2</v>
      </c>
      <c r="O651">
        <v>818</v>
      </c>
      <c r="P651">
        <v>6.4884960718293999E-2</v>
      </c>
      <c r="Q651">
        <v>6.5044356393982899E-2</v>
      </c>
      <c r="R651">
        <v>0</v>
      </c>
      <c r="S651">
        <v>0</v>
      </c>
      <c r="T651" t="s">
        <v>49</v>
      </c>
      <c r="U651">
        <v>4.0330188679245198E-2</v>
      </c>
      <c r="V651">
        <v>0</v>
      </c>
      <c r="W651">
        <v>0</v>
      </c>
      <c r="X651">
        <v>2.2532170691162201E-2</v>
      </c>
      <c r="Y651">
        <v>4.5605429574956398E-2</v>
      </c>
      <c r="Z651">
        <v>4.5183853398575398E-2</v>
      </c>
      <c r="AA651">
        <v>0</v>
      </c>
      <c r="AB651">
        <v>1.8595000728964809E-2</v>
      </c>
      <c r="AC651">
        <v>2.5999999706982632E-5</v>
      </c>
      <c r="AD651">
        <v>5.2479999139904976E-3</v>
      </c>
      <c r="AE651">
        <v>2.0300000905990601E-3</v>
      </c>
      <c r="AF651">
        <f>0.16*X651 + 0.28*Y651 + 0.28*Z651 + 0.28*AA651</f>
        <v>2.9026146543174855E-2</v>
      </c>
      <c r="AG651">
        <f t="shared" si="30"/>
        <v>5.0203201178374004E-3</v>
      </c>
      <c r="AH651">
        <f>IF(T651="IT_Admin", 0.25, IF(AND(T651="HR", AA651&gt;0.6), 0.25, IF(AND(T651="General", Z651&gt;0.7), 0.2, 0.1)))</f>
        <v>0.1</v>
      </c>
      <c r="AI651">
        <f>IF(V651&gt;0.7, 0.1,
 IF(F651&gt;0.5, 0.08,
 IF(E651&gt;0.5, 0.05,
 0)))</f>
        <v>0</v>
      </c>
      <c r="AJ651">
        <f t="shared" si="31"/>
        <v>1.2222068045438635E-2</v>
      </c>
      <c r="AK651">
        <f t="shared" si="32"/>
        <v>1.3444274849982498E-2</v>
      </c>
      <c r="AL651" t="str">
        <f>IF(MAX(X651, Y651, Z651, AA651)&gt;0.9,
 "Critical",
 IF(AK651&lt;=0.2,"Very Low",
 IF(AK651&lt;=0.4,"Low",
 IF(AK651&lt;=0.6,"Medium",
 IF(AK651&lt;=0.8,"High","Critical")))))</f>
        <v>Very Low</v>
      </c>
      <c r="AM651" t="str">
        <f>IF(MAX(X651:AA651)&gt;0.9,"CRITICAL ALERT",
 IF(AK651&gt;0.8,"CRITICAL ALERT",
 IF(AK651&gt;0.6,"ALERT",
 IF(AK651&gt;=0.4,"REVIEW","NO ACTION"))))</f>
        <v>NO ACTION</v>
      </c>
      <c r="AN651" t="str">
        <f>IF(AM651="NO ACTION","",
 IF(_xlfn.TEXTJOIN(", ", TRUE,
  IF(X651&gt;0.7,"Login anomaly",""),
  IF(Y651&gt;0.7,"File anomaly",""),
  IF(Z651&gt;0.7,"Network anomaly",""),
  IF(AA651&gt;0.7,"USB anomaly","")
 )="",
 "General anomaly detected",
 _xlfn.TEXTJOIN(", ", TRUE,
  IF(X651&gt;0.7,"Login anomaly",""),
  IF(Y651&gt;0.7,"File anomaly",""),
  IF(Z651&gt;0.7,"Network anomaly",""),
  IF(AA651&gt;0.7,"USB anomaly","")
 )))</f>
        <v/>
      </c>
    </row>
    <row r="652" spans="1:40" x14ac:dyDescent="0.3">
      <c r="A652" t="s">
        <v>675</v>
      </c>
      <c r="B652">
        <v>0.24083175803402601</v>
      </c>
      <c r="C652">
        <v>0.73675733442101399</v>
      </c>
      <c r="D652">
        <v>0.34492103172851402</v>
      </c>
      <c r="E652">
        <v>0</v>
      </c>
      <c r="F652">
        <v>0</v>
      </c>
      <c r="G652">
        <v>0.46559595117470098</v>
      </c>
      <c r="H652">
        <v>8</v>
      </c>
      <c r="I652">
        <v>15</v>
      </c>
      <c r="J652">
        <v>7.6570774295119506E-2</v>
      </c>
      <c r="K652">
        <v>1.30505709624796E-2</v>
      </c>
      <c r="L652">
        <v>4.3400453429564098E-2</v>
      </c>
      <c r="M652">
        <v>5.7720057720057698E-4</v>
      </c>
      <c r="N652">
        <v>4.5412420567700002E-3</v>
      </c>
      <c r="O652">
        <v>908</v>
      </c>
      <c r="P652">
        <v>6.2184343434343398E-2</v>
      </c>
      <c r="Q652">
        <v>6.2344401977628902E-2</v>
      </c>
      <c r="R652">
        <v>0</v>
      </c>
      <c r="S652">
        <v>0</v>
      </c>
      <c r="T652" t="s">
        <v>49</v>
      </c>
      <c r="U652">
        <v>9.0566037735848995E-2</v>
      </c>
      <c r="V652">
        <v>0</v>
      </c>
      <c r="W652">
        <v>0</v>
      </c>
      <c r="X652">
        <v>0.10347630951855399</v>
      </c>
      <c r="Y652">
        <v>3.8376754190836901E-2</v>
      </c>
      <c r="Z652">
        <v>3.9127102883314002E-2</v>
      </c>
      <c r="AA652">
        <v>0</v>
      </c>
      <c r="AB652">
        <v>3.6835998296737671E-2</v>
      </c>
      <c r="AC652">
        <v>1.0310000507161019E-3</v>
      </c>
      <c r="AD652">
        <v>5.733999889343977E-3</v>
      </c>
      <c r="AE652">
        <v>5.6480001658201218E-3</v>
      </c>
      <c r="AF652">
        <f>0.16*X652 + 0.28*Y652 + 0.28*Z652 + 0.28*AA652</f>
        <v>3.8257289503730897E-2</v>
      </c>
      <c r="AG652">
        <f t="shared" si="30"/>
        <v>9.3693997571244834E-3</v>
      </c>
      <c r="AH652">
        <f>IF(T652="IT_Admin", 0.25, IF(AND(T652="HR", AA652&gt;0.6), 0.25, IF(AND(T652="General", Z652&gt;0.7), 0.2, 0.1)))</f>
        <v>0.1</v>
      </c>
      <c r="AI652">
        <f>IF(V652&gt;0.7, 0.1,
 IF(F652&gt;0.5, 0.08,
 IF(E652&gt;0.5, 0.05,
 0)))</f>
        <v>0</v>
      </c>
      <c r="AJ652">
        <f t="shared" si="31"/>
        <v>1.8035766681106409E-2</v>
      </c>
      <c r="AK652">
        <f t="shared" si="32"/>
        <v>1.983934334921705E-2</v>
      </c>
      <c r="AL652" t="str">
        <f>IF(MAX(X652, Y652, Z652, AA652)&gt;0.9,
 "Critical",
 IF(AK652&lt;=0.2,"Very Low",
 IF(AK652&lt;=0.4,"Low",
 IF(AK652&lt;=0.6,"Medium",
 IF(AK652&lt;=0.8,"High","Critical")))))</f>
        <v>Very Low</v>
      </c>
      <c r="AM652" t="str">
        <f>IF(MAX(X652:AA652)&gt;0.9,"CRITICAL ALERT",
 IF(AK652&gt;0.8,"CRITICAL ALERT",
 IF(AK652&gt;0.6,"ALERT",
 IF(AK652&gt;=0.4,"REVIEW","NO ACTION"))))</f>
        <v>NO ACTION</v>
      </c>
      <c r="AN652" t="str">
        <f>IF(AM652="NO ACTION","",
 IF(_xlfn.TEXTJOIN(", ", TRUE,
  IF(X652&gt;0.7,"Login anomaly",""),
  IF(Y652&gt;0.7,"File anomaly",""),
  IF(Z652&gt;0.7,"Network anomaly",""),
  IF(AA652&gt;0.7,"USB anomaly","")
 )="",
 "General anomaly detected",
 _xlfn.TEXTJOIN(", ", TRUE,
  IF(X652&gt;0.7,"Login anomaly",""),
  IF(Y652&gt;0.7,"File anomaly",""),
  IF(Z652&gt;0.7,"Network anomaly",""),
  IF(AA652&gt;0.7,"USB anomaly","")
 )))</f>
        <v/>
      </c>
    </row>
    <row r="653" spans="1:40" x14ac:dyDescent="0.3">
      <c r="A653" t="s">
        <v>676</v>
      </c>
      <c r="B653">
        <v>0.12892249527410199</v>
      </c>
      <c r="C653">
        <v>0.36953165208440503</v>
      </c>
      <c r="D653">
        <v>0</v>
      </c>
      <c r="E653">
        <v>0</v>
      </c>
      <c r="F653">
        <v>0</v>
      </c>
      <c r="G653">
        <v>0.993679798645833</v>
      </c>
      <c r="H653">
        <v>8</v>
      </c>
      <c r="I653">
        <v>8</v>
      </c>
      <c r="J653">
        <v>9.61309097848385E-2</v>
      </c>
      <c r="K653">
        <v>1.38662316476345E-2</v>
      </c>
      <c r="L653">
        <v>3.6753416162350498E-2</v>
      </c>
      <c r="M653">
        <v>2.0202020202020202E-3</v>
      </c>
      <c r="N653">
        <v>1.26682668266826E-2</v>
      </c>
      <c r="O653">
        <v>815</v>
      </c>
      <c r="P653">
        <v>7.7616442199775496E-2</v>
      </c>
      <c r="Q653">
        <v>7.77727129282232E-2</v>
      </c>
      <c r="R653">
        <v>0</v>
      </c>
      <c r="S653">
        <v>0</v>
      </c>
      <c r="T653" t="s">
        <v>24</v>
      </c>
      <c r="U653">
        <v>3.6084905660377302E-2</v>
      </c>
      <c r="V653">
        <v>0</v>
      </c>
      <c r="W653">
        <v>0</v>
      </c>
      <c r="X653">
        <v>0</v>
      </c>
      <c r="Y653">
        <v>4.1403370086147702E-2</v>
      </c>
      <c r="Z653">
        <v>5.1637172050538298E-2</v>
      </c>
      <c r="AA653">
        <v>0</v>
      </c>
      <c r="AB653">
        <v>2.464300021529198E-2</v>
      </c>
      <c r="AC653">
        <v>3.3000000257743523E-5</v>
      </c>
      <c r="AD653">
        <v>3.772000083699822E-3</v>
      </c>
      <c r="AE653">
        <v>1.4680000022053721E-3</v>
      </c>
      <c r="AF653">
        <f>0.16*X653 + 0.28*Y653 + 0.28*Z653 + 0.28*AA653</f>
        <v>2.6051351798272081E-2</v>
      </c>
      <c r="AG653">
        <f t="shared" si="30"/>
        <v>5.4193200585723397E-3</v>
      </c>
      <c r="AH653">
        <f>IF(T653="IT_Admin", 0.25, IF(AND(T653="HR", AA653&gt;0.6), 0.25, IF(AND(T653="General", Z653&gt;0.7), 0.2, 0.1)))</f>
        <v>0.25</v>
      </c>
      <c r="AI653">
        <f>IF(V653&gt;0.7, 0.1,
 IF(F653&gt;0.5, 0.08,
 IF(E653&gt;0.5, 0.05,
 0)))</f>
        <v>0</v>
      </c>
      <c r="AJ653">
        <f t="shared" si="31"/>
        <v>1.1608929580482262E-2</v>
      </c>
      <c r="AK653">
        <f t="shared" si="32"/>
        <v>1.4511161975602828E-2</v>
      </c>
      <c r="AL653" t="str">
        <f>IF(MAX(X653, Y653, Z653, AA653)&gt;0.9,
 "Critical",
 IF(AK653&lt;=0.2,"Very Low",
 IF(AK653&lt;=0.4,"Low",
 IF(AK653&lt;=0.6,"Medium",
 IF(AK653&lt;=0.8,"High","Critical")))))</f>
        <v>Very Low</v>
      </c>
      <c r="AM653" t="str">
        <f>IF(MAX(X653:AA653)&gt;0.9,"CRITICAL ALERT",
 IF(AK653&gt;0.8,"CRITICAL ALERT",
 IF(AK653&gt;0.6,"ALERT",
 IF(AK653&gt;=0.4,"REVIEW","NO ACTION"))))</f>
        <v>NO ACTION</v>
      </c>
      <c r="AN653" t="str">
        <f>IF(AM653="NO ACTION","",
 IF(_xlfn.TEXTJOIN(", ", TRUE,
  IF(X653&gt;0.7,"Login anomaly",""),
  IF(Y653&gt;0.7,"File anomaly",""),
  IF(Z653&gt;0.7,"Network anomaly",""),
  IF(AA653&gt;0.7,"USB anomaly","")
 )="",
 "General anomaly detected",
 _xlfn.TEXTJOIN(", ", TRUE,
  IF(X653&gt;0.7,"Login anomaly",""),
  IF(Y653&gt;0.7,"File anomaly",""),
  IF(Z653&gt;0.7,"Network anomaly",""),
  IF(AA653&gt;0.7,"USB anomaly","")
 )))</f>
        <v/>
      </c>
    </row>
    <row r="654" spans="1:40" x14ac:dyDescent="0.3">
      <c r="A654" t="s">
        <v>677</v>
      </c>
      <c r="B654">
        <v>6.1247637051039597E-2</v>
      </c>
      <c r="C654">
        <v>0.18476582604220201</v>
      </c>
      <c r="D654">
        <v>0</v>
      </c>
      <c r="E654">
        <v>0</v>
      </c>
      <c r="F654">
        <v>0</v>
      </c>
      <c r="G654">
        <v>0.97947130066169996</v>
      </c>
      <c r="H654">
        <v>7</v>
      </c>
      <c r="I654">
        <v>7</v>
      </c>
      <c r="J654">
        <v>2.1277610801011398E-2</v>
      </c>
      <c r="K654">
        <v>2.4469820554649199E-3</v>
      </c>
      <c r="L654">
        <v>2.90499154746112E-2</v>
      </c>
      <c r="M654">
        <v>2.88600288600288E-4</v>
      </c>
      <c r="N654">
        <v>8.1057646467845995E-3</v>
      </c>
      <c r="O654">
        <v>243</v>
      </c>
      <c r="P654">
        <v>1.68350168350168E-2</v>
      </c>
      <c r="Q654">
        <v>1.7006206388723299E-2</v>
      </c>
      <c r="R654">
        <v>0</v>
      </c>
      <c r="S654">
        <v>0</v>
      </c>
      <c r="T654" t="s">
        <v>49</v>
      </c>
      <c r="U654">
        <v>2.54716981132075E-2</v>
      </c>
      <c r="V654">
        <v>0</v>
      </c>
      <c r="W654">
        <v>0</v>
      </c>
      <c r="X654">
        <v>0</v>
      </c>
      <c r="Y654">
        <v>2.1212209291543199E-2</v>
      </c>
      <c r="Z654">
        <v>1.3343315959723901E-2</v>
      </c>
      <c r="AA654">
        <v>0</v>
      </c>
      <c r="AB654">
        <v>4.6358000487089157E-2</v>
      </c>
      <c r="AC654">
        <v>4.8799999058246613E-4</v>
      </c>
      <c r="AD654">
        <v>1.3819999992847439E-2</v>
      </c>
      <c r="AE654">
        <v>2.0759999752044682E-3</v>
      </c>
      <c r="AF654">
        <f>0.16*X654 + 0.28*Y654 + 0.28*Z654 + 0.28*AA654</f>
        <v>9.6755470703547876E-3</v>
      </c>
      <c r="AG654">
        <f t="shared" si="30"/>
        <v>1.200480006635189E-2</v>
      </c>
      <c r="AH654">
        <f>IF(T654="IT_Admin", 0.25, IF(AND(T654="HR", AA654&gt;0.6), 0.25, IF(AND(T654="General", Z654&gt;0.7), 0.2, 0.1)))</f>
        <v>0.1</v>
      </c>
      <c r="AI654">
        <f>IF(V654&gt;0.7, 0.1,
 IF(F654&gt;0.5, 0.08,
 IF(E654&gt;0.5, 0.05,
 0)))</f>
        <v>0</v>
      </c>
      <c r="AJ654">
        <f t="shared" si="31"/>
        <v>1.1306024167552759E-2</v>
      </c>
      <c r="AK654">
        <f t="shared" si="32"/>
        <v>1.2436626584308037E-2</v>
      </c>
      <c r="AL654" t="str">
        <f>IF(MAX(X654, Y654, Z654, AA654)&gt;0.9,
 "Critical",
 IF(AK654&lt;=0.2,"Very Low",
 IF(AK654&lt;=0.4,"Low",
 IF(AK654&lt;=0.6,"Medium",
 IF(AK654&lt;=0.8,"High","Critical")))))</f>
        <v>Very Low</v>
      </c>
      <c r="AM654" t="str">
        <f>IF(MAX(X654:AA654)&gt;0.9,"CRITICAL ALERT",
 IF(AK654&gt;0.8,"CRITICAL ALERT",
 IF(AK654&gt;0.6,"ALERT",
 IF(AK654&gt;=0.4,"REVIEW","NO ACTION"))))</f>
        <v>NO ACTION</v>
      </c>
      <c r="AN654" t="str">
        <f>IF(AM654="NO ACTION","",
 IF(_xlfn.TEXTJOIN(", ", TRUE,
  IF(X654&gt;0.7,"Login anomaly",""),
  IF(Y654&gt;0.7,"File anomaly",""),
  IF(Z654&gt;0.7,"Network anomaly",""),
  IF(AA654&gt;0.7,"USB anomaly","")
 )="",
 "General anomaly detected",
 _xlfn.TEXTJOIN(", ", TRUE,
  IF(X654&gt;0.7,"Login anomaly",""),
  IF(Y654&gt;0.7,"File anomaly",""),
  IF(Z654&gt;0.7,"Network anomaly",""),
  IF(AA654&gt;0.7,"USB anomaly","")
 )))</f>
        <v/>
      </c>
    </row>
    <row r="655" spans="1:40" x14ac:dyDescent="0.3">
      <c r="A655" t="s">
        <v>678</v>
      </c>
      <c r="B655">
        <v>0.25217391304347803</v>
      </c>
      <c r="C655">
        <v>0.641586251383505</v>
      </c>
      <c r="D655">
        <v>0.56694353274547304</v>
      </c>
      <c r="E655">
        <v>0.33946017552574898</v>
      </c>
      <c r="F655">
        <v>7.0044709388971602E-2</v>
      </c>
      <c r="G655">
        <v>0.438802021283901</v>
      </c>
      <c r="H655">
        <v>0</v>
      </c>
      <c r="I655">
        <v>23</v>
      </c>
      <c r="J655">
        <v>0.10443204045608501</v>
      </c>
      <c r="K655">
        <v>1.5497553017944501E-2</v>
      </c>
      <c r="L655">
        <v>3.7819618003941603E-2</v>
      </c>
      <c r="M655">
        <v>4.9062049062049001E-3</v>
      </c>
      <c r="N655">
        <v>2.8325842090655199E-2</v>
      </c>
      <c r="O655">
        <v>1034</v>
      </c>
      <c r="P655">
        <v>8.58235129068462E-2</v>
      </c>
      <c r="Q655">
        <v>8.5977769206493901E-2</v>
      </c>
      <c r="R655">
        <v>0</v>
      </c>
      <c r="S655">
        <v>0</v>
      </c>
      <c r="T655" t="s">
        <v>24</v>
      </c>
      <c r="U655">
        <v>1.7924528301886698E-2</v>
      </c>
      <c r="V655">
        <v>0</v>
      </c>
      <c r="W655">
        <v>0</v>
      </c>
      <c r="X655">
        <v>0.29993899623695502</v>
      </c>
      <c r="Y655">
        <v>4.8293969720384397E-2</v>
      </c>
      <c r="Z655">
        <v>6.2824444580369801E-2</v>
      </c>
      <c r="AA655">
        <v>0</v>
      </c>
      <c r="AB655">
        <v>0.23540900647640231</v>
      </c>
      <c r="AC655">
        <v>1.500000071246177E-4</v>
      </c>
      <c r="AD655">
        <v>1.9960000645369291E-3</v>
      </c>
      <c r="AE655">
        <v>1.7861999571323391E-2</v>
      </c>
      <c r="AF655">
        <f>0.16*X655 + 0.28*Y655 + 0.28*Z655 + 0.28*AA655</f>
        <v>7.910339540212398E-2</v>
      </c>
      <c r="AG655">
        <f t="shared" si="30"/>
        <v>4.3267680936260156E-2</v>
      </c>
      <c r="AH655">
        <f>IF(T655="IT_Admin", 0.25, IF(AND(T655="HR", AA655&gt;0.6), 0.25, IF(AND(T655="General", Z655&gt;0.7), 0.2, 0.1)))</f>
        <v>0.25</v>
      </c>
      <c r="AI655">
        <f>IF(V655&gt;0.7, 0.1,
 IF(F655&gt;0.5, 0.08,
 IF(E655&gt;0.5, 0.05,
 0)))</f>
        <v>0</v>
      </c>
      <c r="AJ655">
        <f t="shared" si="31"/>
        <v>5.4018395276019301E-2</v>
      </c>
      <c r="AK655">
        <f t="shared" si="32"/>
        <v>6.752299409502413E-2</v>
      </c>
      <c r="AL655" t="str">
        <f>IF(MAX(X655, Y655, Z655, AA655)&gt;0.9,
 "Critical",
 IF(AK655&lt;=0.2,"Very Low",
 IF(AK655&lt;=0.4,"Low",
 IF(AK655&lt;=0.6,"Medium",
 IF(AK655&lt;=0.8,"High","Critical")))))</f>
        <v>Very Low</v>
      </c>
      <c r="AM655" t="str">
        <f>IF(MAX(X655:AA655)&gt;0.9,"CRITICAL ALERT",
 IF(AK655&gt;0.8,"CRITICAL ALERT",
 IF(AK655&gt;0.6,"ALERT",
 IF(AK655&gt;=0.4,"REVIEW","NO ACTION"))))</f>
        <v>NO ACTION</v>
      </c>
      <c r="AN655" t="str">
        <f>IF(AM655="NO ACTION","",
 IF(_xlfn.TEXTJOIN(", ", TRUE,
  IF(X655&gt;0.7,"Login anomaly",""),
  IF(Y655&gt;0.7,"File anomaly",""),
  IF(Z655&gt;0.7,"Network anomaly",""),
  IF(AA655&gt;0.7,"USB anomaly","")
 )="",
 "General anomaly detected",
 _xlfn.TEXTJOIN(", ", TRUE,
  IF(X655&gt;0.7,"Login anomaly",""),
  IF(Y655&gt;0.7,"File anomaly",""),
  IF(Z655&gt;0.7,"Network anomaly",""),
  IF(AA655&gt;0.7,"USB anomaly","")
 )))</f>
        <v/>
      </c>
    </row>
    <row r="656" spans="1:40" x14ac:dyDescent="0.3">
      <c r="A656" t="s">
        <v>679</v>
      </c>
      <c r="B656">
        <v>0.12892249527410199</v>
      </c>
      <c r="C656">
        <v>0.18476582604220201</v>
      </c>
      <c r="D656">
        <v>0</v>
      </c>
      <c r="E656">
        <v>0</v>
      </c>
      <c r="F656">
        <v>0</v>
      </c>
      <c r="G656">
        <v>0.99366079712966404</v>
      </c>
      <c r="H656">
        <v>7</v>
      </c>
      <c r="I656">
        <v>7</v>
      </c>
      <c r="J656">
        <v>0.10023376747292501</v>
      </c>
      <c r="K656">
        <v>2.1207177814029299E-2</v>
      </c>
      <c r="L656">
        <v>5.3915686745060303E-2</v>
      </c>
      <c r="M656">
        <v>1.7316017316017301E-3</v>
      </c>
      <c r="N656">
        <v>1.0415099303988099E-2</v>
      </c>
      <c r="O656">
        <v>923</v>
      </c>
      <c r="P656">
        <v>8.3648989898989903E-2</v>
      </c>
      <c r="Q656">
        <v>8.3803779936182807E-2</v>
      </c>
      <c r="R656">
        <v>0</v>
      </c>
      <c r="S656">
        <v>0</v>
      </c>
      <c r="T656" t="s">
        <v>24</v>
      </c>
      <c r="U656">
        <v>6.30727762803234E-2</v>
      </c>
      <c r="V656">
        <v>0</v>
      </c>
      <c r="W656">
        <v>0</v>
      </c>
      <c r="X656">
        <v>0</v>
      </c>
      <c r="Y656">
        <v>5.0129126658311797E-2</v>
      </c>
      <c r="Z656">
        <v>5.4355433660989202E-2</v>
      </c>
      <c r="AA656">
        <v>0</v>
      </c>
      <c r="AB656">
        <v>3.6706000566482537E-2</v>
      </c>
      <c r="AC656">
        <v>3.0200000037439167E-4</v>
      </c>
      <c r="AD656">
        <v>3.1820000149309639E-3</v>
      </c>
      <c r="AE656">
        <v>1.351000042632222E-3</v>
      </c>
      <c r="AF656">
        <f>0.16*X656 + 0.28*Y656 + 0.28*Z656 + 0.28*AA656</f>
        <v>2.9255676889404281E-2</v>
      </c>
      <c r="AG656">
        <f t="shared" si="30"/>
        <v>7.2267601068597281E-3</v>
      </c>
      <c r="AH656">
        <f>IF(T656="IT_Admin", 0.25, IF(AND(T656="HR", AA656&gt;0.6), 0.25, IF(AND(T656="General", Z656&gt;0.7), 0.2, 0.1)))</f>
        <v>0.25</v>
      </c>
      <c r="AI656">
        <f>IF(V656&gt;0.7, 0.1,
 IF(F656&gt;0.5, 0.08,
 IF(E656&gt;0.5, 0.05,
 0)))</f>
        <v>0</v>
      </c>
      <c r="AJ656">
        <f t="shared" si="31"/>
        <v>1.3835435141623092E-2</v>
      </c>
      <c r="AK656">
        <f t="shared" si="32"/>
        <v>1.7294293927028866E-2</v>
      </c>
      <c r="AL656" t="str">
        <f>IF(MAX(X656, Y656, Z656, AA656)&gt;0.9,
 "Critical",
 IF(AK656&lt;=0.2,"Very Low",
 IF(AK656&lt;=0.4,"Low",
 IF(AK656&lt;=0.6,"Medium",
 IF(AK656&lt;=0.8,"High","Critical")))))</f>
        <v>Very Low</v>
      </c>
      <c r="AM656" t="str">
        <f>IF(MAX(X656:AA656)&gt;0.9,"CRITICAL ALERT",
 IF(AK656&gt;0.8,"CRITICAL ALERT",
 IF(AK656&gt;0.6,"ALERT",
 IF(AK656&gt;=0.4,"REVIEW","NO ACTION"))))</f>
        <v>NO ACTION</v>
      </c>
      <c r="AN656" t="str">
        <f>IF(AM656="NO ACTION","",
 IF(_xlfn.TEXTJOIN(", ", TRUE,
  IF(X656&gt;0.7,"Login anomaly",""),
  IF(Y656&gt;0.7,"File anomaly",""),
  IF(Z656&gt;0.7,"Network anomaly",""),
  IF(AA656&gt;0.7,"USB anomaly","")
 )="",
 "General anomaly detected",
 _xlfn.TEXTJOIN(", ", TRUE,
  IF(X656&gt;0.7,"Login anomaly",""),
  IF(Y656&gt;0.7,"File anomaly",""),
  IF(Z656&gt;0.7,"Network anomaly",""),
  IF(AA656&gt;0.7,"USB anomaly","")
 )))</f>
        <v/>
      </c>
    </row>
    <row r="657" spans="1:40" x14ac:dyDescent="0.3">
      <c r="A657" t="s">
        <v>680</v>
      </c>
      <c r="B657">
        <v>0.12892249527410199</v>
      </c>
      <c r="C657">
        <v>0.36953165208440503</v>
      </c>
      <c r="D657">
        <v>0</v>
      </c>
      <c r="E657">
        <v>0</v>
      </c>
      <c r="F657">
        <v>0</v>
      </c>
      <c r="G657">
        <v>0.993684696219719</v>
      </c>
      <c r="H657">
        <v>8</v>
      </c>
      <c r="I657">
        <v>8</v>
      </c>
      <c r="J657">
        <v>0.11344878584037001</v>
      </c>
      <c r="K657">
        <v>1.7944535073409401E-2</v>
      </c>
      <c r="L657">
        <v>4.0317983121987998E-2</v>
      </c>
      <c r="M657">
        <v>1.1544011544011501E-3</v>
      </c>
      <c r="N657">
        <v>6.1362985408306399E-3</v>
      </c>
      <c r="O657">
        <v>1035</v>
      </c>
      <c r="P657">
        <v>9.1680695847362506E-2</v>
      </c>
      <c r="Q657">
        <v>9.1833514499105803E-2</v>
      </c>
      <c r="R657">
        <v>0</v>
      </c>
      <c r="S657">
        <v>0</v>
      </c>
      <c r="T657" t="s">
        <v>24</v>
      </c>
      <c r="U657">
        <v>7.4716981132075394E-2</v>
      </c>
      <c r="V657">
        <v>0</v>
      </c>
      <c r="W657">
        <v>0</v>
      </c>
      <c r="X657">
        <v>0</v>
      </c>
      <c r="Y657">
        <v>4.4689638291317203E-2</v>
      </c>
      <c r="Z657">
        <v>5.74629369247497E-2</v>
      </c>
      <c r="AA657">
        <v>0</v>
      </c>
      <c r="AB657">
        <v>2.481099963188171E-2</v>
      </c>
      <c r="AC657">
        <v>5.3999997908249497E-4</v>
      </c>
      <c r="AD657">
        <v>2.5029999669641261E-3</v>
      </c>
      <c r="AE657">
        <v>1.2789999600499871E-3</v>
      </c>
      <c r="AF657">
        <f>0.16*X657 + 0.28*Y657 + 0.28*Z657 + 0.28*AA657</f>
        <v>2.8602721060498736E-2</v>
      </c>
      <c r="AG657">
        <f t="shared" si="30"/>
        <v>5.1799199148081241E-3</v>
      </c>
      <c r="AH657">
        <f>IF(T657="IT_Admin", 0.25, IF(AND(T657="HR", AA657&gt;0.6), 0.25, IF(AND(T657="General", Z657&gt;0.7), 0.2, 0.1)))</f>
        <v>0.25</v>
      </c>
      <c r="AI657">
        <f>IF(V657&gt;0.7, 0.1,
 IF(F657&gt;0.5, 0.08,
 IF(E657&gt;0.5, 0.05,
 0)))</f>
        <v>0</v>
      </c>
      <c r="AJ657">
        <f t="shared" si="31"/>
        <v>1.2206760258515307E-2</v>
      </c>
      <c r="AK657">
        <f t="shared" si="32"/>
        <v>1.5258450323144133E-2</v>
      </c>
      <c r="AL657" t="str">
        <f>IF(MAX(X657, Y657, Z657, AA657)&gt;0.9,
 "Critical",
 IF(AK657&lt;=0.2,"Very Low",
 IF(AK657&lt;=0.4,"Low",
 IF(AK657&lt;=0.6,"Medium",
 IF(AK657&lt;=0.8,"High","Critical")))))</f>
        <v>Very Low</v>
      </c>
      <c r="AM657" t="str">
        <f>IF(MAX(X657:AA657)&gt;0.9,"CRITICAL ALERT",
 IF(AK657&gt;0.8,"CRITICAL ALERT",
 IF(AK657&gt;0.6,"ALERT",
 IF(AK657&gt;=0.4,"REVIEW","NO ACTION"))))</f>
        <v>NO ACTION</v>
      </c>
      <c r="AN657" t="str">
        <f>IF(AM657="NO ACTION","",
 IF(_xlfn.TEXTJOIN(", ", TRUE,
  IF(X657&gt;0.7,"Login anomaly",""),
  IF(Y657&gt;0.7,"File anomaly",""),
  IF(Z657&gt;0.7,"Network anomaly",""),
  IF(AA657&gt;0.7,"USB anomaly","")
 )="",
 "General anomaly detected",
 _xlfn.TEXTJOIN(", ", TRUE,
  IF(X657&gt;0.7,"Login anomaly",""),
  IF(Y657&gt;0.7,"File anomaly",""),
  IF(Z657&gt;0.7,"Network anomaly",""),
  IF(AA657&gt;0.7,"USB anomaly","")
 )))</f>
        <v/>
      </c>
    </row>
    <row r="658" spans="1:40" x14ac:dyDescent="0.3">
      <c r="A658" t="s">
        <v>681</v>
      </c>
      <c r="B658">
        <v>0.12892249527410199</v>
      </c>
      <c r="C658">
        <v>0.36953165208440503</v>
      </c>
      <c r="D658">
        <v>0</v>
      </c>
      <c r="E658">
        <v>0</v>
      </c>
      <c r="F658">
        <v>0</v>
      </c>
      <c r="G658">
        <v>0.99369703382387997</v>
      </c>
      <c r="H658">
        <v>8</v>
      </c>
      <c r="I658">
        <v>8</v>
      </c>
      <c r="J658">
        <v>9.5606125661943597E-2</v>
      </c>
      <c r="K658">
        <v>1.2234910277324601E-2</v>
      </c>
      <c r="L658">
        <v>3.2607047981706501E-2</v>
      </c>
      <c r="M658">
        <v>2.3088023088023001E-3</v>
      </c>
      <c r="N658">
        <v>1.4557291610551901E-2</v>
      </c>
      <c r="O658">
        <v>852</v>
      </c>
      <c r="P658">
        <v>7.6669472502805799E-2</v>
      </c>
      <c r="Q658">
        <v>7.6825975665345894E-2</v>
      </c>
      <c r="R658">
        <v>0</v>
      </c>
      <c r="S658">
        <v>0</v>
      </c>
      <c r="T658" t="s">
        <v>24</v>
      </c>
      <c r="U658">
        <v>2.83018867924528E-2</v>
      </c>
      <c r="V658">
        <v>0</v>
      </c>
      <c r="W658">
        <v>0</v>
      </c>
      <c r="X658">
        <v>0</v>
      </c>
      <c r="Y658">
        <v>3.9791936606407501E-2</v>
      </c>
      <c r="Z658">
        <v>5.1824600145904197E-2</v>
      </c>
      <c r="AA658">
        <v>0</v>
      </c>
      <c r="AB658">
        <v>2.4637000635266301E-2</v>
      </c>
      <c r="AC658">
        <v>7.7999997301958501E-5</v>
      </c>
      <c r="AD658">
        <v>3.8340000901371241E-3</v>
      </c>
      <c r="AE658">
        <v>1.449999981559813E-3</v>
      </c>
      <c r="AF658">
        <f>0.16*X658 + 0.28*Y658 + 0.28*Z658 + 0.28*AA658</f>
        <v>2.565263029064728E-2</v>
      </c>
      <c r="AG658">
        <f t="shared" si="30"/>
        <v>5.4432801209622983E-3</v>
      </c>
      <c r="AH658">
        <f>IF(T658="IT_Admin", 0.25, IF(AND(T658="HR", AA658&gt;0.6), 0.25, IF(AND(T658="General", Z658&gt;0.7), 0.2, 0.1)))</f>
        <v>0.25</v>
      </c>
      <c r="AI658">
        <f>IF(V658&gt;0.7, 0.1,
 IF(F658&gt;0.5, 0.08,
 IF(E658&gt;0.5, 0.05,
 0)))</f>
        <v>0</v>
      </c>
      <c r="AJ658">
        <f t="shared" si="31"/>
        <v>1.1506085171867794E-2</v>
      </c>
      <c r="AK658">
        <f t="shared" si="32"/>
        <v>1.4382606464834743E-2</v>
      </c>
      <c r="AL658" t="str">
        <f>IF(MAX(X658, Y658, Z658, AA658)&gt;0.9,
 "Critical",
 IF(AK658&lt;=0.2,"Very Low",
 IF(AK658&lt;=0.4,"Low",
 IF(AK658&lt;=0.6,"Medium",
 IF(AK658&lt;=0.8,"High","Critical")))))</f>
        <v>Very Low</v>
      </c>
      <c r="AM658" t="str">
        <f>IF(MAX(X658:AA658)&gt;0.9,"CRITICAL ALERT",
 IF(AK658&gt;0.8,"CRITICAL ALERT",
 IF(AK658&gt;0.6,"ALERT",
 IF(AK658&gt;=0.4,"REVIEW","NO ACTION"))))</f>
        <v>NO ACTION</v>
      </c>
      <c r="AN658" t="str">
        <f>IF(AM658="NO ACTION","",
 IF(_xlfn.TEXTJOIN(", ", TRUE,
  IF(X658&gt;0.7,"Login anomaly",""),
  IF(Y658&gt;0.7,"File anomaly",""),
  IF(Z658&gt;0.7,"Network anomaly",""),
  IF(AA658&gt;0.7,"USB anomaly","")
 )="",
 "General anomaly detected",
 _xlfn.TEXTJOIN(", ", TRUE,
  IF(X658&gt;0.7,"Login anomaly",""),
  IF(Y658&gt;0.7,"File anomaly",""),
  IF(Z658&gt;0.7,"Network anomaly",""),
  IF(AA658&gt;0.7,"USB anomaly","")
 )))</f>
        <v/>
      </c>
    </row>
    <row r="659" spans="1:40" x14ac:dyDescent="0.3">
      <c r="A659" t="s">
        <v>682</v>
      </c>
      <c r="B659">
        <v>0.12892249527410199</v>
      </c>
      <c r="C659">
        <v>0.18476582604220201</v>
      </c>
      <c r="D659">
        <v>0</v>
      </c>
      <c r="E659">
        <v>0</v>
      </c>
      <c r="F659">
        <v>0</v>
      </c>
      <c r="G659">
        <v>0.99367457991956198</v>
      </c>
      <c r="H659">
        <v>7</v>
      </c>
      <c r="I659">
        <v>7</v>
      </c>
      <c r="J659">
        <v>8.8688516769238099E-2</v>
      </c>
      <c r="K659">
        <v>1.30505709624796E-2</v>
      </c>
      <c r="L659">
        <v>3.7486443144634202E-2</v>
      </c>
      <c r="M659">
        <v>2.59740259740259E-3</v>
      </c>
      <c r="N659">
        <v>1.7650911320439201E-2</v>
      </c>
      <c r="O659">
        <v>891</v>
      </c>
      <c r="P659">
        <v>7.2074915824915806E-2</v>
      </c>
      <c r="Q659">
        <v>7.2232546723237104E-2</v>
      </c>
      <c r="R659">
        <v>0</v>
      </c>
      <c r="S659">
        <v>0</v>
      </c>
      <c r="T659" t="s">
        <v>49</v>
      </c>
      <c r="U659">
        <v>2.7169811320754699E-2</v>
      </c>
      <c r="V659">
        <v>0</v>
      </c>
      <c r="W659">
        <v>0</v>
      </c>
      <c r="X659">
        <v>0</v>
      </c>
      <c r="Y659">
        <v>4.1776198322296502E-2</v>
      </c>
      <c r="Z659">
        <v>5.0305314023125103E-2</v>
      </c>
      <c r="AA659">
        <v>0</v>
      </c>
      <c r="AB659">
        <v>3.665199875831604E-2</v>
      </c>
      <c r="AC659">
        <v>4.8999998398358002E-5</v>
      </c>
      <c r="AD659">
        <v>4.3049999512732029E-3</v>
      </c>
      <c r="AE659">
        <v>1.646999968215823E-3</v>
      </c>
      <c r="AF659">
        <f>0.16*X659 + 0.28*Y659 + 0.28*Z659 + 0.28*AA659</f>
        <v>2.5782823456718049E-2</v>
      </c>
      <c r="AG659">
        <f t="shared" si="30"/>
        <v>7.5445997783390338E-3</v>
      </c>
      <c r="AH659">
        <f>IF(T659="IT_Admin", 0.25, IF(AND(T659="HR", AA659&gt;0.6), 0.25, IF(AND(T659="General", Z659&gt;0.7), 0.2, 0.1)))</f>
        <v>0.1</v>
      </c>
      <c r="AI659">
        <f>IF(V659&gt;0.7, 0.1,
 IF(F659&gt;0.5, 0.08,
 IF(E659&gt;0.5, 0.05,
 0)))</f>
        <v>0</v>
      </c>
      <c r="AJ659">
        <f t="shared" si="31"/>
        <v>1.3016066881852738E-2</v>
      </c>
      <c r="AK659">
        <f t="shared" si="32"/>
        <v>1.4317673570038013E-2</v>
      </c>
      <c r="AL659" t="str">
        <f>IF(MAX(X659, Y659, Z659, AA659)&gt;0.9,
 "Critical",
 IF(AK659&lt;=0.2,"Very Low",
 IF(AK659&lt;=0.4,"Low",
 IF(AK659&lt;=0.6,"Medium",
 IF(AK659&lt;=0.8,"High","Critical")))))</f>
        <v>Very Low</v>
      </c>
      <c r="AM659" t="str">
        <f>IF(MAX(X659:AA659)&gt;0.9,"CRITICAL ALERT",
 IF(AK659&gt;0.8,"CRITICAL ALERT",
 IF(AK659&gt;0.6,"ALERT",
 IF(AK659&gt;=0.4,"REVIEW","NO ACTION"))))</f>
        <v>NO ACTION</v>
      </c>
      <c r="AN659" t="str">
        <f>IF(AM659="NO ACTION","",
 IF(_xlfn.TEXTJOIN(", ", TRUE,
  IF(X659&gt;0.7,"Login anomaly",""),
  IF(Y659&gt;0.7,"File anomaly",""),
  IF(Z659&gt;0.7,"Network anomaly",""),
  IF(AA659&gt;0.7,"USB anomaly","")
 )="",
 "General anomaly detected",
 _xlfn.TEXTJOIN(", ", TRUE,
  IF(X659&gt;0.7,"Login anomaly",""),
  IF(Y659&gt;0.7,"File anomaly",""),
  IF(Z659&gt;0.7,"Network anomaly",""),
  IF(AA659&gt;0.7,"USB anomaly","")
 )))</f>
        <v/>
      </c>
    </row>
    <row r="660" spans="1:40" x14ac:dyDescent="0.3">
      <c r="A660" t="s">
        <v>683</v>
      </c>
      <c r="B660">
        <v>0.23856332703213601</v>
      </c>
      <c r="C660">
        <v>0.66282921531360195</v>
      </c>
      <c r="D660">
        <v>0.37042265350509501</v>
      </c>
      <c r="E660">
        <v>0</v>
      </c>
      <c r="F660">
        <v>0</v>
      </c>
      <c r="G660">
        <v>0.47141652884363</v>
      </c>
      <c r="H660">
        <v>7</v>
      </c>
      <c r="I660">
        <v>14</v>
      </c>
      <c r="J660">
        <v>6.7935690091121603E-2</v>
      </c>
      <c r="K660">
        <v>1.71288743882544E-2</v>
      </c>
      <c r="L660">
        <v>6.4178154760915096E-2</v>
      </c>
      <c r="M660">
        <v>3.7518037518037501E-3</v>
      </c>
      <c r="N660">
        <v>3.3256891619382799E-2</v>
      </c>
      <c r="O660">
        <v>694</v>
      </c>
      <c r="P660">
        <v>5.91329966329966E-2</v>
      </c>
      <c r="Q660">
        <v>5.9293804130579601E-2</v>
      </c>
      <c r="R660">
        <v>0</v>
      </c>
      <c r="S660">
        <v>0</v>
      </c>
      <c r="T660" t="s">
        <v>49</v>
      </c>
      <c r="U660">
        <v>2.54716981132075E-2</v>
      </c>
      <c r="V660">
        <v>0</v>
      </c>
      <c r="W660">
        <v>0</v>
      </c>
      <c r="X660">
        <v>0.111126796051528</v>
      </c>
      <c r="Y660">
        <v>5.5653282884496703E-2</v>
      </c>
      <c r="Z660">
        <v>4.87825546275511E-2</v>
      </c>
      <c r="AA660">
        <v>0</v>
      </c>
      <c r="AB660">
        <v>2.578200027346611E-2</v>
      </c>
      <c r="AC660">
        <v>2.6900001103058457E-4</v>
      </c>
      <c r="AD660">
        <v>5.2260002121329308E-3</v>
      </c>
      <c r="AE660">
        <v>7.5679998844861984E-3</v>
      </c>
      <c r="AF660">
        <f>0.16*X660 + 0.28*Y660 + 0.28*Z660 + 0.28*AA660</f>
        <v>4.7022321871617867E-2</v>
      </c>
      <c r="AG660">
        <f t="shared" si="30"/>
        <v>7.782760073896498E-3</v>
      </c>
      <c r="AH660">
        <f>IF(T660="IT_Admin", 0.25, IF(AND(T660="HR", AA660&gt;0.6), 0.25, IF(AND(T660="General", Z660&gt;0.7), 0.2, 0.1)))</f>
        <v>0.1</v>
      </c>
      <c r="AI660">
        <f>IF(V660&gt;0.7, 0.1,
 IF(F660&gt;0.5, 0.08,
 IF(E660&gt;0.5, 0.05,
 0)))</f>
        <v>0</v>
      </c>
      <c r="AJ660">
        <f t="shared" si="31"/>
        <v>1.9554628613212909E-2</v>
      </c>
      <c r="AK660">
        <f t="shared" si="32"/>
        <v>2.1510091474534202E-2</v>
      </c>
      <c r="AL660" t="str">
        <f>IF(MAX(X660, Y660, Z660, AA660)&gt;0.9,
 "Critical",
 IF(AK660&lt;=0.2,"Very Low",
 IF(AK660&lt;=0.4,"Low",
 IF(AK660&lt;=0.6,"Medium",
 IF(AK660&lt;=0.8,"High","Critical")))))</f>
        <v>Very Low</v>
      </c>
      <c r="AM660" t="str">
        <f>IF(MAX(X660:AA660)&gt;0.9,"CRITICAL ALERT",
 IF(AK660&gt;0.8,"CRITICAL ALERT",
 IF(AK660&gt;0.6,"ALERT",
 IF(AK660&gt;=0.4,"REVIEW","NO ACTION"))))</f>
        <v>NO ACTION</v>
      </c>
      <c r="AN660" t="str">
        <f>IF(AM660="NO ACTION","",
 IF(_xlfn.TEXTJOIN(", ", TRUE,
  IF(X660&gt;0.7,"Login anomaly",""),
  IF(Y660&gt;0.7,"File anomaly",""),
  IF(Z660&gt;0.7,"Network anomaly",""),
  IF(AA660&gt;0.7,"USB anomaly","")
 )="",
 "General anomaly detected",
 _xlfn.TEXTJOIN(", ", TRUE,
  IF(X660&gt;0.7,"Login anomaly",""),
  IF(Y660&gt;0.7,"File anomaly",""),
  IF(Z660&gt;0.7,"Network anomaly",""),
  IF(AA660&gt;0.7,"USB anomaly","")
 )))</f>
        <v/>
      </c>
    </row>
    <row r="661" spans="1:40" x14ac:dyDescent="0.3">
      <c r="A661" t="s">
        <v>684</v>
      </c>
      <c r="B661">
        <v>0.26427221172022602</v>
      </c>
      <c r="C661">
        <v>0.62972819231453403</v>
      </c>
      <c r="D661">
        <v>0.49447846171910798</v>
      </c>
      <c r="E661">
        <v>0.32400821874505997</v>
      </c>
      <c r="F661">
        <v>5.5476529160739599E-2</v>
      </c>
      <c r="G661">
        <v>0.41134082905259101</v>
      </c>
      <c r="H661">
        <v>0</v>
      </c>
      <c r="I661">
        <v>23</v>
      </c>
      <c r="J661">
        <v>9.6417155670053906E-2</v>
      </c>
      <c r="K661">
        <v>1.4681892332789499E-2</v>
      </c>
      <c r="L661">
        <v>3.8800133896494497E-2</v>
      </c>
      <c r="M661">
        <v>1.1544011544011501E-3</v>
      </c>
      <c r="N661">
        <v>7.2175712846986196E-3</v>
      </c>
      <c r="O661">
        <v>996</v>
      </c>
      <c r="P661">
        <v>7.7756734006733996E-2</v>
      </c>
      <c r="Q661">
        <v>7.79129703005014E-2</v>
      </c>
      <c r="R661">
        <v>0.96460176991150404</v>
      </c>
      <c r="S661">
        <v>1</v>
      </c>
      <c r="T661" t="s">
        <v>24</v>
      </c>
      <c r="U661">
        <v>6.1132075471698098E-2</v>
      </c>
      <c r="V661">
        <v>0</v>
      </c>
      <c r="W661">
        <v>7.0243611633780095E-2</v>
      </c>
      <c r="X661">
        <v>0.26773661580354602</v>
      </c>
      <c r="Y661">
        <v>4.0848769467667599E-2</v>
      </c>
      <c r="Z661">
        <v>4.9541068917919803E-2</v>
      </c>
      <c r="AA661">
        <v>0.96460176991150404</v>
      </c>
      <c r="AB661">
        <v>0.20762799680232999</v>
      </c>
      <c r="AC661">
        <v>2.840000088326633E-4</v>
      </c>
      <c r="AD661">
        <v>2.93800001963973E-3</v>
      </c>
      <c r="AE661">
        <v>0.92089700698852539</v>
      </c>
      <c r="AF661">
        <f>0.16*X661 + 0.28*Y661 + 0.28*Z661 + 0.28*AA661</f>
        <v>0.33823550885175296</v>
      </c>
      <c r="AG661">
        <f t="shared" si="30"/>
        <v>0.29197380145313223</v>
      </c>
      <c r="AH661">
        <f>IF(T661="IT_Admin", 0.25, IF(AND(T661="HR", AA661&gt;0.6), 0.25, IF(AND(T661="General", Z661&gt;0.7), 0.2, 0.1)))</f>
        <v>0.25</v>
      </c>
      <c r="AI661">
        <f>IF(V661&gt;0.7, 0.1,
 IF(F661&gt;0.5, 0.08,
 IF(E661&gt;0.5, 0.05,
 0)))</f>
        <v>0</v>
      </c>
      <c r="AJ661">
        <f t="shared" si="31"/>
        <v>0.30585231367271842</v>
      </c>
      <c r="AK661">
        <f t="shared" si="32"/>
        <v>0.38231539209089804</v>
      </c>
      <c r="AL661" t="str">
        <f>IF(MAX(X661, Y661, Z661, AA661)&gt;0.9,
 "Critical",
 IF(AK661&lt;=0.2,"Very Low",
 IF(AK661&lt;=0.4,"Low",
 IF(AK661&lt;=0.6,"Medium",
 IF(AK661&lt;=0.8,"High","Critical")))))</f>
        <v>Critical</v>
      </c>
      <c r="AM661" t="str">
        <f>IF(MAX(X661:AA661)&gt;0.9,"CRITICAL ALERT",
 IF(AK661&gt;0.8,"CRITICAL ALERT",
 IF(AK661&gt;0.6,"ALERT",
 IF(AK661&gt;=0.4,"REVIEW","NO ACTION"))))</f>
        <v>CRITICAL ALERT</v>
      </c>
      <c r="AN661" t="str">
        <f>IF(AM661="NO ACTION","",
 IF(_xlfn.TEXTJOIN(", ", TRUE,
  IF(X661&gt;0.7,"Login anomaly",""),
  IF(Y661&gt;0.7,"File anomaly",""),
  IF(Z661&gt;0.7,"Network anomaly",""),
  IF(AA661&gt;0.7,"USB anomaly","")
 )="",
 "General anomaly detected",
 _xlfn.TEXTJOIN(", ", TRUE,
  IF(X661&gt;0.7,"Login anomaly",""),
  IF(Y661&gt;0.7,"File anomaly",""),
  IF(Z661&gt;0.7,"Network anomaly",""),
  IF(AA661&gt;0.7,"USB anomaly","")
 )))</f>
        <v>USB anomaly</v>
      </c>
    </row>
    <row r="662" spans="1:40" x14ac:dyDescent="0.3">
      <c r="A662" t="s">
        <v>685</v>
      </c>
      <c r="B662">
        <v>0.12892249527410199</v>
      </c>
      <c r="C662">
        <v>0</v>
      </c>
      <c r="D662">
        <v>0</v>
      </c>
      <c r="E662">
        <v>0</v>
      </c>
      <c r="F662">
        <v>1</v>
      </c>
      <c r="G662">
        <v>0.99367832669739797</v>
      </c>
      <c r="H662">
        <v>6</v>
      </c>
      <c r="I662">
        <v>6</v>
      </c>
      <c r="J662">
        <v>8.5921473212155902E-2</v>
      </c>
      <c r="K662">
        <v>9.7879282218597003E-3</v>
      </c>
      <c r="L662">
        <v>2.9017745025580601E-2</v>
      </c>
      <c r="M662">
        <v>8.6580086580086504E-4</v>
      </c>
      <c r="N662">
        <v>6.0725911224250003E-3</v>
      </c>
      <c r="O662">
        <v>647</v>
      </c>
      <c r="P662">
        <v>6.7796015712682303E-2</v>
      </c>
      <c r="Q662">
        <v>6.7954696868754105E-2</v>
      </c>
      <c r="R662">
        <v>0</v>
      </c>
      <c r="S662">
        <v>0</v>
      </c>
      <c r="T662" t="s">
        <v>49</v>
      </c>
      <c r="U662">
        <v>5.0943396226415097E-2</v>
      </c>
      <c r="V662">
        <v>0</v>
      </c>
      <c r="W662">
        <v>0</v>
      </c>
      <c r="X662">
        <v>0.4</v>
      </c>
      <c r="Y662">
        <v>3.3514944491949E-2</v>
      </c>
      <c r="Z662">
        <v>4.3106645876579398E-2</v>
      </c>
      <c r="AA662">
        <v>0</v>
      </c>
      <c r="AB662">
        <v>0.119159996509552</v>
      </c>
      <c r="AC662">
        <v>2.7399999089539051E-4</v>
      </c>
      <c r="AD662">
        <v>5.2200001664459714E-3</v>
      </c>
      <c r="AE662">
        <v>4.0999999328050762E-5</v>
      </c>
      <c r="AF662">
        <f>0.16*X662 + 0.28*Y662 + 0.28*Z662 + 0.28*AA662</f>
        <v>8.5454045303187953E-2</v>
      </c>
      <c r="AG662">
        <f t="shared" si="30"/>
        <v>2.0615399485395754E-2</v>
      </c>
      <c r="AH662">
        <f>IF(T662="IT_Admin", 0.25, IF(AND(T662="HR", AA662&gt;0.6), 0.25, IF(AND(T662="General", Z662&gt;0.7), 0.2, 0.1)))</f>
        <v>0.1</v>
      </c>
      <c r="AI662">
        <f>IF(V662&gt;0.7, 0.1,
 IF(F662&gt;0.5, 0.08,
 IF(E662&gt;0.5, 0.05,
 0)))</f>
        <v>0.08</v>
      </c>
      <c r="AJ662">
        <f t="shared" si="31"/>
        <v>4.0066993230733414E-2</v>
      </c>
      <c r="AK662">
        <f t="shared" si="32"/>
        <v>4.7279052012265434E-2</v>
      </c>
      <c r="AL662" t="str">
        <f>IF(MAX(X662, Y662, Z662, AA662)&gt;0.9,
 "Critical",
 IF(AK662&lt;=0.2,"Very Low",
 IF(AK662&lt;=0.4,"Low",
 IF(AK662&lt;=0.6,"Medium",
 IF(AK662&lt;=0.8,"High","Critical")))))</f>
        <v>Very Low</v>
      </c>
      <c r="AM662" t="str">
        <f>IF(MAX(X662:AA662)&gt;0.9,"CRITICAL ALERT",
 IF(AK662&gt;0.8,"CRITICAL ALERT",
 IF(AK662&gt;0.6,"ALERT",
 IF(AK662&gt;=0.4,"REVIEW","NO ACTION"))))</f>
        <v>NO ACTION</v>
      </c>
      <c r="AN662" t="str">
        <f>IF(AM662="NO ACTION","",
 IF(_xlfn.TEXTJOIN(", ", TRUE,
  IF(X662&gt;0.7,"Login anomaly",""),
  IF(Y662&gt;0.7,"File anomaly",""),
  IF(Z662&gt;0.7,"Network anomaly",""),
  IF(AA662&gt;0.7,"USB anomaly","")
 )="",
 "General anomaly detected",
 _xlfn.TEXTJOIN(", ", TRUE,
  IF(X662&gt;0.7,"Login anomaly",""),
  IF(Y662&gt;0.7,"File anomaly",""),
  IF(Z662&gt;0.7,"Network anomaly",""),
  IF(AA662&gt;0.7,"USB anomaly","")
 )))</f>
        <v/>
      </c>
    </row>
    <row r="663" spans="1:40" x14ac:dyDescent="0.3">
      <c r="A663" t="s">
        <v>686</v>
      </c>
      <c r="B663">
        <v>0.12892249527410199</v>
      </c>
      <c r="C663">
        <v>0.18476582604220201</v>
      </c>
      <c r="D663">
        <v>0</v>
      </c>
      <c r="E663">
        <v>0</v>
      </c>
      <c r="F663">
        <v>0</v>
      </c>
      <c r="G663">
        <v>0.99367452639416398</v>
      </c>
      <c r="H663">
        <v>7</v>
      </c>
      <c r="I663">
        <v>7</v>
      </c>
      <c r="J663">
        <v>7.5664328991937396E-2</v>
      </c>
      <c r="K663">
        <v>1.38662316476345E-2</v>
      </c>
      <c r="L663">
        <v>4.6663671054649997E-2</v>
      </c>
      <c r="M663">
        <v>4.0404040404040404E-3</v>
      </c>
      <c r="N663">
        <v>3.2168320540413499E-2</v>
      </c>
      <c r="O663">
        <v>840</v>
      </c>
      <c r="P663">
        <v>6.3552188552188499E-2</v>
      </c>
      <c r="Q663">
        <v>6.3711911357340695E-2</v>
      </c>
      <c r="R663">
        <v>0</v>
      </c>
      <c r="S663">
        <v>0</v>
      </c>
      <c r="T663" t="s">
        <v>49</v>
      </c>
      <c r="U663">
        <v>1.9245283018867899E-2</v>
      </c>
      <c r="V663">
        <v>0</v>
      </c>
      <c r="W663">
        <v>0</v>
      </c>
      <c r="X663">
        <v>0</v>
      </c>
      <c r="Y663">
        <v>4.8115197487836499E-2</v>
      </c>
      <c r="Z663">
        <v>5.0998641347478502E-2</v>
      </c>
      <c r="AA663">
        <v>0</v>
      </c>
      <c r="AB663">
        <v>3.6674000322818763E-2</v>
      </c>
      <c r="AC663">
        <v>1.4200000441633159E-4</v>
      </c>
      <c r="AD663">
        <v>5.0050001591444024E-3</v>
      </c>
      <c r="AE663">
        <v>1.7199999419972301E-3</v>
      </c>
      <c r="AF663">
        <f>0.16*X663 + 0.28*Y663 + 0.28*Z663 + 0.28*AA663</f>
        <v>2.7751874873888201E-2</v>
      </c>
      <c r="AG663">
        <f t="shared" si="30"/>
        <v>7.7906000812072319E-3</v>
      </c>
      <c r="AH663">
        <f>IF(T663="IT_Admin", 0.25, IF(AND(T663="HR", AA663&gt;0.6), 0.25, IF(AND(T663="General", Z663&gt;0.7), 0.2, 0.1)))</f>
        <v>0.1</v>
      </c>
      <c r="AI663">
        <f>IF(V663&gt;0.7, 0.1,
 IF(F663&gt;0.5, 0.08,
 IF(E663&gt;0.5, 0.05,
 0)))</f>
        <v>0</v>
      </c>
      <c r="AJ663">
        <f t="shared" si="31"/>
        <v>1.3778982519011522E-2</v>
      </c>
      <c r="AK663">
        <f t="shared" si="32"/>
        <v>1.5156880770912675E-2</v>
      </c>
      <c r="AL663" t="str">
        <f>IF(MAX(X663, Y663, Z663, AA663)&gt;0.9,
 "Critical",
 IF(AK663&lt;=0.2,"Very Low",
 IF(AK663&lt;=0.4,"Low",
 IF(AK663&lt;=0.6,"Medium",
 IF(AK663&lt;=0.8,"High","Critical")))))</f>
        <v>Very Low</v>
      </c>
      <c r="AM663" t="str">
        <f>IF(MAX(X663:AA663)&gt;0.9,"CRITICAL ALERT",
 IF(AK663&gt;0.8,"CRITICAL ALERT",
 IF(AK663&gt;0.6,"ALERT",
 IF(AK663&gt;=0.4,"REVIEW","NO ACTION"))))</f>
        <v>NO ACTION</v>
      </c>
      <c r="AN663" t="str">
        <f>IF(AM663="NO ACTION","",
 IF(_xlfn.TEXTJOIN(", ", TRUE,
  IF(X663&gt;0.7,"Login anomaly",""),
  IF(Y663&gt;0.7,"File anomaly",""),
  IF(Z663&gt;0.7,"Network anomaly",""),
  IF(AA663&gt;0.7,"USB anomaly","")
 )="",
 "General anomaly detected",
 _xlfn.TEXTJOIN(", ", TRUE,
  IF(X663&gt;0.7,"Login anomaly",""),
  IF(Y663&gt;0.7,"File anomaly",""),
  IF(Z663&gt;0.7,"Network anomaly",""),
  IF(AA663&gt;0.7,"USB anomaly","")
 )))</f>
        <v/>
      </c>
    </row>
    <row r="664" spans="1:40" x14ac:dyDescent="0.3">
      <c r="A664" t="s">
        <v>687</v>
      </c>
      <c r="B664">
        <v>0.28015122873345899</v>
      </c>
      <c r="C664">
        <v>0.72963900700155704</v>
      </c>
      <c r="D664">
        <v>0.37905391263302501</v>
      </c>
      <c r="E664">
        <v>0</v>
      </c>
      <c r="F664">
        <v>0</v>
      </c>
      <c r="G664">
        <v>0.379746482033402</v>
      </c>
      <c r="H664">
        <v>7</v>
      </c>
      <c r="I664">
        <v>15</v>
      </c>
      <c r="J664">
        <v>7.8240541958876003E-2</v>
      </c>
      <c r="K664">
        <v>9.7879282218597003E-3</v>
      </c>
      <c r="L664">
        <v>3.18577796451055E-2</v>
      </c>
      <c r="M664">
        <v>8.6580086580086504E-4</v>
      </c>
      <c r="N664">
        <v>6.6669298280240498E-3</v>
      </c>
      <c r="O664">
        <v>707</v>
      </c>
      <c r="P664">
        <v>6.2149270482603797E-2</v>
      </c>
      <c r="Q664">
        <v>6.2309337634559397E-2</v>
      </c>
      <c r="R664">
        <v>0</v>
      </c>
      <c r="S664">
        <v>0</v>
      </c>
      <c r="T664" t="s">
        <v>49</v>
      </c>
      <c r="U664">
        <v>5.0943396226415097E-2</v>
      </c>
      <c r="V664">
        <v>0</v>
      </c>
      <c r="W664">
        <v>0</v>
      </c>
      <c r="X664">
        <v>0.113716173789907</v>
      </c>
      <c r="Y664">
        <v>3.3577077162735197E-2</v>
      </c>
      <c r="Z664">
        <v>3.9956334220771897E-2</v>
      </c>
      <c r="AA664">
        <v>0</v>
      </c>
      <c r="AB664">
        <v>4.852600023150444E-2</v>
      </c>
      <c r="AC664">
        <v>2.050000039162114E-4</v>
      </c>
      <c r="AD664">
        <v>5.5030002258718014E-3</v>
      </c>
      <c r="AE664">
        <v>8.7360003963112831E-3</v>
      </c>
      <c r="AF664">
        <f>0.16*X664 + 0.28*Y664 + 0.28*Z664 + 0.28*AA664</f>
        <v>3.8783942993767112E-2</v>
      </c>
      <c r="AG664">
        <f t="shared" si="30"/>
        <v>1.1808480212348513E-2</v>
      </c>
      <c r="AH664">
        <f>IF(T664="IT_Admin", 0.25, IF(AND(T664="HR", AA664&gt;0.6), 0.25, IF(AND(T664="General", Z664&gt;0.7), 0.2, 0.1)))</f>
        <v>0.1</v>
      </c>
      <c r="AI664">
        <f>IF(V664&gt;0.7, 0.1,
 IF(F664&gt;0.5, 0.08,
 IF(E664&gt;0.5, 0.05,
 0)))</f>
        <v>0</v>
      </c>
      <c r="AJ664">
        <f t="shared" si="31"/>
        <v>1.9901119046774093E-2</v>
      </c>
      <c r="AK664">
        <f t="shared" si="32"/>
        <v>2.1891230951451505E-2</v>
      </c>
      <c r="AL664" t="str">
        <f>IF(MAX(X664, Y664, Z664, AA664)&gt;0.9,
 "Critical",
 IF(AK664&lt;=0.2,"Very Low",
 IF(AK664&lt;=0.4,"Low",
 IF(AK664&lt;=0.6,"Medium",
 IF(AK664&lt;=0.8,"High","Critical")))))</f>
        <v>Very Low</v>
      </c>
      <c r="AM664" t="str">
        <f>IF(MAX(X664:AA664)&gt;0.9,"CRITICAL ALERT",
 IF(AK664&gt;0.8,"CRITICAL ALERT",
 IF(AK664&gt;0.6,"ALERT",
 IF(AK664&gt;=0.4,"REVIEW","NO ACTION"))))</f>
        <v>NO ACTION</v>
      </c>
      <c r="AN664" t="str">
        <f>IF(AM664="NO ACTION","",
 IF(_xlfn.TEXTJOIN(", ", TRUE,
  IF(X664&gt;0.7,"Login anomaly",""),
  IF(Y664&gt;0.7,"File anomaly",""),
  IF(Z664&gt;0.7,"Network anomaly",""),
  IF(AA664&gt;0.7,"USB anomaly","")
 )="",
 "General anomaly detected",
 _xlfn.TEXTJOIN(", ", TRUE,
  IF(X664&gt;0.7,"Login anomaly",""),
  IF(Y664&gt;0.7,"File anomaly",""),
  IF(Z664&gt;0.7,"Network anomaly",""),
  IF(AA664&gt;0.7,"USB anomaly","")
 )))</f>
        <v/>
      </c>
    </row>
    <row r="665" spans="1:40" x14ac:dyDescent="0.3">
      <c r="A665" t="s">
        <v>688</v>
      </c>
      <c r="B665">
        <v>0.2351606805293</v>
      </c>
      <c r="C665">
        <v>0.57436788734525002</v>
      </c>
      <c r="D665">
        <v>0.358641613989099</v>
      </c>
      <c r="E665">
        <v>0</v>
      </c>
      <c r="F665">
        <v>0</v>
      </c>
      <c r="G665">
        <v>0.48036918429562098</v>
      </c>
      <c r="H665">
        <v>7</v>
      </c>
      <c r="I665">
        <v>13</v>
      </c>
      <c r="J665">
        <v>7.8335957253947805E-2</v>
      </c>
      <c r="K665">
        <v>1.0603588907014599E-2</v>
      </c>
      <c r="L665">
        <v>3.4470684968153302E-2</v>
      </c>
      <c r="M665">
        <v>2.59740259740259E-3</v>
      </c>
      <c r="N665">
        <v>1.9976501943714999E-2</v>
      </c>
      <c r="O665">
        <v>840</v>
      </c>
      <c r="P665">
        <v>6.3411896745229998E-2</v>
      </c>
      <c r="Q665">
        <v>6.3571653985062496E-2</v>
      </c>
      <c r="R665">
        <v>0.67551622418878998</v>
      </c>
      <c r="S665">
        <v>1</v>
      </c>
      <c r="T665" t="s">
        <v>49</v>
      </c>
      <c r="U665">
        <v>2.2075471698113198E-2</v>
      </c>
      <c r="V665">
        <v>0</v>
      </c>
      <c r="W665">
        <v>0</v>
      </c>
      <c r="X665">
        <v>0.107592484196729</v>
      </c>
      <c r="Y665">
        <v>3.8895484517980701E-2</v>
      </c>
      <c r="Z665">
        <v>4.6037738824624003E-2</v>
      </c>
      <c r="AA665">
        <v>0.67551622418878998</v>
      </c>
      <c r="AB665">
        <v>1.6789000481367111E-2</v>
      </c>
      <c r="AC665">
        <v>1.3200000103097409E-4</v>
      </c>
      <c r="AD665">
        <v>4.5770001597702503E-3</v>
      </c>
      <c r="AE665">
        <v>0.45013698935508728</v>
      </c>
      <c r="AF665">
        <f>0.16*X665 + 0.28*Y665 + 0.28*Z665 + 0.28*AA665</f>
        <v>0.23014064278026719</v>
      </c>
      <c r="AG665">
        <f t="shared" si="30"/>
        <v>0.13004311714146755</v>
      </c>
      <c r="AH665">
        <f>IF(T665="IT_Admin", 0.25, IF(AND(T665="HR", AA665&gt;0.6), 0.25, IF(AND(T665="General", Z665&gt;0.7), 0.2, 0.1)))</f>
        <v>0.1</v>
      </c>
      <c r="AI665">
        <f>IF(V665&gt;0.7, 0.1,
 IF(F665&gt;0.5, 0.08,
 IF(E665&gt;0.5, 0.05,
 0)))</f>
        <v>0</v>
      </c>
      <c r="AJ665">
        <f t="shared" si="31"/>
        <v>0.16007237483310743</v>
      </c>
      <c r="AK665">
        <f t="shared" si="32"/>
        <v>0.17607961231641819</v>
      </c>
      <c r="AL665" t="str">
        <f>IF(MAX(X665, Y665, Z665, AA665)&gt;0.9,
 "Critical",
 IF(AK665&lt;=0.2,"Very Low",
 IF(AK665&lt;=0.4,"Low",
 IF(AK665&lt;=0.6,"Medium",
 IF(AK665&lt;=0.8,"High","Critical")))))</f>
        <v>Very Low</v>
      </c>
      <c r="AM665" t="str">
        <f>IF(MAX(X665:AA665)&gt;0.9,"CRITICAL ALERT",
 IF(AK665&gt;0.8,"CRITICAL ALERT",
 IF(AK665&gt;0.6,"ALERT",
 IF(AK665&gt;=0.4,"REVIEW","NO ACTION"))))</f>
        <v>NO ACTION</v>
      </c>
      <c r="AN665" t="str">
        <f>IF(AM665="NO ACTION","",
 IF(_xlfn.TEXTJOIN(", ", TRUE,
  IF(X665&gt;0.7,"Login anomaly",""),
  IF(Y665&gt;0.7,"File anomaly",""),
  IF(Z665&gt;0.7,"Network anomaly",""),
  IF(AA665&gt;0.7,"USB anomaly","")
 )="",
 "General anomaly detected",
 _xlfn.TEXTJOIN(", ", TRUE,
  IF(X665&gt;0.7,"Login anomaly",""),
  IF(Y665&gt;0.7,"File anomaly",""),
  IF(Z665&gt;0.7,"Network anomaly",""),
  IF(AA665&gt;0.7,"USB anomaly","")
 )))</f>
        <v/>
      </c>
    </row>
    <row r="666" spans="1:40" x14ac:dyDescent="0.3">
      <c r="A666" t="s">
        <v>689</v>
      </c>
      <c r="B666">
        <v>0.12892249527410199</v>
      </c>
      <c r="C666">
        <v>0.281165387455525</v>
      </c>
      <c r="D666">
        <v>7.5061757440099602E-2</v>
      </c>
      <c r="E666">
        <v>0</v>
      </c>
      <c r="F666">
        <v>0</v>
      </c>
      <c r="G666">
        <v>0.99367217127666696</v>
      </c>
      <c r="H666">
        <v>7</v>
      </c>
      <c r="I666">
        <v>8</v>
      </c>
      <c r="J666">
        <v>7.4901006631362996E-2</v>
      </c>
      <c r="K666">
        <v>7.34094616639478E-3</v>
      </c>
      <c r="L666">
        <v>2.4955260721999301E-2</v>
      </c>
      <c r="M666">
        <v>8.6580086580086504E-4</v>
      </c>
      <c r="N666">
        <v>6.9632378203806702E-3</v>
      </c>
      <c r="O666">
        <v>464</v>
      </c>
      <c r="P666">
        <v>5.8641975308641903E-2</v>
      </c>
      <c r="Q666">
        <v>5.8802903327606099E-2</v>
      </c>
      <c r="R666">
        <v>0</v>
      </c>
      <c r="S666">
        <v>0</v>
      </c>
      <c r="T666" t="s">
        <v>49</v>
      </c>
      <c r="U666">
        <v>3.8207547169811298E-2</v>
      </c>
      <c r="V666">
        <v>0</v>
      </c>
      <c r="W666">
        <v>0</v>
      </c>
      <c r="X666">
        <v>2.2518527232029802E-2</v>
      </c>
      <c r="Y666">
        <v>2.9546803033386498E-2</v>
      </c>
      <c r="Z666">
        <v>3.7970480313337399E-2</v>
      </c>
      <c r="AA666">
        <v>0</v>
      </c>
      <c r="AB666">
        <v>1.8430000171065331E-2</v>
      </c>
      <c r="AC666">
        <v>2.6599998818710452E-4</v>
      </c>
      <c r="AD666">
        <v>6.3000000081956387E-3</v>
      </c>
      <c r="AE666">
        <v>2.8049999382346869E-3</v>
      </c>
      <c r="AF666">
        <f>0.16*X666 + 0.28*Y666 + 0.28*Z666 + 0.28*AA666</f>
        <v>2.2507803694207462E-2</v>
      </c>
      <c r="AG666">
        <f t="shared" si="30"/>
        <v>5.5726800090633334E-3</v>
      </c>
      <c r="AH666">
        <f>IF(T666="IT_Admin", 0.25, IF(AND(T666="HR", AA666&gt;0.6), 0.25, IF(AND(T666="General", Z666&gt;0.7), 0.2, 0.1)))</f>
        <v>0.1</v>
      </c>
      <c r="AI666">
        <f>IF(V666&gt;0.7, 0.1,
 IF(F666&gt;0.5, 0.08,
 IF(E666&gt;0.5, 0.05,
 0)))</f>
        <v>0</v>
      </c>
      <c r="AJ666">
        <f t="shared" si="31"/>
        <v>1.0653217114606572E-2</v>
      </c>
      <c r="AK666">
        <f t="shared" si="32"/>
        <v>1.1718538826067231E-2</v>
      </c>
      <c r="AL666" t="str">
        <f>IF(MAX(X666, Y666, Z666, AA666)&gt;0.9,
 "Critical",
 IF(AK666&lt;=0.2,"Very Low",
 IF(AK666&lt;=0.4,"Low",
 IF(AK666&lt;=0.6,"Medium",
 IF(AK666&lt;=0.8,"High","Critical")))))</f>
        <v>Very Low</v>
      </c>
      <c r="AM666" t="str">
        <f>IF(MAX(X666:AA666)&gt;0.9,"CRITICAL ALERT",
 IF(AK666&gt;0.8,"CRITICAL ALERT",
 IF(AK666&gt;0.6,"ALERT",
 IF(AK666&gt;=0.4,"REVIEW","NO ACTION"))))</f>
        <v>NO ACTION</v>
      </c>
      <c r="AN666" t="str">
        <f>IF(AM666="NO ACTION","",
 IF(_xlfn.TEXTJOIN(", ", TRUE,
  IF(X666&gt;0.7,"Login anomaly",""),
  IF(Y666&gt;0.7,"File anomaly",""),
  IF(Z666&gt;0.7,"Network anomaly",""),
  IF(AA666&gt;0.7,"USB anomaly","")
 )="",
 "General anomaly detected",
 _xlfn.TEXTJOIN(", ", TRUE,
  IF(X666&gt;0.7,"Login anomaly",""),
  IF(Y666&gt;0.7,"File anomaly",""),
  IF(Z666&gt;0.7,"Network anomaly",""),
  IF(AA666&gt;0.7,"USB anomaly","")
 )))</f>
        <v/>
      </c>
    </row>
    <row r="667" spans="1:40" x14ac:dyDescent="0.3">
      <c r="A667" t="s">
        <v>690</v>
      </c>
      <c r="B667">
        <v>0.15463137996219201</v>
      </c>
      <c r="C667">
        <v>0.29660954640673198</v>
      </c>
      <c r="D667">
        <v>0.23384373092180499</v>
      </c>
      <c r="E667">
        <v>0</v>
      </c>
      <c r="F667">
        <v>0</v>
      </c>
      <c r="G667">
        <v>0.80513579472060903</v>
      </c>
      <c r="H667">
        <v>7</v>
      </c>
      <c r="I667">
        <v>14</v>
      </c>
      <c r="J667">
        <v>5.3909641715567003E-2</v>
      </c>
      <c r="K667">
        <v>1.1419249592169599E-2</v>
      </c>
      <c r="L667">
        <v>5.3868183937355402E-2</v>
      </c>
      <c r="M667">
        <v>2.0202020202020202E-3</v>
      </c>
      <c r="N667">
        <v>2.2546166510924202E-2</v>
      </c>
      <c r="O667">
        <v>611</v>
      </c>
      <c r="P667">
        <v>4.5524691358024602E-2</v>
      </c>
      <c r="Q667">
        <v>4.5688839019600899E-2</v>
      </c>
      <c r="R667">
        <v>0.396755162241887</v>
      </c>
      <c r="S667">
        <v>1</v>
      </c>
      <c r="T667" t="s">
        <v>49</v>
      </c>
      <c r="U667">
        <v>2.9716981132075399E-2</v>
      </c>
      <c r="V667">
        <v>0</v>
      </c>
      <c r="W667">
        <v>0</v>
      </c>
      <c r="X667">
        <v>7.0153119276541595E-2</v>
      </c>
      <c r="Y667">
        <v>4.4479870265068402E-2</v>
      </c>
      <c r="Z667">
        <v>3.6333281419184502E-2</v>
      </c>
      <c r="AA667">
        <v>0.396755162241887</v>
      </c>
      <c r="AB667">
        <v>3.7450001109391451E-3</v>
      </c>
      <c r="AC667">
        <v>1.130000018747523E-4</v>
      </c>
      <c r="AD667">
        <v>7.1820002049207687E-3</v>
      </c>
      <c r="AE667">
        <v>0.1619870066642761</v>
      </c>
      <c r="AF667">
        <f>0.16*X667 + 0.28*Y667 + 0.28*Z667 + 0.28*AA667</f>
        <v>0.14494362698356583</v>
      </c>
      <c r="AG667">
        <f t="shared" si="30"/>
        <v>4.7998161941650325E-2</v>
      </c>
      <c r="AH667">
        <f>IF(T667="IT_Admin", 0.25, IF(AND(T667="HR", AA667&gt;0.6), 0.25, IF(AND(T667="General", Z667&gt;0.7), 0.2, 0.1)))</f>
        <v>0.1</v>
      </c>
      <c r="AI667">
        <f>IF(V667&gt;0.7, 0.1,
 IF(F667&gt;0.5, 0.08,
 IF(E667&gt;0.5, 0.05,
 0)))</f>
        <v>0</v>
      </c>
      <c r="AJ667">
        <f t="shared" si="31"/>
        <v>7.7081801454224969E-2</v>
      </c>
      <c r="AK667">
        <f t="shared" si="32"/>
        <v>8.4789981599647471E-2</v>
      </c>
      <c r="AL667" t="str">
        <f>IF(MAX(X667, Y667, Z667, AA667)&gt;0.9,
 "Critical",
 IF(AK667&lt;=0.2,"Very Low",
 IF(AK667&lt;=0.4,"Low",
 IF(AK667&lt;=0.6,"Medium",
 IF(AK667&lt;=0.8,"High","Critical")))))</f>
        <v>Very Low</v>
      </c>
      <c r="AM667" t="str">
        <f>IF(MAX(X667:AA667)&gt;0.9,"CRITICAL ALERT",
 IF(AK667&gt;0.8,"CRITICAL ALERT",
 IF(AK667&gt;0.6,"ALERT",
 IF(AK667&gt;=0.4,"REVIEW","NO ACTION"))))</f>
        <v>NO ACTION</v>
      </c>
      <c r="AN667" t="str">
        <f>IF(AM667="NO ACTION","",
 IF(_xlfn.TEXTJOIN(", ", TRUE,
  IF(X667&gt;0.7,"Login anomaly",""),
  IF(Y667&gt;0.7,"File anomaly",""),
  IF(Z667&gt;0.7,"Network anomaly",""),
  IF(AA667&gt;0.7,"USB anomaly","")
 )="",
 "General anomaly detected",
 _xlfn.TEXTJOIN(", ", TRUE,
  IF(X667&gt;0.7,"Login anomaly",""),
  IF(Y667&gt;0.7,"File anomaly",""),
  IF(Z667&gt;0.7,"Network anomaly",""),
  IF(AA667&gt;0.7,"USB anomaly","")
 )))</f>
        <v/>
      </c>
    </row>
    <row r="668" spans="1:40" x14ac:dyDescent="0.3">
      <c r="A668" t="s">
        <v>691</v>
      </c>
      <c r="B668">
        <v>0.26616257088846801</v>
      </c>
      <c r="C668">
        <v>0.60805702638182502</v>
      </c>
      <c r="D668">
        <v>0.36580598040492801</v>
      </c>
      <c r="E668">
        <v>0</v>
      </c>
      <c r="F668">
        <v>0</v>
      </c>
      <c r="G668">
        <v>0.40752017360963999</v>
      </c>
      <c r="H668">
        <v>7</v>
      </c>
      <c r="I668">
        <v>16</v>
      </c>
      <c r="J668">
        <v>8.4013167310719894E-2</v>
      </c>
      <c r="K668">
        <v>1.1419249592169599E-2</v>
      </c>
      <c r="L668">
        <v>3.4620831692467997E-2</v>
      </c>
      <c r="M668">
        <v>1.44300144300144E-3</v>
      </c>
      <c r="N668">
        <v>1.0350226092015399E-2</v>
      </c>
      <c r="O668">
        <v>916</v>
      </c>
      <c r="P668">
        <v>6.7375140291806898E-2</v>
      </c>
      <c r="Q668">
        <v>6.7533924751919702E-2</v>
      </c>
      <c r="R668">
        <v>0</v>
      </c>
      <c r="S668">
        <v>0</v>
      </c>
      <c r="T668" t="s">
        <v>49</v>
      </c>
      <c r="U668">
        <v>3.9622641509433898E-2</v>
      </c>
      <c r="V668">
        <v>0</v>
      </c>
      <c r="W668">
        <v>0</v>
      </c>
      <c r="X668">
        <v>0.109741794121478</v>
      </c>
      <c r="Y668">
        <v>3.7218117135982602E-2</v>
      </c>
      <c r="Z668">
        <v>4.4565174611890301E-2</v>
      </c>
      <c r="AA668">
        <v>0</v>
      </c>
      <c r="AB668">
        <v>3.6490000784397132E-2</v>
      </c>
      <c r="AC668">
        <v>8.0999998317565769E-5</v>
      </c>
      <c r="AD668">
        <v>4.7499998472630978E-3</v>
      </c>
      <c r="AE668">
        <v>8.1420000642538071E-3</v>
      </c>
      <c r="AF668">
        <f>0.16*X668 + 0.28*Y668 + 0.28*Z668 + 0.28*AA668</f>
        <v>4.0458008748840896E-2</v>
      </c>
      <c r="AG668">
        <f t="shared" si="30"/>
        <v>9.4708401002571926E-3</v>
      </c>
      <c r="AH668">
        <f>IF(T668="IT_Admin", 0.25, IF(AND(T668="HR", AA668&gt;0.6), 0.25, IF(AND(T668="General", Z668&gt;0.7), 0.2, 0.1)))</f>
        <v>0.1</v>
      </c>
      <c r="AI668">
        <f>IF(V668&gt;0.7, 0.1,
 IF(F668&gt;0.5, 0.08,
 IF(E668&gt;0.5, 0.05,
 0)))</f>
        <v>0</v>
      </c>
      <c r="AJ668">
        <f t="shared" si="31"/>
        <v>1.87669906948323E-2</v>
      </c>
      <c r="AK668">
        <f t="shared" si="32"/>
        <v>2.0643689764315531E-2</v>
      </c>
      <c r="AL668" t="str">
        <f>IF(MAX(X668, Y668, Z668, AA668)&gt;0.9,
 "Critical",
 IF(AK668&lt;=0.2,"Very Low",
 IF(AK668&lt;=0.4,"Low",
 IF(AK668&lt;=0.6,"Medium",
 IF(AK668&lt;=0.8,"High","Critical")))))</f>
        <v>Very Low</v>
      </c>
      <c r="AM668" t="str">
        <f>IF(MAX(X668:AA668)&gt;0.9,"CRITICAL ALERT",
 IF(AK668&gt;0.8,"CRITICAL ALERT",
 IF(AK668&gt;0.6,"ALERT",
 IF(AK668&gt;=0.4,"REVIEW","NO ACTION"))))</f>
        <v>NO ACTION</v>
      </c>
      <c r="AN668" t="str">
        <f>IF(AM668="NO ACTION","",
 IF(_xlfn.TEXTJOIN(", ", TRUE,
  IF(X668&gt;0.7,"Login anomaly",""),
  IF(Y668&gt;0.7,"File anomaly",""),
  IF(Z668&gt;0.7,"Network anomaly",""),
  IF(AA668&gt;0.7,"USB anomaly","")
 )="",
 "General anomaly detected",
 _xlfn.TEXTJOIN(", ", TRUE,
  IF(X668&gt;0.7,"Login anomaly",""),
  IF(Y668&gt;0.7,"File anomaly",""),
  IF(Z668&gt;0.7,"Network anomaly",""),
  IF(AA668&gt;0.7,"USB anomaly","")
 )))</f>
        <v/>
      </c>
    </row>
    <row r="669" spans="1:40" x14ac:dyDescent="0.3">
      <c r="A669" t="s">
        <v>692</v>
      </c>
      <c r="B669">
        <v>9.8676748582230606E-2</v>
      </c>
      <c r="C669">
        <v>0.55429747812660801</v>
      </c>
      <c r="D669">
        <v>0</v>
      </c>
      <c r="E669">
        <v>0</v>
      </c>
      <c r="F669">
        <v>0</v>
      </c>
      <c r="G669">
        <v>0.99932981391920805</v>
      </c>
      <c r="H669">
        <v>9</v>
      </c>
      <c r="I669">
        <v>9</v>
      </c>
      <c r="J669">
        <v>3.94065168646534E-2</v>
      </c>
      <c r="K669">
        <v>8.9722675367047301E-3</v>
      </c>
      <c r="L669">
        <v>5.7808516112934701E-2</v>
      </c>
      <c r="M669">
        <v>3.7518037518037501E-3</v>
      </c>
      <c r="N669">
        <v>5.71890470807438E-2</v>
      </c>
      <c r="O669">
        <v>447</v>
      </c>
      <c r="P669">
        <v>3.4652076318742897E-2</v>
      </c>
      <c r="Q669">
        <v>3.4818892668045803E-2</v>
      </c>
      <c r="R669">
        <v>0</v>
      </c>
      <c r="S669">
        <v>0</v>
      </c>
      <c r="T669" t="s">
        <v>49</v>
      </c>
      <c r="U669">
        <v>1.3342318059299099E-2</v>
      </c>
      <c r="V669">
        <v>0</v>
      </c>
      <c r="W669">
        <v>0</v>
      </c>
      <c r="X669">
        <v>0</v>
      </c>
      <c r="Y669">
        <v>5.3942275553621202E-2</v>
      </c>
      <c r="Z669">
        <v>4.36668646235433E-2</v>
      </c>
      <c r="AA669">
        <v>0</v>
      </c>
      <c r="AB669">
        <v>3.3000998198986053E-2</v>
      </c>
      <c r="AC669">
        <v>6.6999997943639755E-4</v>
      </c>
      <c r="AD669">
        <v>8.5819996893405914E-3</v>
      </c>
      <c r="AE669">
        <v>2.4200000334531069E-3</v>
      </c>
      <c r="AF669">
        <f>0.16*X669 + 0.28*Y669 + 0.28*Z669 + 0.28*AA669</f>
        <v>2.7330559249606062E-2</v>
      </c>
      <c r="AG669">
        <f t="shared" si="30"/>
        <v>8.5483196284621959E-3</v>
      </c>
      <c r="AH669">
        <f>IF(T669="IT_Admin", 0.25, IF(AND(T669="HR", AA669&gt;0.6), 0.25, IF(AND(T669="General", Z669&gt;0.7), 0.2, 0.1)))</f>
        <v>0.1</v>
      </c>
      <c r="AI669">
        <f>IF(V669&gt;0.7, 0.1,
 IF(F669&gt;0.5, 0.08,
 IF(E669&gt;0.5, 0.05,
 0)))</f>
        <v>0</v>
      </c>
      <c r="AJ669">
        <f t="shared" si="31"/>
        <v>1.4182991514805355E-2</v>
      </c>
      <c r="AK669">
        <f t="shared" si="32"/>
        <v>1.5601290666285891E-2</v>
      </c>
      <c r="AL669" t="str">
        <f>IF(MAX(X669, Y669, Z669, AA669)&gt;0.9,
 "Critical",
 IF(AK669&lt;=0.2,"Very Low",
 IF(AK669&lt;=0.4,"Low",
 IF(AK669&lt;=0.6,"Medium",
 IF(AK669&lt;=0.8,"High","Critical")))))</f>
        <v>Very Low</v>
      </c>
      <c r="AM669" t="str">
        <f>IF(MAX(X669:AA669)&gt;0.9,"CRITICAL ALERT",
 IF(AK669&gt;0.8,"CRITICAL ALERT",
 IF(AK669&gt;0.6,"ALERT",
 IF(AK669&gt;=0.4,"REVIEW","NO ACTION"))))</f>
        <v>NO ACTION</v>
      </c>
      <c r="AN669" t="str">
        <f>IF(AM669="NO ACTION","",
 IF(_xlfn.TEXTJOIN(", ", TRUE,
  IF(X669&gt;0.7,"Login anomaly",""),
  IF(Y669&gt;0.7,"File anomaly",""),
  IF(Z669&gt;0.7,"Network anomaly",""),
  IF(AA669&gt;0.7,"USB anomaly","")
 )="",
 "General anomaly detected",
 _xlfn.TEXTJOIN(", ", TRUE,
  IF(X669&gt;0.7,"Login anomaly",""),
  IF(Y669&gt;0.7,"File anomaly",""),
  IF(Z669&gt;0.7,"Network anomaly",""),
  IF(AA669&gt;0.7,"USB anomaly","")
 )))</f>
        <v/>
      </c>
    </row>
    <row r="670" spans="1:40" x14ac:dyDescent="0.3">
      <c r="A670" t="s">
        <v>693</v>
      </c>
      <c r="B670">
        <v>0.12892249527410199</v>
      </c>
      <c r="C670">
        <v>0.27098987819523002</v>
      </c>
      <c r="D670">
        <v>7.4965657310309297E-2</v>
      </c>
      <c r="E670">
        <v>0</v>
      </c>
      <c r="F670">
        <v>0</v>
      </c>
      <c r="G670">
        <v>0.99366855831232503</v>
      </c>
      <c r="H670">
        <v>7</v>
      </c>
      <c r="I670">
        <v>8</v>
      </c>
      <c r="J670">
        <v>8.2057153761748006E-2</v>
      </c>
      <c r="K670">
        <v>7.34094616639478E-3</v>
      </c>
      <c r="L670">
        <v>2.2785238050521101E-2</v>
      </c>
      <c r="M670">
        <v>1.44300144300144E-3</v>
      </c>
      <c r="N670">
        <v>1.05962314657966E-2</v>
      </c>
      <c r="O670">
        <v>744</v>
      </c>
      <c r="P670">
        <v>6.4183501683501606E-2</v>
      </c>
      <c r="Q670">
        <v>6.4343069532592306E-2</v>
      </c>
      <c r="R670">
        <v>0</v>
      </c>
      <c r="S670">
        <v>0</v>
      </c>
      <c r="T670" t="s">
        <v>49</v>
      </c>
      <c r="U670">
        <v>2.54716981132075E-2</v>
      </c>
      <c r="V670">
        <v>0</v>
      </c>
      <c r="W670">
        <v>0</v>
      </c>
      <c r="X670">
        <v>2.2489697193092802E-2</v>
      </c>
      <c r="Y670">
        <v>3.0982919217349102E-2</v>
      </c>
      <c r="Z670">
        <v>4.2748593596419603E-2</v>
      </c>
      <c r="AA670">
        <v>0</v>
      </c>
      <c r="AB670">
        <v>1.8965000286698341E-2</v>
      </c>
      <c r="AC670">
        <v>2.9100000392645597E-4</v>
      </c>
      <c r="AD670">
        <v>5.4500000551342964E-3</v>
      </c>
      <c r="AE670">
        <v>2.2269999608397479E-3</v>
      </c>
      <c r="AF670">
        <f>0.16*X670 + 0.28*Y670 + 0.28*Z670 + 0.28*AA670</f>
        <v>2.4243175138750087E-2</v>
      </c>
      <c r="AG670">
        <f t="shared" si="30"/>
        <v>5.2654400514438749E-3</v>
      </c>
      <c r="AH670">
        <f>IF(T670="IT_Admin", 0.25, IF(AND(T670="HR", AA670&gt;0.6), 0.25, IF(AND(T670="General", Z670&gt;0.7), 0.2, 0.1)))</f>
        <v>0.1</v>
      </c>
      <c r="AI670">
        <f>IF(V670&gt;0.7, 0.1,
 IF(F670&gt;0.5, 0.08,
 IF(E670&gt;0.5, 0.05,
 0)))</f>
        <v>0</v>
      </c>
      <c r="AJ670">
        <f t="shared" si="31"/>
        <v>1.0958760577635738E-2</v>
      </c>
      <c r="AK670">
        <f t="shared" si="32"/>
        <v>1.2054636635399312E-2</v>
      </c>
      <c r="AL670" t="str">
        <f>IF(MAX(X670, Y670, Z670, AA670)&gt;0.9,
 "Critical",
 IF(AK670&lt;=0.2,"Very Low",
 IF(AK670&lt;=0.4,"Low",
 IF(AK670&lt;=0.6,"Medium",
 IF(AK670&lt;=0.8,"High","Critical")))))</f>
        <v>Very Low</v>
      </c>
      <c r="AM670" t="str">
        <f>IF(MAX(X670:AA670)&gt;0.9,"CRITICAL ALERT",
 IF(AK670&gt;0.8,"CRITICAL ALERT",
 IF(AK670&gt;0.6,"ALERT",
 IF(AK670&gt;=0.4,"REVIEW","NO ACTION"))))</f>
        <v>NO ACTION</v>
      </c>
      <c r="AN670" t="str">
        <f>IF(AM670="NO ACTION","",
 IF(_xlfn.TEXTJOIN(", ", TRUE,
  IF(X670&gt;0.7,"Login anomaly",""),
  IF(Y670&gt;0.7,"File anomaly",""),
  IF(Z670&gt;0.7,"Network anomaly",""),
  IF(AA670&gt;0.7,"USB anomaly","")
 )="",
 "General anomaly detected",
 _xlfn.TEXTJOIN(", ", TRUE,
  IF(X670&gt;0.7,"Login anomaly",""),
  IF(Y670&gt;0.7,"File anomaly",""),
  IF(Z670&gt;0.7,"Network anomaly",""),
  IF(AA670&gt;0.7,"USB anomaly","")
 )))</f>
        <v/>
      </c>
    </row>
    <row r="671" spans="1:40" x14ac:dyDescent="0.3">
      <c r="A671" t="s">
        <v>694</v>
      </c>
      <c r="B671">
        <v>0.12892249527410199</v>
      </c>
      <c r="C671">
        <v>0.18476582604220201</v>
      </c>
      <c r="D671">
        <v>0</v>
      </c>
      <c r="E671">
        <v>0</v>
      </c>
      <c r="F671">
        <v>0</v>
      </c>
      <c r="G671">
        <v>0.99367243890365498</v>
      </c>
      <c r="H671">
        <v>7</v>
      </c>
      <c r="I671">
        <v>7</v>
      </c>
      <c r="J671">
        <v>6.4405324173465006E-2</v>
      </c>
      <c r="K671">
        <v>9.7879282218597003E-3</v>
      </c>
      <c r="L671">
        <v>3.8676049827452902E-2</v>
      </c>
      <c r="M671">
        <v>8.6580086580086504E-4</v>
      </c>
      <c r="N671">
        <v>8.0938004185236601E-3</v>
      </c>
      <c r="O671">
        <v>672</v>
      </c>
      <c r="P671">
        <v>5.1978114478114401E-2</v>
      </c>
      <c r="Q671">
        <v>5.2140678144394902E-2</v>
      </c>
      <c r="R671">
        <v>0</v>
      </c>
      <c r="S671">
        <v>0</v>
      </c>
      <c r="T671" t="s">
        <v>49</v>
      </c>
      <c r="U671">
        <v>5.0943396226415097E-2</v>
      </c>
      <c r="V671">
        <v>0</v>
      </c>
      <c r="W671">
        <v>0</v>
      </c>
      <c r="X671">
        <v>0</v>
      </c>
      <c r="Y671">
        <v>3.4647229873976497E-2</v>
      </c>
      <c r="Z671">
        <v>3.44243888542781E-2</v>
      </c>
      <c r="AA671">
        <v>0</v>
      </c>
      <c r="AB671">
        <v>3.6662999540567398E-2</v>
      </c>
      <c r="AC671">
        <v>1.8800000543706119E-4</v>
      </c>
      <c r="AD671">
        <v>7.3520001024007797E-3</v>
      </c>
      <c r="AE671">
        <v>1.6830000095069411E-3</v>
      </c>
      <c r="AF671">
        <f>0.16*X671 + 0.28*Y671 + 0.28*Z671 + 0.28*AA671</f>
        <v>1.934005324391129E-2</v>
      </c>
      <c r="AG671">
        <f t="shared" si="30"/>
        <v>8.4485199593473236E-3</v>
      </c>
      <c r="AH671">
        <f>IF(T671="IT_Admin", 0.25, IF(AND(T671="HR", AA671&gt;0.6), 0.25, IF(AND(T671="General", Z671&gt;0.7), 0.2, 0.1)))</f>
        <v>0.1</v>
      </c>
      <c r="AI671">
        <f>IF(V671&gt;0.7, 0.1,
 IF(F671&gt;0.5, 0.08,
 IF(E671&gt;0.5, 0.05,
 0)))</f>
        <v>0</v>
      </c>
      <c r="AJ671">
        <f t="shared" si="31"/>
        <v>1.1715979944716513E-2</v>
      </c>
      <c r="AK671">
        <f t="shared" si="32"/>
        <v>1.2887577939188165E-2</v>
      </c>
      <c r="AL671" t="str">
        <f>IF(MAX(X671, Y671, Z671, AA671)&gt;0.9,
 "Critical",
 IF(AK671&lt;=0.2,"Very Low",
 IF(AK671&lt;=0.4,"Low",
 IF(AK671&lt;=0.6,"Medium",
 IF(AK671&lt;=0.8,"High","Critical")))))</f>
        <v>Very Low</v>
      </c>
      <c r="AM671" t="str">
        <f>IF(MAX(X671:AA671)&gt;0.9,"CRITICAL ALERT",
 IF(AK671&gt;0.8,"CRITICAL ALERT",
 IF(AK671&gt;0.6,"ALERT",
 IF(AK671&gt;=0.4,"REVIEW","NO ACTION"))))</f>
        <v>NO ACTION</v>
      </c>
      <c r="AN671" t="str">
        <f>IF(AM671="NO ACTION","",
 IF(_xlfn.TEXTJOIN(", ", TRUE,
  IF(X671&gt;0.7,"Login anomaly",""),
  IF(Y671&gt;0.7,"File anomaly",""),
  IF(Z671&gt;0.7,"Network anomaly",""),
  IF(AA671&gt;0.7,"USB anomaly","")
 )="",
 "General anomaly detected",
 _xlfn.TEXTJOIN(", ", TRUE,
  IF(X671&gt;0.7,"Login anomaly",""),
  IF(Y671&gt;0.7,"File anomaly",""),
  IF(Z671&gt;0.7,"Network anomaly",""),
  IF(AA671&gt;0.7,"USB anomaly","")
 )))</f>
        <v/>
      </c>
    </row>
    <row r="672" spans="1:40" x14ac:dyDescent="0.3">
      <c r="A672" t="s">
        <v>695</v>
      </c>
      <c r="B672">
        <v>0.23440453686200299</v>
      </c>
      <c r="C672">
        <v>0.59930453831637498</v>
      </c>
      <c r="D672">
        <v>0.38205052193710598</v>
      </c>
      <c r="E672">
        <v>0</v>
      </c>
      <c r="F672">
        <v>0</v>
      </c>
      <c r="G672">
        <v>0.48236445066198902</v>
      </c>
      <c r="H672">
        <v>7</v>
      </c>
      <c r="I672">
        <v>13</v>
      </c>
      <c r="J672">
        <v>8.7161872048089298E-2</v>
      </c>
      <c r="K672">
        <v>1.71288743882544E-2</v>
      </c>
      <c r="L672">
        <v>5.0060361983268402E-2</v>
      </c>
      <c r="M672">
        <v>8.6580086580086504E-4</v>
      </c>
      <c r="N672">
        <v>5.9864080606438601E-3</v>
      </c>
      <c r="O672">
        <v>593</v>
      </c>
      <c r="P672">
        <v>7.1864478114478103E-2</v>
      </c>
      <c r="Q672">
        <v>7.2022160664819895E-2</v>
      </c>
      <c r="R672">
        <v>0</v>
      </c>
      <c r="S672">
        <v>0</v>
      </c>
      <c r="T672" t="s">
        <v>49</v>
      </c>
      <c r="U672">
        <v>8.9150943396226395E-2</v>
      </c>
      <c r="V672">
        <v>0</v>
      </c>
      <c r="W672">
        <v>0</v>
      </c>
      <c r="X672">
        <v>0.114615156581132</v>
      </c>
      <c r="Y672">
        <v>4.4258477819445197E-2</v>
      </c>
      <c r="Z672">
        <v>4.55132500929444E-2</v>
      </c>
      <c r="AA672">
        <v>0</v>
      </c>
      <c r="AB672">
        <v>2.010799944400787E-2</v>
      </c>
      <c r="AC672">
        <v>9.6099998336285353E-4</v>
      </c>
      <c r="AD672">
        <v>4.3669999577105054E-3</v>
      </c>
      <c r="AE672">
        <v>7.2320001199841499E-3</v>
      </c>
      <c r="AF672">
        <f>0.16*X672 + 0.28*Y672 + 0.28*Z672 + 0.28*AA672</f>
        <v>4.347450886845021E-2</v>
      </c>
      <c r="AG672">
        <f t="shared" si="30"/>
        <v>6.7340799281373617E-3</v>
      </c>
      <c r="AH672">
        <f>IF(T672="IT_Admin", 0.25, IF(AND(T672="HR", AA672&gt;0.6), 0.25, IF(AND(T672="General", Z672&gt;0.7), 0.2, 0.1)))</f>
        <v>0.1</v>
      </c>
      <c r="AI672">
        <f>IF(V672&gt;0.7, 0.1,
 IF(F672&gt;0.5, 0.08,
 IF(E672&gt;0.5, 0.05,
 0)))</f>
        <v>0</v>
      </c>
      <c r="AJ672">
        <f t="shared" si="31"/>
        <v>1.7756208610231215E-2</v>
      </c>
      <c r="AK672">
        <f t="shared" si="32"/>
        <v>1.9531829471254338E-2</v>
      </c>
      <c r="AL672" t="str">
        <f>IF(MAX(X672, Y672, Z672, AA672)&gt;0.9,
 "Critical",
 IF(AK672&lt;=0.2,"Very Low",
 IF(AK672&lt;=0.4,"Low",
 IF(AK672&lt;=0.6,"Medium",
 IF(AK672&lt;=0.8,"High","Critical")))))</f>
        <v>Very Low</v>
      </c>
      <c r="AM672" t="str">
        <f>IF(MAX(X672:AA672)&gt;0.9,"CRITICAL ALERT",
 IF(AK672&gt;0.8,"CRITICAL ALERT",
 IF(AK672&gt;0.6,"ALERT",
 IF(AK672&gt;=0.4,"REVIEW","NO ACTION"))))</f>
        <v>NO ACTION</v>
      </c>
      <c r="AN672" t="str">
        <f>IF(AM672="NO ACTION","",
 IF(_xlfn.TEXTJOIN(", ", TRUE,
  IF(X672&gt;0.7,"Login anomaly",""),
  IF(Y672&gt;0.7,"File anomaly",""),
  IF(Z672&gt;0.7,"Network anomaly",""),
  IF(AA672&gt;0.7,"USB anomaly","")
 )="",
 "General anomaly detected",
 _xlfn.TEXTJOIN(", ", TRUE,
  IF(X672&gt;0.7,"Login anomaly",""),
  IF(Y672&gt;0.7,"File anomaly",""),
  IF(Z672&gt;0.7,"Network anomaly",""),
  IF(AA672&gt;0.7,"USB anomaly","")
 )))</f>
        <v/>
      </c>
    </row>
    <row r="673" spans="1:40" x14ac:dyDescent="0.3">
      <c r="A673" t="s">
        <v>696</v>
      </c>
      <c r="B673">
        <v>0.23591682419659701</v>
      </c>
      <c r="C673">
        <v>0.66580424256927495</v>
      </c>
      <c r="D673">
        <v>0.364709397367104</v>
      </c>
      <c r="E673">
        <v>0</v>
      </c>
      <c r="F673">
        <v>0</v>
      </c>
      <c r="G673">
        <v>0.47833519695732302</v>
      </c>
      <c r="H673">
        <v>7</v>
      </c>
      <c r="I673">
        <v>14</v>
      </c>
      <c r="J673">
        <v>7.0273364820380699E-2</v>
      </c>
      <c r="K673">
        <v>8.1566068515497494E-3</v>
      </c>
      <c r="L673">
        <v>2.9547839149863898E-2</v>
      </c>
      <c r="M673">
        <v>2.88600288600288E-4</v>
      </c>
      <c r="N673">
        <v>2.4734099158997599E-3</v>
      </c>
      <c r="O673">
        <v>759</v>
      </c>
      <c r="P673">
        <v>5.53100448933782E-2</v>
      </c>
      <c r="Q673">
        <v>5.5471790736000497E-2</v>
      </c>
      <c r="R673">
        <v>0</v>
      </c>
      <c r="S673">
        <v>0</v>
      </c>
      <c r="T673" t="s">
        <v>49</v>
      </c>
      <c r="U673">
        <v>8.4905660377358402E-2</v>
      </c>
      <c r="V673">
        <v>0</v>
      </c>
      <c r="W673">
        <v>0</v>
      </c>
      <c r="X673">
        <v>0.109412819210131</v>
      </c>
      <c r="Y673">
        <v>2.9570615513778001E-2</v>
      </c>
      <c r="Z673">
        <v>3.4175390902386797E-2</v>
      </c>
      <c r="AA673">
        <v>0</v>
      </c>
      <c r="AB673">
        <v>2.486800029873848E-2</v>
      </c>
      <c r="AC673">
        <v>9.8300003446638584E-4</v>
      </c>
      <c r="AD673">
        <v>6.7170001566410056E-3</v>
      </c>
      <c r="AE673">
        <v>6.9900001399219036E-3</v>
      </c>
      <c r="AF673">
        <f>0.16*X673 + 0.28*Y673 + 0.28*Z673 + 0.28*AA673</f>
        <v>3.5354932870147106E-2</v>
      </c>
      <c r="AG673">
        <f t="shared" si="30"/>
        <v>8.0920801404863602E-3</v>
      </c>
      <c r="AH673">
        <f>IF(T673="IT_Admin", 0.25, IF(AND(T673="HR", AA673&gt;0.6), 0.25, IF(AND(T673="General", Z673&gt;0.7), 0.2, 0.1)))</f>
        <v>0.1</v>
      </c>
      <c r="AI673">
        <f>IF(V673&gt;0.7, 0.1,
 IF(F673&gt;0.5, 0.08,
 IF(E673&gt;0.5, 0.05,
 0)))</f>
        <v>0</v>
      </c>
      <c r="AJ673">
        <f t="shared" si="31"/>
        <v>1.6270935959384586E-2</v>
      </c>
      <c r="AK673">
        <f t="shared" si="32"/>
        <v>1.7898029555323047E-2</v>
      </c>
      <c r="AL673" t="str">
        <f>IF(MAX(X673, Y673, Z673, AA673)&gt;0.9,
 "Critical",
 IF(AK673&lt;=0.2,"Very Low",
 IF(AK673&lt;=0.4,"Low",
 IF(AK673&lt;=0.6,"Medium",
 IF(AK673&lt;=0.8,"High","Critical")))))</f>
        <v>Very Low</v>
      </c>
      <c r="AM673" t="str">
        <f>IF(MAX(X673:AA673)&gt;0.9,"CRITICAL ALERT",
 IF(AK673&gt;0.8,"CRITICAL ALERT",
 IF(AK673&gt;0.6,"ALERT",
 IF(AK673&gt;=0.4,"REVIEW","NO ACTION"))))</f>
        <v>NO ACTION</v>
      </c>
      <c r="AN673" t="str">
        <f>IF(AM673="NO ACTION","",
 IF(_xlfn.TEXTJOIN(", ", TRUE,
  IF(X673&gt;0.7,"Login anomaly",""),
  IF(Y673&gt;0.7,"File anomaly",""),
  IF(Z673&gt;0.7,"Network anomaly",""),
  IF(AA673&gt;0.7,"USB anomaly","")
 )="",
 "General anomaly detected",
 _xlfn.TEXTJOIN(", ", TRUE,
  IF(X673&gt;0.7,"Login anomaly",""),
  IF(Y673&gt;0.7,"File anomaly",""),
  IF(Z673&gt;0.7,"Network anomaly",""),
  IF(AA673&gt;0.7,"USB anomaly","")
 )))</f>
        <v/>
      </c>
    </row>
    <row r="674" spans="1:40" x14ac:dyDescent="0.3">
      <c r="A674" t="s">
        <v>697</v>
      </c>
      <c r="B674">
        <v>0.12892249527410199</v>
      </c>
      <c r="C674">
        <v>0.18476582604220201</v>
      </c>
      <c r="D674">
        <v>0</v>
      </c>
      <c r="E674">
        <v>0</v>
      </c>
      <c r="F674">
        <v>0</v>
      </c>
      <c r="G674">
        <v>0.99368220728872803</v>
      </c>
      <c r="H674">
        <v>7</v>
      </c>
      <c r="I674">
        <v>7</v>
      </c>
      <c r="J674">
        <v>7.6570774295119506E-2</v>
      </c>
      <c r="K674">
        <v>1.2234910277324601E-2</v>
      </c>
      <c r="L674">
        <v>4.0687925090216299E-2</v>
      </c>
      <c r="M674">
        <v>3.1746031746031698E-3</v>
      </c>
      <c r="N674">
        <v>2.4976831312235E-2</v>
      </c>
      <c r="O674">
        <v>732</v>
      </c>
      <c r="P674">
        <v>6.3096240179573507E-2</v>
      </c>
      <c r="Q674">
        <v>6.3256074897436801E-2</v>
      </c>
      <c r="R674">
        <v>0</v>
      </c>
      <c r="S674">
        <v>0</v>
      </c>
      <c r="T674" t="s">
        <v>49</v>
      </c>
      <c r="U674">
        <v>2.1226415094339601E-2</v>
      </c>
      <c r="V674">
        <v>0</v>
      </c>
      <c r="W674">
        <v>0</v>
      </c>
      <c r="X674">
        <v>0</v>
      </c>
      <c r="Y674">
        <v>4.31511667978026E-2</v>
      </c>
      <c r="Z674">
        <v>4.7848476632638103E-2</v>
      </c>
      <c r="AA674">
        <v>0</v>
      </c>
      <c r="AB674">
        <v>3.669000044465065E-2</v>
      </c>
      <c r="AC674">
        <v>9.6999996458180249E-5</v>
      </c>
      <c r="AD674">
        <v>5.2459998987615108E-3</v>
      </c>
      <c r="AE674">
        <v>1.770999981090426E-3</v>
      </c>
      <c r="AF674">
        <f>0.16*X674 + 0.28*Y674 + 0.28*Z674 + 0.28*AA674</f>
        <v>2.54799001605234E-2</v>
      </c>
      <c r="AG674">
        <f t="shared" si="30"/>
        <v>7.8623200365109374E-3</v>
      </c>
      <c r="AH674">
        <f>IF(T674="IT_Admin", 0.25, IF(AND(T674="HR", AA674&gt;0.6), 0.25, IF(AND(T674="General", Z674&gt;0.7), 0.2, 0.1)))</f>
        <v>0.1</v>
      </c>
      <c r="AI674">
        <f>IF(V674&gt;0.7, 0.1,
 IF(F674&gt;0.5, 0.08,
 IF(E674&gt;0.5, 0.05,
 0)))</f>
        <v>0</v>
      </c>
      <c r="AJ674">
        <f t="shared" si="31"/>
        <v>1.3147594073714675E-2</v>
      </c>
      <c r="AK674">
        <f t="shared" si="32"/>
        <v>1.4462353481086144E-2</v>
      </c>
      <c r="AL674" t="str">
        <f>IF(MAX(X674, Y674, Z674, AA674)&gt;0.9,
 "Critical",
 IF(AK674&lt;=0.2,"Very Low",
 IF(AK674&lt;=0.4,"Low",
 IF(AK674&lt;=0.6,"Medium",
 IF(AK674&lt;=0.8,"High","Critical")))))</f>
        <v>Very Low</v>
      </c>
      <c r="AM674" t="str">
        <f>IF(MAX(X674:AA674)&gt;0.9,"CRITICAL ALERT",
 IF(AK674&gt;0.8,"CRITICAL ALERT",
 IF(AK674&gt;0.6,"ALERT",
 IF(AK674&gt;=0.4,"REVIEW","NO ACTION"))))</f>
        <v>NO ACTION</v>
      </c>
      <c r="AN674" t="str">
        <f>IF(AM674="NO ACTION","",
 IF(_xlfn.TEXTJOIN(", ", TRUE,
  IF(X674&gt;0.7,"Login anomaly",""),
  IF(Y674&gt;0.7,"File anomaly",""),
  IF(Z674&gt;0.7,"Network anomaly",""),
  IF(AA674&gt;0.7,"USB anomaly","")
 )="",
 "General anomaly detected",
 _xlfn.TEXTJOIN(", ", TRUE,
  IF(X674&gt;0.7,"Login anomaly",""),
  IF(Y674&gt;0.7,"File anomaly",""),
  IF(Z674&gt;0.7,"Network anomaly",""),
  IF(AA674&gt;0.7,"USB anomaly","")
 )))</f>
        <v/>
      </c>
    </row>
    <row r="675" spans="1:40" x14ac:dyDescent="0.3">
      <c r="A675" t="s">
        <v>698</v>
      </c>
      <c r="B675">
        <v>9.0359168241965895E-2</v>
      </c>
      <c r="C675">
        <v>0.78544484897775801</v>
      </c>
      <c r="D675">
        <v>0.35670975615648098</v>
      </c>
      <c r="E675">
        <v>0</v>
      </c>
      <c r="F675">
        <v>0</v>
      </c>
      <c r="G675">
        <v>0.368142864133225</v>
      </c>
      <c r="H675">
        <v>8</v>
      </c>
      <c r="I675">
        <v>15</v>
      </c>
      <c r="J675">
        <v>8.9213300892132998E-3</v>
      </c>
      <c r="K675">
        <v>1.6313213703099501E-3</v>
      </c>
      <c r="L675">
        <v>4.5491360691144699E-2</v>
      </c>
      <c r="M675">
        <v>2.88600288600288E-4</v>
      </c>
      <c r="N675">
        <v>1.9040103415103399E-2</v>
      </c>
      <c r="O675">
        <v>132</v>
      </c>
      <c r="P675">
        <v>7.4003928170594804E-3</v>
      </c>
      <c r="Q675">
        <v>7.5738981030190403E-3</v>
      </c>
      <c r="R675">
        <v>0</v>
      </c>
      <c r="S675">
        <v>0</v>
      </c>
      <c r="T675" t="s">
        <v>49</v>
      </c>
      <c r="U675">
        <v>1.6981132075471601E-2</v>
      </c>
      <c r="V675">
        <v>0</v>
      </c>
      <c r="W675">
        <v>0</v>
      </c>
      <c r="X675">
        <v>0.107012926846944</v>
      </c>
      <c r="Y675">
        <v>3.0241977387946001E-2</v>
      </c>
      <c r="Z675">
        <v>1.2056277056276999E-2</v>
      </c>
      <c r="AA675">
        <v>0</v>
      </c>
      <c r="AB675">
        <v>5.5378999561071403E-2</v>
      </c>
      <c r="AC675">
        <v>3.9199998718686402E-4</v>
      </c>
      <c r="AD675">
        <v>1.4906999655067921E-2</v>
      </c>
      <c r="AE675">
        <v>7.5369998812675476E-3</v>
      </c>
      <c r="AF675">
        <f>0.16*X675 + 0.28*Y675 + 0.28*Z675 + 0.28*AA675</f>
        <v>2.8965579539893482E-2</v>
      </c>
      <c r="AG675">
        <f t="shared" si="30"/>
        <v>1.5254719796357678E-2</v>
      </c>
      <c r="AH675">
        <f>IF(T675="IT_Admin", 0.25, IF(AND(T675="HR", AA675&gt;0.6), 0.25, IF(AND(T675="General", Z675&gt;0.7), 0.2, 0.1)))</f>
        <v>0.1</v>
      </c>
      <c r="AI675">
        <f>IF(V675&gt;0.7, 0.1,
 IF(F675&gt;0.5, 0.08,
 IF(E675&gt;0.5, 0.05,
 0)))</f>
        <v>0</v>
      </c>
      <c r="AJ675">
        <f t="shared" si="31"/>
        <v>1.9367977719418415E-2</v>
      </c>
      <c r="AK675">
        <f t="shared" si="32"/>
        <v>2.130477549136026E-2</v>
      </c>
      <c r="AL675" t="str">
        <f>IF(MAX(X675, Y675, Z675, AA675)&gt;0.9,
 "Critical",
 IF(AK675&lt;=0.2,"Very Low",
 IF(AK675&lt;=0.4,"Low",
 IF(AK675&lt;=0.6,"Medium",
 IF(AK675&lt;=0.8,"High","Critical")))))</f>
        <v>Very Low</v>
      </c>
      <c r="AM675" t="str">
        <f>IF(MAX(X675:AA675)&gt;0.9,"CRITICAL ALERT",
 IF(AK675&gt;0.8,"CRITICAL ALERT",
 IF(AK675&gt;0.6,"ALERT",
 IF(AK675&gt;=0.4,"REVIEW","NO ACTION"))))</f>
        <v>NO ACTION</v>
      </c>
      <c r="AN675" t="str">
        <f>IF(AM675="NO ACTION","",
 IF(_xlfn.TEXTJOIN(", ", TRUE,
  IF(X675&gt;0.7,"Login anomaly",""),
  IF(Y675&gt;0.7,"File anomaly",""),
  IF(Z675&gt;0.7,"Network anomaly",""),
  IF(AA675&gt;0.7,"USB anomaly","")
 )="",
 "General anomaly detected",
 _xlfn.TEXTJOIN(", ", TRUE,
  IF(X675&gt;0.7,"Login anomaly",""),
  IF(Y675&gt;0.7,"File anomaly",""),
  IF(Z675&gt;0.7,"Network anomaly",""),
  IF(AA675&gt;0.7,"USB anomaly","")
 )))</f>
        <v/>
      </c>
    </row>
    <row r="676" spans="1:40" x14ac:dyDescent="0.3">
      <c r="A676" t="s">
        <v>699</v>
      </c>
      <c r="B676">
        <v>0.25406427221172001</v>
      </c>
      <c r="C676">
        <v>0.62235471286700506</v>
      </c>
      <c r="D676">
        <v>0.47108076287353401</v>
      </c>
      <c r="E676">
        <v>6.7389875082182693E-2</v>
      </c>
      <c r="F676">
        <v>3.4023668639053199E-2</v>
      </c>
      <c r="G676">
        <v>0.433818918201126</v>
      </c>
      <c r="H676">
        <v>0</v>
      </c>
      <c r="I676">
        <v>23</v>
      </c>
      <c r="J676">
        <v>7.7524927245837497E-2</v>
      </c>
      <c r="K676">
        <v>8.9722675367047301E-3</v>
      </c>
      <c r="L676">
        <v>2.94717036134041E-2</v>
      </c>
      <c r="M676">
        <v>2.88600288600288E-4</v>
      </c>
      <c r="N676">
        <v>2.24276064766862E-3</v>
      </c>
      <c r="O676">
        <v>714</v>
      </c>
      <c r="P676">
        <v>6.0991863075196398E-2</v>
      </c>
      <c r="Q676">
        <v>6.1152214313264799E-2</v>
      </c>
      <c r="R676">
        <v>5.1622418879055998E-2</v>
      </c>
      <c r="S676">
        <v>1</v>
      </c>
      <c r="T676" t="s">
        <v>49</v>
      </c>
      <c r="U676">
        <v>9.3396226415094305E-2</v>
      </c>
      <c r="V676">
        <v>0</v>
      </c>
      <c r="W676">
        <v>3.27228188258641E-2</v>
      </c>
      <c r="X676">
        <v>0.17515065884233599</v>
      </c>
      <c r="Y676">
        <v>3.0913665450170099E-2</v>
      </c>
      <c r="Z676">
        <v>3.7492222104185298E-2</v>
      </c>
      <c r="AA676">
        <v>5.1622418879055998E-2</v>
      </c>
      <c r="AB676">
        <v>0.14331300556659701</v>
      </c>
      <c r="AC676">
        <v>1.239000004716218E-3</v>
      </c>
      <c r="AD676">
        <v>5.3449999541044244E-3</v>
      </c>
      <c r="AE676">
        <v>6.1822999268770218E-2</v>
      </c>
      <c r="AF676">
        <f>0.16*X676 + 0.28*Y676 + 0.28*Z676 + 0.28*AA676</f>
        <v>6.1632031216128952E-2</v>
      </c>
      <c r="AG676">
        <f t="shared" si="30"/>
        <v>4.2084040674380971E-2</v>
      </c>
      <c r="AH676">
        <f>IF(T676="IT_Admin", 0.25, IF(AND(T676="HR", AA676&gt;0.6), 0.25, IF(AND(T676="General", Z676&gt;0.7), 0.2, 0.1)))</f>
        <v>0.1</v>
      </c>
      <c r="AI676">
        <f>IF(V676&gt;0.7, 0.1,
 IF(F676&gt;0.5, 0.08,
 IF(E676&gt;0.5, 0.05,
 0)))</f>
        <v>0</v>
      </c>
      <c r="AJ676">
        <f t="shared" si="31"/>
        <v>4.7948437836905361E-2</v>
      </c>
      <c r="AK676">
        <f t="shared" si="32"/>
        <v>5.2743281620595904E-2</v>
      </c>
      <c r="AL676" t="str">
        <f>IF(MAX(X676, Y676, Z676, AA676)&gt;0.9,
 "Critical",
 IF(AK676&lt;=0.2,"Very Low",
 IF(AK676&lt;=0.4,"Low",
 IF(AK676&lt;=0.6,"Medium",
 IF(AK676&lt;=0.8,"High","Critical")))))</f>
        <v>Very Low</v>
      </c>
      <c r="AM676" t="str">
        <f>IF(MAX(X676:AA676)&gt;0.9,"CRITICAL ALERT",
 IF(AK676&gt;0.8,"CRITICAL ALERT",
 IF(AK676&gt;0.6,"ALERT",
 IF(AK676&gt;=0.4,"REVIEW","NO ACTION"))))</f>
        <v>NO ACTION</v>
      </c>
      <c r="AN676" t="str">
        <f>IF(AM676="NO ACTION","",
 IF(_xlfn.TEXTJOIN(", ", TRUE,
  IF(X676&gt;0.7,"Login anomaly",""),
  IF(Y676&gt;0.7,"File anomaly",""),
  IF(Z676&gt;0.7,"Network anomaly",""),
  IF(AA676&gt;0.7,"USB anomaly","")
 )="",
 "General anomaly detected",
 _xlfn.TEXTJOIN(", ", TRUE,
  IF(X676&gt;0.7,"Login anomaly",""),
  IF(Y676&gt;0.7,"File anomaly",""),
  IF(Z676&gt;0.7,"Network anomaly",""),
  IF(AA676&gt;0.7,"USB anomaly","")
 )))</f>
        <v/>
      </c>
    </row>
    <row r="677" spans="1:40" x14ac:dyDescent="0.3">
      <c r="A677" t="s">
        <v>700</v>
      </c>
      <c r="B677">
        <v>0.164461247637051</v>
      </c>
      <c r="C677">
        <v>0.61953370372237404</v>
      </c>
      <c r="D677">
        <v>0.50677515221521696</v>
      </c>
      <c r="E677">
        <v>0.72639838015692204</v>
      </c>
      <c r="F677">
        <v>0.123006833712984</v>
      </c>
      <c r="G677">
        <v>0.74852560851983796</v>
      </c>
      <c r="H677">
        <v>0</v>
      </c>
      <c r="I677">
        <v>23</v>
      </c>
      <c r="J677">
        <v>9.5176756834120496E-2</v>
      </c>
      <c r="K677">
        <v>1.0603588907014599E-2</v>
      </c>
      <c r="L677">
        <v>2.8386609071274198E-2</v>
      </c>
      <c r="M677">
        <v>1.7316017316017301E-3</v>
      </c>
      <c r="N677">
        <v>1.09670995670995E-2</v>
      </c>
      <c r="O677">
        <v>957</v>
      </c>
      <c r="P677">
        <v>7.53717732884399E-2</v>
      </c>
      <c r="Q677">
        <v>7.5528594971773194E-2</v>
      </c>
      <c r="R677">
        <v>0.37610619469026502</v>
      </c>
      <c r="S677">
        <v>1</v>
      </c>
      <c r="T677" t="s">
        <v>49</v>
      </c>
      <c r="U677">
        <v>3.15363881401617E-2</v>
      </c>
      <c r="V677">
        <v>0</v>
      </c>
      <c r="W677">
        <v>0.113948098736374</v>
      </c>
      <c r="X677">
        <v>0.41915479319683502</v>
      </c>
      <c r="Y677">
        <v>3.65187857725911E-2</v>
      </c>
      <c r="Z677">
        <v>4.96099037999038E-2</v>
      </c>
      <c r="AA677">
        <v>0.37610619469026502</v>
      </c>
      <c r="AB677">
        <v>0.48684900999069208</v>
      </c>
      <c r="AC677">
        <v>1.230000052601099E-4</v>
      </c>
      <c r="AD677">
        <v>3.0700000934302811E-3</v>
      </c>
      <c r="AE677">
        <v>0.1259140074253082</v>
      </c>
      <c r="AF677">
        <f>0.16*X677 + 0.28*Y677 + 0.28*Z677 + 0.28*AA677</f>
        <v>0.1964905345050664</v>
      </c>
      <c r="AG677">
        <f t="shared" si="30"/>
        <v>0.11404580370523035</v>
      </c>
      <c r="AH677">
        <f>IF(T677="IT_Admin", 0.25, IF(AND(T677="HR", AA677&gt;0.6), 0.25, IF(AND(T677="General", Z677&gt;0.7), 0.2, 0.1)))</f>
        <v>0.1</v>
      </c>
      <c r="AI677">
        <f>IF(V677&gt;0.7, 0.1,
 IF(F677&gt;0.5, 0.08,
 IF(E677&gt;0.5, 0.05,
 0)))</f>
        <v>0.05</v>
      </c>
      <c r="AJ677">
        <f t="shared" si="31"/>
        <v>0.13877922294518116</v>
      </c>
      <c r="AK677">
        <f t="shared" si="32"/>
        <v>0.15959610638695837</v>
      </c>
      <c r="AL677" t="str">
        <f>IF(MAX(X677, Y677, Z677, AA677)&gt;0.9,
 "Critical",
 IF(AK677&lt;=0.2,"Very Low",
 IF(AK677&lt;=0.4,"Low",
 IF(AK677&lt;=0.6,"Medium",
 IF(AK677&lt;=0.8,"High","Critical")))))</f>
        <v>Very Low</v>
      </c>
      <c r="AM677" t="str">
        <f>IF(MAX(X677:AA677)&gt;0.9,"CRITICAL ALERT",
 IF(AK677&gt;0.8,"CRITICAL ALERT",
 IF(AK677&gt;0.6,"ALERT",
 IF(AK677&gt;=0.4,"REVIEW","NO ACTION"))))</f>
        <v>NO ACTION</v>
      </c>
      <c r="AN677" t="str">
        <f>IF(AM677="NO ACTION","",
 IF(_xlfn.TEXTJOIN(", ", TRUE,
  IF(X677&gt;0.7,"Login anomaly",""),
  IF(Y677&gt;0.7,"File anomaly",""),
  IF(Z677&gt;0.7,"Network anomaly",""),
  IF(AA677&gt;0.7,"USB anomaly","")
 )="",
 "General anomaly detected",
 _xlfn.TEXTJOIN(", ", TRUE,
  IF(X677&gt;0.7,"Login anomaly",""),
  IF(Y677&gt;0.7,"File anomaly",""),
  IF(Z677&gt;0.7,"Network anomaly",""),
  IF(AA677&gt;0.7,"USB anomaly","")
 )))</f>
        <v/>
      </c>
    </row>
    <row r="678" spans="1:40" x14ac:dyDescent="0.3">
      <c r="A678" t="s">
        <v>701</v>
      </c>
      <c r="B678">
        <v>0.12892249527410199</v>
      </c>
      <c r="C678">
        <v>0.28598536552619103</v>
      </c>
      <c r="D678">
        <v>7.4788307505895393E-2</v>
      </c>
      <c r="E678">
        <v>0</v>
      </c>
      <c r="F678">
        <v>0</v>
      </c>
      <c r="G678">
        <v>0.99366767514326304</v>
      </c>
      <c r="H678">
        <v>7</v>
      </c>
      <c r="I678">
        <v>8</v>
      </c>
      <c r="J678">
        <v>8.7448117933304703E-2</v>
      </c>
      <c r="K678">
        <v>1.9575856443719401E-2</v>
      </c>
      <c r="L678">
        <v>5.7025078907724298E-2</v>
      </c>
      <c r="M678">
        <v>2.0202020202020202E-3</v>
      </c>
      <c r="N678">
        <v>1.39226871544608E-2</v>
      </c>
      <c r="O678">
        <v>981</v>
      </c>
      <c r="P678">
        <v>7.3688271604938196E-2</v>
      </c>
      <c r="Q678">
        <v>7.3845506504435596E-2</v>
      </c>
      <c r="R678">
        <v>0</v>
      </c>
      <c r="S678">
        <v>0</v>
      </c>
      <c r="T678" t="s">
        <v>49</v>
      </c>
      <c r="U678">
        <v>5.0943396226415097E-2</v>
      </c>
      <c r="V678">
        <v>0</v>
      </c>
      <c r="W678">
        <v>0</v>
      </c>
      <c r="X678">
        <v>2.2436492251768601E-2</v>
      </c>
      <c r="Y678">
        <v>5.0178969186861301E-2</v>
      </c>
      <c r="Z678">
        <v>4.9782037824747299E-2</v>
      </c>
      <c r="AA678">
        <v>0</v>
      </c>
      <c r="AB678">
        <v>1.7820000648498539E-2</v>
      </c>
      <c r="AC678">
        <v>1.329999940935522E-4</v>
      </c>
      <c r="AD678">
        <v>4.2039998807013026E-3</v>
      </c>
      <c r="AE678">
        <v>1.856000046245754E-3</v>
      </c>
      <c r="AF678">
        <f>0.16*X678 + 0.28*Y678 + 0.28*Z678 + 0.28*AA678</f>
        <v>3.1578920723533382E-2</v>
      </c>
      <c r="AG678">
        <f t="shared" si="30"/>
        <v>4.5852400816511372E-3</v>
      </c>
      <c r="AH678">
        <f>IF(T678="IT_Admin", 0.25, IF(AND(T678="HR", AA678&gt;0.6), 0.25, IF(AND(T678="General", Z678&gt;0.7), 0.2, 0.1)))</f>
        <v>0.1</v>
      </c>
      <c r="AI678">
        <f>IF(V678&gt;0.7, 0.1,
 IF(F678&gt;0.5, 0.08,
 IF(E678&gt;0.5, 0.05,
 0)))</f>
        <v>0</v>
      </c>
      <c r="AJ678">
        <f t="shared" si="31"/>
        <v>1.2683344274215811E-2</v>
      </c>
      <c r="AK678">
        <f t="shared" si="32"/>
        <v>1.3951678701637393E-2</v>
      </c>
      <c r="AL678" t="str">
        <f>IF(MAX(X678, Y678, Z678, AA678)&gt;0.9,
 "Critical",
 IF(AK678&lt;=0.2,"Very Low",
 IF(AK678&lt;=0.4,"Low",
 IF(AK678&lt;=0.6,"Medium",
 IF(AK678&lt;=0.8,"High","Critical")))))</f>
        <v>Very Low</v>
      </c>
      <c r="AM678" t="str">
        <f>IF(MAX(X678:AA678)&gt;0.9,"CRITICAL ALERT",
 IF(AK678&gt;0.8,"CRITICAL ALERT",
 IF(AK678&gt;0.6,"ALERT",
 IF(AK678&gt;=0.4,"REVIEW","NO ACTION"))))</f>
        <v>NO ACTION</v>
      </c>
      <c r="AN678" t="str">
        <f>IF(AM678="NO ACTION","",
 IF(_xlfn.TEXTJOIN(", ", TRUE,
  IF(X678&gt;0.7,"Login anomaly",""),
  IF(Y678&gt;0.7,"File anomaly",""),
  IF(Z678&gt;0.7,"Network anomaly",""),
  IF(AA678&gt;0.7,"USB anomaly","")
 )="",
 "General anomaly detected",
 _xlfn.TEXTJOIN(", ", TRUE,
  IF(X678&gt;0.7,"Login anomaly",""),
  IF(Y678&gt;0.7,"File anomaly",""),
  IF(Z678&gt;0.7,"Network anomaly",""),
  IF(AA678&gt;0.7,"USB anomaly","")
 )))</f>
        <v/>
      </c>
    </row>
    <row r="679" spans="1:40" x14ac:dyDescent="0.3">
      <c r="A679" t="s">
        <v>702</v>
      </c>
      <c r="B679">
        <v>0.12892249527410199</v>
      </c>
      <c r="C679">
        <v>0.27955872809863702</v>
      </c>
      <c r="D679">
        <v>7.5107235637207503E-2</v>
      </c>
      <c r="E679">
        <v>0</v>
      </c>
      <c r="F679">
        <v>0</v>
      </c>
      <c r="G679">
        <v>0.99368397362685101</v>
      </c>
      <c r="H679">
        <v>7</v>
      </c>
      <c r="I679">
        <v>8</v>
      </c>
      <c r="J679">
        <v>8.8211440293879104E-2</v>
      </c>
      <c r="K679">
        <v>1.1419249592169599E-2</v>
      </c>
      <c r="L679">
        <v>3.2977555970279598E-2</v>
      </c>
      <c r="M679">
        <v>3.4632034632034602E-3</v>
      </c>
      <c r="N679">
        <v>2.3661487739157602E-2</v>
      </c>
      <c r="O679">
        <v>783</v>
      </c>
      <c r="P679">
        <v>7.1443602693602698E-2</v>
      </c>
      <c r="Q679">
        <v>7.1601388547985506E-2</v>
      </c>
      <c r="R679">
        <v>0</v>
      </c>
      <c r="S679">
        <v>0</v>
      </c>
      <c r="T679" t="s">
        <v>49</v>
      </c>
      <c r="U679">
        <v>1.82873730043541E-2</v>
      </c>
      <c r="V679">
        <v>0</v>
      </c>
      <c r="W679">
        <v>0</v>
      </c>
      <c r="X679">
        <v>2.2532170691162201E-2</v>
      </c>
      <c r="Y679">
        <v>4.1229512365662899E-2</v>
      </c>
      <c r="Z679">
        <v>5.2330756711824598E-2</v>
      </c>
      <c r="AA679">
        <v>0</v>
      </c>
      <c r="AB679">
        <v>1.8423000350594521E-2</v>
      </c>
      <c r="AC679">
        <v>1.530000008642673E-4</v>
      </c>
      <c r="AD679">
        <v>4.1820001788437366E-3</v>
      </c>
      <c r="AE679">
        <v>2.4359999224543571E-3</v>
      </c>
      <c r="AF679">
        <f>0.16*X679 + 0.28*Y679 + 0.28*Z679 + 0.28*AA679</f>
        <v>2.9802022652282455E-2</v>
      </c>
      <c r="AG679">
        <f t="shared" si="30"/>
        <v>4.8435600847005844E-3</v>
      </c>
      <c r="AH679">
        <f>IF(T679="IT_Admin", 0.25, IF(AND(T679="HR", AA679&gt;0.6), 0.25, IF(AND(T679="General", Z679&gt;0.7), 0.2, 0.1)))</f>
        <v>0.1</v>
      </c>
      <c r="AI679">
        <f>IF(V679&gt;0.7, 0.1,
 IF(F679&gt;0.5, 0.08,
 IF(E679&gt;0.5, 0.05,
 0)))</f>
        <v>0</v>
      </c>
      <c r="AJ679">
        <f t="shared" si="31"/>
        <v>1.2331098854975145E-2</v>
      </c>
      <c r="AK679">
        <f t="shared" si="32"/>
        <v>1.356420874047266E-2</v>
      </c>
      <c r="AL679" t="str">
        <f>IF(MAX(X679, Y679, Z679, AA679)&gt;0.9,
 "Critical",
 IF(AK679&lt;=0.2,"Very Low",
 IF(AK679&lt;=0.4,"Low",
 IF(AK679&lt;=0.6,"Medium",
 IF(AK679&lt;=0.8,"High","Critical")))))</f>
        <v>Very Low</v>
      </c>
      <c r="AM679" t="str">
        <f>IF(MAX(X679:AA679)&gt;0.9,"CRITICAL ALERT",
 IF(AK679&gt;0.8,"CRITICAL ALERT",
 IF(AK679&gt;0.6,"ALERT",
 IF(AK679&gt;=0.4,"REVIEW","NO ACTION"))))</f>
        <v>NO ACTION</v>
      </c>
      <c r="AN679" t="str">
        <f>IF(AM679="NO ACTION","",
 IF(_xlfn.TEXTJOIN(", ", TRUE,
  IF(X679&gt;0.7,"Login anomaly",""),
  IF(Y679&gt;0.7,"File anomaly",""),
  IF(Z679&gt;0.7,"Network anomaly",""),
  IF(AA679&gt;0.7,"USB anomaly","")
 )="",
 "General anomaly detected",
 _xlfn.TEXTJOIN(", ", TRUE,
  IF(X679&gt;0.7,"Login anomaly",""),
  IF(Y679&gt;0.7,"File anomaly",""),
  IF(Z679&gt;0.7,"Network anomaly",""),
  IF(AA679&gt;0.7,"USB anomaly","")
 )))</f>
        <v/>
      </c>
    </row>
    <row r="680" spans="1:40" x14ac:dyDescent="0.3">
      <c r="A680" t="s">
        <v>703</v>
      </c>
      <c r="B680">
        <v>0.270321361058601</v>
      </c>
      <c r="C680">
        <v>0.72749937903404105</v>
      </c>
      <c r="D680">
        <v>0.39038523877011999</v>
      </c>
      <c r="E680">
        <v>0</v>
      </c>
      <c r="F680">
        <v>0</v>
      </c>
      <c r="G680">
        <v>0.39886494475570999</v>
      </c>
      <c r="H680">
        <v>7</v>
      </c>
      <c r="I680">
        <v>16</v>
      </c>
      <c r="J680">
        <v>9.0358284432994596E-2</v>
      </c>
      <c r="K680">
        <v>9.7879282218597003E-3</v>
      </c>
      <c r="L680">
        <v>2.7596654826855499E-2</v>
      </c>
      <c r="M680">
        <v>3.4632034632034602E-3</v>
      </c>
      <c r="N680">
        <v>2.3100788977566199E-2</v>
      </c>
      <c r="O680">
        <v>950</v>
      </c>
      <c r="P680">
        <v>7.2320426487093095E-2</v>
      </c>
      <c r="Q680">
        <v>7.2477997124723803E-2</v>
      </c>
      <c r="R680">
        <v>0</v>
      </c>
      <c r="S680">
        <v>0</v>
      </c>
      <c r="T680" t="s">
        <v>49</v>
      </c>
      <c r="U680">
        <v>1.5674891146589199E-2</v>
      </c>
      <c r="V680">
        <v>0</v>
      </c>
      <c r="W680">
        <v>0</v>
      </c>
      <c r="X680">
        <v>0.117115571631036</v>
      </c>
      <c r="Y680">
        <v>3.8800220993296497E-2</v>
      </c>
      <c r="Z680">
        <v>5.2632571483282299E-2</v>
      </c>
      <c r="AA680">
        <v>0</v>
      </c>
      <c r="AB680">
        <v>4.8590999096631997E-2</v>
      </c>
      <c r="AC680">
        <v>2.3700000019744041E-4</v>
      </c>
      <c r="AD680">
        <v>3.810999915003777E-3</v>
      </c>
      <c r="AE680">
        <v>8.5070002824068069E-3</v>
      </c>
      <c r="AF680">
        <f>0.16*X680 + 0.28*Y680 + 0.28*Z680 + 0.28*AA680</f>
        <v>4.4339673354407826E-2</v>
      </c>
      <c r="AG680">
        <f t="shared" si="30"/>
        <v>1.1289959910791366E-2</v>
      </c>
      <c r="AH680">
        <f>IF(T680="IT_Admin", 0.25, IF(AND(T680="HR", AA680&gt;0.6), 0.25, IF(AND(T680="General", Z680&gt;0.7), 0.2, 0.1)))</f>
        <v>0.1</v>
      </c>
      <c r="AI680">
        <f>IF(V680&gt;0.7, 0.1,
 IF(F680&gt;0.5, 0.08,
 IF(E680&gt;0.5, 0.05,
 0)))</f>
        <v>0</v>
      </c>
      <c r="AJ680">
        <f t="shared" si="31"/>
        <v>2.1204873943876303E-2</v>
      </c>
      <c r="AK680">
        <f t="shared" si="32"/>
        <v>2.3325361338263934E-2</v>
      </c>
      <c r="AL680" t="str">
        <f>IF(MAX(X680, Y680, Z680, AA680)&gt;0.9,
 "Critical",
 IF(AK680&lt;=0.2,"Very Low",
 IF(AK680&lt;=0.4,"Low",
 IF(AK680&lt;=0.6,"Medium",
 IF(AK680&lt;=0.8,"High","Critical")))))</f>
        <v>Very Low</v>
      </c>
      <c r="AM680" t="str">
        <f>IF(MAX(X680:AA680)&gt;0.9,"CRITICAL ALERT",
 IF(AK680&gt;0.8,"CRITICAL ALERT",
 IF(AK680&gt;0.6,"ALERT",
 IF(AK680&gt;=0.4,"REVIEW","NO ACTION"))))</f>
        <v>NO ACTION</v>
      </c>
      <c r="AN680" t="str">
        <f>IF(AM680="NO ACTION","",
 IF(_xlfn.TEXTJOIN(", ", TRUE,
  IF(X680&gt;0.7,"Login anomaly",""),
  IF(Y680&gt;0.7,"File anomaly",""),
  IF(Z680&gt;0.7,"Network anomaly",""),
  IF(AA680&gt;0.7,"USB anomaly","")
 )="",
 "General anomaly detected",
 _xlfn.TEXTJOIN(", ", TRUE,
  IF(X680&gt;0.7,"Login anomaly",""),
  IF(Y680&gt;0.7,"File anomaly",""),
  IF(Z680&gt;0.7,"Network anomaly",""),
  IF(AA680&gt;0.7,"USB anomaly","")
 )))</f>
        <v/>
      </c>
    </row>
    <row r="681" spans="1:40" x14ac:dyDescent="0.3">
      <c r="A681" t="s">
        <v>704</v>
      </c>
      <c r="B681">
        <v>0.25330812854442297</v>
      </c>
      <c r="C681">
        <v>0.90902593346579197</v>
      </c>
      <c r="D681">
        <v>0.40262322075746698</v>
      </c>
      <c r="E681">
        <v>0</v>
      </c>
      <c r="F681">
        <v>0</v>
      </c>
      <c r="G681">
        <v>0.435535531724694</v>
      </c>
      <c r="H681">
        <v>8</v>
      </c>
      <c r="I681">
        <v>19</v>
      </c>
      <c r="J681">
        <v>9.8373169219025794E-2</v>
      </c>
      <c r="K681">
        <v>1.5497553017944501E-2</v>
      </c>
      <c r="L681">
        <v>4.0143319739065202E-2</v>
      </c>
      <c r="M681">
        <v>3.7518037518037501E-3</v>
      </c>
      <c r="N681">
        <v>2.29918229918229E-2</v>
      </c>
      <c r="O681">
        <v>1055</v>
      </c>
      <c r="P681">
        <v>8.0808080808080801E-2</v>
      </c>
      <c r="Q681">
        <v>8.0963568147550694E-2</v>
      </c>
      <c r="R681">
        <v>0</v>
      </c>
      <c r="S681">
        <v>0</v>
      </c>
      <c r="T681" t="s">
        <v>24</v>
      </c>
      <c r="U681">
        <v>2.3045822102425801E-2</v>
      </c>
      <c r="V681">
        <v>0</v>
      </c>
      <c r="W681">
        <v>0</v>
      </c>
      <c r="X681">
        <v>0.12078696622724</v>
      </c>
      <c r="Y681">
        <v>4.6643840610884703E-2</v>
      </c>
      <c r="Z681">
        <v>5.7681577681577598E-2</v>
      </c>
      <c r="AA681">
        <v>0</v>
      </c>
      <c r="AB681">
        <v>8.2634001970291138E-2</v>
      </c>
      <c r="AC681">
        <v>7.6999996963422745E-5</v>
      </c>
      <c r="AD681">
        <v>2.8979999478906389E-3</v>
      </c>
      <c r="AE681">
        <v>9.1930003836750984E-3</v>
      </c>
      <c r="AF681">
        <f>0.16*X681 + 0.28*Y681 + 0.28*Z681 + 0.28*AA681</f>
        <v>4.8537031718247844E-2</v>
      </c>
      <c r="AG681">
        <f t="shared" si="30"/>
        <v>1.6628480407234747E-2</v>
      </c>
      <c r="AH681">
        <f>IF(T681="IT_Admin", 0.25, IF(AND(T681="HR", AA681&gt;0.6), 0.25, IF(AND(T681="General", Z681&gt;0.7), 0.2, 0.1)))</f>
        <v>0.25</v>
      </c>
      <c r="AI681">
        <f>IF(V681&gt;0.7, 0.1,
 IF(F681&gt;0.5, 0.08,
 IF(E681&gt;0.5, 0.05,
 0)))</f>
        <v>0</v>
      </c>
      <c r="AJ681">
        <f t="shared" si="31"/>
        <v>2.6201045800538676E-2</v>
      </c>
      <c r="AK681">
        <f t="shared" si="32"/>
        <v>3.2751307250673344E-2</v>
      </c>
      <c r="AL681" t="str">
        <f>IF(MAX(X681, Y681, Z681, AA681)&gt;0.9,
 "Critical",
 IF(AK681&lt;=0.2,"Very Low",
 IF(AK681&lt;=0.4,"Low",
 IF(AK681&lt;=0.6,"Medium",
 IF(AK681&lt;=0.8,"High","Critical")))))</f>
        <v>Very Low</v>
      </c>
      <c r="AM681" t="str">
        <f>IF(MAX(X681:AA681)&gt;0.9,"CRITICAL ALERT",
 IF(AK681&gt;0.8,"CRITICAL ALERT",
 IF(AK681&gt;0.6,"ALERT",
 IF(AK681&gt;=0.4,"REVIEW","NO ACTION"))))</f>
        <v>NO ACTION</v>
      </c>
      <c r="AN681" t="str">
        <f>IF(AM681="NO ACTION","",
 IF(_xlfn.TEXTJOIN(", ", TRUE,
  IF(X681&gt;0.7,"Login anomaly",""),
  IF(Y681&gt;0.7,"File anomaly",""),
  IF(Z681&gt;0.7,"Network anomaly",""),
  IF(AA681&gt;0.7,"USB anomaly","")
 )="",
 "General anomaly detected",
 _xlfn.TEXTJOIN(", ", TRUE,
  IF(X681&gt;0.7,"Login anomaly",""),
  IF(Y681&gt;0.7,"File anomaly",""),
  IF(Z681&gt;0.7,"Network anomaly",""),
  IF(AA681&gt;0.7,"USB anomaly","")
 )))</f>
        <v/>
      </c>
    </row>
    <row r="682" spans="1:40" x14ac:dyDescent="0.3">
      <c r="A682" t="s">
        <v>705</v>
      </c>
      <c r="B682">
        <v>0.24574669187145501</v>
      </c>
      <c r="C682">
        <v>0.465869796855645</v>
      </c>
      <c r="D682">
        <v>0.55367240540720797</v>
      </c>
      <c r="E682">
        <v>0.208970438328236</v>
      </c>
      <c r="F682">
        <v>0.57798165137614599</v>
      </c>
      <c r="G682">
        <v>0.45383945084944199</v>
      </c>
      <c r="H682">
        <v>0</v>
      </c>
      <c r="I682">
        <v>23</v>
      </c>
      <c r="J682">
        <v>9.5892371547159003E-2</v>
      </c>
      <c r="K682">
        <v>1.38662316476345E-2</v>
      </c>
      <c r="L682">
        <v>3.6844615706177697E-2</v>
      </c>
      <c r="M682">
        <v>3.1746031746031698E-3</v>
      </c>
      <c r="N682">
        <v>1.9956674150222498E-2</v>
      </c>
      <c r="O682">
        <v>814</v>
      </c>
      <c r="P682">
        <v>7.80022446689113E-2</v>
      </c>
      <c r="Q682">
        <v>7.8158420701988099E-2</v>
      </c>
      <c r="R682">
        <v>0</v>
      </c>
      <c r="S682">
        <v>0</v>
      </c>
      <c r="T682" t="s">
        <v>24</v>
      </c>
      <c r="U682">
        <v>2.40566037735849E-2</v>
      </c>
      <c r="V682">
        <v>0</v>
      </c>
      <c r="W682">
        <v>0</v>
      </c>
      <c r="X682">
        <v>0.45998551367109197</v>
      </c>
      <c r="Y682">
        <v>4.3587784407587399E-2</v>
      </c>
      <c r="Z682">
        <v>5.4784016461435797E-2</v>
      </c>
      <c r="AA682">
        <v>0</v>
      </c>
      <c r="AB682">
        <v>0.25375500321388239</v>
      </c>
      <c r="AC682">
        <v>7.7999997301958501E-5</v>
      </c>
      <c r="AD682">
        <v>2.908000024035573E-3</v>
      </c>
      <c r="AE682">
        <v>1.691100001335144E-2</v>
      </c>
      <c r="AF682">
        <f>0.16*X682 + 0.28*Y682 + 0.28*Z682 + 0.28*AA682</f>
        <v>0.10114178643070121</v>
      </c>
      <c r="AG682">
        <f t="shared" si="30"/>
        <v>4.6171960523934095E-2</v>
      </c>
      <c r="AH682">
        <f>IF(T682="IT_Admin", 0.25, IF(AND(T682="HR", AA682&gt;0.6), 0.25, IF(AND(T682="General", Z682&gt;0.7), 0.2, 0.1)))</f>
        <v>0.25</v>
      </c>
      <c r="AI682">
        <f>IF(V682&gt;0.7, 0.1,
 IF(F682&gt;0.5, 0.08,
 IF(E682&gt;0.5, 0.05,
 0)))</f>
        <v>0.08</v>
      </c>
      <c r="AJ682">
        <f t="shared" si="31"/>
        <v>6.2662908295964229E-2</v>
      </c>
      <c r="AK682">
        <f t="shared" si="32"/>
        <v>8.3341668033632424E-2</v>
      </c>
      <c r="AL682" t="str">
        <f>IF(MAX(X682, Y682, Z682, AA682)&gt;0.9,
 "Critical",
 IF(AK682&lt;=0.2,"Very Low",
 IF(AK682&lt;=0.4,"Low",
 IF(AK682&lt;=0.6,"Medium",
 IF(AK682&lt;=0.8,"High","Critical")))))</f>
        <v>Very Low</v>
      </c>
      <c r="AM682" t="str">
        <f>IF(MAX(X682:AA682)&gt;0.9,"CRITICAL ALERT",
 IF(AK682&gt;0.8,"CRITICAL ALERT",
 IF(AK682&gt;0.6,"ALERT",
 IF(AK682&gt;=0.4,"REVIEW","NO ACTION"))))</f>
        <v>NO ACTION</v>
      </c>
      <c r="AN682" t="str">
        <f>IF(AM682="NO ACTION","",
 IF(_xlfn.TEXTJOIN(", ", TRUE,
  IF(X682&gt;0.7,"Login anomaly",""),
  IF(Y682&gt;0.7,"File anomaly",""),
  IF(Z682&gt;0.7,"Network anomaly",""),
  IF(AA682&gt;0.7,"USB anomaly","")
 )="",
 "General anomaly detected",
 _xlfn.TEXTJOIN(", ", TRUE,
  IF(X682&gt;0.7,"Login anomaly",""),
  IF(Y682&gt;0.7,"File anomaly",""),
  IF(Z682&gt;0.7,"Network anomaly",""),
  IF(AA682&gt;0.7,"USB anomaly","")
 )))</f>
        <v/>
      </c>
    </row>
    <row r="683" spans="1:40" x14ac:dyDescent="0.3">
      <c r="A683" t="s">
        <v>706</v>
      </c>
      <c r="B683">
        <v>0.28128544423440399</v>
      </c>
      <c r="C683">
        <v>0.78747787890714105</v>
      </c>
      <c r="D683">
        <v>0.43694824541660299</v>
      </c>
      <c r="E683">
        <v>0.426322043969102</v>
      </c>
      <c r="F683">
        <v>3.6096256684491901E-2</v>
      </c>
      <c r="G683">
        <v>0.37765045445026502</v>
      </c>
      <c r="H683">
        <v>0</v>
      </c>
      <c r="I683">
        <v>23</v>
      </c>
      <c r="J683">
        <v>6.03978817804494E-2</v>
      </c>
      <c r="K683">
        <v>8.1566068515497494E-3</v>
      </c>
      <c r="L683">
        <v>3.4360115077497103E-2</v>
      </c>
      <c r="M683">
        <v>4.3290043290043203E-3</v>
      </c>
      <c r="N683">
        <v>4.3143586023208301E-2</v>
      </c>
      <c r="O683">
        <v>685</v>
      </c>
      <c r="P683">
        <v>5.00140291806958E-2</v>
      </c>
      <c r="Q683">
        <v>5.0177074932501099E-2</v>
      </c>
      <c r="R683">
        <v>6.6371681415929196E-2</v>
      </c>
      <c r="S683">
        <v>1</v>
      </c>
      <c r="T683" t="s">
        <v>49</v>
      </c>
      <c r="U683">
        <v>1.06132075471698E-2</v>
      </c>
      <c r="V683">
        <v>0</v>
      </c>
      <c r="W683">
        <v>4.0474463683315302E-2</v>
      </c>
      <c r="X683">
        <v>0.27341958948950801</v>
      </c>
      <c r="Y683">
        <v>4.22027097018009E-2</v>
      </c>
      <c r="Z683">
        <v>4.7265851917700802E-2</v>
      </c>
      <c r="AA683">
        <v>6.6371681415929196E-2</v>
      </c>
      <c r="AB683">
        <v>0.27008301019668579</v>
      </c>
      <c r="AC683">
        <v>3.7399999564513559E-4</v>
      </c>
      <c r="AD683">
        <v>5.3070001304149628E-3</v>
      </c>
      <c r="AE683">
        <v>5.8005001395940781E-2</v>
      </c>
      <c r="AF683">
        <f>0.16*X683 + 0.28*Y683 + 0.28*Z683 + 0.28*AA683</f>
        <v>8.7382402368241935E-2</v>
      </c>
      <c r="AG683">
        <f t="shared" si="30"/>
        <v>6.1045362057629976E-2</v>
      </c>
      <c r="AH683">
        <f>IF(T683="IT_Admin", 0.25, IF(AND(T683="HR", AA683&gt;0.6), 0.25, IF(AND(T683="General", Z683&gt;0.7), 0.2, 0.1)))</f>
        <v>0.1</v>
      </c>
      <c r="AI683">
        <f>IF(V683&gt;0.7, 0.1,
 IF(F683&gt;0.5, 0.08,
 IF(E683&gt;0.5, 0.05,
 0)))</f>
        <v>0</v>
      </c>
      <c r="AJ683">
        <f t="shared" si="31"/>
        <v>6.8946474150813564E-2</v>
      </c>
      <c r="AK683">
        <f t="shared" si="32"/>
        <v>7.5841121565894926E-2</v>
      </c>
      <c r="AL683" t="str">
        <f>IF(MAX(X683, Y683, Z683, AA683)&gt;0.9,
 "Critical",
 IF(AK683&lt;=0.2,"Very Low",
 IF(AK683&lt;=0.4,"Low",
 IF(AK683&lt;=0.6,"Medium",
 IF(AK683&lt;=0.8,"High","Critical")))))</f>
        <v>Very Low</v>
      </c>
      <c r="AM683" t="str">
        <f>IF(MAX(X683:AA683)&gt;0.9,"CRITICAL ALERT",
 IF(AK683&gt;0.8,"CRITICAL ALERT",
 IF(AK683&gt;0.6,"ALERT",
 IF(AK683&gt;=0.4,"REVIEW","NO ACTION"))))</f>
        <v>NO ACTION</v>
      </c>
      <c r="AN683" t="str">
        <f>IF(AM683="NO ACTION","",
 IF(_xlfn.TEXTJOIN(", ", TRUE,
  IF(X683&gt;0.7,"Login anomaly",""),
  IF(Y683&gt;0.7,"File anomaly",""),
  IF(Z683&gt;0.7,"Network anomaly",""),
  IF(AA683&gt;0.7,"USB anomaly","")
 )="",
 "General anomaly detected",
 _xlfn.TEXTJOIN(", ", TRUE,
  IF(X683&gt;0.7,"Login anomaly",""),
  IF(Y683&gt;0.7,"File anomaly",""),
  IF(Z683&gt;0.7,"Network anomaly",""),
  IF(AA683&gt;0.7,"USB anomaly","")
 )))</f>
        <v/>
      </c>
    </row>
    <row r="684" spans="1:40" x14ac:dyDescent="0.3">
      <c r="A684" t="s">
        <v>707</v>
      </c>
      <c r="B684">
        <v>0.25217391304347803</v>
      </c>
      <c r="C684">
        <v>0.68068721606009697</v>
      </c>
      <c r="D684">
        <v>0.38795677614016699</v>
      </c>
      <c r="E684">
        <v>0.13578407021029901</v>
      </c>
      <c r="F684">
        <v>1.19225037257824E-2</v>
      </c>
      <c r="G684">
        <v>0.43806930428624902</v>
      </c>
      <c r="H684">
        <v>0</v>
      </c>
      <c r="I684">
        <v>18</v>
      </c>
      <c r="J684">
        <v>8.4728782023758401E-2</v>
      </c>
      <c r="K684">
        <v>9.7879282218597003E-3</v>
      </c>
      <c r="L684">
        <v>2.9425068790678601E-2</v>
      </c>
      <c r="M684">
        <v>7.7922077922077896E-3</v>
      </c>
      <c r="N684">
        <v>5.5420491916842202E-2</v>
      </c>
      <c r="O684">
        <v>821</v>
      </c>
      <c r="P684">
        <v>7.0286195286195299E-2</v>
      </c>
      <c r="Q684">
        <v>7.0444265226690894E-2</v>
      </c>
      <c r="R684">
        <v>0.19469026548672499</v>
      </c>
      <c r="S684">
        <v>1</v>
      </c>
      <c r="T684" t="s">
        <v>49</v>
      </c>
      <c r="U684">
        <v>7.2776280323450099E-3</v>
      </c>
      <c r="V684">
        <v>0</v>
      </c>
      <c r="W684">
        <v>1.14485182401048E-2</v>
      </c>
      <c r="X684">
        <v>0.16189125539545299</v>
      </c>
      <c r="Y684">
        <v>4.8284438375143603E-2</v>
      </c>
      <c r="Z684">
        <v>6.4339913938453994E-2</v>
      </c>
      <c r="AA684">
        <v>0.19469026548672499</v>
      </c>
      <c r="AB684">
        <v>0.111676000058651</v>
      </c>
      <c r="AC684">
        <v>6.6000001970678568E-4</v>
      </c>
      <c r="AD684">
        <v>2.9829998966306448E-3</v>
      </c>
      <c r="AE684">
        <v>6.3340999186038971E-2</v>
      </c>
      <c r="AF684">
        <f>0.16*X684 + 0.28*Y684 + 0.28*Z684 + 0.28*AA684</f>
        <v>0.11195069384736281</v>
      </c>
      <c r="AG684">
        <f t="shared" si="30"/>
        <v>3.662367975804956E-2</v>
      </c>
      <c r="AH684">
        <f>IF(T684="IT_Admin", 0.25, IF(AND(T684="HR", AA684&gt;0.6), 0.25, IF(AND(T684="General", Z684&gt;0.7), 0.2, 0.1)))</f>
        <v>0.1</v>
      </c>
      <c r="AI684">
        <f>IF(V684&gt;0.7, 0.1,
 IF(F684&gt;0.5, 0.08,
 IF(E684&gt;0.5, 0.05,
 0)))</f>
        <v>0</v>
      </c>
      <c r="AJ684">
        <f t="shared" si="31"/>
        <v>5.9221783984843526E-2</v>
      </c>
      <c r="AK684">
        <f t="shared" si="32"/>
        <v>6.5143962383327883E-2</v>
      </c>
      <c r="AL684" t="str">
        <f>IF(MAX(X684, Y684, Z684, AA684)&gt;0.9,
 "Critical",
 IF(AK684&lt;=0.2,"Very Low",
 IF(AK684&lt;=0.4,"Low",
 IF(AK684&lt;=0.6,"Medium",
 IF(AK684&lt;=0.8,"High","Critical")))))</f>
        <v>Very Low</v>
      </c>
      <c r="AM684" t="str">
        <f>IF(MAX(X684:AA684)&gt;0.9,"CRITICAL ALERT",
 IF(AK684&gt;0.8,"CRITICAL ALERT",
 IF(AK684&gt;0.6,"ALERT",
 IF(AK684&gt;=0.4,"REVIEW","NO ACTION"))))</f>
        <v>NO ACTION</v>
      </c>
      <c r="AN684" t="str">
        <f>IF(AM684="NO ACTION","",
 IF(_xlfn.TEXTJOIN(", ", TRUE,
  IF(X684&gt;0.7,"Login anomaly",""),
  IF(Y684&gt;0.7,"File anomaly",""),
  IF(Z684&gt;0.7,"Network anomaly",""),
  IF(AA684&gt;0.7,"USB anomaly","")
 )="",
 "General anomaly detected",
 _xlfn.TEXTJOIN(", ", TRUE,
  IF(X684&gt;0.7,"Login anomaly",""),
  IF(Y684&gt;0.7,"File anomaly",""),
  IF(Z684&gt;0.7,"Network anomaly",""),
  IF(AA684&gt;0.7,"USB anomaly","")
 )))</f>
        <v/>
      </c>
    </row>
    <row r="685" spans="1:40" x14ac:dyDescent="0.3">
      <c r="A685" t="s">
        <v>708</v>
      </c>
      <c r="B685">
        <v>0.12892249527410199</v>
      </c>
      <c r="C685">
        <v>0.288663131121006</v>
      </c>
      <c r="D685">
        <v>7.4546943629650697E-2</v>
      </c>
      <c r="E685">
        <v>0</v>
      </c>
      <c r="F685">
        <v>0</v>
      </c>
      <c r="G685">
        <v>0.99366954853218203</v>
      </c>
      <c r="H685">
        <v>7</v>
      </c>
      <c r="I685">
        <v>8</v>
      </c>
      <c r="J685">
        <v>9.1598683268928005E-2</v>
      </c>
      <c r="K685">
        <v>1.71288743882544E-2</v>
      </c>
      <c r="L685">
        <v>4.7641861378362398E-2</v>
      </c>
      <c r="M685">
        <v>4.3290043290043203E-3</v>
      </c>
      <c r="N685">
        <v>2.8485972901557299E-2</v>
      </c>
      <c r="O685">
        <v>1037</v>
      </c>
      <c r="P685">
        <v>7.68097643097643E-2</v>
      </c>
      <c r="Q685">
        <v>7.6966233037623996E-2</v>
      </c>
      <c r="R685">
        <v>0</v>
      </c>
      <c r="S685">
        <v>0</v>
      </c>
      <c r="T685" t="s">
        <v>49</v>
      </c>
      <c r="U685">
        <v>2.2287735849056599E-2</v>
      </c>
      <c r="V685">
        <v>0</v>
      </c>
      <c r="W685">
        <v>0</v>
      </c>
      <c r="X685">
        <v>2.23640830888952E-2</v>
      </c>
      <c r="Y685">
        <v>5.0686459213434003E-2</v>
      </c>
      <c r="Z685">
        <v>5.74802477464815E-2</v>
      </c>
      <c r="AA685">
        <v>0</v>
      </c>
      <c r="AB685">
        <v>1.7704000696539879E-2</v>
      </c>
      <c r="AC685">
        <v>9.3000002379994839E-5</v>
      </c>
      <c r="AD685">
        <v>3.5129999741911888E-3</v>
      </c>
      <c r="AE685">
        <v>1.9670000765472651E-3</v>
      </c>
      <c r="AF685">
        <f>0.16*X685 + 0.28*Y685 + 0.28*Z685 + 0.28*AA685</f>
        <v>3.386493124299958E-2</v>
      </c>
      <c r="AG685">
        <f t="shared" si="30"/>
        <v>4.3930801263195466E-3</v>
      </c>
      <c r="AH685">
        <f>IF(T685="IT_Admin", 0.25, IF(AND(T685="HR", AA685&gt;0.6), 0.25, IF(AND(T685="General", Z685&gt;0.7), 0.2, 0.1)))</f>
        <v>0.1</v>
      </c>
      <c r="AI685">
        <f>IF(V685&gt;0.7, 0.1,
 IF(F685&gt;0.5, 0.08,
 IF(E685&gt;0.5, 0.05,
 0)))</f>
        <v>0</v>
      </c>
      <c r="AJ685">
        <f t="shared" si="31"/>
        <v>1.3234635461323556E-2</v>
      </c>
      <c r="AK685">
        <f t="shared" si="32"/>
        <v>1.4558099007455912E-2</v>
      </c>
      <c r="AL685" t="str">
        <f>IF(MAX(X685, Y685, Z685, AA685)&gt;0.9,
 "Critical",
 IF(AK685&lt;=0.2,"Very Low",
 IF(AK685&lt;=0.4,"Low",
 IF(AK685&lt;=0.6,"Medium",
 IF(AK685&lt;=0.8,"High","Critical")))))</f>
        <v>Very Low</v>
      </c>
      <c r="AM685" t="str">
        <f>IF(MAX(X685:AA685)&gt;0.9,"CRITICAL ALERT",
 IF(AK685&gt;0.8,"CRITICAL ALERT",
 IF(AK685&gt;0.6,"ALERT",
 IF(AK685&gt;=0.4,"REVIEW","NO ACTION"))))</f>
        <v>NO ACTION</v>
      </c>
      <c r="AN685" t="str">
        <f>IF(AM685="NO ACTION","",
 IF(_xlfn.TEXTJOIN(", ", TRUE,
  IF(X685&gt;0.7,"Login anomaly",""),
  IF(Y685&gt;0.7,"File anomaly",""),
  IF(Z685&gt;0.7,"Network anomaly",""),
  IF(AA685&gt;0.7,"USB anomaly","")
 )="",
 "General anomaly detected",
 _xlfn.TEXTJOIN(", ", TRUE,
  IF(X685&gt;0.7,"Login anomaly",""),
  IF(Y685&gt;0.7,"File anomaly",""),
  IF(Z685&gt;0.7,"Network anomaly",""),
  IF(AA685&gt;0.7,"USB anomaly","")
 )))</f>
        <v/>
      </c>
    </row>
    <row r="686" spans="1:40" x14ac:dyDescent="0.3">
      <c r="A686" t="s">
        <v>709</v>
      </c>
      <c r="B686">
        <v>0.12892249527410199</v>
      </c>
      <c r="C686">
        <v>0.55429747812660801</v>
      </c>
      <c r="D686">
        <v>0</v>
      </c>
      <c r="E686">
        <v>0</v>
      </c>
      <c r="F686">
        <v>0</v>
      </c>
      <c r="G686">
        <v>0.99368030713711097</v>
      </c>
      <c r="H686">
        <v>9</v>
      </c>
      <c r="I686">
        <v>9</v>
      </c>
      <c r="J686">
        <v>7.36606077954296E-2</v>
      </c>
      <c r="K686">
        <v>1.5497553017944501E-2</v>
      </c>
      <c r="L686">
        <v>5.35676190449631E-2</v>
      </c>
      <c r="M686">
        <v>2.3088023088023001E-3</v>
      </c>
      <c r="N686">
        <v>1.88803091320844E-2</v>
      </c>
      <c r="O686">
        <v>777</v>
      </c>
      <c r="P686">
        <v>6.1938832772166101E-2</v>
      </c>
      <c r="Q686">
        <v>6.2098951576142203E-2</v>
      </c>
      <c r="R686">
        <v>0</v>
      </c>
      <c r="S686">
        <v>0</v>
      </c>
      <c r="T686" t="s">
        <v>49</v>
      </c>
      <c r="U686">
        <v>3.5849056603773501E-2</v>
      </c>
      <c r="V686">
        <v>0</v>
      </c>
      <c r="W686">
        <v>0</v>
      </c>
      <c r="X686">
        <v>0</v>
      </c>
      <c r="Y686">
        <v>4.7180023821192803E-2</v>
      </c>
      <c r="Z686">
        <v>4.4715423316133401E-2</v>
      </c>
      <c r="AA686">
        <v>0</v>
      </c>
      <c r="AB686">
        <v>2.8909999877214428E-2</v>
      </c>
      <c r="AC686">
        <v>2.9999999242136252E-5</v>
      </c>
      <c r="AD686">
        <v>5.563999991863966E-3</v>
      </c>
      <c r="AE686">
        <v>1.9089999841526151E-3</v>
      </c>
      <c r="AF686">
        <f>0.16*X686 + 0.28*Y686 + 0.28*Z686 + 0.28*AA686</f>
        <v>2.5730725198451342E-2</v>
      </c>
      <c r="AG686">
        <f t="shared" si="30"/>
        <v>6.7264399734267497E-3</v>
      </c>
      <c r="AH686">
        <f>IF(T686="IT_Admin", 0.25, IF(AND(T686="HR", AA686&gt;0.6), 0.25, IF(AND(T686="General", Z686&gt;0.7), 0.2, 0.1)))</f>
        <v>0.1</v>
      </c>
      <c r="AI686">
        <f>IF(V686&gt;0.7, 0.1,
 IF(F686&gt;0.5, 0.08,
 IF(E686&gt;0.5, 0.05,
 0)))</f>
        <v>0</v>
      </c>
      <c r="AJ686">
        <f t="shared" si="31"/>
        <v>1.2427725540934126E-2</v>
      </c>
      <c r="AK686">
        <f t="shared" si="32"/>
        <v>1.3670498095027539E-2</v>
      </c>
      <c r="AL686" t="str">
        <f>IF(MAX(X686, Y686, Z686, AA686)&gt;0.9,
 "Critical",
 IF(AK686&lt;=0.2,"Very Low",
 IF(AK686&lt;=0.4,"Low",
 IF(AK686&lt;=0.6,"Medium",
 IF(AK686&lt;=0.8,"High","Critical")))))</f>
        <v>Very Low</v>
      </c>
      <c r="AM686" t="str">
        <f>IF(MAX(X686:AA686)&gt;0.9,"CRITICAL ALERT",
 IF(AK686&gt;0.8,"CRITICAL ALERT",
 IF(AK686&gt;0.6,"ALERT",
 IF(AK686&gt;=0.4,"REVIEW","NO ACTION"))))</f>
        <v>NO ACTION</v>
      </c>
      <c r="AN686" t="str">
        <f>IF(AM686="NO ACTION","",
 IF(_xlfn.TEXTJOIN(", ", TRUE,
  IF(X686&gt;0.7,"Login anomaly",""),
  IF(Y686&gt;0.7,"File anomaly",""),
  IF(Z686&gt;0.7,"Network anomaly",""),
  IF(AA686&gt;0.7,"USB anomaly","")
 )="",
 "General anomaly detected",
 _xlfn.TEXTJOIN(", ", TRUE,
  IF(X686&gt;0.7,"Login anomaly",""),
  IF(Y686&gt;0.7,"File anomaly",""),
  IF(Z686&gt;0.7,"Network anomaly",""),
  IF(AA686&gt;0.7,"USB anomaly","")
 )))</f>
        <v/>
      </c>
    </row>
    <row r="687" spans="1:40" x14ac:dyDescent="0.3">
      <c r="A687" t="s">
        <v>710</v>
      </c>
      <c r="B687">
        <v>0.12892249527410199</v>
      </c>
      <c r="C687">
        <v>0</v>
      </c>
      <c r="D687">
        <v>0</v>
      </c>
      <c r="E687">
        <v>0</v>
      </c>
      <c r="F687">
        <v>1</v>
      </c>
      <c r="G687">
        <v>0.99368306369509096</v>
      </c>
      <c r="H687">
        <v>6</v>
      </c>
      <c r="I687">
        <v>6</v>
      </c>
      <c r="J687">
        <v>7.5998282524688696E-2</v>
      </c>
      <c r="K687">
        <v>6.5252854812398002E-3</v>
      </c>
      <c r="L687">
        <v>2.1863182109386099E-2</v>
      </c>
      <c r="M687">
        <v>2.0202020202020202E-3</v>
      </c>
      <c r="N687">
        <v>1.6013703998685201E-2</v>
      </c>
      <c r="O687">
        <v>779</v>
      </c>
      <c r="P687">
        <v>5.9659090909090898E-2</v>
      </c>
      <c r="Q687">
        <v>5.9819769276622602E-2</v>
      </c>
      <c r="R687">
        <v>0</v>
      </c>
      <c r="S687">
        <v>0</v>
      </c>
      <c r="T687" t="s">
        <v>49</v>
      </c>
      <c r="U687">
        <v>1.6981132075471601E-2</v>
      </c>
      <c r="V687">
        <v>0</v>
      </c>
      <c r="W687">
        <v>0</v>
      </c>
      <c r="X687">
        <v>0.4</v>
      </c>
      <c r="Y687">
        <v>3.0935358759236399E-2</v>
      </c>
      <c r="Z687">
        <v>4.2200936144928598E-2</v>
      </c>
      <c r="AA687">
        <v>0</v>
      </c>
      <c r="AB687">
        <v>0.119096003472805</v>
      </c>
      <c r="AC687">
        <v>3.6199999158270662E-4</v>
      </c>
      <c r="AD687">
        <v>6.031000055372715E-3</v>
      </c>
      <c r="AE687">
        <v>0</v>
      </c>
      <c r="AF687">
        <f>0.16*X687 + 0.28*Y687 + 0.28*Z687 + 0.28*AA687</f>
        <v>8.4478162573166204E-2</v>
      </c>
      <c r="AG687">
        <f t="shared" si="30"/>
        <v>2.0845400568796316E-2</v>
      </c>
      <c r="AH687">
        <f>IF(T687="IT_Admin", 0.25, IF(AND(T687="HR", AA687&gt;0.6), 0.25, IF(AND(T687="General", Z687&gt;0.7), 0.2, 0.1)))</f>
        <v>0.1</v>
      </c>
      <c r="AI687">
        <f>IF(V687&gt;0.7, 0.1,
 IF(F687&gt;0.5, 0.08,
 IF(E687&gt;0.5, 0.05,
 0)))</f>
        <v>0.08</v>
      </c>
      <c r="AJ687">
        <f t="shared" si="31"/>
        <v>3.9935229170107278E-2</v>
      </c>
      <c r="AK687">
        <f t="shared" si="32"/>
        <v>4.7123570420726596E-2</v>
      </c>
      <c r="AL687" t="str">
        <f>IF(MAX(X687, Y687, Z687, AA687)&gt;0.9,
 "Critical",
 IF(AK687&lt;=0.2,"Very Low",
 IF(AK687&lt;=0.4,"Low",
 IF(AK687&lt;=0.6,"Medium",
 IF(AK687&lt;=0.8,"High","Critical")))))</f>
        <v>Very Low</v>
      </c>
      <c r="AM687" t="str">
        <f>IF(MAX(X687:AA687)&gt;0.9,"CRITICAL ALERT",
 IF(AK687&gt;0.8,"CRITICAL ALERT",
 IF(AK687&gt;0.6,"ALERT",
 IF(AK687&gt;=0.4,"REVIEW","NO ACTION"))))</f>
        <v>NO ACTION</v>
      </c>
      <c r="AN687" t="str">
        <f>IF(AM687="NO ACTION","",
 IF(_xlfn.TEXTJOIN(", ", TRUE,
  IF(X687&gt;0.7,"Login anomaly",""),
  IF(Y687&gt;0.7,"File anomaly",""),
  IF(Z687&gt;0.7,"Network anomaly",""),
  IF(AA687&gt;0.7,"USB anomaly","")
 )="",
 "General anomaly detected",
 _xlfn.TEXTJOIN(", ", TRUE,
  IF(X687&gt;0.7,"Login anomaly",""),
  IF(Y687&gt;0.7,"File anomaly",""),
  IF(Z687&gt;0.7,"Network anomaly",""),
  IF(AA687&gt;0.7,"USB anomaly","")
 )))</f>
        <v/>
      </c>
    </row>
    <row r="688" spans="1:40" x14ac:dyDescent="0.3">
      <c r="A688" t="s">
        <v>711</v>
      </c>
      <c r="B688">
        <v>0.12892249527410199</v>
      </c>
      <c r="C688">
        <v>0.36953165208440503</v>
      </c>
      <c r="D688">
        <v>0</v>
      </c>
      <c r="E688">
        <v>0</v>
      </c>
      <c r="F688">
        <v>0</v>
      </c>
      <c r="G688">
        <v>0.99369074458965501</v>
      </c>
      <c r="H688">
        <v>8</v>
      </c>
      <c r="I688">
        <v>8</v>
      </c>
      <c r="J688">
        <v>8.4060874958255802E-2</v>
      </c>
      <c r="K688">
        <v>8.9722675367047301E-3</v>
      </c>
      <c r="L688">
        <v>2.7186687543773999E-2</v>
      </c>
      <c r="M688">
        <v>3.4632034632034602E-3</v>
      </c>
      <c r="N688">
        <v>2.4826484588793499E-2</v>
      </c>
      <c r="O688">
        <v>884</v>
      </c>
      <c r="P688">
        <v>6.7340067340067297E-2</v>
      </c>
      <c r="Q688">
        <v>6.7498860408850198E-2</v>
      </c>
      <c r="R688">
        <v>0</v>
      </c>
      <c r="S688">
        <v>0</v>
      </c>
      <c r="T688" t="s">
        <v>49</v>
      </c>
      <c r="U688">
        <v>1.4368650217706801E-2</v>
      </c>
      <c r="V688">
        <v>0</v>
      </c>
      <c r="W688">
        <v>0</v>
      </c>
      <c r="X688">
        <v>0</v>
      </c>
      <c r="Y688">
        <v>3.78534641401762E-2</v>
      </c>
      <c r="Z688">
        <v>5.03346342395578E-2</v>
      </c>
      <c r="AA688">
        <v>0</v>
      </c>
      <c r="AB688">
        <v>2.466399967670441E-2</v>
      </c>
      <c r="AC688">
        <v>2.760000061243773E-4</v>
      </c>
      <c r="AD688">
        <v>4.7050002031028271E-3</v>
      </c>
      <c r="AE688">
        <v>1.8090000376105311E-3</v>
      </c>
      <c r="AF688">
        <f>0.16*X688 + 0.28*Y688 + 0.28*Z688 + 0.28*AA688</f>
        <v>2.4692667546325521E-2</v>
      </c>
      <c r="AG688">
        <f t="shared" si="30"/>
        <v>5.8474400173872711E-3</v>
      </c>
      <c r="AH688">
        <f>IF(T688="IT_Admin", 0.25, IF(AND(T688="HR", AA688&gt;0.6), 0.25, IF(AND(T688="General", Z688&gt;0.7), 0.2, 0.1)))</f>
        <v>0.1</v>
      </c>
      <c r="AI688">
        <f>IF(V688&gt;0.7, 0.1,
 IF(F688&gt;0.5, 0.08,
 IF(E688&gt;0.5, 0.05,
 0)))</f>
        <v>0</v>
      </c>
      <c r="AJ688">
        <f t="shared" si="31"/>
        <v>1.1501008276068746E-2</v>
      </c>
      <c r="AK688">
        <f t="shared" si="32"/>
        <v>1.2651109103675621E-2</v>
      </c>
      <c r="AL688" t="str">
        <f>IF(MAX(X688, Y688, Z688, AA688)&gt;0.9,
 "Critical",
 IF(AK688&lt;=0.2,"Very Low",
 IF(AK688&lt;=0.4,"Low",
 IF(AK688&lt;=0.6,"Medium",
 IF(AK688&lt;=0.8,"High","Critical")))))</f>
        <v>Very Low</v>
      </c>
      <c r="AM688" t="str">
        <f>IF(MAX(X688:AA688)&gt;0.9,"CRITICAL ALERT",
 IF(AK688&gt;0.8,"CRITICAL ALERT",
 IF(AK688&gt;0.6,"ALERT",
 IF(AK688&gt;=0.4,"REVIEW","NO ACTION"))))</f>
        <v>NO ACTION</v>
      </c>
      <c r="AN688" t="str">
        <f>IF(AM688="NO ACTION","",
 IF(_xlfn.TEXTJOIN(", ", TRUE,
  IF(X688&gt;0.7,"Login anomaly",""),
  IF(Y688&gt;0.7,"File anomaly",""),
  IF(Z688&gt;0.7,"Network anomaly",""),
  IF(AA688&gt;0.7,"USB anomaly","")
 )="",
 "General anomaly detected",
 _xlfn.TEXTJOIN(", ", TRUE,
  IF(X688&gt;0.7,"Login anomaly",""),
  IF(Y688&gt;0.7,"File anomaly",""),
  IF(Z688&gt;0.7,"Network anomaly",""),
  IF(AA688&gt;0.7,"USB anomaly","")
 )))</f>
        <v/>
      </c>
    </row>
    <row r="689" spans="1:40" x14ac:dyDescent="0.3">
      <c r="A689" t="s">
        <v>712</v>
      </c>
      <c r="B689">
        <v>0.12892249527410199</v>
      </c>
      <c r="C689">
        <v>0.18476582604220201</v>
      </c>
      <c r="D689">
        <v>0</v>
      </c>
      <c r="E689">
        <v>0</v>
      </c>
      <c r="F689">
        <v>0</v>
      </c>
      <c r="G689">
        <v>0.99365731797881596</v>
      </c>
      <c r="H689">
        <v>7</v>
      </c>
      <c r="I689">
        <v>7</v>
      </c>
      <c r="J689">
        <v>0.104527455751156</v>
      </c>
      <c r="K689">
        <v>2.8548123980424101E-2</v>
      </c>
      <c r="L689">
        <v>6.9604267724155802E-2</v>
      </c>
      <c r="M689">
        <v>3.1746031746031698E-3</v>
      </c>
      <c r="N689">
        <v>1.8311793448405399E-2</v>
      </c>
      <c r="O689">
        <v>919</v>
      </c>
      <c r="P689">
        <v>9.0663580246913594E-2</v>
      </c>
      <c r="Q689">
        <v>9.0816648550089404E-2</v>
      </c>
      <c r="R689">
        <v>0</v>
      </c>
      <c r="S689">
        <v>0</v>
      </c>
      <c r="T689" t="s">
        <v>24</v>
      </c>
      <c r="U689">
        <v>4.95283018867924E-2</v>
      </c>
      <c r="V689">
        <v>0</v>
      </c>
      <c r="W689">
        <v>0</v>
      </c>
      <c r="X689">
        <v>0</v>
      </c>
      <c r="Y689">
        <v>6.1201163046830903E-2</v>
      </c>
      <c r="Z689">
        <v>6.1722865527510301E-2</v>
      </c>
      <c r="AA689">
        <v>0</v>
      </c>
      <c r="AB689">
        <v>3.6692000925540917E-2</v>
      </c>
      <c r="AC689">
        <v>3.6899998667649919E-4</v>
      </c>
      <c r="AD689">
        <v>2.351999981328845E-3</v>
      </c>
      <c r="AE689">
        <v>1.3729999773204331E-3</v>
      </c>
      <c r="AF689">
        <f>0.16*X689 + 0.28*Y689 + 0.28*Z689 + 0.28*AA689</f>
        <v>3.4418728000815538E-2</v>
      </c>
      <c r="AG689">
        <f t="shared" si="30"/>
        <v>7.017040132777764E-3</v>
      </c>
      <c r="AH689">
        <f>IF(T689="IT_Admin", 0.25, IF(AND(T689="HR", AA689&gt;0.6), 0.25, IF(AND(T689="General", Z689&gt;0.7), 0.2, 0.1)))</f>
        <v>0.25</v>
      </c>
      <c r="AI689">
        <f>IF(V689&gt;0.7, 0.1,
 IF(F689&gt;0.5, 0.08,
 IF(E689&gt;0.5, 0.05,
 0)))</f>
        <v>0</v>
      </c>
      <c r="AJ689">
        <f t="shared" si="31"/>
        <v>1.5237546493189095E-2</v>
      </c>
      <c r="AK689">
        <f t="shared" si="32"/>
        <v>1.9046933116486368E-2</v>
      </c>
      <c r="AL689" t="str">
        <f>IF(MAX(X689, Y689, Z689, AA689)&gt;0.9,
 "Critical",
 IF(AK689&lt;=0.2,"Very Low",
 IF(AK689&lt;=0.4,"Low",
 IF(AK689&lt;=0.6,"Medium",
 IF(AK689&lt;=0.8,"High","Critical")))))</f>
        <v>Very Low</v>
      </c>
      <c r="AM689" t="str">
        <f>IF(MAX(X689:AA689)&gt;0.9,"CRITICAL ALERT",
 IF(AK689&gt;0.8,"CRITICAL ALERT",
 IF(AK689&gt;0.6,"ALERT",
 IF(AK689&gt;=0.4,"REVIEW","NO ACTION"))))</f>
        <v>NO ACTION</v>
      </c>
      <c r="AN689" t="str">
        <f>IF(AM689="NO ACTION","",
 IF(_xlfn.TEXTJOIN(", ", TRUE,
  IF(X689&gt;0.7,"Login anomaly",""),
  IF(Y689&gt;0.7,"File anomaly",""),
  IF(Z689&gt;0.7,"Network anomaly",""),
  IF(AA689&gt;0.7,"USB anomaly","")
 )="",
 "General anomaly detected",
 _xlfn.TEXTJOIN(", ", TRUE,
  IF(X689&gt;0.7,"Login anomaly",""),
  IF(Y689&gt;0.7,"File anomaly",""),
  IF(Z689&gt;0.7,"Network anomaly",""),
  IF(AA689&gt;0.7,"USB anomaly","")
 )))</f>
        <v/>
      </c>
    </row>
    <row r="690" spans="1:40" x14ac:dyDescent="0.3">
      <c r="A690" t="s">
        <v>713</v>
      </c>
      <c r="B690">
        <v>0.22873345935727701</v>
      </c>
      <c r="C690">
        <v>0.83675558000721595</v>
      </c>
      <c r="D690">
        <v>0.36071378093601703</v>
      </c>
      <c r="E690">
        <v>0</v>
      </c>
      <c r="F690">
        <v>0</v>
      </c>
      <c r="G690">
        <v>0.497680837031726</v>
      </c>
      <c r="H690">
        <v>8</v>
      </c>
      <c r="I690">
        <v>15</v>
      </c>
      <c r="J690">
        <v>9.53675874242641E-2</v>
      </c>
      <c r="K690">
        <v>1.30505709624796E-2</v>
      </c>
      <c r="L690">
        <v>3.4867629751296501E-2</v>
      </c>
      <c r="M690">
        <v>2.0202020202020202E-3</v>
      </c>
      <c r="N690">
        <v>1.27694106736022E-2</v>
      </c>
      <c r="O690">
        <v>1052</v>
      </c>
      <c r="P690">
        <v>7.67045454545454E-2</v>
      </c>
      <c r="Q690">
        <v>7.6861040008415399E-2</v>
      </c>
      <c r="R690">
        <v>0</v>
      </c>
      <c r="S690">
        <v>0</v>
      </c>
      <c r="T690" t="s">
        <v>24</v>
      </c>
      <c r="U690">
        <v>3.3962264150943298E-2</v>
      </c>
      <c r="V690">
        <v>0</v>
      </c>
      <c r="W690">
        <v>0</v>
      </c>
      <c r="X690">
        <v>0.10821413428080499</v>
      </c>
      <c r="Y690">
        <v>4.0338155562581697E-2</v>
      </c>
      <c r="Z690">
        <v>5.1130491542168102E-2</v>
      </c>
      <c r="AA690">
        <v>0</v>
      </c>
      <c r="AB690">
        <v>4.5423001050949097E-2</v>
      </c>
      <c r="AC690">
        <v>4.6000001020729542E-5</v>
      </c>
      <c r="AD690">
        <v>3.6299999337643381E-3</v>
      </c>
      <c r="AE690">
        <v>7.3689999990165234E-3</v>
      </c>
      <c r="AF690">
        <f>0.16*X690 + 0.28*Y690 + 0.28*Z690 + 0.28*AA690</f>
        <v>4.2925482674258747E-2</v>
      </c>
      <c r="AG690">
        <f t="shared" si="30"/>
        <v>1.0360280149616301E-2</v>
      </c>
      <c r="AH690">
        <f>IF(T690="IT_Admin", 0.25, IF(AND(T690="HR", AA690&gt;0.6), 0.25, IF(AND(T690="General", Z690&gt;0.7), 0.2, 0.1)))</f>
        <v>0.25</v>
      </c>
      <c r="AI690">
        <f>IF(V690&gt;0.7, 0.1,
 IF(F690&gt;0.5, 0.08,
 IF(E690&gt;0.5, 0.05,
 0)))</f>
        <v>0</v>
      </c>
      <c r="AJ690">
        <f t="shared" si="31"/>
        <v>2.0129840907009033E-2</v>
      </c>
      <c r="AK690">
        <f t="shared" si="32"/>
        <v>2.5162301133761292E-2</v>
      </c>
      <c r="AL690" t="str">
        <f>IF(MAX(X690, Y690, Z690, AA690)&gt;0.9,
 "Critical",
 IF(AK690&lt;=0.2,"Very Low",
 IF(AK690&lt;=0.4,"Low",
 IF(AK690&lt;=0.6,"Medium",
 IF(AK690&lt;=0.8,"High","Critical")))))</f>
        <v>Very Low</v>
      </c>
      <c r="AM690" t="str">
        <f>IF(MAX(X690:AA690)&gt;0.9,"CRITICAL ALERT",
 IF(AK690&gt;0.8,"CRITICAL ALERT",
 IF(AK690&gt;0.6,"ALERT",
 IF(AK690&gt;=0.4,"REVIEW","NO ACTION"))))</f>
        <v>NO ACTION</v>
      </c>
      <c r="AN690" t="str">
        <f>IF(AM690="NO ACTION","",
 IF(_xlfn.TEXTJOIN(", ", TRUE,
  IF(X690&gt;0.7,"Login anomaly",""),
  IF(Y690&gt;0.7,"File anomaly",""),
  IF(Z690&gt;0.7,"Network anomaly",""),
  IF(AA690&gt;0.7,"USB anomaly","")
 )="",
 "General anomaly detected",
 _xlfn.TEXTJOIN(", ", TRUE,
  IF(X690&gt;0.7,"Login anomaly",""),
  IF(Y690&gt;0.7,"File anomaly",""),
  IF(Z690&gt;0.7,"Network anomaly",""),
  IF(AA690&gt;0.7,"USB anomaly","")
 )))</f>
        <v/>
      </c>
    </row>
    <row r="691" spans="1:40" x14ac:dyDescent="0.3">
      <c r="A691" t="s">
        <v>714</v>
      </c>
      <c r="B691">
        <v>0.12892249527410199</v>
      </c>
      <c r="C691">
        <v>0.36953165208440503</v>
      </c>
      <c r="D691">
        <v>0</v>
      </c>
      <c r="E691">
        <v>0</v>
      </c>
      <c r="F691">
        <v>0</v>
      </c>
      <c r="G691">
        <v>0.99366523973766996</v>
      </c>
      <c r="H691">
        <v>8</v>
      </c>
      <c r="I691">
        <v>8</v>
      </c>
      <c r="J691">
        <v>9.13124373837126E-2</v>
      </c>
      <c r="K691">
        <v>1.38662316476345E-2</v>
      </c>
      <c r="L691">
        <v>3.8687806486684802E-2</v>
      </c>
      <c r="M691">
        <v>3.1746031746031698E-3</v>
      </c>
      <c r="N691">
        <v>2.0955027833610401E-2</v>
      </c>
      <c r="O691">
        <v>870</v>
      </c>
      <c r="P691">
        <v>7.4635241301907906E-2</v>
      </c>
      <c r="Q691">
        <v>7.4792243767312999E-2</v>
      </c>
      <c r="R691">
        <v>0</v>
      </c>
      <c r="S691">
        <v>0</v>
      </c>
      <c r="T691" t="s">
        <v>49</v>
      </c>
      <c r="U691">
        <v>2.40566037735849E-2</v>
      </c>
      <c r="V691">
        <v>0</v>
      </c>
      <c r="W691">
        <v>0</v>
      </c>
      <c r="X691">
        <v>0</v>
      </c>
      <c r="Y691">
        <v>4.3892899070168002E-2</v>
      </c>
      <c r="Z691">
        <v>5.3163155914588901E-2</v>
      </c>
      <c r="AA691">
        <v>0</v>
      </c>
      <c r="AB691">
        <v>2.4661999195814129E-2</v>
      </c>
      <c r="AC691">
        <v>5.7000001106644049E-5</v>
      </c>
      <c r="AD691">
        <v>3.9260000921785831E-3</v>
      </c>
      <c r="AE691">
        <v>1.8070000223815439E-3</v>
      </c>
      <c r="AF691">
        <f>0.16*X691 + 0.28*Y691 + 0.28*Z691 + 0.28*AA691</f>
        <v>2.7175695395731933E-2</v>
      </c>
      <c r="AG691">
        <f t="shared" si="30"/>
        <v>5.5671199037169569E-3</v>
      </c>
      <c r="AH691">
        <f>IF(T691="IT_Admin", 0.25, IF(AND(T691="HR", AA691&gt;0.6), 0.25, IF(AND(T691="General", Z691&gt;0.7), 0.2, 0.1)))</f>
        <v>0.1</v>
      </c>
      <c r="AI691">
        <f>IF(V691&gt;0.7, 0.1,
 IF(F691&gt;0.5, 0.08,
 IF(E691&gt;0.5, 0.05,
 0)))</f>
        <v>0</v>
      </c>
      <c r="AJ691">
        <f t="shared" si="31"/>
        <v>1.2049692551321448E-2</v>
      </c>
      <c r="AK691">
        <f t="shared" si="32"/>
        <v>1.3254661806453594E-2</v>
      </c>
      <c r="AL691" t="str">
        <f>IF(MAX(X691, Y691, Z691, AA691)&gt;0.9,
 "Critical",
 IF(AK691&lt;=0.2,"Very Low",
 IF(AK691&lt;=0.4,"Low",
 IF(AK691&lt;=0.6,"Medium",
 IF(AK691&lt;=0.8,"High","Critical")))))</f>
        <v>Very Low</v>
      </c>
      <c r="AM691" t="str">
        <f>IF(MAX(X691:AA691)&gt;0.9,"CRITICAL ALERT",
 IF(AK691&gt;0.8,"CRITICAL ALERT",
 IF(AK691&gt;0.6,"ALERT",
 IF(AK691&gt;=0.4,"REVIEW","NO ACTION"))))</f>
        <v>NO ACTION</v>
      </c>
      <c r="AN691" t="str">
        <f>IF(AM691="NO ACTION","",
 IF(_xlfn.TEXTJOIN(", ", TRUE,
  IF(X691&gt;0.7,"Login anomaly",""),
  IF(Y691&gt;0.7,"File anomaly",""),
  IF(Z691&gt;0.7,"Network anomaly",""),
  IF(AA691&gt;0.7,"USB anomaly","")
 )="",
 "General anomaly detected",
 _xlfn.TEXTJOIN(", ", TRUE,
  IF(X691&gt;0.7,"Login anomaly",""),
  IF(Y691&gt;0.7,"File anomaly",""),
  IF(Z691&gt;0.7,"Network anomaly",""),
  IF(AA691&gt;0.7,"USB anomaly","")
 )))</f>
        <v/>
      </c>
    </row>
    <row r="692" spans="1:40" x14ac:dyDescent="0.3">
      <c r="A692" t="s">
        <v>715</v>
      </c>
      <c r="B692">
        <v>0.229489603024574</v>
      </c>
      <c r="C692">
        <v>0.46539215430269998</v>
      </c>
      <c r="D692">
        <v>0.36302030247043898</v>
      </c>
      <c r="E692">
        <v>0</v>
      </c>
      <c r="F692">
        <v>0.299509001636661</v>
      </c>
      <c r="G692">
        <v>0.49585430004530301</v>
      </c>
      <c r="H692">
        <v>6</v>
      </c>
      <c r="I692">
        <v>13</v>
      </c>
      <c r="J692">
        <v>8.0053432565240196E-2</v>
      </c>
      <c r="K692">
        <v>1.71288743882544E-2</v>
      </c>
      <c r="L692">
        <v>5.4492325105970102E-2</v>
      </c>
      <c r="M692">
        <v>1.7316017316017301E-3</v>
      </c>
      <c r="N692">
        <v>1.3032798059535999E-2</v>
      </c>
      <c r="O692">
        <v>834</v>
      </c>
      <c r="P692">
        <v>6.7059483726150407E-2</v>
      </c>
      <c r="Q692">
        <v>6.7218345664293896E-2</v>
      </c>
      <c r="R692">
        <v>0</v>
      </c>
      <c r="S692">
        <v>0</v>
      </c>
      <c r="T692" t="s">
        <v>49</v>
      </c>
      <c r="U692">
        <v>5.0943396226415097E-2</v>
      </c>
      <c r="V692">
        <v>0</v>
      </c>
      <c r="W692">
        <v>0</v>
      </c>
      <c r="X692">
        <v>0.228709691395796</v>
      </c>
      <c r="Y692">
        <v>4.7166688483893902E-2</v>
      </c>
      <c r="Z692">
        <v>4.5448809459504601E-2</v>
      </c>
      <c r="AA692">
        <v>0</v>
      </c>
      <c r="AB692">
        <v>2.6244999840855598E-2</v>
      </c>
      <c r="AC692">
        <v>1.2599999899975961E-4</v>
      </c>
      <c r="AD692">
        <v>4.8190001398324966E-3</v>
      </c>
      <c r="AE692">
        <v>5.7410001754760742E-3</v>
      </c>
      <c r="AF692">
        <f>0.16*X692 + 0.28*Y692 + 0.28*Z692 + 0.28*AA692</f>
        <v>6.2525890047478938E-2</v>
      </c>
      <c r="AG692">
        <f t="shared" si="30"/>
        <v>7.1912800625432288E-3</v>
      </c>
      <c r="AH692">
        <f>IF(T692="IT_Admin", 0.25, IF(AND(T692="HR", AA692&gt;0.6), 0.25, IF(AND(T692="General", Z692&gt;0.7), 0.2, 0.1)))</f>
        <v>0.1</v>
      </c>
      <c r="AI692">
        <f>IF(V692&gt;0.7, 0.1,
 IF(F692&gt;0.5, 0.08,
 IF(E692&gt;0.5, 0.05,
 0)))</f>
        <v>0</v>
      </c>
      <c r="AJ692">
        <f t="shared" si="31"/>
        <v>2.3791663058023941E-2</v>
      </c>
      <c r="AK692">
        <f t="shared" si="32"/>
        <v>2.6170829363826337E-2</v>
      </c>
      <c r="AL692" t="str">
        <f>IF(MAX(X692, Y692, Z692, AA692)&gt;0.9,
 "Critical",
 IF(AK692&lt;=0.2,"Very Low",
 IF(AK692&lt;=0.4,"Low",
 IF(AK692&lt;=0.6,"Medium",
 IF(AK692&lt;=0.8,"High","Critical")))))</f>
        <v>Very Low</v>
      </c>
      <c r="AM692" t="str">
        <f>IF(MAX(X692:AA692)&gt;0.9,"CRITICAL ALERT",
 IF(AK692&gt;0.8,"CRITICAL ALERT",
 IF(AK692&gt;0.6,"ALERT",
 IF(AK692&gt;=0.4,"REVIEW","NO ACTION"))))</f>
        <v>NO ACTION</v>
      </c>
      <c r="AN692" t="str">
        <f>IF(AM692="NO ACTION","",
 IF(_xlfn.TEXTJOIN(", ", TRUE,
  IF(X692&gt;0.7,"Login anomaly",""),
  IF(Y692&gt;0.7,"File anomaly",""),
  IF(Z692&gt;0.7,"Network anomaly",""),
  IF(AA692&gt;0.7,"USB anomaly","")
 )="",
 "General anomaly detected",
 _xlfn.TEXTJOIN(", ", TRUE,
  IF(X692&gt;0.7,"Login anomaly",""),
  IF(Y692&gt;0.7,"File anomaly",""),
  IF(Z692&gt;0.7,"Network anomaly",""),
  IF(AA692&gt;0.7,"USB anomaly","")
 )))</f>
        <v/>
      </c>
    </row>
    <row r="693" spans="1:40" x14ac:dyDescent="0.3">
      <c r="A693" t="s">
        <v>716</v>
      </c>
      <c r="B693">
        <v>0.12892249527410199</v>
      </c>
      <c r="C693">
        <v>0</v>
      </c>
      <c r="D693">
        <v>0</v>
      </c>
      <c r="E693">
        <v>0</v>
      </c>
      <c r="F693">
        <v>1</v>
      </c>
      <c r="G693">
        <v>0.993659164605036</v>
      </c>
      <c r="H693">
        <v>6</v>
      </c>
      <c r="I693">
        <v>6</v>
      </c>
      <c r="J693">
        <v>7.3469777205285997E-2</v>
      </c>
      <c r="K693">
        <v>1.1419249592169599E-2</v>
      </c>
      <c r="L693">
        <v>3.95730671643355E-2</v>
      </c>
      <c r="M693">
        <v>1.7316017316017301E-3</v>
      </c>
      <c r="N693">
        <v>1.41968926434945E-2</v>
      </c>
      <c r="O693">
        <v>821</v>
      </c>
      <c r="P693">
        <v>5.97643097643097E-2</v>
      </c>
      <c r="Q693">
        <v>5.9924962305831199E-2</v>
      </c>
      <c r="R693">
        <v>0</v>
      </c>
      <c r="S693">
        <v>0</v>
      </c>
      <c r="T693" t="s">
        <v>49</v>
      </c>
      <c r="U693">
        <v>3.3962264150943298E-2</v>
      </c>
      <c r="V693">
        <v>0</v>
      </c>
      <c r="W693">
        <v>0</v>
      </c>
      <c r="X693">
        <v>0.4</v>
      </c>
      <c r="Y693">
        <v>3.87395568162733E-2</v>
      </c>
      <c r="Z693">
        <v>4.1537342915983697E-2</v>
      </c>
      <c r="AA693">
        <v>0</v>
      </c>
      <c r="AB693">
        <v>0.1191010028123856</v>
      </c>
      <c r="AC693">
        <v>5.199999941396527E-5</v>
      </c>
      <c r="AD693">
        <v>6.0769999399781227E-3</v>
      </c>
      <c r="AE693">
        <v>3.4000000596279278E-5</v>
      </c>
      <c r="AF693">
        <f>0.16*X693 + 0.28*Y693 + 0.28*Z693 + 0.28*AA693</f>
        <v>8.6477531925031964E-2</v>
      </c>
      <c r="AG693">
        <f t="shared" si="30"/>
        <v>2.0781800433178441E-2</v>
      </c>
      <c r="AH693">
        <f>IF(T693="IT_Admin", 0.25, IF(AND(T693="HR", AA693&gt;0.6), 0.25, IF(AND(T693="General", Z693&gt;0.7), 0.2, 0.1)))</f>
        <v>0.1</v>
      </c>
      <c r="AI693">
        <f>IF(V693&gt;0.7, 0.1,
 IF(F693&gt;0.5, 0.08,
 IF(E693&gt;0.5, 0.05,
 0)))</f>
        <v>0.08</v>
      </c>
      <c r="AJ693">
        <f t="shared" si="31"/>
        <v>4.0490519880734495E-2</v>
      </c>
      <c r="AK693">
        <f t="shared" si="32"/>
        <v>4.7778813459266711E-2</v>
      </c>
      <c r="AL693" t="str">
        <f>IF(MAX(X693, Y693, Z693, AA693)&gt;0.9,
 "Critical",
 IF(AK693&lt;=0.2,"Very Low",
 IF(AK693&lt;=0.4,"Low",
 IF(AK693&lt;=0.6,"Medium",
 IF(AK693&lt;=0.8,"High","Critical")))))</f>
        <v>Very Low</v>
      </c>
      <c r="AM693" t="str">
        <f>IF(MAX(X693:AA693)&gt;0.9,"CRITICAL ALERT",
 IF(AK693&gt;0.8,"CRITICAL ALERT",
 IF(AK693&gt;0.6,"ALERT",
 IF(AK693&gt;=0.4,"REVIEW","NO ACTION"))))</f>
        <v>NO ACTION</v>
      </c>
      <c r="AN693" t="str">
        <f>IF(AM693="NO ACTION","",
 IF(_xlfn.TEXTJOIN(", ", TRUE,
  IF(X693&gt;0.7,"Login anomaly",""),
  IF(Y693&gt;0.7,"File anomaly",""),
  IF(Z693&gt;0.7,"Network anomaly",""),
  IF(AA693&gt;0.7,"USB anomaly","")
 )="",
 "General anomaly detected",
 _xlfn.TEXTJOIN(", ", TRUE,
  IF(X693&gt;0.7,"Login anomaly",""),
  IF(Y693&gt;0.7,"File anomaly",""),
  IF(Z693&gt;0.7,"Network anomaly",""),
  IF(AA693&gt;0.7,"USB anomaly","")
 )))</f>
        <v/>
      </c>
    </row>
    <row r="694" spans="1:40" x14ac:dyDescent="0.3">
      <c r="A694" t="s">
        <v>717</v>
      </c>
      <c r="B694">
        <v>0.13534971644612401</v>
      </c>
      <c r="C694">
        <v>0.22304603862000699</v>
      </c>
      <c r="D694">
        <v>0.154645204244655</v>
      </c>
      <c r="E694">
        <v>0</v>
      </c>
      <c r="F694">
        <v>0</v>
      </c>
      <c r="G694">
        <v>0.93988396183865996</v>
      </c>
      <c r="H694">
        <v>7</v>
      </c>
      <c r="I694">
        <v>14</v>
      </c>
      <c r="J694">
        <v>8.5396689089260999E-2</v>
      </c>
      <c r="K694">
        <v>1.30505709624796E-2</v>
      </c>
      <c r="L694">
        <v>3.89274261958764E-2</v>
      </c>
      <c r="M694">
        <v>1.7316017316017301E-3</v>
      </c>
      <c r="N694">
        <v>1.2219609545514799E-2</v>
      </c>
      <c r="O694">
        <v>665</v>
      </c>
      <c r="P694">
        <v>6.9234006734006703E-2</v>
      </c>
      <c r="Q694">
        <v>6.9392334934605004E-2</v>
      </c>
      <c r="R694">
        <v>0</v>
      </c>
      <c r="S694">
        <v>0</v>
      </c>
      <c r="T694" t="s">
        <v>49</v>
      </c>
      <c r="U694">
        <v>3.8814016172506703E-2</v>
      </c>
      <c r="V694">
        <v>0</v>
      </c>
      <c r="W694">
        <v>0</v>
      </c>
      <c r="X694">
        <v>4.6393561273396597E-2</v>
      </c>
      <c r="Y694">
        <v>4.0208933779444803E-2</v>
      </c>
      <c r="Z694">
        <v>4.6428247858609897E-2</v>
      </c>
      <c r="AA694">
        <v>0</v>
      </c>
      <c r="AB694">
        <v>1.545600034296513E-2</v>
      </c>
      <c r="AC694">
        <v>3.9999998989515013E-5</v>
      </c>
      <c r="AD694">
        <v>4.6830000355839729E-3</v>
      </c>
      <c r="AE694">
        <v>3.4630000591278081E-3</v>
      </c>
      <c r="AF694">
        <f>0.16*X694 + 0.28*Y694 + 0.28*Z694 + 0.28*AA694</f>
        <v>3.168138066239877E-2</v>
      </c>
      <c r="AG694">
        <f t="shared" si="30"/>
        <v>4.7650400811107838E-3</v>
      </c>
      <c r="AH694">
        <f>IF(T694="IT_Admin", 0.25, IF(AND(T694="HR", AA694&gt;0.6), 0.25, IF(AND(T694="General", Z694&gt;0.7), 0.2, 0.1)))</f>
        <v>0.1</v>
      </c>
      <c r="AI694">
        <f>IF(V694&gt;0.7, 0.1,
 IF(F694&gt;0.5, 0.08,
 IF(E694&gt;0.5, 0.05,
 0)))</f>
        <v>0</v>
      </c>
      <c r="AJ694">
        <f t="shared" si="31"/>
        <v>1.2839942255497179E-2</v>
      </c>
      <c r="AK694">
        <f t="shared" si="32"/>
        <v>1.4123936481046899E-2</v>
      </c>
      <c r="AL694" t="str">
        <f>IF(MAX(X694, Y694, Z694, AA694)&gt;0.9,
 "Critical",
 IF(AK694&lt;=0.2,"Very Low",
 IF(AK694&lt;=0.4,"Low",
 IF(AK694&lt;=0.6,"Medium",
 IF(AK694&lt;=0.8,"High","Critical")))))</f>
        <v>Very Low</v>
      </c>
      <c r="AM694" t="str">
        <f>IF(MAX(X694:AA694)&gt;0.9,"CRITICAL ALERT",
 IF(AK694&gt;0.8,"CRITICAL ALERT",
 IF(AK694&gt;0.6,"ALERT",
 IF(AK694&gt;=0.4,"REVIEW","NO ACTION"))))</f>
        <v>NO ACTION</v>
      </c>
      <c r="AN694" t="str">
        <f>IF(AM694="NO ACTION","",
 IF(_xlfn.TEXTJOIN(", ", TRUE,
  IF(X694&gt;0.7,"Login anomaly",""),
  IF(Y694&gt;0.7,"File anomaly",""),
  IF(Z694&gt;0.7,"Network anomaly",""),
  IF(AA694&gt;0.7,"USB anomaly","")
 )="",
 "General anomaly detected",
 _xlfn.TEXTJOIN(", ", TRUE,
  IF(X694&gt;0.7,"Login anomaly",""),
  IF(Y694&gt;0.7,"File anomaly",""),
  IF(Z694&gt;0.7,"Network anomaly",""),
  IF(AA694&gt;0.7,"USB anomaly","")
 )))</f>
        <v/>
      </c>
    </row>
    <row r="695" spans="1:40" x14ac:dyDescent="0.3">
      <c r="A695" t="s">
        <v>718</v>
      </c>
      <c r="B695">
        <v>0.23591682419659701</v>
      </c>
      <c r="C695">
        <v>0.66668688186565395</v>
      </c>
      <c r="D695">
        <v>0.36556322854478002</v>
      </c>
      <c r="E695">
        <v>0</v>
      </c>
      <c r="F695">
        <v>0</v>
      </c>
      <c r="G695">
        <v>0.47836159735665101</v>
      </c>
      <c r="H695">
        <v>7</v>
      </c>
      <c r="I695">
        <v>14</v>
      </c>
      <c r="J695">
        <v>8.8354563236486799E-2</v>
      </c>
      <c r="K695">
        <v>8.1566068515497494E-3</v>
      </c>
      <c r="L695">
        <v>2.3517343168281499E-2</v>
      </c>
      <c r="M695">
        <v>1.44300144300144E-3</v>
      </c>
      <c r="N695">
        <v>9.8430259981148495E-3</v>
      </c>
      <c r="O695">
        <v>693</v>
      </c>
      <c r="P695">
        <v>6.9163860830527502E-2</v>
      </c>
      <c r="Q695">
        <v>6.9322206248465898E-2</v>
      </c>
      <c r="R695">
        <v>0</v>
      </c>
      <c r="S695">
        <v>0</v>
      </c>
      <c r="T695" t="s">
        <v>49</v>
      </c>
      <c r="U695">
        <v>2.83018867924528E-2</v>
      </c>
      <c r="V695">
        <v>0</v>
      </c>
      <c r="W695">
        <v>0</v>
      </c>
      <c r="X695">
        <v>0.109668968563434</v>
      </c>
      <c r="Y695">
        <v>3.2382492030872602E-2</v>
      </c>
      <c r="Z695">
        <v>4.5435526897562403E-2</v>
      </c>
      <c r="AA695">
        <v>0</v>
      </c>
      <c r="AB695">
        <v>2.4818999692797661E-2</v>
      </c>
      <c r="AC695">
        <v>2.309999981662259E-4</v>
      </c>
      <c r="AD695">
        <v>4.5509999617934227E-3</v>
      </c>
      <c r="AE695">
        <v>7.8509999439120293E-3</v>
      </c>
      <c r="AF695">
        <f>0.16*X695 + 0.28*Y695 + 0.28*Z695 + 0.28*AA695</f>
        <v>3.9336080270111241E-2</v>
      </c>
      <c r="AG695">
        <f t="shared" si="30"/>
        <v>7.5082799239316964E-3</v>
      </c>
      <c r="AH695">
        <f>IF(T695="IT_Admin", 0.25, IF(AND(T695="HR", AA695&gt;0.6), 0.25, IF(AND(T695="General", Z695&gt;0.7), 0.2, 0.1)))</f>
        <v>0.1</v>
      </c>
      <c r="AI695">
        <f>IF(V695&gt;0.7, 0.1,
 IF(F695&gt;0.5, 0.08,
 IF(E695&gt;0.5, 0.05,
 0)))</f>
        <v>0</v>
      </c>
      <c r="AJ695">
        <f t="shared" si="31"/>
        <v>1.705662002778556E-2</v>
      </c>
      <c r="AK695">
        <f t="shared" si="32"/>
        <v>1.8762282030564119E-2</v>
      </c>
      <c r="AL695" t="str">
        <f>IF(MAX(X695, Y695, Z695, AA695)&gt;0.9,
 "Critical",
 IF(AK695&lt;=0.2,"Very Low",
 IF(AK695&lt;=0.4,"Low",
 IF(AK695&lt;=0.6,"Medium",
 IF(AK695&lt;=0.8,"High","Critical")))))</f>
        <v>Very Low</v>
      </c>
      <c r="AM695" t="str">
        <f>IF(MAX(X695:AA695)&gt;0.9,"CRITICAL ALERT",
 IF(AK695&gt;0.8,"CRITICAL ALERT",
 IF(AK695&gt;0.6,"ALERT",
 IF(AK695&gt;=0.4,"REVIEW","NO ACTION"))))</f>
        <v>NO ACTION</v>
      </c>
      <c r="AN695" t="str">
        <f>IF(AM695="NO ACTION","",
 IF(_xlfn.TEXTJOIN(", ", TRUE,
  IF(X695&gt;0.7,"Login anomaly",""),
  IF(Y695&gt;0.7,"File anomaly",""),
  IF(Z695&gt;0.7,"Network anomaly",""),
  IF(AA695&gt;0.7,"USB anomaly","")
 )="",
 "General anomaly detected",
 _xlfn.TEXTJOIN(", ", TRUE,
  IF(X695&gt;0.7,"Login anomaly",""),
  IF(Y695&gt;0.7,"File anomaly",""),
  IF(Z695&gt;0.7,"Network anomaly",""),
  IF(AA695&gt;0.7,"USB anomaly","")
 )))</f>
        <v/>
      </c>
    </row>
    <row r="696" spans="1:40" x14ac:dyDescent="0.3">
      <c r="A696" t="s">
        <v>719</v>
      </c>
      <c r="B696">
        <v>0.23440453686200299</v>
      </c>
      <c r="C696">
        <v>0.602857727278725</v>
      </c>
      <c r="D696">
        <v>0.38562462292309901</v>
      </c>
      <c r="E696">
        <v>0</v>
      </c>
      <c r="F696">
        <v>0</v>
      </c>
      <c r="G696">
        <v>0.48212674016112</v>
      </c>
      <c r="H696">
        <v>7</v>
      </c>
      <c r="I696">
        <v>13</v>
      </c>
      <c r="J696">
        <v>5.8728114116692903E-2</v>
      </c>
      <c r="K696">
        <v>8.1566068515497494E-3</v>
      </c>
      <c r="L696">
        <v>3.5333095682442403E-2</v>
      </c>
      <c r="M696">
        <v>1.44300144300144E-3</v>
      </c>
      <c r="N696">
        <v>1.47884298369735E-2</v>
      </c>
      <c r="O696">
        <v>642</v>
      </c>
      <c r="P696">
        <v>4.73835578002244E-2</v>
      </c>
      <c r="Q696">
        <v>4.7547249202286097E-2</v>
      </c>
      <c r="R696">
        <v>0.96607669616519098</v>
      </c>
      <c r="S696">
        <v>1</v>
      </c>
      <c r="T696" t="s">
        <v>49</v>
      </c>
      <c r="U696">
        <v>2.83018867924528E-2</v>
      </c>
      <c r="V696">
        <v>0</v>
      </c>
      <c r="W696">
        <v>0</v>
      </c>
      <c r="X696">
        <v>0.115687386876929</v>
      </c>
      <c r="Y696">
        <v>3.3848699615651803E-2</v>
      </c>
      <c r="Z696">
        <v>3.4345506614923998E-2</v>
      </c>
      <c r="AA696">
        <v>0.96607669616519098</v>
      </c>
      <c r="AB696">
        <v>1.9843000918626789E-2</v>
      </c>
      <c r="AC696">
        <v>1.449999981559813E-4</v>
      </c>
      <c r="AD696">
        <v>6.8040001206099987E-3</v>
      </c>
      <c r="AE696">
        <v>0.95586502552032471</v>
      </c>
      <c r="AF696">
        <f>0.16*X696 + 0.28*Y696 + 0.28*Z696 + 0.28*AA696</f>
        <v>0.30810583457112334</v>
      </c>
      <c r="AG696">
        <f t="shared" si="30"/>
        <v>0.27276280732592567</v>
      </c>
      <c r="AH696">
        <f>IF(T696="IT_Admin", 0.25, IF(AND(T696="HR", AA696&gt;0.6), 0.25, IF(AND(T696="General", Z696&gt;0.7), 0.2, 0.1)))</f>
        <v>0.1</v>
      </c>
      <c r="AI696">
        <f>IF(V696&gt;0.7, 0.1,
 IF(F696&gt;0.5, 0.08,
 IF(E696&gt;0.5, 0.05,
 0)))</f>
        <v>0</v>
      </c>
      <c r="AJ696">
        <f t="shared" si="31"/>
        <v>0.28336571549948497</v>
      </c>
      <c r="AK696">
        <f t="shared" si="32"/>
        <v>0.31170228704943348</v>
      </c>
      <c r="AL696" t="str">
        <f>IF(MAX(X696, Y696, Z696, AA696)&gt;0.9,
 "Critical",
 IF(AK696&lt;=0.2,"Very Low",
 IF(AK696&lt;=0.4,"Low",
 IF(AK696&lt;=0.6,"Medium",
 IF(AK696&lt;=0.8,"High","Critical")))))</f>
        <v>Critical</v>
      </c>
      <c r="AM696" t="str">
        <f>IF(MAX(X696:AA696)&gt;0.9,"CRITICAL ALERT",
 IF(AK696&gt;0.8,"CRITICAL ALERT",
 IF(AK696&gt;0.6,"ALERT",
 IF(AK696&gt;=0.4,"REVIEW","NO ACTION"))))</f>
        <v>CRITICAL ALERT</v>
      </c>
      <c r="AN696" t="str">
        <f>IF(AM696="NO ACTION","",
 IF(_xlfn.TEXTJOIN(", ", TRUE,
  IF(X696&gt;0.7,"Login anomaly",""),
  IF(Y696&gt;0.7,"File anomaly",""),
  IF(Z696&gt;0.7,"Network anomaly",""),
  IF(AA696&gt;0.7,"USB anomaly","")
 )="",
 "General anomaly detected",
 _xlfn.TEXTJOIN(", ", TRUE,
  IF(X696&gt;0.7,"Login anomaly",""),
  IF(Y696&gt;0.7,"File anomaly",""),
  IF(Z696&gt;0.7,"Network anomaly",""),
  IF(AA696&gt;0.7,"USB anomaly","")
 )))</f>
        <v>USB anomaly</v>
      </c>
    </row>
    <row r="697" spans="1:40" x14ac:dyDescent="0.3">
      <c r="A697" t="s">
        <v>720</v>
      </c>
      <c r="B697">
        <v>0.12892249527410199</v>
      </c>
      <c r="C697">
        <v>0.27580985626589599</v>
      </c>
      <c r="D697">
        <v>7.5124914167671697E-2</v>
      </c>
      <c r="E697">
        <v>0</v>
      </c>
      <c r="F697">
        <v>0</v>
      </c>
      <c r="G697">
        <v>0.99365300918430499</v>
      </c>
      <c r="H697">
        <v>7</v>
      </c>
      <c r="I697">
        <v>8</v>
      </c>
      <c r="J697">
        <v>7.5855159582081E-2</v>
      </c>
      <c r="K697">
        <v>8.1566068515497494E-3</v>
      </c>
      <c r="L697">
        <v>2.7380380102507099E-2</v>
      </c>
      <c r="M697">
        <v>3.4632034632034602E-3</v>
      </c>
      <c r="N697">
        <v>2.7503697973917399E-2</v>
      </c>
      <c r="O697">
        <v>783</v>
      </c>
      <c r="P697">
        <v>6.09567901234567E-2</v>
      </c>
      <c r="Q697">
        <v>6.1117149970195302E-2</v>
      </c>
      <c r="R697">
        <v>0</v>
      </c>
      <c r="S697">
        <v>0</v>
      </c>
      <c r="T697" t="s">
        <v>49</v>
      </c>
      <c r="U697">
        <v>1.30624092888243E-2</v>
      </c>
      <c r="V697">
        <v>0</v>
      </c>
      <c r="W697">
        <v>0</v>
      </c>
      <c r="X697">
        <v>2.25374742503015E-2</v>
      </c>
      <c r="Y697">
        <v>3.7112331359844999E-2</v>
      </c>
      <c r="Z697">
        <v>4.7575553263640998E-2</v>
      </c>
      <c r="AA697">
        <v>0</v>
      </c>
      <c r="AB697">
        <v>1.865600049495697E-2</v>
      </c>
      <c r="AC697">
        <v>3.1400000443682069E-4</v>
      </c>
      <c r="AD697">
        <v>5.4089999757707119E-3</v>
      </c>
      <c r="AE697">
        <v>2.3509999737143521E-3</v>
      </c>
      <c r="AF697">
        <f>0.16*X697 + 0.28*Y697 + 0.28*Z697 + 0.28*AA697</f>
        <v>2.7318603574624321E-2</v>
      </c>
      <c r="AG697">
        <f t="shared" si="30"/>
        <v>5.2456800662912424E-3</v>
      </c>
      <c r="AH697">
        <f>IF(T697="IT_Admin", 0.25, IF(AND(T697="HR", AA697&gt;0.6), 0.25, IF(AND(T697="General", Z697&gt;0.7), 0.2, 0.1)))</f>
        <v>0.1</v>
      </c>
      <c r="AI697">
        <f>IF(V697&gt;0.7, 0.1,
 IF(F697&gt;0.5, 0.08,
 IF(E697&gt;0.5, 0.05,
 0)))</f>
        <v>0</v>
      </c>
      <c r="AJ697">
        <f t="shared" si="31"/>
        <v>1.1867557118791165E-2</v>
      </c>
      <c r="AK697">
        <f t="shared" si="32"/>
        <v>1.3054312830670283E-2</v>
      </c>
      <c r="AL697" t="str">
        <f>IF(MAX(X697, Y697, Z697, AA697)&gt;0.9,
 "Critical",
 IF(AK697&lt;=0.2,"Very Low",
 IF(AK697&lt;=0.4,"Low",
 IF(AK697&lt;=0.6,"Medium",
 IF(AK697&lt;=0.8,"High","Critical")))))</f>
        <v>Very Low</v>
      </c>
      <c r="AM697" t="str">
        <f>IF(MAX(X697:AA697)&gt;0.9,"CRITICAL ALERT",
 IF(AK697&gt;0.8,"CRITICAL ALERT",
 IF(AK697&gt;0.6,"ALERT",
 IF(AK697&gt;=0.4,"REVIEW","NO ACTION"))))</f>
        <v>NO ACTION</v>
      </c>
      <c r="AN697" t="str">
        <f>IF(AM697="NO ACTION","",
 IF(_xlfn.TEXTJOIN(", ", TRUE,
  IF(X697&gt;0.7,"Login anomaly",""),
  IF(Y697&gt;0.7,"File anomaly",""),
  IF(Z697&gt;0.7,"Network anomaly",""),
  IF(AA697&gt;0.7,"USB anomaly","")
 )="",
 "General anomaly detected",
 _xlfn.TEXTJOIN(", ", TRUE,
  IF(X697&gt;0.7,"Login anomaly",""),
  IF(Y697&gt;0.7,"File anomaly",""),
  IF(Z697&gt;0.7,"Network anomaly",""),
  IF(AA697&gt;0.7,"USB anomaly","")
 )))</f>
        <v/>
      </c>
    </row>
    <row r="698" spans="1:40" x14ac:dyDescent="0.3">
      <c r="A698" t="s">
        <v>721</v>
      </c>
      <c r="B698">
        <v>0.12892249527410199</v>
      </c>
      <c r="C698">
        <v>0</v>
      </c>
      <c r="D698">
        <v>0</v>
      </c>
      <c r="E698">
        <v>0</v>
      </c>
      <c r="F698">
        <v>1</v>
      </c>
      <c r="G698">
        <v>0.99368006627282202</v>
      </c>
      <c r="H698">
        <v>6</v>
      </c>
      <c r="I698">
        <v>6</v>
      </c>
      <c r="J698">
        <v>7.6379943704975903E-2</v>
      </c>
      <c r="K698">
        <v>1.0603588907014599E-2</v>
      </c>
      <c r="L698">
        <v>3.5350696228236902E-2</v>
      </c>
      <c r="M698">
        <v>8.6580086580086504E-4</v>
      </c>
      <c r="N698">
        <v>6.8288291202363398E-3</v>
      </c>
      <c r="O698">
        <v>824</v>
      </c>
      <c r="P698">
        <v>6.1132154882154802E-2</v>
      </c>
      <c r="Q698">
        <v>6.1292471685542901E-2</v>
      </c>
      <c r="R698">
        <v>0</v>
      </c>
      <c r="S698">
        <v>0</v>
      </c>
      <c r="T698" t="s">
        <v>49</v>
      </c>
      <c r="U698">
        <v>5.5188679245283E-2</v>
      </c>
      <c r="V698">
        <v>0</v>
      </c>
      <c r="W698">
        <v>0</v>
      </c>
      <c r="X698">
        <v>0.4</v>
      </c>
      <c r="Y698">
        <v>3.4999985591184501E-2</v>
      </c>
      <c r="Z698">
        <v>3.9410824577387399E-2</v>
      </c>
      <c r="AA698">
        <v>0</v>
      </c>
      <c r="AB698">
        <v>0.1190659999847412</v>
      </c>
      <c r="AC698">
        <v>2.7399999089539051E-4</v>
      </c>
      <c r="AD698">
        <v>6.1329999007284641E-3</v>
      </c>
      <c r="AE698">
        <v>7.7999997301958501E-5</v>
      </c>
      <c r="AF698">
        <f>0.16*X698 + 0.28*Y698 + 0.28*Z698 + 0.28*AA698</f>
        <v>8.4835026847200137E-2</v>
      </c>
      <c r="AG698">
        <f t="shared" si="30"/>
        <v>2.0866359966457818E-2</v>
      </c>
      <c r="AH698">
        <f>IF(T698="IT_Admin", 0.25, IF(AND(T698="HR", AA698&gt;0.6), 0.25, IF(AND(T698="General", Z698&gt;0.7), 0.2, 0.1)))</f>
        <v>0.1</v>
      </c>
      <c r="AI698">
        <f>IF(V698&gt;0.7, 0.1,
 IF(F698&gt;0.5, 0.08,
 IF(E698&gt;0.5, 0.05,
 0)))</f>
        <v>0.08</v>
      </c>
      <c r="AJ698">
        <f t="shared" si="31"/>
        <v>4.0056960030680516E-2</v>
      </c>
      <c r="AK698">
        <f t="shared" si="32"/>
        <v>4.7267212836203013E-2</v>
      </c>
      <c r="AL698" t="str">
        <f>IF(MAX(X698, Y698, Z698, AA698)&gt;0.9,
 "Critical",
 IF(AK698&lt;=0.2,"Very Low",
 IF(AK698&lt;=0.4,"Low",
 IF(AK698&lt;=0.6,"Medium",
 IF(AK698&lt;=0.8,"High","Critical")))))</f>
        <v>Very Low</v>
      </c>
      <c r="AM698" t="str">
        <f>IF(MAX(X698:AA698)&gt;0.9,"CRITICAL ALERT",
 IF(AK698&gt;0.8,"CRITICAL ALERT",
 IF(AK698&gt;0.6,"ALERT",
 IF(AK698&gt;=0.4,"REVIEW","NO ACTION"))))</f>
        <v>NO ACTION</v>
      </c>
      <c r="AN698" t="str">
        <f>IF(AM698="NO ACTION","",
 IF(_xlfn.TEXTJOIN(", ", TRUE,
  IF(X698&gt;0.7,"Login anomaly",""),
  IF(Y698&gt;0.7,"File anomaly",""),
  IF(Z698&gt;0.7,"Network anomaly",""),
  IF(AA698&gt;0.7,"USB anomaly","")
 )="",
 "General anomaly detected",
 _xlfn.TEXTJOIN(", ", TRUE,
  IF(X698&gt;0.7,"Login anomaly",""),
  IF(Y698&gt;0.7,"File anomaly",""),
  IF(Z698&gt;0.7,"Network anomaly",""),
  IF(AA698&gt;0.7,"USB anomaly","")
 )))</f>
        <v/>
      </c>
    </row>
    <row r="699" spans="1:40" x14ac:dyDescent="0.3">
      <c r="A699" t="s">
        <v>722</v>
      </c>
      <c r="B699">
        <v>0.12892249527410199</v>
      </c>
      <c r="C699">
        <v>0.36953165208440503</v>
      </c>
      <c r="D699">
        <v>0</v>
      </c>
      <c r="E699">
        <v>0</v>
      </c>
      <c r="F699">
        <v>0</v>
      </c>
      <c r="G699">
        <v>0.99368646255784199</v>
      </c>
      <c r="H699">
        <v>8</v>
      </c>
      <c r="I699">
        <v>8</v>
      </c>
      <c r="J699">
        <v>6.2640141214636694E-2</v>
      </c>
      <c r="K699">
        <v>8.1566068515497494E-3</v>
      </c>
      <c r="L699">
        <v>3.3134830245446799E-2</v>
      </c>
      <c r="M699">
        <v>1.44300144300144E-3</v>
      </c>
      <c r="N699">
        <v>1.3868360605841601E-2</v>
      </c>
      <c r="O699">
        <v>641</v>
      </c>
      <c r="P699">
        <v>5.0259539842873097E-2</v>
      </c>
      <c r="Q699">
        <v>5.0422525333987799E-2</v>
      </c>
      <c r="R699">
        <v>0</v>
      </c>
      <c r="S699">
        <v>0</v>
      </c>
      <c r="T699" t="s">
        <v>49</v>
      </c>
      <c r="U699">
        <v>2.83018867924528E-2</v>
      </c>
      <c r="V699">
        <v>0</v>
      </c>
      <c r="W699">
        <v>0</v>
      </c>
      <c r="X699">
        <v>0</v>
      </c>
      <c r="Y699">
        <v>3.3255951547403198E-2</v>
      </c>
      <c r="Z699">
        <v>3.5703068148060499E-2</v>
      </c>
      <c r="AA699">
        <v>0</v>
      </c>
      <c r="AB699">
        <v>2.4707000702619549E-2</v>
      </c>
      <c r="AC699">
        <v>1.6199999663513151E-4</v>
      </c>
      <c r="AD699">
        <v>7.4209999293088913E-3</v>
      </c>
      <c r="AE699">
        <v>1.973999897018075E-3</v>
      </c>
      <c r="AF699">
        <f>0.16*X699 + 0.28*Y699 + 0.28*Z699 + 0.28*AA699</f>
        <v>1.9308525514729835E-2</v>
      </c>
      <c r="AG699">
        <f t="shared" si="30"/>
        <v>6.6290800628485145E-3</v>
      </c>
      <c r="AH699">
        <f>IF(T699="IT_Admin", 0.25, IF(AND(T699="HR", AA699&gt;0.6), 0.25, IF(AND(T699="General", Z699&gt;0.7), 0.2, 0.1)))</f>
        <v>0.1</v>
      </c>
      <c r="AI699">
        <f>IF(V699&gt;0.7, 0.1,
 IF(F699&gt;0.5, 0.08,
 IF(E699&gt;0.5, 0.05,
 0)))</f>
        <v>0</v>
      </c>
      <c r="AJ699">
        <f t="shared" si="31"/>
        <v>1.0432913698412909E-2</v>
      </c>
      <c r="AK699">
        <f t="shared" si="32"/>
        <v>1.1476205068254201E-2</v>
      </c>
      <c r="AL699" t="str">
        <f>IF(MAX(X699, Y699, Z699, AA699)&gt;0.9,
 "Critical",
 IF(AK699&lt;=0.2,"Very Low",
 IF(AK699&lt;=0.4,"Low",
 IF(AK699&lt;=0.6,"Medium",
 IF(AK699&lt;=0.8,"High","Critical")))))</f>
        <v>Very Low</v>
      </c>
      <c r="AM699" t="str">
        <f>IF(MAX(X699:AA699)&gt;0.9,"CRITICAL ALERT",
 IF(AK699&gt;0.8,"CRITICAL ALERT",
 IF(AK699&gt;0.6,"ALERT",
 IF(AK699&gt;=0.4,"REVIEW","NO ACTION"))))</f>
        <v>NO ACTION</v>
      </c>
      <c r="AN699" t="str">
        <f>IF(AM699="NO ACTION","",
 IF(_xlfn.TEXTJOIN(", ", TRUE,
  IF(X699&gt;0.7,"Login anomaly",""),
  IF(Y699&gt;0.7,"File anomaly",""),
  IF(Z699&gt;0.7,"Network anomaly",""),
  IF(AA699&gt;0.7,"USB anomaly","")
 )="",
 "General anomaly detected",
 _xlfn.TEXTJOIN(", ", TRUE,
  IF(X699&gt;0.7,"Login anomaly",""),
  IF(Y699&gt;0.7,"File anomaly",""),
  IF(Z699&gt;0.7,"Network anomaly",""),
  IF(AA699&gt;0.7,"USB anomaly","")
 )))</f>
        <v/>
      </c>
    </row>
    <row r="700" spans="1:40" x14ac:dyDescent="0.3">
      <c r="A700" t="s">
        <v>723</v>
      </c>
      <c r="B700">
        <v>0.13724007561436599</v>
      </c>
      <c r="C700">
        <v>0.11176570403642699</v>
      </c>
      <c r="D700">
        <v>0.14498341286101199</v>
      </c>
      <c r="E700">
        <v>0</v>
      </c>
      <c r="F700">
        <v>0.52861035422343305</v>
      </c>
      <c r="G700">
        <v>0.92502267059790699</v>
      </c>
      <c r="H700">
        <v>6</v>
      </c>
      <c r="I700">
        <v>14</v>
      </c>
      <c r="J700">
        <v>8.2438814942035199E-2</v>
      </c>
      <c r="K700">
        <v>2.2838499184339299E-2</v>
      </c>
      <c r="L700">
        <v>7.0560171689438497E-2</v>
      </c>
      <c r="M700">
        <v>8.6580086580086493E-3</v>
      </c>
      <c r="N700">
        <v>6.3283898252161297E-2</v>
      </c>
      <c r="O700">
        <v>792</v>
      </c>
      <c r="P700">
        <v>7.4635241301907906E-2</v>
      </c>
      <c r="Q700">
        <v>7.4792243767312999E-2</v>
      </c>
      <c r="R700">
        <v>0</v>
      </c>
      <c r="S700">
        <v>0</v>
      </c>
      <c r="T700" t="s">
        <v>49</v>
      </c>
      <c r="U700">
        <v>1.53377967133292E-2</v>
      </c>
      <c r="V700">
        <v>0</v>
      </c>
      <c r="W700">
        <v>0</v>
      </c>
      <c r="X700">
        <v>0.25493916554767598</v>
      </c>
      <c r="Y700">
        <v>7.0753018308774701E-2</v>
      </c>
      <c r="Z700">
        <v>7.0094704082009296E-2</v>
      </c>
      <c r="AA700">
        <v>0</v>
      </c>
      <c r="AB700">
        <v>4.1985001415014267E-2</v>
      </c>
      <c r="AC700">
        <v>1.065999967977405E-3</v>
      </c>
      <c r="AD700">
        <v>3.1250000465661292E-3</v>
      </c>
      <c r="AE700">
        <v>1.4550000196322801E-3</v>
      </c>
      <c r="AF700">
        <f>0.16*X700 + 0.28*Y700 + 0.28*Z700 + 0.28*AA700</f>
        <v>8.022762875704767E-2</v>
      </c>
      <c r="AG700">
        <f t="shared" si="30"/>
        <v>8.2984802359715119E-3</v>
      </c>
      <c r="AH700">
        <f>IF(T700="IT_Admin", 0.25, IF(AND(T700="HR", AA700&gt;0.6), 0.25, IF(AND(T700="General", Z700&gt;0.7), 0.2, 0.1)))</f>
        <v>0.1</v>
      </c>
      <c r="AI700">
        <f>IF(V700&gt;0.7, 0.1,
 IF(F700&gt;0.5, 0.08,
 IF(E700&gt;0.5, 0.05,
 0)))</f>
        <v>0.08</v>
      </c>
      <c r="AJ700">
        <f t="shared" si="31"/>
        <v>2.9877224792294359E-2</v>
      </c>
      <c r="AK700">
        <f t="shared" si="32"/>
        <v>3.525512525490735E-2</v>
      </c>
      <c r="AL700" t="str">
        <f>IF(MAX(X700, Y700, Z700, AA700)&gt;0.9,
 "Critical",
 IF(AK700&lt;=0.2,"Very Low",
 IF(AK700&lt;=0.4,"Low",
 IF(AK700&lt;=0.6,"Medium",
 IF(AK700&lt;=0.8,"High","Critical")))))</f>
        <v>Very Low</v>
      </c>
      <c r="AM700" t="str">
        <f>IF(MAX(X700:AA700)&gt;0.9,"CRITICAL ALERT",
 IF(AK700&gt;0.8,"CRITICAL ALERT",
 IF(AK700&gt;0.6,"ALERT",
 IF(AK700&gt;=0.4,"REVIEW","NO ACTION"))))</f>
        <v>NO ACTION</v>
      </c>
      <c r="AN700" t="str">
        <f>IF(AM700="NO ACTION","",
 IF(_xlfn.TEXTJOIN(", ", TRUE,
  IF(X700&gt;0.7,"Login anomaly",""),
  IF(Y700&gt;0.7,"File anomaly",""),
  IF(Z700&gt;0.7,"Network anomaly",""),
  IF(AA700&gt;0.7,"USB anomaly","")
 )="",
 "General anomaly detected",
 _xlfn.TEXTJOIN(", ", TRUE,
  IF(X700&gt;0.7,"Login anomaly",""),
  IF(Y700&gt;0.7,"File anomaly",""),
  IF(Z700&gt;0.7,"Network anomaly",""),
  IF(AA700&gt;0.7,"USB anomaly","")
 )))</f>
        <v/>
      </c>
    </row>
    <row r="701" spans="1:40" x14ac:dyDescent="0.3">
      <c r="A701" t="s">
        <v>724</v>
      </c>
      <c r="B701">
        <v>0.12892249527410199</v>
      </c>
      <c r="C701">
        <v>0</v>
      </c>
      <c r="D701">
        <v>0</v>
      </c>
      <c r="E701">
        <v>0</v>
      </c>
      <c r="F701">
        <v>1</v>
      </c>
      <c r="G701">
        <v>0.99367990569662901</v>
      </c>
      <c r="H701">
        <v>6</v>
      </c>
      <c r="I701">
        <v>6</v>
      </c>
      <c r="J701">
        <v>0.115595629979485</v>
      </c>
      <c r="K701">
        <v>2.2838499184339299E-2</v>
      </c>
      <c r="L701">
        <v>5.03627584587302E-2</v>
      </c>
      <c r="M701">
        <v>3.7518037518037501E-3</v>
      </c>
      <c r="N701">
        <v>1.957335178093E-2</v>
      </c>
      <c r="O701">
        <v>1157</v>
      </c>
      <c r="P701">
        <v>9.6625982042648703E-2</v>
      </c>
      <c r="Q701">
        <v>9.6777586871909904E-2</v>
      </c>
      <c r="R701">
        <v>0</v>
      </c>
      <c r="S701">
        <v>0</v>
      </c>
      <c r="T701" t="s">
        <v>24</v>
      </c>
      <c r="U701">
        <v>3.3962264150943298E-2</v>
      </c>
      <c r="V701">
        <v>0</v>
      </c>
      <c r="W701">
        <v>0</v>
      </c>
      <c r="X701">
        <v>0.4</v>
      </c>
      <c r="Y701">
        <v>5.4172510759541201E-2</v>
      </c>
      <c r="Z701">
        <v>6.5804929937961207E-2</v>
      </c>
      <c r="AA701">
        <v>0</v>
      </c>
      <c r="AB701">
        <v>0.1188929975032806</v>
      </c>
      <c r="AC701">
        <v>3.1999999919207767E-5</v>
      </c>
      <c r="AD701">
        <v>1.949999947100878E-3</v>
      </c>
      <c r="AE701">
        <v>2.169999934267253E-4</v>
      </c>
      <c r="AF701">
        <f>0.16*X701 + 0.28*Y701 + 0.28*Z701 + 0.28*AA701</f>
        <v>9.7593683395300682E-2</v>
      </c>
      <c r="AG701">
        <f t="shared" si="30"/>
        <v>1.9638599583850003E-2</v>
      </c>
      <c r="AH701">
        <f>IF(T701="IT_Admin", 0.25, IF(AND(T701="HR", AA701&gt;0.6), 0.25, IF(AND(T701="General", Z701&gt;0.7), 0.2, 0.1)))</f>
        <v>0.25</v>
      </c>
      <c r="AI701">
        <f>IF(V701&gt;0.7, 0.1,
 IF(F701&gt;0.5, 0.08,
 IF(E701&gt;0.5, 0.05,
 0)))</f>
        <v>0.08</v>
      </c>
      <c r="AJ701">
        <f t="shared" si="31"/>
        <v>4.3025124727285202E-2</v>
      </c>
      <c r="AK701">
        <f t="shared" si="32"/>
        <v>5.7223415887289325E-2</v>
      </c>
      <c r="AL701" t="str">
        <f>IF(MAX(X701, Y701, Z701, AA701)&gt;0.9,
 "Critical",
 IF(AK701&lt;=0.2,"Very Low",
 IF(AK701&lt;=0.4,"Low",
 IF(AK701&lt;=0.6,"Medium",
 IF(AK701&lt;=0.8,"High","Critical")))))</f>
        <v>Very Low</v>
      </c>
      <c r="AM701" t="str">
        <f>IF(MAX(X701:AA701)&gt;0.9,"CRITICAL ALERT",
 IF(AK701&gt;0.8,"CRITICAL ALERT",
 IF(AK701&gt;0.6,"ALERT",
 IF(AK701&gt;=0.4,"REVIEW","NO ACTION"))))</f>
        <v>NO ACTION</v>
      </c>
      <c r="AN701" t="str">
        <f>IF(AM701="NO ACTION","",
 IF(_xlfn.TEXTJOIN(", ", TRUE,
  IF(X701&gt;0.7,"Login anomaly",""),
  IF(Y701&gt;0.7,"File anomaly",""),
  IF(Z701&gt;0.7,"Network anomaly",""),
  IF(AA701&gt;0.7,"USB anomaly","")
 )="",
 "General anomaly detected",
 _xlfn.TEXTJOIN(", ", TRUE,
  IF(X701&gt;0.7,"Login anomaly",""),
  IF(Y701&gt;0.7,"File anomaly",""),
  IF(Z701&gt;0.7,"Network anomaly",""),
  IF(AA701&gt;0.7,"USB anomaly","")
 )))</f>
        <v/>
      </c>
    </row>
    <row r="702" spans="1:40" x14ac:dyDescent="0.3">
      <c r="A702" t="s">
        <v>725</v>
      </c>
      <c r="B702">
        <v>0.25368620037807099</v>
      </c>
      <c r="C702">
        <v>0.68513905567945599</v>
      </c>
      <c r="D702">
        <v>0.37462933057678999</v>
      </c>
      <c r="E702">
        <v>0</v>
      </c>
      <c r="F702">
        <v>0</v>
      </c>
      <c r="G702">
        <v>0.43464031439627598</v>
      </c>
      <c r="H702">
        <v>7</v>
      </c>
      <c r="I702">
        <v>16</v>
      </c>
      <c r="J702">
        <v>7.8145126663804201E-2</v>
      </c>
      <c r="K702">
        <v>3.2626427406199001E-3</v>
      </c>
      <c r="L702">
        <v>1.06321865522821E-2</v>
      </c>
      <c r="M702">
        <v>1.44300144300144E-3</v>
      </c>
      <c r="N702">
        <v>1.11250756412046E-2</v>
      </c>
      <c r="O702">
        <v>528</v>
      </c>
      <c r="P702">
        <v>5.9553872053871998E-2</v>
      </c>
      <c r="Q702">
        <v>5.9714576247413997E-2</v>
      </c>
      <c r="R702">
        <v>0.28466076696165099</v>
      </c>
      <c r="S702">
        <v>1</v>
      </c>
      <c r="T702" t="s">
        <v>49</v>
      </c>
      <c r="U702">
        <v>1.13207547169811E-2</v>
      </c>
      <c r="V702">
        <v>0</v>
      </c>
      <c r="W702">
        <v>0</v>
      </c>
      <c r="X702">
        <v>0.112388799173037</v>
      </c>
      <c r="Y702">
        <v>2.42826413012633E-2</v>
      </c>
      <c r="Z702">
        <v>4.0182353488805098E-2</v>
      </c>
      <c r="AA702">
        <v>0.28466076696165099</v>
      </c>
      <c r="AB702">
        <v>3.6720998585224152E-2</v>
      </c>
      <c r="AC702">
        <v>7.130000158213079E-4</v>
      </c>
      <c r="AD702">
        <v>5.3909998387098312E-3</v>
      </c>
      <c r="AE702">
        <v>9.4016999006271362E-2</v>
      </c>
      <c r="AF702">
        <f>0.16*X702 + 0.28*Y702 + 0.28*Z702 + 0.28*AA702</f>
        <v>0.11573742115816735</v>
      </c>
      <c r="AG702">
        <f t="shared" si="30"/>
        <v>3.3909239454660567E-2</v>
      </c>
      <c r="AH702">
        <f>IF(T702="IT_Admin", 0.25, IF(AND(T702="HR", AA702&gt;0.6), 0.25, IF(AND(T702="General", Z702&gt;0.7), 0.2, 0.1)))</f>
        <v>0.1</v>
      </c>
      <c r="AI702">
        <f>IF(V702&gt;0.7, 0.1,
 IF(F702&gt;0.5, 0.08,
 IF(E702&gt;0.5, 0.05,
 0)))</f>
        <v>0</v>
      </c>
      <c r="AJ702">
        <f t="shared" si="31"/>
        <v>5.8457693965712598E-2</v>
      </c>
      <c r="AK702">
        <f t="shared" si="32"/>
        <v>6.4303463362283861E-2</v>
      </c>
      <c r="AL702" t="str">
        <f>IF(MAX(X702, Y702, Z702, AA702)&gt;0.9,
 "Critical",
 IF(AK702&lt;=0.2,"Very Low",
 IF(AK702&lt;=0.4,"Low",
 IF(AK702&lt;=0.6,"Medium",
 IF(AK702&lt;=0.8,"High","Critical")))))</f>
        <v>Very Low</v>
      </c>
      <c r="AM702" t="str">
        <f>IF(MAX(X702:AA702)&gt;0.9,"CRITICAL ALERT",
 IF(AK702&gt;0.8,"CRITICAL ALERT",
 IF(AK702&gt;0.6,"ALERT",
 IF(AK702&gt;=0.4,"REVIEW","NO ACTION"))))</f>
        <v>NO ACTION</v>
      </c>
      <c r="AN702" t="str">
        <f>IF(AM702="NO ACTION","",
 IF(_xlfn.TEXTJOIN(", ", TRUE,
  IF(X702&gt;0.7,"Login anomaly",""),
  IF(Y702&gt;0.7,"File anomaly",""),
  IF(Z702&gt;0.7,"Network anomaly",""),
  IF(AA702&gt;0.7,"USB anomaly","")
 )="",
 "General anomaly detected",
 _xlfn.TEXTJOIN(", ", TRUE,
  IF(X702&gt;0.7,"Login anomaly",""),
  IF(Y702&gt;0.7,"File anomaly",""),
  IF(Z702&gt;0.7,"Network anomaly",""),
  IF(AA702&gt;0.7,"USB anomaly","")
 )))</f>
        <v/>
      </c>
    </row>
    <row r="703" spans="1:40" x14ac:dyDescent="0.3">
      <c r="A703" t="s">
        <v>726</v>
      </c>
      <c r="B703">
        <v>0.12892249527410199</v>
      </c>
      <c r="C703">
        <v>0.36953165208440503</v>
      </c>
      <c r="D703">
        <v>0</v>
      </c>
      <c r="E703">
        <v>0</v>
      </c>
      <c r="F703">
        <v>0</v>
      </c>
      <c r="G703">
        <v>0.99368287635619901</v>
      </c>
      <c r="H703">
        <v>8</v>
      </c>
      <c r="I703">
        <v>8</v>
      </c>
      <c r="J703">
        <v>7.5330375459186097E-2</v>
      </c>
      <c r="K703">
        <v>9.7879282218597003E-3</v>
      </c>
      <c r="L703">
        <v>3.30846259571961E-2</v>
      </c>
      <c r="M703">
        <v>2.0202020202020202E-3</v>
      </c>
      <c r="N703">
        <v>1.61552392612998E-2</v>
      </c>
      <c r="O703">
        <v>788</v>
      </c>
      <c r="P703">
        <v>6.0570987654320903E-2</v>
      </c>
      <c r="Q703">
        <v>6.0731442196430403E-2</v>
      </c>
      <c r="R703">
        <v>0</v>
      </c>
      <c r="S703">
        <v>0</v>
      </c>
      <c r="T703" t="s">
        <v>49</v>
      </c>
      <c r="U703">
        <v>2.54716981132075E-2</v>
      </c>
      <c r="V703">
        <v>0</v>
      </c>
      <c r="W703">
        <v>0</v>
      </c>
      <c r="X703">
        <v>0</v>
      </c>
      <c r="Y703">
        <v>3.64549598488252E-2</v>
      </c>
      <c r="Z703">
        <v>4.2804688297112502E-2</v>
      </c>
      <c r="AA703">
        <v>0</v>
      </c>
      <c r="AB703">
        <v>2.4672999978065491E-2</v>
      </c>
      <c r="AC703">
        <v>1.3000000035390261E-4</v>
      </c>
      <c r="AD703">
        <v>5.8300001546740532E-3</v>
      </c>
      <c r="AE703">
        <v>1.8579999450594189E-3</v>
      </c>
      <c r="AF703">
        <f>0.16*X703 + 0.28*Y703 + 0.28*Z703 + 0.28*AA703</f>
        <v>2.219270148086256E-2</v>
      </c>
      <c r="AG703">
        <f t="shared" si="30"/>
        <v>6.1367200245149439E-3</v>
      </c>
      <c r="AH703">
        <f>IF(T703="IT_Admin", 0.25, IF(AND(T703="HR", AA703&gt;0.6), 0.25, IF(AND(T703="General", Z703&gt;0.7), 0.2, 0.1)))</f>
        <v>0.1</v>
      </c>
      <c r="AI703">
        <f>IF(V703&gt;0.7, 0.1,
 IF(F703&gt;0.5, 0.08,
 IF(E703&gt;0.5, 0.05,
 0)))</f>
        <v>0</v>
      </c>
      <c r="AJ703">
        <f t="shared" si="31"/>
        <v>1.0953514461419228E-2</v>
      </c>
      <c r="AK703">
        <f t="shared" si="32"/>
        <v>1.2048865907561152E-2</v>
      </c>
      <c r="AL703" t="str">
        <f>IF(MAX(X703, Y703, Z703, AA703)&gt;0.9,
 "Critical",
 IF(AK703&lt;=0.2,"Very Low",
 IF(AK703&lt;=0.4,"Low",
 IF(AK703&lt;=0.6,"Medium",
 IF(AK703&lt;=0.8,"High","Critical")))))</f>
        <v>Very Low</v>
      </c>
      <c r="AM703" t="str">
        <f>IF(MAX(X703:AA703)&gt;0.9,"CRITICAL ALERT",
 IF(AK703&gt;0.8,"CRITICAL ALERT",
 IF(AK703&gt;0.6,"ALERT",
 IF(AK703&gt;=0.4,"REVIEW","NO ACTION"))))</f>
        <v>NO ACTION</v>
      </c>
      <c r="AN703" t="str">
        <f>IF(AM703="NO ACTION","",
 IF(_xlfn.TEXTJOIN(", ", TRUE,
  IF(X703&gt;0.7,"Login anomaly",""),
  IF(Y703&gt;0.7,"File anomaly",""),
  IF(Z703&gt;0.7,"Network anomaly",""),
  IF(AA703&gt;0.7,"USB anomaly","")
 )="",
 "General anomaly detected",
 _xlfn.TEXTJOIN(", ", TRUE,
  IF(X703&gt;0.7,"Login anomaly",""),
  IF(Y703&gt;0.7,"File anomaly",""),
  IF(Z703&gt;0.7,"Network anomaly",""),
  IF(AA703&gt;0.7,"USB anomaly","")
 )))</f>
        <v/>
      </c>
    </row>
    <row r="704" spans="1:40" x14ac:dyDescent="0.3">
      <c r="A704" t="s">
        <v>727</v>
      </c>
      <c r="B704">
        <v>0.16143667296786299</v>
      </c>
      <c r="C704">
        <v>0.493423354465372</v>
      </c>
      <c r="D704">
        <v>0.241426379281311</v>
      </c>
      <c r="E704">
        <v>0</v>
      </c>
      <c r="F704">
        <v>0</v>
      </c>
      <c r="G704">
        <v>0.76520290801510105</v>
      </c>
      <c r="H704">
        <v>8</v>
      </c>
      <c r="I704">
        <v>15</v>
      </c>
      <c r="J704">
        <v>6.6599875960116406E-2</v>
      </c>
      <c r="K704">
        <v>1.0603588907014599E-2</v>
      </c>
      <c r="L704">
        <v>4.05233534208055E-2</v>
      </c>
      <c r="M704">
        <v>1.1544011544011501E-3</v>
      </c>
      <c r="N704">
        <v>1.0437401443825401E-2</v>
      </c>
      <c r="O704">
        <v>499</v>
      </c>
      <c r="P704">
        <v>5.4082491582491503E-2</v>
      </c>
      <c r="Q704">
        <v>5.4244538728566903E-2</v>
      </c>
      <c r="R704">
        <v>0.87758112094395202</v>
      </c>
      <c r="S704">
        <v>1</v>
      </c>
      <c r="T704" t="s">
        <v>49</v>
      </c>
      <c r="U704">
        <v>4.4150943396226397E-2</v>
      </c>
      <c r="V704">
        <v>0</v>
      </c>
      <c r="W704">
        <v>0</v>
      </c>
      <c r="X704">
        <v>7.2427913784393297E-2</v>
      </c>
      <c r="Y704">
        <v>3.6712872335573597E-2</v>
      </c>
      <c r="Z704">
        <v>3.6624455527025097E-2</v>
      </c>
      <c r="AA704">
        <v>0.87758112094395202</v>
      </c>
      <c r="AB704">
        <v>4.0660002268850803E-3</v>
      </c>
      <c r="AC704">
        <v>1.080000001820736E-4</v>
      </c>
      <c r="AD704">
        <v>6.0720001347363004E-3</v>
      </c>
      <c r="AE704">
        <v>0.78415799140930176</v>
      </c>
      <c r="AF704">
        <f>0.16*X704 + 0.28*Y704 + 0.28*Z704 + 0.28*AA704</f>
        <v>0.27784563187133715</v>
      </c>
      <c r="AG704">
        <f t="shared" si="30"/>
        <v>0.22194519766868326</v>
      </c>
      <c r="AH704">
        <f>IF(T704="IT_Admin", 0.25, IF(AND(T704="HR", AA704&gt;0.6), 0.25, IF(AND(T704="General", Z704&gt;0.7), 0.2, 0.1)))</f>
        <v>0.1</v>
      </c>
      <c r="AI704">
        <f>IF(V704&gt;0.7, 0.1,
 IF(F704&gt;0.5, 0.08,
 IF(E704&gt;0.5, 0.05,
 0)))</f>
        <v>0</v>
      </c>
      <c r="AJ704">
        <f t="shared" si="31"/>
        <v>0.23871532792947942</v>
      </c>
      <c r="AK704">
        <f t="shared" si="32"/>
        <v>0.26258686072242737</v>
      </c>
      <c r="AL704" t="str">
        <f>IF(MAX(X704, Y704, Z704, AA704)&gt;0.9,
 "Critical",
 IF(AK704&lt;=0.2,"Very Low",
 IF(AK704&lt;=0.4,"Low",
 IF(AK704&lt;=0.6,"Medium",
 IF(AK704&lt;=0.8,"High","Critical")))))</f>
        <v>Low</v>
      </c>
      <c r="AM704" t="str">
        <f>IF(MAX(X704:AA704)&gt;0.9,"CRITICAL ALERT",
 IF(AK704&gt;0.8,"CRITICAL ALERT",
 IF(AK704&gt;0.6,"ALERT",
 IF(AK704&gt;=0.4,"REVIEW","NO ACTION"))))</f>
        <v>NO ACTION</v>
      </c>
      <c r="AN704" t="str">
        <f>IF(AM704="NO ACTION","",
 IF(_xlfn.TEXTJOIN(", ", TRUE,
  IF(X704&gt;0.7,"Login anomaly",""),
  IF(Y704&gt;0.7,"File anomaly",""),
  IF(Z704&gt;0.7,"Network anomaly",""),
  IF(AA704&gt;0.7,"USB anomaly","")
 )="",
 "General anomaly detected",
 _xlfn.TEXTJOIN(", ", TRUE,
  IF(X704&gt;0.7,"Login anomaly",""),
  IF(Y704&gt;0.7,"File anomaly",""),
  IF(Z704&gt;0.7,"Network anomaly",""),
  IF(AA704&gt;0.7,"USB anomaly","")
 )))</f>
        <v/>
      </c>
    </row>
    <row r="705" spans="1:40" x14ac:dyDescent="0.3">
      <c r="A705" t="s">
        <v>728</v>
      </c>
      <c r="B705">
        <v>0.12892249527410199</v>
      </c>
      <c r="C705">
        <v>0.18476582604220201</v>
      </c>
      <c r="D705">
        <v>0</v>
      </c>
      <c r="E705">
        <v>0</v>
      </c>
      <c r="F705">
        <v>0</v>
      </c>
      <c r="G705">
        <v>0.99368873738724295</v>
      </c>
      <c r="H705">
        <v>7</v>
      </c>
      <c r="I705">
        <v>7</v>
      </c>
      <c r="J705">
        <v>7.3899146033109098E-2</v>
      </c>
      <c r="K705">
        <v>4.2414355628058703E-2</v>
      </c>
      <c r="L705">
        <v>0.14613440963332899</v>
      </c>
      <c r="M705">
        <v>1.44300144300144E-3</v>
      </c>
      <c r="N705">
        <v>1.17622260479403E-2</v>
      </c>
      <c r="O705">
        <v>805</v>
      </c>
      <c r="P705">
        <v>7.3267396184062805E-2</v>
      </c>
      <c r="Q705">
        <v>7.3424734387601207E-2</v>
      </c>
      <c r="R705">
        <v>0</v>
      </c>
      <c r="S705">
        <v>0</v>
      </c>
      <c r="T705" t="s">
        <v>49</v>
      </c>
      <c r="U705">
        <v>0.14716981132075399</v>
      </c>
      <c r="V705">
        <v>0</v>
      </c>
      <c r="W705">
        <v>0</v>
      </c>
      <c r="X705">
        <v>0</v>
      </c>
      <c r="Y705">
        <v>9.1375701837668702E-2</v>
      </c>
      <c r="Z705">
        <v>4.86653281296138E-2</v>
      </c>
      <c r="AA705">
        <v>0</v>
      </c>
      <c r="AB705">
        <v>3.6857001483440399E-2</v>
      </c>
      <c r="AC705">
        <v>7.6839998364448547E-3</v>
      </c>
      <c r="AD705">
        <v>4.282000008970499E-3</v>
      </c>
      <c r="AE705">
        <v>1.618999987840652E-3</v>
      </c>
      <c r="AF705">
        <f>0.16*X705 + 0.28*Y705 + 0.28*Z705 + 0.28*AA705</f>
        <v>3.9211488390839107E-2</v>
      </c>
      <c r="AG705">
        <f t="shared" si="30"/>
        <v>9.7009201906621476E-3</v>
      </c>
      <c r="AH705">
        <f>IF(T705="IT_Admin", 0.25, IF(AND(T705="HR", AA705&gt;0.6), 0.25, IF(AND(T705="General", Z705&gt;0.7), 0.2, 0.1)))</f>
        <v>0.1</v>
      </c>
      <c r="AI705">
        <f>IF(V705&gt;0.7, 0.1,
 IF(F705&gt;0.5, 0.08,
 IF(E705&gt;0.5, 0.05,
 0)))</f>
        <v>0</v>
      </c>
      <c r="AJ705">
        <f t="shared" si="31"/>
        <v>1.8554090650715234E-2</v>
      </c>
      <c r="AK705">
        <f t="shared" si="32"/>
        <v>2.0409499715786757E-2</v>
      </c>
      <c r="AL705" t="str">
        <f>IF(MAX(X705, Y705, Z705, AA705)&gt;0.9,
 "Critical",
 IF(AK705&lt;=0.2,"Very Low",
 IF(AK705&lt;=0.4,"Low",
 IF(AK705&lt;=0.6,"Medium",
 IF(AK705&lt;=0.8,"High","Critical")))))</f>
        <v>Very Low</v>
      </c>
      <c r="AM705" t="str">
        <f>IF(MAX(X705:AA705)&gt;0.9,"CRITICAL ALERT",
 IF(AK705&gt;0.8,"CRITICAL ALERT",
 IF(AK705&gt;0.6,"ALERT",
 IF(AK705&gt;=0.4,"REVIEW","NO ACTION"))))</f>
        <v>NO ACTION</v>
      </c>
      <c r="AN705" t="str">
        <f>IF(AM705="NO ACTION","",
 IF(_xlfn.TEXTJOIN(", ", TRUE,
  IF(X705&gt;0.7,"Login anomaly",""),
  IF(Y705&gt;0.7,"File anomaly",""),
  IF(Z705&gt;0.7,"Network anomaly",""),
  IF(AA705&gt;0.7,"USB anomaly","")
 )="",
 "General anomaly detected",
 _xlfn.TEXTJOIN(", ", TRUE,
  IF(X705&gt;0.7,"Login anomaly",""),
  IF(Y705&gt;0.7,"File anomaly",""),
  IF(Z705&gt;0.7,"Network anomaly",""),
  IF(AA705&gt;0.7,"USB anomaly","")
 )))</f>
        <v/>
      </c>
    </row>
    <row r="706" spans="1:40" x14ac:dyDescent="0.3">
      <c r="A706" t="s">
        <v>729</v>
      </c>
      <c r="B706">
        <v>0.12892249527410199</v>
      </c>
      <c r="C706">
        <v>0.27313209067108202</v>
      </c>
      <c r="D706">
        <v>7.5061757440099602E-2</v>
      </c>
      <c r="E706">
        <v>0</v>
      </c>
      <c r="F706">
        <v>0</v>
      </c>
      <c r="G706">
        <v>0.99367557013941799</v>
      </c>
      <c r="H706">
        <v>7</v>
      </c>
      <c r="I706">
        <v>8</v>
      </c>
      <c r="J706">
        <v>0.10247602690711299</v>
      </c>
      <c r="K706">
        <v>7.34094616639478E-3</v>
      </c>
      <c r="L706">
        <v>1.8255706287574999E-2</v>
      </c>
      <c r="M706">
        <v>3.1746031746031698E-3</v>
      </c>
      <c r="N706">
        <v>1.8677519002646699E-2</v>
      </c>
      <c r="O706">
        <v>1097</v>
      </c>
      <c r="P706">
        <v>8.0036475869809207E-2</v>
      </c>
      <c r="Q706">
        <v>8.0192152600020994E-2</v>
      </c>
      <c r="R706">
        <v>0</v>
      </c>
      <c r="S706">
        <v>0</v>
      </c>
      <c r="T706" t="s">
        <v>24</v>
      </c>
      <c r="U706">
        <v>1.27358490566037E-2</v>
      </c>
      <c r="V706">
        <v>0</v>
      </c>
      <c r="W706">
        <v>0</v>
      </c>
      <c r="X706">
        <v>2.2518527232029802E-2</v>
      </c>
      <c r="Y706">
        <v>3.5226314226004099E-2</v>
      </c>
      <c r="Z706">
        <v>5.5492893122944198E-2</v>
      </c>
      <c r="AA706">
        <v>0</v>
      </c>
      <c r="AB706">
        <v>1.8625000491738319E-2</v>
      </c>
      <c r="AC706">
        <v>4.0900000021792948E-4</v>
      </c>
      <c r="AD706">
        <v>3.3849999308586121E-3</v>
      </c>
      <c r="AE706">
        <v>1.5269999857991929E-3</v>
      </c>
      <c r="AF706">
        <f>0.16*X706 + 0.28*Y706 + 0.28*Z706 + 0.28*AA706</f>
        <v>2.9004342414830291E-2</v>
      </c>
      <c r="AG706">
        <f t="shared" si="30"/>
        <v>4.4698800554033372E-3</v>
      </c>
      <c r="AH706">
        <f>IF(T706="IT_Admin", 0.25, IF(AND(T706="HR", AA706&gt;0.6), 0.25, IF(AND(T706="General", Z706&gt;0.7), 0.2, 0.1)))</f>
        <v>0.25</v>
      </c>
      <c r="AI706">
        <f>IF(V706&gt;0.7, 0.1,
 IF(F706&gt;0.5, 0.08,
 IF(E706&gt;0.5, 0.05,
 0)))</f>
        <v>0</v>
      </c>
      <c r="AJ706">
        <f t="shared" si="31"/>
        <v>1.1830218763231422E-2</v>
      </c>
      <c r="AK706">
        <f t="shared" si="32"/>
        <v>1.4787773454039279E-2</v>
      </c>
      <c r="AL706" t="str">
        <f>IF(MAX(X706, Y706, Z706, AA706)&gt;0.9,
 "Critical",
 IF(AK706&lt;=0.2,"Very Low",
 IF(AK706&lt;=0.4,"Low",
 IF(AK706&lt;=0.6,"Medium",
 IF(AK706&lt;=0.8,"High","Critical")))))</f>
        <v>Very Low</v>
      </c>
      <c r="AM706" t="str">
        <f>IF(MAX(X706:AA706)&gt;0.9,"CRITICAL ALERT",
 IF(AK706&gt;0.8,"CRITICAL ALERT",
 IF(AK706&gt;0.6,"ALERT",
 IF(AK706&gt;=0.4,"REVIEW","NO ACTION"))))</f>
        <v>NO ACTION</v>
      </c>
      <c r="AN706" t="str">
        <f>IF(AM706="NO ACTION","",
 IF(_xlfn.TEXTJOIN(", ", TRUE,
  IF(X706&gt;0.7,"Login anomaly",""),
  IF(Y706&gt;0.7,"File anomaly",""),
  IF(Z706&gt;0.7,"Network anomaly",""),
  IF(AA706&gt;0.7,"USB anomaly","")
 )="",
 "General anomaly detected",
 _xlfn.TEXTJOIN(", ", TRUE,
  IF(X706&gt;0.7,"Login anomaly",""),
  IF(Y706&gt;0.7,"File anomaly",""),
  IF(Z706&gt;0.7,"Network anomaly",""),
  IF(AA706&gt;0.7,"USB anomaly","")
 )))</f>
        <v/>
      </c>
    </row>
    <row r="707" spans="1:40" x14ac:dyDescent="0.3">
      <c r="A707" t="s">
        <v>730</v>
      </c>
      <c r="B707">
        <v>0.12892249527410199</v>
      </c>
      <c r="C707">
        <v>0.18476582604220201</v>
      </c>
      <c r="D707">
        <v>0</v>
      </c>
      <c r="E707">
        <v>0</v>
      </c>
      <c r="F707">
        <v>0</v>
      </c>
      <c r="G707">
        <v>0.99367763086722805</v>
      </c>
      <c r="H707">
        <v>7</v>
      </c>
      <c r="I707">
        <v>7</v>
      </c>
      <c r="J707">
        <v>8.0912170220886398E-2</v>
      </c>
      <c r="K707">
        <v>6.5252854812398002E-3</v>
      </c>
      <c r="L707">
        <v>2.0539309236213402E-2</v>
      </c>
      <c r="M707">
        <v>2.3088023088023001E-3</v>
      </c>
      <c r="N707">
        <v>1.7193179803408998E-2</v>
      </c>
      <c r="O707">
        <v>765</v>
      </c>
      <c r="P707">
        <v>6.3411896745229998E-2</v>
      </c>
      <c r="Q707">
        <v>6.3571653985062496E-2</v>
      </c>
      <c r="R707">
        <v>0</v>
      </c>
      <c r="S707">
        <v>0</v>
      </c>
      <c r="T707" t="s">
        <v>49</v>
      </c>
      <c r="U707">
        <v>1.5094339622641499E-2</v>
      </c>
      <c r="V707">
        <v>0</v>
      </c>
      <c r="W707">
        <v>0</v>
      </c>
      <c r="X707">
        <v>0</v>
      </c>
      <c r="Y707">
        <v>3.1610042603306701E-2</v>
      </c>
      <c r="Z707">
        <v>4.4924409968501597E-2</v>
      </c>
      <c r="AA707">
        <v>0</v>
      </c>
      <c r="AB707">
        <v>3.6662999540567398E-2</v>
      </c>
      <c r="AC707">
        <v>4.0399999124929309E-4</v>
      </c>
      <c r="AD707">
        <v>5.4130000062286854E-3</v>
      </c>
      <c r="AE707">
        <v>1.684000017121434E-3</v>
      </c>
      <c r="AF707">
        <f>0.16*X707 + 0.28*Y707 + 0.28*Z707 + 0.28*AA707</f>
        <v>2.1429646720106325E-2</v>
      </c>
      <c r="AG707">
        <f t="shared" ref="AG707:AG770" si="33">0.16*AB707 + 0.28*AC707 + 0.28*AD707 + 0.28*AE707</f>
        <v>7.9663599305786204E-3</v>
      </c>
      <c r="AH707">
        <f>IF(T707="IT_Admin", 0.25, IF(AND(T707="HR", AA707&gt;0.6), 0.25, IF(AND(T707="General", Z707&gt;0.7), 0.2, 0.1)))</f>
        <v>0.1</v>
      </c>
      <c r="AI707">
        <f>IF(V707&gt;0.7, 0.1,
 IF(F707&gt;0.5, 0.08,
 IF(E707&gt;0.5, 0.05,
 0)))</f>
        <v>0</v>
      </c>
      <c r="AJ707">
        <f t="shared" ref="AJ707:AJ770" si="34">0.3*AF707+0.7*AG707</f>
        <v>1.2005345967436932E-2</v>
      </c>
      <c r="AK707">
        <f t="shared" ref="AK707:AK770" si="35">MIN(1,AJ707*(1+AH707+AI707))</f>
        <v>1.3205880564180626E-2</v>
      </c>
      <c r="AL707" t="str">
        <f>IF(MAX(X707, Y707, Z707, AA707)&gt;0.9,
 "Critical",
 IF(AK707&lt;=0.2,"Very Low",
 IF(AK707&lt;=0.4,"Low",
 IF(AK707&lt;=0.6,"Medium",
 IF(AK707&lt;=0.8,"High","Critical")))))</f>
        <v>Very Low</v>
      </c>
      <c r="AM707" t="str">
        <f>IF(MAX(X707:AA707)&gt;0.9,"CRITICAL ALERT",
 IF(AK707&gt;0.8,"CRITICAL ALERT",
 IF(AK707&gt;0.6,"ALERT",
 IF(AK707&gt;=0.4,"REVIEW","NO ACTION"))))</f>
        <v>NO ACTION</v>
      </c>
      <c r="AN707" t="str">
        <f>IF(AM707="NO ACTION","",
 IF(_xlfn.TEXTJOIN(", ", TRUE,
  IF(X707&gt;0.7,"Login anomaly",""),
  IF(Y707&gt;0.7,"File anomaly",""),
  IF(Z707&gt;0.7,"Network anomaly",""),
  IF(AA707&gt;0.7,"USB anomaly","")
 )="",
 "General anomaly detected",
 _xlfn.TEXTJOIN(", ", TRUE,
  IF(X707&gt;0.7,"Login anomaly",""),
  IF(Y707&gt;0.7,"File anomaly",""),
  IF(Z707&gt;0.7,"Network anomaly",""),
  IF(AA707&gt;0.7,"USB anomaly","")
 )))</f>
        <v/>
      </c>
    </row>
    <row r="708" spans="1:40" x14ac:dyDescent="0.3">
      <c r="A708" t="s">
        <v>731</v>
      </c>
      <c r="B708">
        <v>8.8468809073723995E-2</v>
      </c>
      <c r="C708">
        <v>0.18476582604220201</v>
      </c>
      <c r="D708">
        <v>0</v>
      </c>
      <c r="E708">
        <v>0</v>
      </c>
      <c r="F708">
        <v>0</v>
      </c>
      <c r="G708">
        <v>0.989166137707293</v>
      </c>
      <c r="H708">
        <v>7</v>
      </c>
      <c r="I708">
        <v>7</v>
      </c>
      <c r="J708">
        <v>2.4569438480988501E-2</v>
      </c>
      <c r="K708">
        <v>2.4469820554649199E-3</v>
      </c>
      <c r="L708">
        <v>2.5195215152018599E-2</v>
      </c>
      <c r="M708">
        <v>0</v>
      </c>
      <c r="N708">
        <v>0</v>
      </c>
      <c r="O708">
        <v>309</v>
      </c>
      <c r="P708">
        <v>1.9114758698092E-2</v>
      </c>
      <c r="Q708">
        <v>1.9285388688242901E-2</v>
      </c>
      <c r="R708">
        <v>0</v>
      </c>
      <c r="S708">
        <v>0</v>
      </c>
      <c r="T708" t="s">
        <v>49</v>
      </c>
      <c r="U708">
        <v>5.0943396226415097E-2</v>
      </c>
      <c r="V708">
        <v>0</v>
      </c>
      <c r="W708">
        <v>0</v>
      </c>
      <c r="X708">
        <v>0</v>
      </c>
      <c r="Y708">
        <v>1.7511495272206998E-2</v>
      </c>
      <c r="Z708">
        <v>1.14688552188552E-2</v>
      </c>
      <c r="AA708">
        <v>0</v>
      </c>
      <c r="AB708">
        <v>4.1634000837802887E-2</v>
      </c>
      <c r="AC708">
        <v>6.750000175088644E-4</v>
      </c>
      <c r="AD708">
        <v>1.374899968504906E-2</v>
      </c>
      <c r="AE708">
        <v>1.7950000474229451E-3</v>
      </c>
      <c r="AF708">
        <f>0.16*X708 + 0.28*Y708 + 0.28*Z708 + 0.28*AA708</f>
        <v>8.1144981374974157E-3</v>
      </c>
      <c r="AG708">
        <f t="shared" si="33"/>
        <v>1.1202760064043105E-2</v>
      </c>
      <c r="AH708">
        <f>IF(T708="IT_Admin", 0.25, IF(AND(T708="HR", AA708&gt;0.6), 0.25, IF(AND(T708="General", Z708&gt;0.7), 0.2, 0.1)))</f>
        <v>0.1</v>
      </c>
      <c r="AI708">
        <f>IF(V708&gt;0.7, 0.1,
 IF(F708&gt;0.5, 0.08,
 IF(E708&gt;0.5, 0.05,
 0)))</f>
        <v>0</v>
      </c>
      <c r="AJ708">
        <f t="shared" si="34"/>
        <v>1.0276281486079399E-2</v>
      </c>
      <c r="AK708">
        <f t="shared" si="35"/>
        <v>1.130390963468734E-2</v>
      </c>
      <c r="AL708" t="str">
        <f>IF(MAX(X708, Y708, Z708, AA708)&gt;0.9,
 "Critical",
 IF(AK708&lt;=0.2,"Very Low",
 IF(AK708&lt;=0.4,"Low",
 IF(AK708&lt;=0.6,"Medium",
 IF(AK708&lt;=0.8,"High","Critical")))))</f>
        <v>Very Low</v>
      </c>
      <c r="AM708" t="str">
        <f>IF(MAX(X708:AA708)&gt;0.9,"CRITICAL ALERT",
 IF(AK708&gt;0.8,"CRITICAL ALERT",
 IF(AK708&gt;0.6,"ALERT",
 IF(AK708&gt;=0.4,"REVIEW","NO ACTION"))))</f>
        <v>NO ACTION</v>
      </c>
      <c r="AN708" t="str">
        <f>IF(AM708="NO ACTION","",
 IF(_xlfn.TEXTJOIN(", ", TRUE,
  IF(X708&gt;0.7,"Login anomaly",""),
  IF(Y708&gt;0.7,"File anomaly",""),
  IF(Z708&gt;0.7,"Network anomaly",""),
  IF(AA708&gt;0.7,"USB anomaly","")
 )="",
 "General anomaly detected",
 _xlfn.TEXTJOIN(", ", TRUE,
  IF(X708&gt;0.7,"Login anomaly",""),
  IF(Y708&gt;0.7,"File anomaly",""),
  IF(Z708&gt;0.7,"Network anomaly",""),
  IF(AA708&gt;0.7,"USB anomaly","")
 )))</f>
        <v/>
      </c>
    </row>
    <row r="709" spans="1:40" x14ac:dyDescent="0.3">
      <c r="A709" t="s">
        <v>732</v>
      </c>
      <c r="B709">
        <v>0.12892249527410199</v>
      </c>
      <c r="C709">
        <v>0.36953165208440503</v>
      </c>
      <c r="D709">
        <v>0</v>
      </c>
      <c r="E709">
        <v>0</v>
      </c>
      <c r="F709">
        <v>0</v>
      </c>
      <c r="G709">
        <v>0.99370088765251097</v>
      </c>
      <c r="H709">
        <v>8</v>
      </c>
      <c r="I709">
        <v>8</v>
      </c>
      <c r="J709">
        <v>9.2552836219645995E-2</v>
      </c>
      <c r="K709">
        <v>9.7879282218597003E-3</v>
      </c>
      <c r="L709">
        <v>2.6943983298816799E-2</v>
      </c>
      <c r="M709">
        <v>1.44300144300144E-3</v>
      </c>
      <c r="N709">
        <v>9.3976860043698002E-3</v>
      </c>
      <c r="O709">
        <v>882</v>
      </c>
      <c r="P709">
        <v>7.29517396184063E-2</v>
      </c>
      <c r="Q709">
        <v>7.3109155299975401E-2</v>
      </c>
      <c r="R709">
        <v>0</v>
      </c>
      <c r="S709">
        <v>0</v>
      </c>
      <c r="T709" t="s">
        <v>49</v>
      </c>
      <c r="U709">
        <v>3.3962264150943298E-2</v>
      </c>
      <c r="V709">
        <v>0</v>
      </c>
      <c r="W709">
        <v>0</v>
      </c>
      <c r="X709">
        <v>0</v>
      </c>
      <c r="Y709">
        <v>3.48018646946485E-2</v>
      </c>
      <c r="Z709">
        <v>4.7530118172791701E-2</v>
      </c>
      <c r="AA709">
        <v>0</v>
      </c>
      <c r="AB709">
        <v>2.4652000516653061E-2</v>
      </c>
      <c r="AC709">
        <v>1.6199999663513151E-4</v>
      </c>
      <c r="AD709">
        <v>4.4089998118579388E-3</v>
      </c>
      <c r="AE709">
        <v>1.7460000235587361E-3</v>
      </c>
      <c r="AF709">
        <f>0.16*X709 + 0.28*Y709 + 0.28*Z709 + 0.28*AA709</f>
        <v>2.3052955202883259E-2</v>
      </c>
      <c r="AG709">
        <f t="shared" si="33"/>
        <v>5.7130800356389958E-3</v>
      </c>
      <c r="AH709">
        <f>IF(T709="IT_Admin", 0.25, IF(AND(T709="HR", AA709&gt;0.6), 0.25, IF(AND(T709="General", Z709&gt;0.7), 0.2, 0.1)))</f>
        <v>0.1</v>
      </c>
      <c r="AI709">
        <f>IF(V709&gt;0.7, 0.1,
 IF(F709&gt;0.5, 0.08,
 IF(E709&gt;0.5, 0.05,
 0)))</f>
        <v>0</v>
      </c>
      <c r="AJ709">
        <f t="shared" si="34"/>
        <v>1.0915042585812273E-2</v>
      </c>
      <c r="AK709">
        <f t="shared" si="35"/>
        <v>1.2006546844393501E-2</v>
      </c>
      <c r="AL709" t="str">
        <f>IF(MAX(X709, Y709, Z709, AA709)&gt;0.9,
 "Critical",
 IF(AK709&lt;=0.2,"Very Low",
 IF(AK709&lt;=0.4,"Low",
 IF(AK709&lt;=0.6,"Medium",
 IF(AK709&lt;=0.8,"High","Critical")))))</f>
        <v>Very Low</v>
      </c>
      <c r="AM709" t="str">
        <f>IF(MAX(X709:AA709)&gt;0.9,"CRITICAL ALERT",
 IF(AK709&gt;0.8,"CRITICAL ALERT",
 IF(AK709&gt;0.6,"ALERT",
 IF(AK709&gt;=0.4,"REVIEW","NO ACTION"))))</f>
        <v>NO ACTION</v>
      </c>
      <c r="AN709" t="str">
        <f>IF(AM709="NO ACTION","",
 IF(_xlfn.TEXTJOIN(", ", TRUE,
  IF(X709&gt;0.7,"Login anomaly",""),
  IF(Y709&gt;0.7,"File anomaly",""),
  IF(Z709&gt;0.7,"Network anomaly",""),
  IF(AA709&gt;0.7,"USB anomaly","")
 )="",
 "General anomaly detected",
 _xlfn.TEXTJOIN(", ", TRUE,
  IF(X709&gt;0.7,"Login anomaly",""),
  IF(Y709&gt;0.7,"File anomaly",""),
  IF(Z709&gt;0.7,"Network anomaly",""),
  IF(AA709&gt;0.7,"USB anomaly","")
 )))</f>
        <v/>
      </c>
    </row>
    <row r="710" spans="1:40" x14ac:dyDescent="0.3">
      <c r="A710" t="s">
        <v>733</v>
      </c>
      <c r="B710">
        <v>0.23478260869565201</v>
      </c>
      <c r="C710">
        <v>0.40707606793618101</v>
      </c>
      <c r="D710">
        <v>0.37517658788068697</v>
      </c>
      <c r="E710">
        <v>0</v>
      </c>
      <c r="F710">
        <v>0.55200000000000005</v>
      </c>
      <c r="G710">
        <v>0.48111159358598499</v>
      </c>
      <c r="H710">
        <v>6</v>
      </c>
      <c r="I710">
        <v>12</v>
      </c>
      <c r="J710">
        <v>7.7858880778588796E-2</v>
      </c>
      <c r="K710">
        <v>1.38662316476345E-2</v>
      </c>
      <c r="L710">
        <v>4.5352413346333602E-2</v>
      </c>
      <c r="M710">
        <v>5.7720057720057698E-4</v>
      </c>
      <c r="N710">
        <v>4.4663406911421497E-3</v>
      </c>
      <c r="O710">
        <v>619</v>
      </c>
      <c r="P710">
        <v>6.3482042648709297E-2</v>
      </c>
      <c r="Q710">
        <v>6.3641782671201602E-2</v>
      </c>
      <c r="R710">
        <v>0</v>
      </c>
      <c r="S710">
        <v>0</v>
      </c>
      <c r="T710" t="s">
        <v>49</v>
      </c>
      <c r="U710">
        <v>9.6226415094339601E-2</v>
      </c>
      <c r="V710">
        <v>0</v>
      </c>
      <c r="W710">
        <v>0</v>
      </c>
      <c r="X710">
        <v>0.33335297636420602</v>
      </c>
      <c r="Y710">
        <v>3.9587885036227198E-2</v>
      </c>
      <c r="Z710">
        <v>3.9875761865682403E-2</v>
      </c>
      <c r="AA710">
        <v>0</v>
      </c>
      <c r="AB710">
        <v>5.5167999118566513E-2</v>
      </c>
      <c r="AC710">
        <v>1.26100005581975E-3</v>
      </c>
      <c r="AD710">
        <v>5.5089998058974743E-3</v>
      </c>
      <c r="AE710">
        <v>6.0020000673830509E-3</v>
      </c>
      <c r="AF710">
        <f>0.16*X710 + 0.28*Y710 + 0.28*Z710 + 0.28*AA710</f>
        <v>7.5586297350807657E-2</v>
      </c>
      <c r="AG710">
        <f t="shared" si="33"/>
        <v>1.2403039839118718E-2</v>
      </c>
      <c r="AH710">
        <f>IF(T710="IT_Admin", 0.25, IF(AND(T710="HR", AA710&gt;0.6), 0.25, IF(AND(T710="General", Z710&gt;0.7), 0.2, 0.1)))</f>
        <v>0.1</v>
      </c>
      <c r="AI710">
        <f>IF(V710&gt;0.7, 0.1,
 IF(F710&gt;0.5, 0.08,
 IF(E710&gt;0.5, 0.05,
 0)))</f>
        <v>0.08</v>
      </c>
      <c r="AJ710">
        <f t="shared" si="34"/>
        <v>3.1358017092625395E-2</v>
      </c>
      <c r="AK710">
        <f t="shared" si="35"/>
        <v>3.7002460169297972E-2</v>
      </c>
      <c r="AL710" t="str">
        <f>IF(MAX(X710, Y710, Z710, AA710)&gt;0.9,
 "Critical",
 IF(AK710&lt;=0.2,"Very Low",
 IF(AK710&lt;=0.4,"Low",
 IF(AK710&lt;=0.6,"Medium",
 IF(AK710&lt;=0.8,"High","Critical")))))</f>
        <v>Very Low</v>
      </c>
      <c r="AM710" t="str">
        <f>IF(MAX(X710:AA710)&gt;0.9,"CRITICAL ALERT",
 IF(AK710&gt;0.8,"CRITICAL ALERT",
 IF(AK710&gt;0.6,"ALERT",
 IF(AK710&gt;=0.4,"REVIEW","NO ACTION"))))</f>
        <v>NO ACTION</v>
      </c>
      <c r="AN710" t="str">
        <f>IF(AM710="NO ACTION","",
 IF(_xlfn.TEXTJOIN(", ", TRUE,
  IF(X710&gt;0.7,"Login anomaly",""),
  IF(Y710&gt;0.7,"File anomaly",""),
  IF(Z710&gt;0.7,"Network anomaly",""),
  IF(AA710&gt;0.7,"USB anomaly","")
 )="",
 "General anomaly detected",
 _xlfn.TEXTJOIN(", ", TRUE,
  IF(X710&gt;0.7,"Login anomaly",""),
  IF(Y710&gt;0.7,"File anomaly",""),
  IF(Z710&gt;0.7,"Network anomaly",""),
  IF(AA710&gt;0.7,"USB anomaly","")
 )))</f>
        <v/>
      </c>
    </row>
    <row r="711" spans="1:40" x14ac:dyDescent="0.3">
      <c r="A711" t="s">
        <v>734</v>
      </c>
      <c r="B711">
        <v>0.236672967863894</v>
      </c>
      <c r="C711">
        <v>0.76839121306439795</v>
      </c>
      <c r="D711">
        <v>0.36539765698209598</v>
      </c>
      <c r="E711">
        <v>0</v>
      </c>
      <c r="F711">
        <v>0</v>
      </c>
      <c r="G711">
        <v>0.47629514615825203</v>
      </c>
      <c r="H711">
        <v>8</v>
      </c>
      <c r="I711">
        <v>14</v>
      </c>
      <c r="J711">
        <v>7.8288249606411897E-2</v>
      </c>
      <c r="K711">
        <v>1.2234910277324601E-2</v>
      </c>
      <c r="L711">
        <v>3.9798031224330697E-2</v>
      </c>
      <c r="M711">
        <v>2.8860028860028799E-3</v>
      </c>
      <c r="N711">
        <v>2.2209598151274899E-2</v>
      </c>
      <c r="O711">
        <v>844</v>
      </c>
      <c r="P711">
        <v>6.4218574635241304E-2</v>
      </c>
      <c r="Q711">
        <v>6.4378133875661797E-2</v>
      </c>
      <c r="R711">
        <v>0</v>
      </c>
      <c r="S711">
        <v>0</v>
      </c>
      <c r="T711" t="s">
        <v>49</v>
      </c>
      <c r="U711">
        <v>2.3156089193824999E-2</v>
      </c>
      <c r="V711">
        <v>0</v>
      </c>
      <c r="W711">
        <v>0</v>
      </c>
      <c r="X711">
        <v>0.109619297094628</v>
      </c>
      <c r="Y711">
        <v>4.2219544978830202E-2</v>
      </c>
      <c r="Z711">
        <v>4.7414984041654701E-2</v>
      </c>
      <c r="AA711">
        <v>0</v>
      </c>
      <c r="AB711">
        <v>3.7718001753091812E-2</v>
      </c>
      <c r="AC711">
        <v>8.7000000348780304E-5</v>
      </c>
      <c r="AD711">
        <v>4.8969998024404049E-3</v>
      </c>
      <c r="AE711">
        <v>6.6619999706745148E-3</v>
      </c>
      <c r="AF711">
        <f>0.16*X711 + 0.28*Y711 + 0.28*Z711 + 0.28*AA711</f>
        <v>4.2636755660876255E-2</v>
      </c>
      <c r="AG711">
        <f t="shared" si="33"/>
        <v>9.2957602170645262E-3</v>
      </c>
      <c r="AH711">
        <f>IF(T711="IT_Admin", 0.25, IF(AND(T711="HR", AA711&gt;0.6), 0.25, IF(AND(T711="General", Z711&gt;0.7), 0.2, 0.1)))</f>
        <v>0.1</v>
      </c>
      <c r="AI711">
        <f>IF(V711&gt;0.7, 0.1,
 IF(F711&gt;0.5, 0.08,
 IF(E711&gt;0.5, 0.05,
 0)))</f>
        <v>0</v>
      </c>
      <c r="AJ711">
        <f t="shared" si="34"/>
        <v>1.9298058850208043E-2</v>
      </c>
      <c r="AK711">
        <f t="shared" si="35"/>
        <v>2.1227864735228849E-2</v>
      </c>
      <c r="AL711" t="str">
        <f>IF(MAX(X711, Y711, Z711, AA711)&gt;0.9,
 "Critical",
 IF(AK711&lt;=0.2,"Very Low",
 IF(AK711&lt;=0.4,"Low",
 IF(AK711&lt;=0.6,"Medium",
 IF(AK711&lt;=0.8,"High","Critical")))))</f>
        <v>Very Low</v>
      </c>
      <c r="AM711" t="str">
        <f>IF(MAX(X711:AA711)&gt;0.9,"CRITICAL ALERT",
 IF(AK711&gt;0.8,"CRITICAL ALERT",
 IF(AK711&gt;0.6,"ALERT",
 IF(AK711&gt;=0.4,"REVIEW","NO ACTION"))))</f>
        <v>NO ACTION</v>
      </c>
      <c r="AN711" t="str">
        <f>IF(AM711="NO ACTION","",
 IF(_xlfn.TEXTJOIN(", ", TRUE,
  IF(X711&gt;0.7,"Login anomaly",""),
  IF(Y711&gt;0.7,"File anomaly",""),
  IF(Z711&gt;0.7,"Network anomaly",""),
  IF(AA711&gt;0.7,"USB anomaly","")
 )="",
 "General anomaly detected",
 _xlfn.TEXTJOIN(", ", TRUE,
  IF(X711&gt;0.7,"Login anomaly",""),
  IF(Y711&gt;0.7,"File anomaly",""),
  IF(Z711&gt;0.7,"Network anomaly",""),
  IF(AA711&gt;0.7,"USB anomaly","")
 )))</f>
        <v/>
      </c>
    </row>
    <row r="712" spans="1:40" x14ac:dyDescent="0.3">
      <c r="A712" t="s">
        <v>735</v>
      </c>
      <c r="B712">
        <v>0.12892249527410199</v>
      </c>
      <c r="C712">
        <v>0.18476582604220201</v>
      </c>
      <c r="D712">
        <v>0</v>
      </c>
      <c r="E712">
        <v>0</v>
      </c>
      <c r="F712">
        <v>0</v>
      </c>
      <c r="G712">
        <v>0.99369387582541802</v>
      </c>
      <c r="H712">
        <v>7</v>
      </c>
      <c r="I712">
        <v>7</v>
      </c>
      <c r="J712">
        <v>9.5224464481656404E-2</v>
      </c>
      <c r="K712">
        <v>1.5497553017944501E-2</v>
      </c>
      <c r="L712">
        <v>4.1467387256695597E-2</v>
      </c>
      <c r="M712">
        <v>2.8860028860028799E-3</v>
      </c>
      <c r="N712">
        <v>1.8269364596201099E-2</v>
      </c>
      <c r="O712">
        <v>1067</v>
      </c>
      <c r="P712">
        <v>7.8072390572390502E-2</v>
      </c>
      <c r="Q712">
        <v>7.8228549388127205E-2</v>
      </c>
      <c r="R712">
        <v>0</v>
      </c>
      <c r="S712">
        <v>0</v>
      </c>
      <c r="T712" t="s">
        <v>24</v>
      </c>
      <c r="U712">
        <v>2.93310463121783E-2</v>
      </c>
      <c r="V712">
        <v>0</v>
      </c>
      <c r="W712">
        <v>0</v>
      </c>
      <c r="X712">
        <v>0</v>
      </c>
      <c r="Y712">
        <v>4.5259395903539397E-2</v>
      </c>
      <c r="Z712">
        <v>5.4151180181914803E-2</v>
      </c>
      <c r="AA712">
        <v>0</v>
      </c>
      <c r="AB712">
        <v>3.6685999482870102E-2</v>
      </c>
      <c r="AC712">
        <v>1.2999999853491319E-5</v>
      </c>
      <c r="AD712">
        <v>3.5969999153167009E-3</v>
      </c>
      <c r="AE712">
        <v>1.275000046007335E-3</v>
      </c>
      <c r="AF712">
        <f>0.16*X712 + 0.28*Y712 + 0.28*Z712 + 0.28*AA712</f>
        <v>2.783496130392718E-2</v>
      </c>
      <c r="AG712">
        <f t="shared" si="33"/>
        <v>7.2375599063889233E-3</v>
      </c>
      <c r="AH712">
        <f>IF(T712="IT_Admin", 0.25, IF(AND(T712="HR", AA712&gt;0.6), 0.25, IF(AND(T712="General", Z712&gt;0.7), 0.2, 0.1)))</f>
        <v>0.25</v>
      </c>
      <c r="AI712">
        <f>IF(V712&gt;0.7, 0.1,
 IF(F712&gt;0.5, 0.08,
 IF(E712&gt;0.5, 0.05,
 0)))</f>
        <v>0</v>
      </c>
      <c r="AJ712">
        <f t="shared" si="34"/>
        <v>1.3416780325650399E-2</v>
      </c>
      <c r="AK712">
        <f t="shared" si="35"/>
        <v>1.6770975407062998E-2</v>
      </c>
      <c r="AL712" t="str">
        <f>IF(MAX(X712, Y712, Z712, AA712)&gt;0.9,
 "Critical",
 IF(AK712&lt;=0.2,"Very Low",
 IF(AK712&lt;=0.4,"Low",
 IF(AK712&lt;=0.6,"Medium",
 IF(AK712&lt;=0.8,"High","Critical")))))</f>
        <v>Very Low</v>
      </c>
      <c r="AM712" t="str">
        <f>IF(MAX(X712:AA712)&gt;0.9,"CRITICAL ALERT",
 IF(AK712&gt;0.8,"CRITICAL ALERT",
 IF(AK712&gt;0.6,"ALERT",
 IF(AK712&gt;=0.4,"REVIEW","NO ACTION"))))</f>
        <v>NO ACTION</v>
      </c>
      <c r="AN712" t="str">
        <f>IF(AM712="NO ACTION","",
 IF(_xlfn.TEXTJOIN(", ", TRUE,
  IF(X712&gt;0.7,"Login anomaly",""),
  IF(Y712&gt;0.7,"File anomaly",""),
  IF(Z712&gt;0.7,"Network anomaly",""),
  IF(AA712&gt;0.7,"USB anomaly","")
 )="",
 "General anomaly detected",
 _xlfn.TEXTJOIN(", ", TRUE,
  IF(X712&gt;0.7,"Login anomaly",""),
  IF(Y712&gt;0.7,"File anomaly",""),
  IF(Z712&gt;0.7,"Network anomaly",""),
  IF(AA712&gt;0.7,"USB anomaly","")
 )))</f>
        <v/>
      </c>
    </row>
    <row r="713" spans="1:40" x14ac:dyDescent="0.3">
      <c r="A713" t="s">
        <v>736</v>
      </c>
      <c r="B713">
        <v>0.13648393194706901</v>
      </c>
      <c r="C713">
        <v>0.51785052066074799</v>
      </c>
      <c r="D713">
        <v>0.24084246338061499</v>
      </c>
      <c r="E713">
        <v>0</v>
      </c>
      <c r="F713">
        <v>0</v>
      </c>
      <c r="G713">
        <v>0.93092806790940996</v>
      </c>
      <c r="H713">
        <v>8</v>
      </c>
      <c r="I713">
        <v>19</v>
      </c>
      <c r="J713">
        <v>0.11163589523400599</v>
      </c>
      <c r="K713">
        <v>1.9575856443719401E-2</v>
      </c>
      <c r="L713">
        <v>4.4695989352834697E-2</v>
      </c>
      <c r="M713">
        <v>2.0202020202020202E-3</v>
      </c>
      <c r="N713">
        <v>1.09125368826861E-2</v>
      </c>
      <c r="O713">
        <v>1135</v>
      </c>
      <c r="P713">
        <v>9.1470258136924804E-2</v>
      </c>
      <c r="Q713">
        <v>9.1623128440688595E-2</v>
      </c>
      <c r="R713">
        <v>0.37610619469026502</v>
      </c>
      <c r="S713">
        <v>1</v>
      </c>
      <c r="T713" t="s">
        <v>24</v>
      </c>
      <c r="U713">
        <v>5.0943396226415097E-2</v>
      </c>
      <c r="V713">
        <v>0</v>
      </c>
      <c r="W713">
        <v>0</v>
      </c>
      <c r="X713">
        <v>7.2252739014184705E-2</v>
      </c>
      <c r="Y713">
        <v>4.7948934788024401E-2</v>
      </c>
      <c r="Z713">
        <v>5.9247169635229302E-2</v>
      </c>
      <c r="AA713">
        <v>0.37610619469026502</v>
      </c>
      <c r="AB713">
        <v>2.3267000913619999E-2</v>
      </c>
      <c r="AC713">
        <v>9.9999997473787516E-5</v>
      </c>
      <c r="AD713">
        <v>2.0300000905990601E-3</v>
      </c>
      <c r="AE713">
        <v>0.1471119970083237</v>
      </c>
      <c r="AF713">
        <f>0.16*X713 + 0.28*Y713 + 0.28*Z713 + 0.28*AA713</f>
        <v>0.14688508199405481</v>
      </c>
      <c r="AG713">
        <f t="shared" si="33"/>
        <v>4.5510479333170234E-2</v>
      </c>
      <c r="AH713">
        <f>IF(T713="IT_Admin", 0.25, IF(AND(T713="HR", AA713&gt;0.6), 0.25, IF(AND(T713="General", Z713&gt;0.7), 0.2, 0.1)))</f>
        <v>0.25</v>
      </c>
      <c r="AI713">
        <f>IF(V713&gt;0.7, 0.1,
 IF(F713&gt;0.5, 0.08,
 IF(E713&gt;0.5, 0.05,
 0)))</f>
        <v>0</v>
      </c>
      <c r="AJ713">
        <f t="shared" si="34"/>
        <v>7.5922860131435607E-2</v>
      </c>
      <c r="AK713">
        <f t="shared" si="35"/>
        <v>9.4903575164294512E-2</v>
      </c>
      <c r="AL713" t="str">
        <f>IF(MAX(X713, Y713, Z713, AA713)&gt;0.9,
 "Critical",
 IF(AK713&lt;=0.2,"Very Low",
 IF(AK713&lt;=0.4,"Low",
 IF(AK713&lt;=0.6,"Medium",
 IF(AK713&lt;=0.8,"High","Critical")))))</f>
        <v>Very Low</v>
      </c>
      <c r="AM713" t="str">
        <f>IF(MAX(X713:AA713)&gt;0.9,"CRITICAL ALERT",
 IF(AK713&gt;0.8,"CRITICAL ALERT",
 IF(AK713&gt;0.6,"ALERT",
 IF(AK713&gt;=0.4,"REVIEW","NO ACTION"))))</f>
        <v>NO ACTION</v>
      </c>
      <c r="AN713" t="str">
        <f>IF(AM713="NO ACTION","",
 IF(_xlfn.TEXTJOIN(", ", TRUE,
  IF(X713&gt;0.7,"Login anomaly",""),
  IF(Y713&gt;0.7,"File anomaly",""),
  IF(Z713&gt;0.7,"Network anomaly",""),
  IF(AA713&gt;0.7,"USB anomaly","")
 )="",
 "General anomaly detected",
 _xlfn.TEXTJOIN(", ", TRUE,
  IF(X713&gt;0.7,"Login anomaly",""),
  IF(Y713&gt;0.7,"File anomaly",""),
  IF(Z713&gt;0.7,"Network anomaly",""),
  IF(AA713&gt;0.7,"USB anomaly","")
 )))</f>
        <v/>
      </c>
    </row>
    <row r="714" spans="1:40" x14ac:dyDescent="0.3">
      <c r="A714" t="s">
        <v>737</v>
      </c>
      <c r="B714">
        <v>0.12892249527410199</v>
      </c>
      <c r="C714">
        <v>0.36953165208440503</v>
      </c>
      <c r="D714">
        <v>0</v>
      </c>
      <c r="E714">
        <v>0</v>
      </c>
      <c r="F714">
        <v>0</v>
      </c>
      <c r="G714">
        <v>0.99368790774357896</v>
      </c>
      <c r="H714">
        <v>8</v>
      </c>
      <c r="I714">
        <v>8</v>
      </c>
      <c r="J714">
        <v>9.1741806211535701E-2</v>
      </c>
      <c r="K714">
        <v>9.7879282218597003E-3</v>
      </c>
      <c r="L714">
        <v>2.7181559915040801E-2</v>
      </c>
      <c r="M714">
        <v>1.44300144300144E-3</v>
      </c>
      <c r="N714">
        <v>9.4805494183087501E-3</v>
      </c>
      <c r="O714">
        <v>704</v>
      </c>
      <c r="P714">
        <v>7.2355499438832696E-2</v>
      </c>
      <c r="Q714">
        <v>7.2513061467793405E-2</v>
      </c>
      <c r="R714">
        <v>0</v>
      </c>
      <c r="S714">
        <v>0</v>
      </c>
      <c r="T714" t="s">
        <v>49</v>
      </c>
      <c r="U714">
        <v>3.3962264150943298E-2</v>
      </c>
      <c r="V714">
        <v>0</v>
      </c>
      <c r="W714">
        <v>0</v>
      </c>
      <c r="X714">
        <v>0</v>
      </c>
      <c r="Y714">
        <v>3.47833060253201E-2</v>
      </c>
      <c r="Z714">
        <v>4.7205519430623101E-2</v>
      </c>
      <c r="AA714">
        <v>0</v>
      </c>
      <c r="AB714">
        <v>2.4686999619007111E-2</v>
      </c>
      <c r="AC714">
        <v>1.5900000289548191E-4</v>
      </c>
      <c r="AD714">
        <v>4.4780001044273376E-3</v>
      </c>
      <c r="AE714">
        <v>1.9270000047981739E-3</v>
      </c>
      <c r="AF714">
        <f>0.16*X714 + 0.28*Y714 + 0.28*Z714 + 0.28*AA714</f>
        <v>2.2956871127664098E-2</v>
      </c>
      <c r="AG714">
        <f t="shared" si="33"/>
        <v>5.7878399704350166E-3</v>
      </c>
      <c r="AH714">
        <f>IF(T714="IT_Admin", 0.25, IF(AND(T714="HR", AA714&gt;0.6), 0.25, IF(AND(T714="General", Z714&gt;0.7), 0.2, 0.1)))</f>
        <v>0.1</v>
      </c>
      <c r="AI714">
        <f>IF(V714&gt;0.7, 0.1,
 IF(F714&gt;0.5, 0.08,
 IF(E714&gt;0.5, 0.05,
 0)))</f>
        <v>0</v>
      </c>
      <c r="AJ714">
        <f t="shared" si="34"/>
        <v>1.0938549317603741E-2</v>
      </c>
      <c r="AK714">
        <f t="shared" si="35"/>
        <v>1.2032404249364116E-2</v>
      </c>
      <c r="AL714" t="str">
        <f>IF(MAX(X714, Y714, Z714, AA714)&gt;0.9,
 "Critical",
 IF(AK714&lt;=0.2,"Very Low",
 IF(AK714&lt;=0.4,"Low",
 IF(AK714&lt;=0.6,"Medium",
 IF(AK714&lt;=0.8,"High","Critical")))))</f>
        <v>Very Low</v>
      </c>
      <c r="AM714" t="str">
        <f>IF(MAX(X714:AA714)&gt;0.9,"CRITICAL ALERT",
 IF(AK714&gt;0.8,"CRITICAL ALERT",
 IF(AK714&gt;0.6,"ALERT",
 IF(AK714&gt;=0.4,"REVIEW","NO ACTION"))))</f>
        <v>NO ACTION</v>
      </c>
      <c r="AN714" t="str">
        <f>IF(AM714="NO ACTION","",
 IF(_xlfn.TEXTJOIN(", ", TRUE,
  IF(X714&gt;0.7,"Login anomaly",""),
  IF(Y714&gt;0.7,"File anomaly",""),
  IF(Z714&gt;0.7,"Network anomaly",""),
  IF(AA714&gt;0.7,"USB anomaly","")
 )="",
 "General anomaly detected",
 _xlfn.TEXTJOIN(", ", TRUE,
  IF(X714&gt;0.7,"Login anomaly",""),
  IF(Y714&gt;0.7,"File anomaly",""),
  IF(Z714&gt;0.7,"Network anomaly",""),
  IF(AA714&gt;0.7,"USB anomaly","")
 )))</f>
        <v/>
      </c>
    </row>
    <row r="715" spans="1:40" x14ac:dyDescent="0.3">
      <c r="A715" t="s">
        <v>738</v>
      </c>
      <c r="B715">
        <v>0.12892249527410199</v>
      </c>
      <c r="C715">
        <v>0.18476582604220201</v>
      </c>
      <c r="D715">
        <v>0</v>
      </c>
      <c r="E715">
        <v>0</v>
      </c>
      <c r="F715">
        <v>0</v>
      </c>
      <c r="G715">
        <v>0.99367658712197404</v>
      </c>
      <c r="H715">
        <v>7</v>
      </c>
      <c r="I715">
        <v>7</v>
      </c>
      <c r="J715">
        <v>8.3726921425504502E-2</v>
      </c>
      <c r="K715">
        <v>1.7944535073409401E-2</v>
      </c>
      <c r="L715">
        <v>5.4589632829373597E-2</v>
      </c>
      <c r="M715">
        <v>1.7316017316017301E-3</v>
      </c>
      <c r="N715">
        <v>1.2462613144431299E-2</v>
      </c>
      <c r="O715">
        <v>820</v>
      </c>
      <c r="P715">
        <v>7.0110830527497198E-2</v>
      </c>
      <c r="Q715">
        <v>7.0268943511343301E-2</v>
      </c>
      <c r="R715">
        <v>0</v>
      </c>
      <c r="S715">
        <v>0</v>
      </c>
      <c r="T715" t="s">
        <v>49</v>
      </c>
      <c r="U715">
        <v>5.3369272237196702E-2</v>
      </c>
      <c r="V715">
        <v>0</v>
      </c>
      <c r="W715">
        <v>0</v>
      </c>
      <c r="X715">
        <v>0</v>
      </c>
      <c r="Y715">
        <v>4.7778984643117098E-2</v>
      </c>
      <c r="Z715">
        <v>4.7051543574270799E-2</v>
      </c>
      <c r="AA715">
        <v>0</v>
      </c>
      <c r="AB715">
        <v>3.665199875831604E-2</v>
      </c>
      <c r="AC715">
        <v>1.4200000441633159E-4</v>
      </c>
      <c r="AD715">
        <v>4.6769999898970127E-3</v>
      </c>
      <c r="AE715">
        <v>1.646999968215823E-3</v>
      </c>
      <c r="AF715">
        <f>0.16*X715 + 0.28*Y715 + 0.28*Z715 + 0.28*AA715</f>
        <v>2.6552547900868612E-2</v>
      </c>
      <c r="AG715">
        <f t="shared" si="33"/>
        <v>7.6747997908387334E-3</v>
      </c>
      <c r="AH715">
        <f>IF(T715="IT_Admin", 0.25, IF(AND(T715="HR", AA715&gt;0.6), 0.25, IF(AND(T715="General", Z715&gt;0.7), 0.2, 0.1)))</f>
        <v>0.1</v>
      </c>
      <c r="AI715">
        <f>IF(V715&gt;0.7, 0.1,
 IF(F715&gt;0.5, 0.08,
 IF(E715&gt;0.5, 0.05,
 0)))</f>
        <v>0</v>
      </c>
      <c r="AJ715">
        <f t="shared" si="34"/>
        <v>1.3338124223847697E-2</v>
      </c>
      <c r="AK715">
        <f t="shared" si="35"/>
        <v>1.4671936646232469E-2</v>
      </c>
      <c r="AL715" t="str">
        <f>IF(MAX(X715, Y715, Z715, AA715)&gt;0.9,
 "Critical",
 IF(AK715&lt;=0.2,"Very Low",
 IF(AK715&lt;=0.4,"Low",
 IF(AK715&lt;=0.6,"Medium",
 IF(AK715&lt;=0.8,"High","Critical")))))</f>
        <v>Very Low</v>
      </c>
      <c r="AM715" t="str">
        <f>IF(MAX(X715:AA715)&gt;0.9,"CRITICAL ALERT",
 IF(AK715&gt;0.8,"CRITICAL ALERT",
 IF(AK715&gt;0.6,"ALERT",
 IF(AK715&gt;=0.4,"REVIEW","NO ACTION"))))</f>
        <v>NO ACTION</v>
      </c>
      <c r="AN715" t="str">
        <f>IF(AM715="NO ACTION","",
 IF(_xlfn.TEXTJOIN(", ", TRUE,
  IF(X715&gt;0.7,"Login anomaly",""),
  IF(Y715&gt;0.7,"File anomaly",""),
  IF(Z715&gt;0.7,"Network anomaly",""),
  IF(AA715&gt;0.7,"USB anomaly","")
 )="",
 "General anomaly detected",
 _xlfn.TEXTJOIN(", ", TRUE,
  IF(X715&gt;0.7,"Login anomaly",""),
  IF(Y715&gt;0.7,"File anomaly",""),
  IF(Z715&gt;0.7,"Network anomaly",""),
  IF(AA715&gt;0.7,"USB anomaly","")
 )))</f>
        <v/>
      </c>
    </row>
    <row r="716" spans="1:40" x14ac:dyDescent="0.3">
      <c r="A716" t="s">
        <v>739</v>
      </c>
      <c r="B716">
        <v>0.12892249527410199</v>
      </c>
      <c r="C716">
        <v>0.36953165208440503</v>
      </c>
      <c r="D716">
        <v>0</v>
      </c>
      <c r="E716">
        <v>0</v>
      </c>
      <c r="F716">
        <v>0</v>
      </c>
      <c r="G716">
        <v>0.99367645330847998</v>
      </c>
      <c r="H716">
        <v>8</v>
      </c>
      <c r="I716">
        <v>8</v>
      </c>
      <c r="J716">
        <v>0.115643337627021</v>
      </c>
      <c r="K716">
        <v>1.6313213703099499E-2</v>
      </c>
      <c r="L716">
        <v>3.59585889365985E-2</v>
      </c>
      <c r="M716">
        <v>3.1746031746031698E-3</v>
      </c>
      <c r="N716">
        <v>1.65552484202134E-2</v>
      </c>
      <c r="O716">
        <v>1172</v>
      </c>
      <c r="P716">
        <v>9.3574635241301898E-2</v>
      </c>
      <c r="Q716">
        <v>9.3726989024860596E-2</v>
      </c>
      <c r="R716">
        <v>0</v>
      </c>
      <c r="S716">
        <v>0</v>
      </c>
      <c r="T716" t="s">
        <v>24</v>
      </c>
      <c r="U716">
        <v>2.83018867924528E-2</v>
      </c>
      <c r="V716">
        <v>0</v>
      </c>
      <c r="W716">
        <v>0</v>
      </c>
      <c r="X716">
        <v>0</v>
      </c>
      <c r="Y716">
        <v>4.6074536519767603E-2</v>
      </c>
      <c r="Z716">
        <v>6.2766880512866496E-2</v>
      </c>
      <c r="AA716">
        <v>0</v>
      </c>
      <c r="AB716">
        <v>2.4755999445915219E-2</v>
      </c>
      <c r="AC716">
        <v>2.5999999706982632E-5</v>
      </c>
      <c r="AD716">
        <v>2.137999981641769E-3</v>
      </c>
      <c r="AE716">
        <v>1.25500001013279E-3</v>
      </c>
      <c r="AF716">
        <f>0.16*X716 + 0.28*Y716 + 0.28*Z716 + 0.28*AA716</f>
        <v>3.0475596769137549E-2</v>
      </c>
      <c r="AG716">
        <f t="shared" si="33"/>
        <v>4.9182799089612667E-3</v>
      </c>
      <c r="AH716">
        <f>IF(T716="IT_Admin", 0.25, IF(AND(T716="HR", AA716&gt;0.6), 0.25, IF(AND(T716="General", Z716&gt;0.7), 0.2, 0.1)))</f>
        <v>0.25</v>
      </c>
      <c r="AI716">
        <f>IF(V716&gt;0.7, 0.1,
 IF(F716&gt;0.5, 0.08,
 IF(E716&gt;0.5, 0.05,
 0)))</f>
        <v>0</v>
      </c>
      <c r="AJ716">
        <f t="shared" si="34"/>
        <v>1.258547496701415E-2</v>
      </c>
      <c r="AK716">
        <f t="shared" si="35"/>
        <v>1.5731843708767689E-2</v>
      </c>
      <c r="AL716" t="str">
        <f>IF(MAX(X716, Y716, Z716, AA716)&gt;0.9,
 "Critical",
 IF(AK716&lt;=0.2,"Very Low",
 IF(AK716&lt;=0.4,"Low",
 IF(AK716&lt;=0.6,"Medium",
 IF(AK716&lt;=0.8,"High","Critical")))))</f>
        <v>Very Low</v>
      </c>
      <c r="AM716" t="str">
        <f>IF(MAX(X716:AA716)&gt;0.9,"CRITICAL ALERT",
 IF(AK716&gt;0.8,"CRITICAL ALERT",
 IF(AK716&gt;0.6,"ALERT",
 IF(AK716&gt;=0.4,"REVIEW","NO ACTION"))))</f>
        <v>NO ACTION</v>
      </c>
      <c r="AN716" t="str">
        <f>IF(AM716="NO ACTION","",
 IF(_xlfn.TEXTJOIN(", ", TRUE,
  IF(X716&gt;0.7,"Login anomaly",""),
  IF(Y716&gt;0.7,"File anomaly",""),
  IF(Z716&gt;0.7,"Network anomaly",""),
  IF(AA716&gt;0.7,"USB anomaly","")
 )="",
 "General anomaly detected",
 _xlfn.TEXTJOIN(", ", TRUE,
  IF(X716&gt;0.7,"Login anomaly",""),
  IF(Y716&gt;0.7,"File anomaly",""),
  IF(Z716&gt;0.7,"Network anomaly",""),
  IF(AA716&gt;0.7,"USB anomaly","")
 )))</f>
        <v/>
      </c>
    </row>
    <row r="717" spans="1:40" x14ac:dyDescent="0.3">
      <c r="A717" t="s">
        <v>740</v>
      </c>
      <c r="B717">
        <v>0.12892249527410199</v>
      </c>
      <c r="C717">
        <v>0.36953165208440503</v>
      </c>
      <c r="D717">
        <v>0</v>
      </c>
      <c r="E717">
        <v>0</v>
      </c>
      <c r="F717">
        <v>0</v>
      </c>
      <c r="G717">
        <v>0.99366184087491904</v>
      </c>
      <c r="H717">
        <v>8</v>
      </c>
      <c r="I717">
        <v>8</v>
      </c>
      <c r="J717">
        <v>8.8211440293879104E-2</v>
      </c>
      <c r="K717">
        <v>1.2234910277324601E-2</v>
      </c>
      <c r="L717">
        <v>3.5333095682442403E-2</v>
      </c>
      <c r="M717">
        <v>2.0202020202020202E-3</v>
      </c>
      <c r="N717">
        <v>1.3802534514508601E-2</v>
      </c>
      <c r="O717">
        <v>697</v>
      </c>
      <c r="P717">
        <v>7.1092873176206495E-2</v>
      </c>
      <c r="Q717">
        <v>7.1250745117290196E-2</v>
      </c>
      <c r="R717">
        <v>0</v>
      </c>
      <c r="S717">
        <v>0</v>
      </c>
      <c r="T717" t="s">
        <v>49</v>
      </c>
      <c r="U717">
        <v>3.1839622641509399E-2</v>
      </c>
      <c r="V717">
        <v>0</v>
      </c>
      <c r="W717">
        <v>0</v>
      </c>
      <c r="X717">
        <v>0</v>
      </c>
      <c r="Y717">
        <v>3.94495962543496E-2</v>
      </c>
      <c r="Z717">
        <v>4.81767377115273E-2</v>
      </c>
      <c r="AA717">
        <v>0</v>
      </c>
      <c r="AB717">
        <v>2.469299919903278E-2</v>
      </c>
      <c r="AC717">
        <v>5.7000001106644049E-5</v>
      </c>
      <c r="AD717">
        <v>4.5179999433457851E-3</v>
      </c>
      <c r="AE717">
        <v>1.9539999775588508E-3</v>
      </c>
      <c r="AF717">
        <f>0.16*X717 + 0.28*Y717 + 0.28*Z717 + 0.28*AA717</f>
        <v>2.4535373510445532E-2</v>
      </c>
      <c r="AG717">
        <f t="shared" si="33"/>
        <v>5.778999850008403E-3</v>
      </c>
      <c r="AH717">
        <f>IF(T717="IT_Admin", 0.25, IF(AND(T717="HR", AA717&gt;0.6), 0.25, IF(AND(T717="General", Z717&gt;0.7), 0.2, 0.1)))</f>
        <v>0.1</v>
      </c>
      <c r="AI717">
        <f>IF(V717&gt;0.7, 0.1,
 IF(F717&gt;0.5, 0.08,
 IF(E717&gt;0.5, 0.05,
 0)))</f>
        <v>0</v>
      </c>
      <c r="AJ717">
        <f t="shared" si="34"/>
        <v>1.140591194813954E-2</v>
      </c>
      <c r="AK717">
        <f t="shared" si="35"/>
        <v>1.2546503142953495E-2</v>
      </c>
      <c r="AL717" t="str">
        <f>IF(MAX(X717, Y717, Z717, AA717)&gt;0.9,
 "Critical",
 IF(AK717&lt;=0.2,"Very Low",
 IF(AK717&lt;=0.4,"Low",
 IF(AK717&lt;=0.6,"Medium",
 IF(AK717&lt;=0.8,"High","Critical")))))</f>
        <v>Very Low</v>
      </c>
      <c r="AM717" t="str">
        <f>IF(MAX(X717:AA717)&gt;0.9,"CRITICAL ALERT",
 IF(AK717&gt;0.8,"CRITICAL ALERT",
 IF(AK717&gt;0.6,"ALERT",
 IF(AK717&gt;=0.4,"REVIEW","NO ACTION"))))</f>
        <v>NO ACTION</v>
      </c>
      <c r="AN717" t="str">
        <f>IF(AM717="NO ACTION","",
 IF(_xlfn.TEXTJOIN(", ", TRUE,
  IF(X717&gt;0.7,"Login anomaly",""),
  IF(Y717&gt;0.7,"File anomaly",""),
  IF(Z717&gt;0.7,"Network anomaly",""),
  IF(AA717&gt;0.7,"USB anomaly","")
 )="",
 "General anomaly detected",
 _xlfn.TEXTJOIN(", ", TRUE,
  IF(X717&gt;0.7,"Login anomaly",""),
  IF(Y717&gt;0.7,"File anomaly",""),
  IF(Z717&gt;0.7,"Network anomaly",""),
  IF(AA717&gt;0.7,"USB anomaly","")
 )))</f>
        <v/>
      </c>
    </row>
    <row r="718" spans="1:40" x14ac:dyDescent="0.3">
      <c r="A718" t="s">
        <v>741</v>
      </c>
      <c r="B718">
        <v>0.12892249527410199</v>
      </c>
      <c r="C718">
        <v>0.18476582604220201</v>
      </c>
      <c r="D718">
        <v>0</v>
      </c>
      <c r="E718">
        <v>0</v>
      </c>
      <c r="F718">
        <v>0</v>
      </c>
      <c r="G718">
        <v>0.99367955778154404</v>
      </c>
      <c r="H718">
        <v>7</v>
      </c>
      <c r="I718">
        <v>7</v>
      </c>
      <c r="J718">
        <v>0.114784599971375</v>
      </c>
      <c r="K718">
        <v>1.1419249592169599E-2</v>
      </c>
      <c r="L718">
        <v>2.5358933541641801E-2</v>
      </c>
      <c r="M718">
        <v>7.2150072150072098E-3</v>
      </c>
      <c r="N718">
        <v>3.7906468847986798E-2</v>
      </c>
      <c r="O718">
        <v>860</v>
      </c>
      <c r="P718">
        <v>9.2803030303030304E-2</v>
      </c>
      <c r="Q718">
        <v>9.2955573477330897E-2</v>
      </c>
      <c r="R718">
        <v>0</v>
      </c>
      <c r="S718">
        <v>0</v>
      </c>
      <c r="T718" t="s">
        <v>24</v>
      </c>
      <c r="U718">
        <v>9.1436865021770602E-3</v>
      </c>
      <c r="V718">
        <v>0</v>
      </c>
      <c r="W718">
        <v>0</v>
      </c>
      <c r="X718">
        <v>0</v>
      </c>
      <c r="Y718">
        <v>4.7008327419491999E-2</v>
      </c>
      <c r="Z718">
        <v>7.0844405721012901E-2</v>
      </c>
      <c r="AA718">
        <v>0</v>
      </c>
      <c r="AB718">
        <v>3.6621000617742538E-2</v>
      </c>
      <c r="AC718">
        <v>3.9500001003034407E-4</v>
      </c>
      <c r="AD718">
        <v>1.879999996162951E-3</v>
      </c>
      <c r="AE718">
        <v>1.546000014059246E-3</v>
      </c>
      <c r="AF718">
        <f>0.16*X718 + 0.28*Y718 + 0.28*Z718 + 0.28*AA718</f>
        <v>3.2998765279341376E-2</v>
      </c>
      <c r="AG718">
        <f t="shared" si="33"/>
        <v>6.9292401045095179E-3</v>
      </c>
      <c r="AH718">
        <f>IF(T718="IT_Admin", 0.25, IF(AND(T718="HR", AA718&gt;0.6), 0.25, IF(AND(T718="General", Z718&gt;0.7), 0.2, 0.1)))</f>
        <v>0.25</v>
      </c>
      <c r="AI718">
        <f>IF(V718&gt;0.7, 0.1,
 IF(F718&gt;0.5, 0.08,
 IF(E718&gt;0.5, 0.05,
 0)))</f>
        <v>0</v>
      </c>
      <c r="AJ718">
        <f t="shared" si="34"/>
        <v>1.4750097656959074E-2</v>
      </c>
      <c r="AK718">
        <f t="shared" si="35"/>
        <v>1.8437622071198843E-2</v>
      </c>
      <c r="AL718" t="str">
        <f>IF(MAX(X718, Y718, Z718, AA718)&gt;0.9,
 "Critical",
 IF(AK718&lt;=0.2,"Very Low",
 IF(AK718&lt;=0.4,"Low",
 IF(AK718&lt;=0.6,"Medium",
 IF(AK718&lt;=0.8,"High","Critical")))))</f>
        <v>Very Low</v>
      </c>
      <c r="AM718" t="str">
        <f>IF(MAX(X718:AA718)&gt;0.9,"CRITICAL ALERT",
 IF(AK718&gt;0.8,"CRITICAL ALERT",
 IF(AK718&gt;0.6,"ALERT",
 IF(AK718&gt;=0.4,"REVIEW","NO ACTION"))))</f>
        <v>NO ACTION</v>
      </c>
      <c r="AN718" t="str">
        <f>IF(AM718="NO ACTION","",
 IF(_xlfn.TEXTJOIN(", ", TRUE,
  IF(X718&gt;0.7,"Login anomaly",""),
  IF(Y718&gt;0.7,"File anomaly",""),
  IF(Z718&gt;0.7,"Network anomaly",""),
  IF(AA718&gt;0.7,"USB anomaly","")
 )="",
 "General anomaly detected",
 _xlfn.TEXTJOIN(", ", TRUE,
  IF(X718&gt;0.7,"Login anomaly",""),
  IF(Y718&gt;0.7,"File anomaly",""),
  IF(Z718&gt;0.7,"Network anomaly",""),
  IF(AA718&gt;0.7,"USB anomaly","")
 )))</f>
        <v/>
      </c>
    </row>
    <row r="719" spans="1:40" x14ac:dyDescent="0.3">
      <c r="A719" t="s">
        <v>742</v>
      </c>
      <c r="B719">
        <v>0.25595463137996199</v>
      </c>
      <c r="C719">
        <v>0.62836659781753501</v>
      </c>
      <c r="D719">
        <v>0.39772039969859402</v>
      </c>
      <c r="E719">
        <v>0</v>
      </c>
      <c r="F719">
        <v>0</v>
      </c>
      <c r="G719">
        <v>0.42946524192990898</v>
      </c>
      <c r="H719">
        <v>7</v>
      </c>
      <c r="I719">
        <v>17</v>
      </c>
      <c r="J719">
        <v>9.3984065645722994E-2</v>
      </c>
      <c r="K719">
        <v>1.8760195758564399E-2</v>
      </c>
      <c r="L719">
        <v>5.0858189572682198E-2</v>
      </c>
      <c r="M719">
        <v>2.3088023088023001E-3</v>
      </c>
      <c r="N719">
        <v>1.48078981496703E-2</v>
      </c>
      <c r="O719">
        <v>875</v>
      </c>
      <c r="P719">
        <v>7.8282828282828204E-2</v>
      </c>
      <c r="Q719">
        <v>7.84389354465444E-2</v>
      </c>
      <c r="R719">
        <v>0.77138643067846602</v>
      </c>
      <c r="S719">
        <v>1</v>
      </c>
      <c r="T719" t="s">
        <v>49</v>
      </c>
      <c r="U719">
        <v>4.3396226415094302E-2</v>
      </c>
      <c r="V719">
        <v>0</v>
      </c>
      <c r="W719">
        <v>0</v>
      </c>
      <c r="X719">
        <v>0.11931611990957799</v>
      </c>
      <c r="Y719">
        <v>4.86682773603868E-2</v>
      </c>
      <c r="Z719">
        <v>5.2892856229565001E-2</v>
      </c>
      <c r="AA719">
        <v>0.77138643067846602</v>
      </c>
      <c r="AB719">
        <v>3.8798999041318893E-2</v>
      </c>
      <c r="AC719">
        <v>8.800000068731606E-5</v>
      </c>
      <c r="AD719">
        <v>2.9829998966306448E-3</v>
      </c>
      <c r="AE719">
        <v>0.59145098924636841</v>
      </c>
      <c r="AF719">
        <f>0.16*X719 + 0.28*Y719 + 0.28*Z719 + 0.28*AA719</f>
        <v>0.26351589718068946</v>
      </c>
      <c r="AG719">
        <f t="shared" si="33"/>
        <v>0.17267399680684323</v>
      </c>
      <c r="AH719">
        <f>IF(T719="IT_Admin", 0.25, IF(AND(T719="HR", AA719&gt;0.6), 0.25, IF(AND(T719="General", Z719&gt;0.7), 0.2, 0.1)))</f>
        <v>0.1</v>
      </c>
      <c r="AI719">
        <f>IF(V719&gt;0.7, 0.1,
 IF(F719&gt;0.5, 0.08,
 IF(E719&gt;0.5, 0.05,
 0)))</f>
        <v>0</v>
      </c>
      <c r="AJ719">
        <f t="shared" si="34"/>
        <v>0.19992656691899707</v>
      </c>
      <c r="AK719">
        <f t="shared" si="35"/>
        <v>0.2199192236108968</v>
      </c>
      <c r="AL719" t="str">
        <f>IF(MAX(X719, Y719, Z719, AA719)&gt;0.9,
 "Critical",
 IF(AK719&lt;=0.2,"Very Low",
 IF(AK719&lt;=0.4,"Low",
 IF(AK719&lt;=0.6,"Medium",
 IF(AK719&lt;=0.8,"High","Critical")))))</f>
        <v>Low</v>
      </c>
      <c r="AM719" t="str">
        <f>IF(MAX(X719:AA719)&gt;0.9,"CRITICAL ALERT",
 IF(AK719&gt;0.8,"CRITICAL ALERT",
 IF(AK719&gt;0.6,"ALERT",
 IF(AK719&gt;=0.4,"REVIEW","NO ACTION"))))</f>
        <v>NO ACTION</v>
      </c>
      <c r="AN719" t="str">
        <f>IF(AM719="NO ACTION","",
 IF(_xlfn.TEXTJOIN(", ", TRUE,
  IF(X719&gt;0.7,"Login anomaly",""),
  IF(Y719&gt;0.7,"File anomaly",""),
  IF(Z719&gt;0.7,"Network anomaly",""),
  IF(AA719&gt;0.7,"USB anomaly","")
 )="",
 "General anomaly detected",
 _xlfn.TEXTJOIN(", ", TRUE,
  IF(X719&gt;0.7,"Login anomaly",""),
  IF(Y719&gt;0.7,"File anomaly",""),
  IF(Z719&gt;0.7,"Network anomaly",""),
  IF(AA719&gt;0.7,"USB anomaly","")
 )))</f>
        <v/>
      </c>
    </row>
    <row r="720" spans="1:40" x14ac:dyDescent="0.3">
      <c r="A720" t="s">
        <v>743</v>
      </c>
      <c r="B720">
        <v>0.240075614366729</v>
      </c>
      <c r="C720">
        <v>0.494443759831246</v>
      </c>
      <c r="D720">
        <v>0.36657613714806597</v>
      </c>
      <c r="E720">
        <v>0</v>
      </c>
      <c r="F720">
        <v>0.25821596244131401</v>
      </c>
      <c r="G720">
        <v>0.467601574673702</v>
      </c>
      <c r="H720">
        <v>6</v>
      </c>
      <c r="I720">
        <v>14</v>
      </c>
      <c r="J720">
        <v>7.8002003721196506E-2</v>
      </c>
      <c r="K720">
        <v>1.30505709624796E-2</v>
      </c>
      <c r="L720">
        <v>4.2606542696096497E-2</v>
      </c>
      <c r="M720">
        <v>2.59740259740259E-3</v>
      </c>
      <c r="N720">
        <v>2.0061767500791802E-2</v>
      </c>
      <c r="O720">
        <v>820</v>
      </c>
      <c r="P720">
        <v>6.4218574635241304E-2</v>
      </c>
      <c r="Q720">
        <v>6.4378133875661797E-2</v>
      </c>
      <c r="R720">
        <v>0</v>
      </c>
      <c r="S720">
        <v>0</v>
      </c>
      <c r="T720" t="s">
        <v>49</v>
      </c>
      <c r="U720">
        <v>2.7169811320754699E-2</v>
      </c>
      <c r="V720">
        <v>0</v>
      </c>
      <c r="W720">
        <v>0</v>
      </c>
      <c r="X720">
        <v>0.213259226120945</v>
      </c>
      <c r="Y720">
        <v>4.2922202342525098E-2</v>
      </c>
      <c r="Z720">
        <v>4.6555851781461502E-2</v>
      </c>
      <c r="AA720">
        <v>0</v>
      </c>
      <c r="AB720">
        <v>2.87299994379282E-2</v>
      </c>
      <c r="AC720">
        <v>4.8999998398358002E-5</v>
      </c>
      <c r="AD720">
        <v>4.96299983933568E-3</v>
      </c>
      <c r="AE720">
        <v>6.2600001692771912E-3</v>
      </c>
      <c r="AF720">
        <f>0.16*X720 + 0.28*Y720 + 0.28*Z720 + 0.28*AA720</f>
        <v>5.9175331334067452E-2</v>
      </c>
      <c r="AG720">
        <f t="shared" si="33"/>
        <v>7.752959912031657E-3</v>
      </c>
      <c r="AH720">
        <f>IF(T720="IT_Admin", 0.25, IF(AND(T720="HR", AA720&gt;0.6), 0.25, IF(AND(T720="General", Z720&gt;0.7), 0.2, 0.1)))</f>
        <v>0.1</v>
      </c>
      <c r="AI720">
        <f>IF(V720&gt;0.7, 0.1,
 IF(F720&gt;0.5, 0.08,
 IF(E720&gt;0.5, 0.05,
 0)))</f>
        <v>0</v>
      </c>
      <c r="AJ720">
        <f t="shared" si="34"/>
        <v>2.3179671338642398E-2</v>
      </c>
      <c r="AK720">
        <f t="shared" si="35"/>
        <v>2.5497638472506641E-2</v>
      </c>
      <c r="AL720" t="str">
        <f>IF(MAX(X720, Y720, Z720, AA720)&gt;0.9,
 "Critical",
 IF(AK720&lt;=0.2,"Very Low",
 IF(AK720&lt;=0.4,"Low",
 IF(AK720&lt;=0.6,"Medium",
 IF(AK720&lt;=0.8,"High","Critical")))))</f>
        <v>Very Low</v>
      </c>
      <c r="AM720" t="str">
        <f>IF(MAX(X720:AA720)&gt;0.9,"CRITICAL ALERT",
 IF(AK720&gt;0.8,"CRITICAL ALERT",
 IF(AK720&gt;0.6,"ALERT",
 IF(AK720&gt;=0.4,"REVIEW","NO ACTION"))))</f>
        <v>NO ACTION</v>
      </c>
      <c r="AN720" t="str">
        <f>IF(AM720="NO ACTION","",
 IF(_xlfn.TEXTJOIN(", ", TRUE,
  IF(X720&gt;0.7,"Login anomaly",""),
  IF(Y720&gt;0.7,"File anomaly",""),
  IF(Z720&gt;0.7,"Network anomaly",""),
  IF(AA720&gt;0.7,"USB anomaly","")
 )="",
 "General anomaly detected",
 _xlfn.TEXTJOIN(", ", TRUE,
  IF(X720&gt;0.7,"Login anomaly",""),
  IF(Y720&gt;0.7,"File anomaly",""),
  IF(Z720&gt;0.7,"Network anomaly",""),
  IF(AA720&gt;0.7,"USB anomaly","")
 )))</f>
        <v/>
      </c>
    </row>
    <row r="721" spans="1:40" x14ac:dyDescent="0.3">
      <c r="A721" t="s">
        <v>744</v>
      </c>
      <c r="B721">
        <v>5.3686200378071799E-2</v>
      </c>
      <c r="C721">
        <v>0</v>
      </c>
      <c r="D721">
        <v>0</v>
      </c>
      <c r="E721">
        <v>0</v>
      </c>
      <c r="F721">
        <v>1</v>
      </c>
      <c r="G721">
        <v>0.98140938454780902</v>
      </c>
      <c r="H721">
        <v>6</v>
      </c>
      <c r="I721">
        <v>6</v>
      </c>
      <c r="J721">
        <v>1.5695816039311101E-2</v>
      </c>
      <c r="K721">
        <v>8.1566068515497503E-4</v>
      </c>
      <c r="L721">
        <v>1.3075361156736199E-2</v>
      </c>
      <c r="M721">
        <v>5.7720057720057698E-4</v>
      </c>
      <c r="N721">
        <v>2.1890418297603902E-2</v>
      </c>
      <c r="O721">
        <v>175</v>
      </c>
      <c r="P721">
        <v>1.21703142536475E-2</v>
      </c>
      <c r="Q721">
        <v>1.2342648760475399E-2</v>
      </c>
      <c r="R721">
        <v>0</v>
      </c>
      <c r="S721">
        <v>0</v>
      </c>
      <c r="T721" t="s">
        <v>49</v>
      </c>
      <c r="U721">
        <v>5.6603773584905596E-3</v>
      </c>
      <c r="V721">
        <v>0</v>
      </c>
      <c r="W721">
        <v>0</v>
      </c>
      <c r="X721">
        <v>0.4</v>
      </c>
      <c r="Y721">
        <v>1.6243969275511499E-2</v>
      </c>
      <c r="Z721">
        <v>1.6058355871230098E-2</v>
      </c>
      <c r="AA721">
        <v>0</v>
      </c>
      <c r="AB721">
        <v>0.13092899322509771</v>
      </c>
      <c r="AC721">
        <v>9.810000192373991E-4</v>
      </c>
      <c r="AD721">
        <v>1.432199962437153E-2</v>
      </c>
      <c r="AE721">
        <v>1.2799999967683109E-4</v>
      </c>
      <c r="AF721">
        <f>0.16*X721 + 0.28*Y721 + 0.28*Z721 + 0.28*AA721</f>
        <v>7.3044651041087649E-2</v>
      </c>
      <c r="AG721">
        <f t="shared" si="33"/>
        <v>2.5269318816135648E-2</v>
      </c>
      <c r="AH721">
        <f>IF(T721="IT_Admin", 0.25, IF(AND(T721="HR", AA721&gt;0.6), 0.25, IF(AND(T721="General", Z721&gt;0.7), 0.2, 0.1)))</f>
        <v>0.1</v>
      </c>
      <c r="AI721">
        <f>IF(V721&gt;0.7, 0.1,
 IF(F721&gt;0.5, 0.08,
 IF(E721&gt;0.5, 0.05,
 0)))</f>
        <v>0.08</v>
      </c>
      <c r="AJ721">
        <f t="shared" si="34"/>
        <v>3.9601918483621247E-2</v>
      </c>
      <c r="AK721">
        <f t="shared" si="35"/>
        <v>4.6730263810673078E-2</v>
      </c>
      <c r="AL721" t="str">
        <f>IF(MAX(X721, Y721, Z721, AA721)&gt;0.9,
 "Critical",
 IF(AK721&lt;=0.2,"Very Low",
 IF(AK721&lt;=0.4,"Low",
 IF(AK721&lt;=0.6,"Medium",
 IF(AK721&lt;=0.8,"High","Critical")))))</f>
        <v>Very Low</v>
      </c>
      <c r="AM721" t="str">
        <f>IF(MAX(X721:AA721)&gt;0.9,"CRITICAL ALERT",
 IF(AK721&gt;0.8,"CRITICAL ALERT",
 IF(AK721&gt;0.6,"ALERT",
 IF(AK721&gt;=0.4,"REVIEW","NO ACTION"))))</f>
        <v>NO ACTION</v>
      </c>
      <c r="AN721" t="str">
        <f>IF(AM721="NO ACTION","",
 IF(_xlfn.TEXTJOIN(", ", TRUE,
  IF(X721&gt;0.7,"Login anomaly",""),
  IF(Y721&gt;0.7,"File anomaly",""),
  IF(Z721&gt;0.7,"Network anomaly",""),
  IF(AA721&gt;0.7,"USB anomaly","")
 )="",
 "General anomaly detected",
 _xlfn.TEXTJOIN(", ", TRUE,
  IF(X721&gt;0.7,"Login anomaly",""),
  IF(Y721&gt;0.7,"File anomaly",""),
  IF(Z721&gt;0.7,"Network anomaly",""),
  IF(AA721&gt;0.7,"USB anomaly","")
 )))</f>
        <v/>
      </c>
    </row>
    <row r="722" spans="1:40" x14ac:dyDescent="0.3">
      <c r="A722" t="s">
        <v>745</v>
      </c>
      <c r="B722">
        <v>0.231758034026465</v>
      </c>
      <c r="C722">
        <v>0.55220126940327596</v>
      </c>
      <c r="D722">
        <v>0.34586502760000598</v>
      </c>
      <c r="E722">
        <v>0</v>
      </c>
      <c r="F722">
        <v>0</v>
      </c>
      <c r="G722">
        <v>0.48957168128366202</v>
      </c>
      <c r="H722">
        <v>7</v>
      </c>
      <c r="I722">
        <v>13</v>
      </c>
      <c r="J722">
        <v>6.8412766566480598E-2</v>
      </c>
      <c r="K722">
        <v>9.7879282218597003E-3</v>
      </c>
      <c r="L722">
        <v>3.64183790939532E-2</v>
      </c>
      <c r="M722">
        <v>5.7720057720057703E-3</v>
      </c>
      <c r="N722">
        <v>5.0808893060456599E-2</v>
      </c>
      <c r="O722">
        <v>680</v>
      </c>
      <c r="P722">
        <v>5.7309203142536402E-2</v>
      </c>
      <c r="Q722">
        <v>5.7470458290963901E-2</v>
      </c>
      <c r="R722">
        <v>0</v>
      </c>
      <c r="S722">
        <v>0</v>
      </c>
      <c r="T722" t="s">
        <v>49</v>
      </c>
      <c r="U722">
        <v>9.7035040431266793E-3</v>
      </c>
      <c r="V722">
        <v>0</v>
      </c>
      <c r="W722">
        <v>0</v>
      </c>
      <c r="X722">
        <v>0.10375950828000199</v>
      </c>
      <c r="Y722">
        <v>4.7134410778409699E-2</v>
      </c>
      <c r="Z722">
        <v>5.4709079109704503E-2</v>
      </c>
      <c r="AA722">
        <v>0</v>
      </c>
      <c r="AB722">
        <v>1.4879000373184679E-2</v>
      </c>
      <c r="AC722">
        <v>5.2800000412389636E-4</v>
      </c>
      <c r="AD722">
        <v>5.096999928355217E-3</v>
      </c>
      <c r="AE722">
        <v>6.533999927341938E-3</v>
      </c>
      <c r="AF722">
        <f>0.16*X722 + 0.28*Y722 + 0.28*Z722 + 0.28*AA722</f>
        <v>4.5117698493472302E-2</v>
      </c>
      <c r="AG722">
        <f t="shared" si="33"/>
        <v>5.7851600204594433E-3</v>
      </c>
      <c r="AH722">
        <f>IF(T722="IT_Admin", 0.25, IF(AND(T722="HR", AA722&gt;0.6), 0.25, IF(AND(T722="General", Z722&gt;0.7), 0.2, 0.1)))</f>
        <v>0.1</v>
      </c>
      <c r="AI722">
        <f>IF(V722&gt;0.7, 0.1,
 IF(F722&gt;0.5, 0.08,
 IF(E722&gt;0.5, 0.05,
 0)))</f>
        <v>0</v>
      </c>
      <c r="AJ722">
        <f t="shared" si="34"/>
        <v>1.7584921562363302E-2</v>
      </c>
      <c r="AK722">
        <f t="shared" si="35"/>
        <v>1.9343413718599635E-2</v>
      </c>
      <c r="AL722" t="str">
        <f>IF(MAX(X722, Y722, Z722, AA722)&gt;0.9,
 "Critical",
 IF(AK722&lt;=0.2,"Very Low",
 IF(AK722&lt;=0.4,"Low",
 IF(AK722&lt;=0.6,"Medium",
 IF(AK722&lt;=0.8,"High","Critical")))))</f>
        <v>Very Low</v>
      </c>
      <c r="AM722" t="str">
        <f>IF(MAX(X722:AA722)&gt;0.9,"CRITICAL ALERT",
 IF(AK722&gt;0.8,"CRITICAL ALERT",
 IF(AK722&gt;0.6,"ALERT",
 IF(AK722&gt;=0.4,"REVIEW","NO ACTION"))))</f>
        <v>NO ACTION</v>
      </c>
      <c r="AN722" t="str">
        <f>IF(AM722="NO ACTION","",
 IF(_xlfn.TEXTJOIN(", ", TRUE,
  IF(X722&gt;0.7,"Login anomaly",""),
  IF(Y722&gt;0.7,"File anomaly",""),
  IF(Z722&gt;0.7,"Network anomaly",""),
  IF(AA722&gt;0.7,"USB anomaly","")
 )="",
 "General anomaly detected",
 _xlfn.TEXTJOIN(", ", TRUE,
  IF(X722&gt;0.7,"Login anomaly",""),
  IF(Y722&gt;0.7,"File anomaly",""),
  IF(Z722&gt;0.7,"Network anomaly",""),
  IF(AA722&gt;0.7,"USB anomaly","")
 )))</f>
        <v/>
      </c>
    </row>
    <row r="723" spans="1:40" x14ac:dyDescent="0.3">
      <c r="A723" t="s">
        <v>746</v>
      </c>
      <c r="B723">
        <v>0.12892249527410199</v>
      </c>
      <c r="C723">
        <v>0.55429747812660801</v>
      </c>
      <c r="D723">
        <v>0</v>
      </c>
      <c r="E723">
        <v>0</v>
      </c>
      <c r="F723">
        <v>0</v>
      </c>
      <c r="G723">
        <v>0.99366775543135999</v>
      </c>
      <c r="H723">
        <v>9</v>
      </c>
      <c r="I723">
        <v>9</v>
      </c>
      <c r="J723">
        <v>7.3612900147893706E-2</v>
      </c>
      <c r="K723">
        <v>8.9722675367047301E-3</v>
      </c>
      <c r="L723">
        <v>3.10328662079126E-2</v>
      </c>
      <c r="M723">
        <v>8.6580086580086504E-4</v>
      </c>
      <c r="N723">
        <v>7.08468964282917E-3</v>
      </c>
      <c r="O723">
        <v>555</v>
      </c>
      <c r="P723">
        <v>5.8396464646464599E-2</v>
      </c>
      <c r="Q723">
        <v>5.8557452926119399E-2</v>
      </c>
      <c r="R723">
        <v>0</v>
      </c>
      <c r="S723">
        <v>0</v>
      </c>
      <c r="T723" t="s">
        <v>49</v>
      </c>
      <c r="U723">
        <v>4.6698113207547097E-2</v>
      </c>
      <c r="V723">
        <v>0</v>
      </c>
      <c r="W723">
        <v>0</v>
      </c>
      <c r="X723">
        <v>0</v>
      </c>
      <c r="Y723">
        <v>3.2364420026383803E-2</v>
      </c>
      <c r="Z723">
        <v>3.78717546450104E-2</v>
      </c>
      <c r="AA723">
        <v>0</v>
      </c>
      <c r="AB723">
        <v>2.8994999825954441E-2</v>
      </c>
      <c r="AC723">
        <v>2.090000052703544E-4</v>
      </c>
      <c r="AD723">
        <v>6.4010000787675381E-3</v>
      </c>
      <c r="AE723">
        <v>2.3209999781101942E-3</v>
      </c>
      <c r="AF723">
        <f>0.16*X723 + 0.28*Y723 + 0.28*Z723 + 0.28*AA723</f>
        <v>1.9666128907990379E-2</v>
      </c>
      <c r="AG723">
        <f t="shared" si="33"/>
        <v>7.1398799895541756E-3</v>
      </c>
      <c r="AH723">
        <f>IF(T723="IT_Admin", 0.25, IF(AND(T723="HR", AA723&gt;0.6), 0.25, IF(AND(T723="General", Z723&gt;0.7), 0.2, 0.1)))</f>
        <v>0.1</v>
      </c>
      <c r="AI723">
        <f>IF(V723&gt;0.7, 0.1,
 IF(F723&gt;0.5, 0.08,
 IF(E723&gt;0.5, 0.05,
 0)))</f>
        <v>0</v>
      </c>
      <c r="AJ723">
        <f t="shared" si="34"/>
        <v>1.0897754665085036E-2</v>
      </c>
      <c r="AK723">
        <f t="shared" si="35"/>
        <v>1.1987530131593541E-2</v>
      </c>
      <c r="AL723" t="str">
        <f>IF(MAX(X723, Y723, Z723, AA723)&gt;0.9,
 "Critical",
 IF(AK723&lt;=0.2,"Very Low",
 IF(AK723&lt;=0.4,"Low",
 IF(AK723&lt;=0.6,"Medium",
 IF(AK723&lt;=0.8,"High","Critical")))))</f>
        <v>Very Low</v>
      </c>
      <c r="AM723" t="str">
        <f>IF(MAX(X723:AA723)&gt;0.9,"CRITICAL ALERT",
 IF(AK723&gt;0.8,"CRITICAL ALERT",
 IF(AK723&gt;0.6,"ALERT",
 IF(AK723&gt;=0.4,"REVIEW","NO ACTION"))))</f>
        <v>NO ACTION</v>
      </c>
      <c r="AN723" t="str">
        <f>IF(AM723="NO ACTION","",
 IF(_xlfn.TEXTJOIN(", ", TRUE,
  IF(X723&gt;0.7,"Login anomaly",""),
  IF(Y723&gt;0.7,"File anomaly",""),
  IF(Z723&gt;0.7,"Network anomaly",""),
  IF(AA723&gt;0.7,"USB anomaly","")
 )="",
 "General anomaly detected",
 _xlfn.TEXTJOIN(", ", TRUE,
  IF(X723&gt;0.7,"Login anomaly",""),
  IF(Y723&gt;0.7,"File anomaly",""),
  IF(Z723&gt;0.7,"Network anomaly",""),
  IF(AA723&gt;0.7,"USB anomaly","")
 )))</f>
        <v/>
      </c>
    </row>
    <row r="724" spans="1:40" x14ac:dyDescent="0.3">
      <c r="A724" t="s">
        <v>747</v>
      </c>
      <c r="B724">
        <v>0.12892249527410199</v>
      </c>
      <c r="C724">
        <v>0.45629125735639597</v>
      </c>
      <c r="D724">
        <v>7.4993488433305694E-2</v>
      </c>
      <c r="E724">
        <v>0</v>
      </c>
      <c r="F724">
        <v>0</v>
      </c>
      <c r="G724">
        <v>0.99368220728872803</v>
      </c>
      <c r="H724">
        <v>8</v>
      </c>
      <c r="I724">
        <v>9</v>
      </c>
      <c r="J724">
        <v>8.3774629073040396E-2</v>
      </c>
      <c r="K724">
        <v>1.2234910277324601E-2</v>
      </c>
      <c r="L724">
        <v>3.7199068367545898E-2</v>
      </c>
      <c r="M724">
        <v>9.23520923520923E-3</v>
      </c>
      <c r="N724">
        <v>6.6429526054738994E-2</v>
      </c>
      <c r="O724">
        <v>559</v>
      </c>
      <c r="P724">
        <v>7.1338383838383798E-2</v>
      </c>
      <c r="Q724">
        <v>7.1496195518776895E-2</v>
      </c>
      <c r="R724">
        <v>0</v>
      </c>
      <c r="S724">
        <v>0</v>
      </c>
      <c r="T724" t="s">
        <v>49</v>
      </c>
      <c r="U724">
        <v>7.7186963979416802E-3</v>
      </c>
      <c r="V724">
        <v>0</v>
      </c>
      <c r="W724">
        <v>0</v>
      </c>
      <c r="X724">
        <v>2.2498046529991701E-2</v>
      </c>
      <c r="Y724">
        <v>5.5283317814802703E-2</v>
      </c>
      <c r="Z724">
        <v>6.9374840724925904E-2</v>
      </c>
      <c r="AA724">
        <v>0</v>
      </c>
      <c r="AB724">
        <v>1.386899966746569E-2</v>
      </c>
      <c r="AC724">
        <v>9.1699999757111073E-4</v>
      </c>
      <c r="AD724">
        <v>3.3430000767111778E-3</v>
      </c>
      <c r="AE724">
        <v>3.6939999554306269E-3</v>
      </c>
      <c r="AF724">
        <f>0.16*X724 + 0.28*Y724 + 0.28*Z724 + 0.28*AA724</f>
        <v>3.8503971835922683E-2</v>
      </c>
      <c r="AG724">
        <f t="shared" si="33"/>
        <v>4.4461599551141266E-3</v>
      </c>
      <c r="AH724">
        <f>IF(T724="IT_Admin", 0.25, IF(AND(T724="HR", AA724&gt;0.6), 0.25, IF(AND(T724="General", Z724&gt;0.7), 0.2, 0.1)))</f>
        <v>0.1</v>
      </c>
      <c r="AI724">
        <f>IF(V724&gt;0.7, 0.1,
 IF(F724&gt;0.5, 0.08,
 IF(E724&gt;0.5, 0.05,
 0)))</f>
        <v>0</v>
      </c>
      <c r="AJ724">
        <f t="shared" si="34"/>
        <v>1.4663503519356694E-2</v>
      </c>
      <c r="AK724">
        <f t="shared" si="35"/>
        <v>1.6129853871292364E-2</v>
      </c>
      <c r="AL724" t="str">
        <f>IF(MAX(X724, Y724, Z724, AA724)&gt;0.9,
 "Critical",
 IF(AK724&lt;=0.2,"Very Low",
 IF(AK724&lt;=0.4,"Low",
 IF(AK724&lt;=0.6,"Medium",
 IF(AK724&lt;=0.8,"High","Critical")))))</f>
        <v>Very Low</v>
      </c>
      <c r="AM724" t="str">
        <f>IF(MAX(X724:AA724)&gt;0.9,"CRITICAL ALERT",
 IF(AK724&gt;0.8,"CRITICAL ALERT",
 IF(AK724&gt;0.6,"ALERT",
 IF(AK724&gt;=0.4,"REVIEW","NO ACTION"))))</f>
        <v>NO ACTION</v>
      </c>
      <c r="AN724" t="str">
        <f>IF(AM724="NO ACTION","",
 IF(_xlfn.TEXTJOIN(", ", TRUE,
  IF(X724&gt;0.7,"Login anomaly",""),
  IF(Y724&gt;0.7,"File anomaly",""),
  IF(Z724&gt;0.7,"Network anomaly",""),
  IF(AA724&gt;0.7,"USB anomaly","")
 )="",
 "General anomaly detected",
 _xlfn.TEXTJOIN(", ", TRUE,
  IF(X724&gt;0.7,"Login anomaly",""),
  IF(Y724&gt;0.7,"File anomaly",""),
  IF(Z724&gt;0.7,"Network anomaly",""),
  IF(AA724&gt;0.7,"USB anomaly","")
 )))</f>
        <v/>
      </c>
    </row>
    <row r="725" spans="1:40" x14ac:dyDescent="0.3">
      <c r="A725" t="s">
        <v>748</v>
      </c>
      <c r="B725">
        <v>0.12892249527410199</v>
      </c>
      <c r="C725">
        <v>0.18476582604220201</v>
      </c>
      <c r="D725">
        <v>0</v>
      </c>
      <c r="E725">
        <v>0</v>
      </c>
      <c r="F725">
        <v>0</v>
      </c>
      <c r="G725">
        <v>0.99367388408939195</v>
      </c>
      <c r="H725">
        <v>7</v>
      </c>
      <c r="I725">
        <v>7</v>
      </c>
      <c r="J725">
        <v>6.9843995992557598E-2</v>
      </c>
      <c r="K725">
        <v>3.7520391517128798E-2</v>
      </c>
      <c r="L725">
        <v>0.13675279020564601</v>
      </c>
      <c r="M725">
        <v>3.4632034632034602E-3</v>
      </c>
      <c r="N725">
        <v>2.9862762606125401E-2</v>
      </c>
      <c r="O725">
        <v>520</v>
      </c>
      <c r="P725">
        <v>6.9163860830527502E-2</v>
      </c>
      <c r="Q725">
        <v>6.9322206248465898E-2</v>
      </c>
      <c r="R725">
        <v>0</v>
      </c>
      <c r="S725">
        <v>0</v>
      </c>
      <c r="T725" t="s">
        <v>49</v>
      </c>
      <c r="U725">
        <v>6.0087082728592103E-2</v>
      </c>
      <c r="V725">
        <v>0</v>
      </c>
      <c r="W725">
        <v>0</v>
      </c>
      <c r="X725">
        <v>0</v>
      </c>
      <c r="Y725">
        <v>9.1304023083172495E-2</v>
      </c>
      <c r="Z725">
        <v>5.3443421540766603E-2</v>
      </c>
      <c r="AA725">
        <v>0</v>
      </c>
      <c r="AB725">
        <v>3.6761000752449043E-2</v>
      </c>
      <c r="AC725">
        <v>3.2200000714510679E-3</v>
      </c>
      <c r="AD725">
        <v>4.3620001524686813E-3</v>
      </c>
      <c r="AE725">
        <v>2.0020001102238889E-3</v>
      </c>
      <c r="AF725">
        <f>0.16*X725 + 0.28*Y725 + 0.28*Z725 + 0.28*AA725</f>
        <v>4.0529284494702951E-2</v>
      </c>
      <c r="AG725">
        <f t="shared" si="33"/>
        <v>8.5652802139520659E-3</v>
      </c>
      <c r="AH725">
        <f>IF(T725="IT_Admin", 0.25, IF(AND(T725="HR", AA725&gt;0.6), 0.25, IF(AND(T725="General", Z725&gt;0.7), 0.2, 0.1)))</f>
        <v>0.1</v>
      </c>
      <c r="AI725">
        <f>IF(V725&gt;0.7, 0.1,
 IF(F725&gt;0.5, 0.08,
 IF(E725&gt;0.5, 0.05,
 0)))</f>
        <v>0</v>
      </c>
      <c r="AJ725">
        <f t="shared" si="34"/>
        <v>1.8154481498177333E-2</v>
      </c>
      <c r="AK725">
        <f t="shared" si="35"/>
        <v>1.9969929647995068E-2</v>
      </c>
      <c r="AL725" t="str">
        <f>IF(MAX(X725, Y725, Z725, AA725)&gt;0.9,
 "Critical",
 IF(AK725&lt;=0.2,"Very Low",
 IF(AK725&lt;=0.4,"Low",
 IF(AK725&lt;=0.6,"Medium",
 IF(AK725&lt;=0.8,"High","Critical")))))</f>
        <v>Very Low</v>
      </c>
      <c r="AM725" t="str">
        <f>IF(MAX(X725:AA725)&gt;0.9,"CRITICAL ALERT",
 IF(AK725&gt;0.8,"CRITICAL ALERT",
 IF(AK725&gt;0.6,"ALERT",
 IF(AK725&gt;=0.4,"REVIEW","NO ACTION"))))</f>
        <v>NO ACTION</v>
      </c>
      <c r="AN725" t="str">
        <f>IF(AM725="NO ACTION","",
 IF(_xlfn.TEXTJOIN(", ", TRUE,
  IF(X725&gt;0.7,"Login anomaly",""),
  IF(Y725&gt;0.7,"File anomaly",""),
  IF(Z725&gt;0.7,"Network anomaly",""),
  IF(AA725&gt;0.7,"USB anomaly","")
 )="",
 "General anomaly detected",
 _xlfn.TEXTJOIN(", ", TRUE,
  IF(X725&gt;0.7,"Login anomaly",""),
  IF(Y725&gt;0.7,"File anomaly",""),
  IF(Z725&gt;0.7,"Network anomaly",""),
  IF(AA725&gt;0.7,"USB anomaly","")
 )))</f>
        <v/>
      </c>
    </row>
    <row r="726" spans="1:40" x14ac:dyDescent="0.3">
      <c r="A726" t="s">
        <v>749</v>
      </c>
      <c r="B726">
        <v>0.23251417769376101</v>
      </c>
      <c r="C726">
        <v>0.55399898729293695</v>
      </c>
      <c r="D726">
        <v>0.34594146099982398</v>
      </c>
      <c r="E726">
        <v>0</v>
      </c>
      <c r="F726">
        <v>0</v>
      </c>
      <c r="G726">
        <v>0.48751644253670001</v>
      </c>
      <c r="H726">
        <v>7</v>
      </c>
      <c r="I726">
        <v>13</v>
      </c>
      <c r="J726">
        <v>8.1293831401173605E-2</v>
      </c>
      <c r="K726">
        <v>1.7944535073409401E-2</v>
      </c>
      <c r="L726">
        <v>5.6218697355001498E-2</v>
      </c>
      <c r="M726">
        <v>8.6580086580086504E-4</v>
      </c>
      <c r="N726">
        <v>6.4172613031594798E-3</v>
      </c>
      <c r="O726">
        <v>730</v>
      </c>
      <c r="P726">
        <v>6.7901234567901203E-2</v>
      </c>
      <c r="Q726">
        <v>6.8059889897962703E-2</v>
      </c>
      <c r="R726">
        <v>0</v>
      </c>
      <c r="S726">
        <v>0</v>
      </c>
      <c r="T726" t="s">
        <v>49</v>
      </c>
      <c r="U726">
        <v>9.3396226415094305E-2</v>
      </c>
      <c r="V726">
        <v>0</v>
      </c>
      <c r="W726">
        <v>0</v>
      </c>
      <c r="X726">
        <v>0.103782438299947</v>
      </c>
      <c r="Y726">
        <v>4.6293293348683297E-2</v>
      </c>
      <c r="Z726">
        <v>4.33076452620045E-2</v>
      </c>
      <c r="AA726">
        <v>0</v>
      </c>
      <c r="AB726">
        <v>1.524099987000227E-2</v>
      </c>
      <c r="AC726">
        <v>1.150000025518239E-3</v>
      </c>
      <c r="AD726">
        <v>4.8859999515116206E-3</v>
      </c>
      <c r="AE726">
        <v>6.3559999689459801E-3</v>
      </c>
      <c r="AF726">
        <f>0.16*X726 + 0.28*Y726 + 0.28*Z726 + 0.28*AA726</f>
        <v>4.1693452938984105E-2</v>
      </c>
      <c r="AG726">
        <f t="shared" si="33"/>
        <v>5.9083199640735983E-3</v>
      </c>
      <c r="AH726">
        <f>IF(T726="IT_Admin", 0.25, IF(AND(T726="HR", AA726&gt;0.6), 0.25, IF(AND(T726="General", Z726&gt;0.7), 0.2, 0.1)))</f>
        <v>0.1</v>
      </c>
      <c r="AI726">
        <f>IF(V726&gt;0.7, 0.1,
 IF(F726&gt;0.5, 0.08,
 IF(E726&gt;0.5, 0.05,
 0)))</f>
        <v>0</v>
      </c>
      <c r="AJ726">
        <f t="shared" si="34"/>
        <v>1.6643859856546751E-2</v>
      </c>
      <c r="AK726">
        <f t="shared" si="35"/>
        <v>1.8308245842201427E-2</v>
      </c>
      <c r="AL726" t="str">
        <f>IF(MAX(X726, Y726, Z726, AA726)&gt;0.9,
 "Critical",
 IF(AK726&lt;=0.2,"Very Low",
 IF(AK726&lt;=0.4,"Low",
 IF(AK726&lt;=0.6,"Medium",
 IF(AK726&lt;=0.8,"High","Critical")))))</f>
        <v>Very Low</v>
      </c>
      <c r="AM726" t="str">
        <f>IF(MAX(X726:AA726)&gt;0.9,"CRITICAL ALERT",
 IF(AK726&gt;0.8,"CRITICAL ALERT",
 IF(AK726&gt;0.6,"ALERT",
 IF(AK726&gt;=0.4,"REVIEW","NO ACTION"))))</f>
        <v>NO ACTION</v>
      </c>
      <c r="AN726" t="str">
        <f>IF(AM726="NO ACTION","",
 IF(_xlfn.TEXTJOIN(", ", TRUE,
  IF(X726&gt;0.7,"Login anomaly",""),
  IF(Y726&gt;0.7,"File anomaly",""),
  IF(Z726&gt;0.7,"Network anomaly",""),
  IF(AA726&gt;0.7,"USB anomaly","")
 )="",
 "General anomaly detected",
 _xlfn.TEXTJOIN(", ", TRUE,
  IF(X726&gt;0.7,"Login anomaly",""),
  IF(Y726&gt;0.7,"File anomaly",""),
  IF(Z726&gt;0.7,"Network anomaly",""),
  IF(AA726&gt;0.7,"USB anomaly","")
 )))</f>
        <v/>
      </c>
    </row>
    <row r="727" spans="1:40" x14ac:dyDescent="0.3">
      <c r="A727" t="s">
        <v>750</v>
      </c>
      <c r="B727">
        <v>0.12892249527410199</v>
      </c>
      <c r="C727">
        <v>0</v>
      </c>
      <c r="D727">
        <v>0</v>
      </c>
      <c r="E727">
        <v>0</v>
      </c>
      <c r="F727">
        <v>1</v>
      </c>
      <c r="G727">
        <v>0.993664062178921</v>
      </c>
      <c r="H727">
        <v>6</v>
      </c>
      <c r="I727">
        <v>6</v>
      </c>
      <c r="J727">
        <v>8.2677353179714697E-2</v>
      </c>
      <c r="K727">
        <v>1.2234910277324601E-2</v>
      </c>
      <c r="L727">
        <v>3.76913460271854E-2</v>
      </c>
      <c r="M727">
        <v>1.7316017316017301E-3</v>
      </c>
      <c r="N727">
        <v>1.26203677411962E-2</v>
      </c>
      <c r="O727">
        <v>871</v>
      </c>
      <c r="P727">
        <v>6.6884118967452305E-2</v>
      </c>
      <c r="Q727">
        <v>6.7043023948946304E-2</v>
      </c>
      <c r="R727">
        <v>0</v>
      </c>
      <c r="S727">
        <v>0</v>
      </c>
      <c r="T727" t="s">
        <v>49</v>
      </c>
      <c r="U727">
        <v>3.6388140161725001E-2</v>
      </c>
      <c r="V727">
        <v>0</v>
      </c>
      <c r="W727">
        <v>0</v>
      </c>
      <c r="X727">
        <v>0.4</v>
      </c>
      <c r="Y727">
        <v>3.9167253971894501E-2</v>
      </c>
      <c r="Z727">
        <v>4.5178618476949803E-2</v>
      </c>
      <c r="AA727">
        <v>0</v>
      </c>
      <c r="AB727">
        <v>0.1190759986639023</v>
      </c>
      <c r="AC727">
        <v>5.6000000768108287E-5</v>
      </c>
      <c r="AD727">
        <v>5.1660002209246159E-3</v>
      </c>
      <c r="AE727">
        <v>5.4000000091036782E-5</v>
      </c>
      <c r="AF727">
        <f>0.16*X727 + 0.28*Y727 + 0.28*Z727 + 0.28*AA727</f>
        <v>8.7616844285676398E-2</v>
      </c>
      <c r="AG727">
        <f t="shared" si="33"/>
        <v>2.0529439848323824E-2</v>
      </c>
      <c r="AH727">
        <f>IF(T727="IT_Admin", 0.25, IF(AND(T727="HR", AA727&gt;0.6), 0.25, IF(AND(T727="General", Z727&gt;0.7), 0.2, 0.1)))</f>
        <v>0.1</v>
      </c>
      <c r="AI727">
        <f>IF(V727&gt;0.7, 0.1,
 IF(F727&gt;0.5, 0.08,
 IF(E727&gt;0.5, 0.05,
 0)))</f>
        <v>0.08</v>
      </c>
      <c r="AJ727">
        <f t="shared" si="34"/>
        <v>4.0655661179529595E-2</v>
      </c>
      <c r="AK727">
        <f t="shared" si="35"/>
        <v>4.7973680191844927E-2</v>
      </c>
      <c r="AL727" t="str">
        <f>IF(MAX(X727, Y727, Z727, AA727)&gt;0.9,
 "Critical",
 IF(AK727&lt;=0.2,"Very Low",
 IF(AK727&lt;=0.4,"Low",
 IF(AK727&lt;=0.6,"Medium",
 IF(AK727&lt;=0.8,"High","Critical")))))</f>
        <v>Very Low</v>
      </c>
      <c r="AM727" t="str">
        <f>IF(MAX(X727:AA727)&gt;0.9,"CRITICAL ALERT",
 IF(AK727&gt;0.8,"CRITICAL ALERT",
 IF(AK727&gt;0.6,"ALERT",
 IF(AK727&gt;=0.4,"REVIEW","NO ACTION"))))</f>
        <v>NO ACTION</v>
      </c>
      <c r="AN727" t="str">
        <f>IF(AM727="NO ACTION","",
 IF(_xlfn.TEXTJOIN(", ", TRUE,
  IF(X727&gt;0.7,"Login anomaly",""),
  IF(Y727&gt;0.7,"File anomaly",""),
  IF(Z727&gt;0.7,"Network anomaly",""),
  IF(AA727&gt;0.7,"USB anomaly","")
 )="",
 "General anomaly detected",
 _xlfn.TEXTJOIN(", ", TRUE,
  IF(X727&gt;0.7,"Login anomaly",""),
  IF(Y727&gt;0.7,"File anomaly",""),
  IF(Z727&gt;0.7,"Network anomaly",""),
  IF(AA727&gt;0.7,"USB anomaly","")
 )))</f>
        <v/>
      </c>
    </row>
    <row r="728" spans="1:40" x14ac:dyDescent="0.3">
      <c r="A728" t="s">
        <v>751</v>
      </c>
      <c r="B728">
        <v>0.13383742911153099</v>
      </c>
      <c r="C728">
        <v>0.56978064790668104</v>
      </c>
      <c r="D728">
        <v>0.360391542088071</v>
      </c>
      <c r="E728">
        <v>0</v>
      </c>
      <c r="F728">
        <v>0</v>
      </c>
      <c r="G728">
        <v>0.482358794654967</v>
      </c>
      <c r="H728">
        <v>7</v>
      </c>
      <c r="I728">
        <v>13</v>
      </c>
      <c r="J728">
        <v>1.9417012547111302E-2</v>
      </c>
      <c r="K728">
        <v>2.4469820554649199E-3</v>
      </c>
      <c r="L728">
        <v>3.1799786114198203E-2</v>
      </c>
      <c r="M728">
        <v>0</v>
      </c>
      <c r="N728">
        <v>0</v>
      </c>
      <c r="O728">
        <v>244</v>
      </c>
      <c r="P728">
        <v>1.53268799102132E-2</v>
      </c>
      <c r="Q728">
        <v>1.54984396367334E-2</v>
      </c>
      <c r="R728">
        <v>0</v>
      </c>
      <c r="S728">
        <v>0</v>
      </c>
      <c r="T728" t="s">
        <v>49</v>
      </c>
      <c r="U728">
        <v>5.0943396226415097E-2</v>
      </c>
      <c r="V728">
        <v>0</v>
      </c>
      <c r="W728">
        <v>0</v>
      </c>
      <c r="X728">
        <v>0.108117462626421</v>
      </c>
      <c r="Y728">
        <v>1.9783295566521301E-2</v>
      </c>
      <c r="Z728">
        <v>9.19612794612794E-3</v>
      </c>
      <c r="AA728">
        <v>0</v>
      </c>
      <c r="AB728">
        <v>1.6489999368786808E-2</v>
      </c>
      <c r="AC728">
        <v>5.7500001275911927E-4</v>
      </c>
      <c r="AD728">
        <v>1.4151999726891519E-2</v>
      </c>
      <c r="AE728">
        <v>6.5029999241232872E-3</v>
      </c>
      <c r="AF728">
        <f>0.16*X728 + 0.28*Y728 + 0.28*Z728 + 0.28*AA728</f>
        <v>2.5413032603769151E-2</v>
      </c>
      <c r="AG728">
        <f t="shared" si="33"/>
        <v>8.5827998048625901E-3</v>
      </c>
      <c r="AH728">
        <f>IF(T728="IT_Admin", 0.25, IF(AND(T728="HR", AA728&gt;0.6), 0.25, IF(AND(T728="General", Z728&gt;0.7), 0.2, 0.1)))</f>
        <v>0.1</v>
      </c>
      <c r="AI728">
        <f>IF(V728&gt;0.7, 0.1,
 IF(F728&gt;0.5, 0.08,
 IF(E728&gt;0.5, 0.05,
 0)))</f>
        <v>0</v>
      </c>
      <c r="AJ728">
        <f t="shared" si="34"/>
        <v>1.3631869644534559E-2</v>
      </c>
      <c r="AK728">
        <f t="shared" si="35"/>
        <v>1.4995056608988016E-2</v>
      </c>
      <c r="AL728" t="str">
        <f>IF(MAX(X728, Y728, Z728, AA728)&gt;0.9,
 "Critical",
 IF(AK728&lt;=0.2,"Very Low",
 IF(AK728&lt;=0.4,"Low",
 IF(AK728&lt;=0.6,"Medium",
 IF(AK728&lt;=0.8,"High","Critical")))))</f>
        <v>Very Low</v>
      </c>
      <c r="AM728" t="str">
        <f>IF(MAX(X728:AA728)&gt;0.9,"CRITICAL ALERT",
 IF(AK728&gt;0.8,"CRITICAL ALERT",
 IF(AK728&gt;0.6,"ALERT",
 IF(AK728&gt;=0.4,"REVIEW","NO ACTION"))))</f>
        <v>NO ACTION</v>
      </c>
      <c r="AN728" t="str">
        <f>IF(AM728="NO ACTION","",
 IF(_xlfn.TEXTJOIN(", ", TRUE,
  IF(X728&gt;0.7,"Login anomaly",""),
  IF(Y728&gt;0.7,"File anomaly",""),
  IF(Z728&gt;0.7,"Network anomaly",""),
  IF(AA728&gt;0.7,"USB anomaly","")
 )="",
 "General anomaly detected",
 _xlfn.TEXTJOIN(", ", TRUE,
  IF(X728&gt;0.7,"Login anomaly",""),
  IF(Y728&gt;0.7,"File anomaly",""),
  IF(Z728&gt;0.7,"Network anomaly",""),
  IF(AA728&gt;0.7,"USB anomaly","")
 )))</f>
        <v/>
      </c>
    </row>
    <row r="729" spans="1:40" x14ac:dyDescent="0.3">
      <c r="A729" t="s">
        <v>752</v>
      </c>
      <c r="B729">
        <v>0.12892249527410199</v>
      </c>
      <c r="C729">
        <v>0.18476582604220201</v>
      </c>
      <c r="D729">
        <v>0</v>
      </c>
      <c r="E729">
        <v>0</v>
      </c>
      <c r="F729">
        <v>0</v>
      </c>
      <c r="G729">
        <v>0.99367217127666696</v>
      </c>
      <c r="H729">
        <v>7</v>
      </c>
      <c r="I729">
        <v>7</v>
      </c>
      <c r="J729">
        <v>6.9414627164734496E-2</v>
      </c>
      <c r="K729">
        <v>8.9722675367047301E-3</v>
      </c>
      <c r="L729">
        <v>3.2903340335512801E-2</v>
      </c>
      <c r="M729">
        <v>2.59740259740259E-3</v>
      </c>
      <c r="N729">
        <v>2.2535136096779901E-2</v>
      </c>
      <c r="O729">
        <v>761</v>
      </c>
      <c r="P729">
        <v>5.6151795735128997E-2</v>
      </c>
      <c r="Q729">
        <v>5.6313334969669303E-2</v>
      </c>
      <c r="R729">
        <v>0</v>
      </c>
      <c r="S729">
        <v>0</v>
      </c>
      <c r="T729" t="s">
        <v>49</v>
      </c>
      <c r="U729">
        <v>1.86792452830188E-2</v>
      </c>
      <c r="V729">
        <v>0</v>
      </c>
      <c r="W729">
        <v>0</v>
      </c>
      <c r="X729">
        <v>0</v>
      </c>
      <c r="Y729">
        <v>3.7095136429737302E-2</v>
      </c>
      <c r="Z729">
        <v>4.2705131879789401E-2</v>
      </c>
      <c r="AA729">
        <v>0</v>
      </c>
      <c r="AB729">
        <v>3.6665000021457672E-2</v>
      </c>
      <c r="AC729">
        <v>1.9299999985378241E-4</v>
      </c>
      <c r="AD729">
        <v>6.2710000202059746E-3</v>
      </c>
      <c r="AE729">
        <v>1.6929999692365529E-3</v>
      </c>
      <c r="AF729">
        <f>0.16*X729 + 0.28*Y729 + 0.28*Z729 + 0.28*AA729</f>
        <v>2.234407512666748E-2</v>
      </c>
      <c r="AG729">
        <f t="shared" si="33"/>
        <v>8.1503600004361933E-3</v>
      </c>
      <c r="AH729">
        <f>IF(T729="IT_Admin", 0.25, IF(AND(T729="HR", AA729&gt;0.6), 0.25, IF(AND(T729="General", Z729&gt;0.7), 0.2, 0.1)))</f>
        <v>0.1</v>
      </c>
      <c r="AI729">
        <f>IF(V729&gt;0.7, 0.1,
 IF(F729&gt;0.5, 0.08,
 IF(E729&gt;0.5, 0.05,
 0)))</f>
        <v>0</v>
      </c>
      <c r="AJ729">
        <f t="shared" si="34"/>
        <v>1.240847453830558E-2</v>
      </c>
      <c r="AK729">
        <f t="shared" si="35"/>
        <v>1.364932199213614E-2</v>
      </c>
      <c r="AL729" t="str">
        <f>IF(MAX(X729, Y729, Z729, AA729)&gt;0.9,
 "Critical",
 IF(AK729&lt;=0.2,"Very Low",
 IF(AK729&lt;=0.4,"Low",
 IF(AK729&lt;=0.6,"Medium",
 IF(AK729&lt;=0.8,"High","Critical")))))</f>
        <v>Very Low</v>
      </c>
      <c r="AM729" t="str">
        <f>IF(MAX(X729:AA729)&gt;0.9,"CRITICAL ALERT",
 IF(AK729&gt;0.8,"CRITICAL ALERT",
 IF(AK729&gt;0.6,"ALERT",
 IF(AK729&gt;=0.4,"REVIEW","NO ACTION"))))</f>
        <v>NO ACTION</v>
      </c>
      <c r="AN729" t="str">
        <f>IF(AM729="NO ACTION","",
 IF(_xlfn.TEXTJOIN(", ", TRUE,
  IF(X729&gt;0.7,"Login anomaly",""),
  IF(Y729&gt;0.7,"File anomaly",""),
  IF(Z729&gt;0.7,"Network anomaly",""),
  IF(AA729&gt;0.7,"USB anomaly","")
 )="",
 "General anomaly detected",
 _xlfn.TEXTJOIN(", ", TRUE,
  IF(X729&gt;0.7,"Login anomaly",""),
  IF(Y729&gt;0.7,"File anomaly",""),
  IF(Z729&gt;0.7,"Network anomaly",""),
  IF(AA729&gt;0.7,"USB anomaly","")
 )))</f>
        <v/>
      </c>
    </row>
    <row r="730" spans="1:40" x14ac:dyDescent="0.3">
      <c r="A730" t="s">
        <v>753</v>
      </c>
      <c r="B730">
        <v>0.25633270321361001</v>
      </c>
      <c r="C730">
        <v>0.72389191669320396</v>
      </c>
      <c r="D730">
        <v>0.55578680055035301</v>
      </c>
      <c r="E730">
        <v>0.267188009123493</v>
      </c>
      <c r="F730">
        <v>8.35777126099706E-2</v>
      </c>
      <c r="G730">
        <v>0.42862118051258902</v>
      </c>
      <c r="H730">
        <v>0</v>
      </c>
      <c r="I730">
        <v>23</v>
      </c>
      <c r="J730">
        <v>0.113687324078049</v>
      </c>
      <c r="K730">
        <v>2.77324632952691E-2</v>
      </c>
      <c r="L730">
        <v>6.2179146271313303E-2</v>
      </c>
      <c r="M730">
        <v>1.44300144300144E-3</v>
      </c>
      <c r="N730">
        <v>7.6543129306948302E-3</v>
      </c>
      <c r="O730">
        <v>1008</v>
      </c>
      <c r="P730">
        <v>9.6205106621773298E-2</v>
      </c>
      <c r="Q730">
        <v>9.6356814755075501E-2</v>
      </c>
      <c r="R730">
        <v>0.95132743362831795</v>
      </c>
      <c r="S730">
        <v>1</v>
      </c>
      <c r="T730" t="s">
        <v>24</v>
      </c>
      <c r="U730">
        <v>9.6226415094339601E-2</v>
      </c>
      <c r="V730">
        <v>0</v>
      </c>
      <c r="W730">
        <v>0.16958973540830899</v>
      </c>
      <c r="X730">
        <v>0.28032352794614201</v>
      </c>
      <c r="Y730">
        <v>5.6123331830475E-2</v>
      </c>
      <c r="Z730">
        <v>6.0784789145341897E-2</v>
      </c>
      <c r="AA730">
        <v>0.95132743362831795</v>
      </c>
      <c r="AB730">
        <v>0.20659700036048889</v>
      </c>
      <c r="AC730">
        <v>1.5170000260695819E-3</v>
      </c>
      <c r="AD730">
        <v>1.441000029444695E-3</v>
      </c>
      <c r="AE730">
        <v>0.89269399642944336</v>
      </c>
      <c r="AF730">
        <f>0.16*X730 + 0.28*Y730 + 0.28*Z730 + 0.28*AA730</f>
        <v>0.34395771976054051</v>
      </c>
      <c r="AG730">
        <f t="shared" si="33"/>
        <v>0.28383807907346637</v>
      </c>
      <c r="AH730">
        <f>IF(T730="IT_Admin", 0.25, IF(AND(T730="HR", AA730&gt;0.6), 0.25, IF(AND(T730="General", Z730&gt;0.7), 0.2, 0.1)))</f>
        <v>0.25</v>
      </c>
      <c r="AI730">
        <f>IF(V730&gt;0.7, 0.1,
 IF(F730&gt;0.5, 0.08,
 IF(E730&gt;0.5, 0.05,
 0)))</f>
        <v>0</v>
      </c>
      <c r="AJ730">
        <f t="shared" si="34"/>
        <v>0.30187397127958859</v>
      </c>
      <c r="AK730">
        <f t="shared" si="35"/>
        <v>0.37734246409948574</v>
      </c>
      <c r="AL730" t="str">
        <f>IF(MAX(X730, Y730, Z730, AA730)&gt;0.9,
 "Critical",
 IF(AK730&lt;=0.2,"Very Low",
 IF(AK730&lt;=0.4,"Low",
 IF(AK730&lt;=0.6,"Medium",
 IF(AK730&lt;=0.8,"High","Critical")))))</f>
        <v>Critical</v>
      </c>
      <c r="AM730" t="str">
        <f>IF(MAX(X730:AA730)&gt;0.9,"CRITICAL ALERT",
 IF(AK730&gt;0.8,"CRITICAL ALERT",
 IF(AK730&gt;0.6,"ALERT",
 IF(AK730&gt;=0.4,"REVIEW","NO ACTION"))))</f>
        <v>CRITICAL ALERT</v>
      </c>
      <c r="AN730" t="str">
        <f>IF(AM730="NO ACTION","",
 IF(_xlfn.TEXTJOIN(", ", TRUE,
  IF(X730&gt;0.7,"Login anomaly",""),
  IF(Y730&gt;0.7,"File anomaly",""),
  IF(Z730&gt;0.7,"Network anomaly",""),
  IF(AA730&gt;0.7,"USB anomaly","")
 )="",
 "General anomaly detected",
 _xlfn.TEXTJOIN(", ", TRUE,
  IF(X730&gt;0.7,"Login anomaly",""),
  IF(Y730&gt;0.7,"File anomaly",""),
  IF(Z730&gt;0.7,"Network anomaly",""),
  IF(AA730&gt;0.7,"USB anomaly","")
 )))</f>
        <v>USB anomaly</v>
      </c>
    </row>
    <row r="731" spans="1:40" x14ac:dyDescent="0.3">
      <c r="A731" t="s">
        <v>754</v>
      </c>
      <c r="B731">
        <v>0.12892249527410199</v>
      </c>
      <c r="C731">
        <v>0.18476582604220201</v>
      </c>
      <c r="D731">
        <v>0</v>
      </c>
      <c r="E731">
        <v>0</v>
      </c>
      <c r="F731">
        <v>0</v>
      </c>
      <c r="G731">
        <v>0.99367436581797097</v>
      </c>
      <c r="H731">
        <v>7</v>
      </c>
      <c r="I731">
        <v>7</v>
      </c>
      <c r="J731">
        <v>7.7811173131052902E-2</v>
      </c>
      <c r="K731">
        <v>4.0783034257748704E-3</v>
      </c>
      <c r="L731">
        <v>1.33470984912894E-2</v>
      </c>
      <c r="M731">
        <v>6.9264069264069203E-3</v>
      </c>
      <c r="N731">
        <v>5.3628848738873101E-2</v>
      </c>
      <c r="O731">
        <v>693</v>
      </c>
      <c r="P731">
        <v>6.2324635241301898E-2</v>
      </c>
      <c r="Q731">
        <v>6.2484659349906997E-2</v>
      </c>
      <c r="R731">
        <v>0</v>
      </c>
      <c r="S731">
        <v>0</v>
      </c>
      <c r="T731" t="s">
        <v>49</v>
      </c>
      <c r="U731">
        <v>3.39622641509433E-3</v>
      </c>
      <c r="V731">
        <v>0</v>
      </c>
      <c r="W731">
        <v>0</v>
      </c>
      <c r="X731">
        <v>0</v>
      </c>
      <c r="Y731">
        <v>3.8324438493517202E-2</v>
      </c>
      <c r="Z731">
        <v>5.88463206403304E-2</v>
      </c>
      <c r="AA731">
        <v>0</v>
      </c>
      <c r="AB731">
        <v>3.6843001842498779E-2</v>
      </c>
      <c r="AC731">
        <v>9.5499999588355422E-4</v>
      </c>
      <c r="AD731">
        <v>4.6470002271234989E-3</v>
      </c>
      <c r="AE731">
        <v>2.0679999142885208E-3</v>
      </c>
      <c r="AF731">
        <f>0.16*X731 + 0.28*Y731 + 0.28*Z731 + 0.28*AA731</f>
        <v>2.7207812557477333E-2</v>
      </c>
      <c r="AG731">
        <f t="shared" si="33"/>
        <v>8.0424803332425666E-3</v>
      </c>
      <c r="AH731">
        <f>IF(T731="IT_Admin", 0.25, IF(AND(T731="HR", AA731&gt;0.6), 0.25, IF(AND(T731="General", Z731&gt;0.7), 0.2, 0.1)))</f>
        <v>0.1</v>
      </c>
      <c r="AI731">
        <f>IF(V731&gt;0.7, 0.1,
 IF(F731&gt;0.5, 0.08,
 IF(E731&gt;0.5, 0.05,
 0)))</f>
        <v>0</v>
      </c>
      <c r="AJ731">
        <f t="shared" si="34"/>
        <v>1.3792080000512998E-2</v>
      </c>
      <c r="AK731">
        <f t="shared" si="35"/>
        <v>1.5171288000564298E-2</v>
      </c>
      <c r="AL731" t="str">
        <f>IF(MAX(X731, Y731, Z731, AA731)&gt;0.9,
 "Critical",
 IF(AK731&lt;=0.2,"Very Low",
 IF(AK731&lt;=0.4,"Low",
 IF(AK731&lt;=0.6,"Medium",
 IF(AK731&lt;=0.8,"High","Critical")))))</f>
        <v>Very Low</v>
      </c>
      <c r="AM731" t="str">
        <f>IF(MAX(X731:AA731)&gt;0.9,"CRITICAL ALERT",
 IF(AK731&gt;0.8,"CRITICAL ALERT",
 IF(AK731&gt;0.6,"ALERT",
 IF(AK731&gt;=0.4,"REVIEW","NO ACTION"))))</f>
        <v>NO ACTION</v>
      </c>
      <c r="AN731" t="str">
        <f>IF(AM731="NO ACTION","",
 IF(_xlfn.TEXTJOIN(", ", TRUE,
  IF(X731&gt;0.7,"Login anomaly",""),
  IF(Y731&gt;0.7,"File anomaly",""),
  IF(Z731&gt;0.7,"Network anomaly",""),
  IF(AA731&gt;0.7,"USB anomaly","")
 )="",
 "General anomaly detected",
 _xlfn.TEXTJOIN(", ", TRUE,
  IF(X731&gt;0.7,"Login anomaly",""),
  IF(Y731&gt;0.7,"File anomaly",""),
  IF(Z731&gt;0.7,"Network anomaly",""),
  IF(AA731&gt;0.7,"USB anomaly","")
 )))</f>
        <v/>
      </c>
    </row>
    <row r="732" spans="1:40" x14ac:dyDescent="0.3">
      <c r="A732" t="s">
        <v>755</v>
      </c>
      <c r="B732">
        <v>0.12892249527410199</v>
      </c>
      <c r="C732">
        <v>0.36953165208440503</v>
      </c>
      <c r="D732">
        <v>0</v>
      </c>
      <c r="E732">
        <v>0</v>
      </c>
      <c r="F732">
        <v>0</v>
      </c>
      <c r="G732">
        <v>0.99366746104167303</v>
      </c>
      <c r="H732">
        <v>8</v>
      </c>
      <c r="I732">
        <v>8</v>
      </c>
      <c r="J732">
        <v>8.3440675540289097E-2</v>
      </c>
      <c r="K732">
        <v>9.7879282218597003E-3</v>
      </c>
      <c r="L732">
        <v>2.9878020248687898E-2</v>
      </c>
      <c r="M732">
        <v>1.1544011544011501E-3</v>
      </c>
      <c r="N732">
        <v>8.3368297735458494E-3</v>
      </c>
      <c r="O732">
        <v>826</v>
      </c>
      <c r="P732">
        <v>6.6112514029180697E-2</v>
      </c>
      <c r="Q732">
        <v>6.6271608401416604E-2</v>
      </c>
      <c r="R732">
        <v>0</v>
      </c>
      <c r="S732">
        <v>0</v>
      </c>
      <c r="T732" t="s">
        <v>49</v>
      </c>
      <c r="U732">
        <v>4.0754716981131998E-2</v>
      </c>
      <c r="V732">
        <v>0</v>
      </c>
      <c r="W732">
        <v>0</v>
      </c>
      <c r="X732">
        <v>0</v>
      </c>
      <c r="Y732">
        <v>3.4128194164465497E-2</v>
      </c>
      <c r="Z732">
        <v>4.3002240326926698E-2</v>
      </c>
      <c r="AA732">
        <v>0</v>
      </c>
      <c r="AB732">
        <v>2.4654999375343319E-2</v>
      </c>
      <c r="AC732">
        <v>1.5900000289548191E-4</v>
      </c>
      <c r="AD732">
        <v>5.303999874740839E-3</v>
      </c>
      <c r="AE732">
        <v>1.7689999658614399E-3</v>
      </c>
      <c r="AF732">
        <f>0.16*X732 + 0.28*Y732 + 0.28*Z732 + 0.28*AA732</f>
        <v>2.1596521657589816E-2</v>
      </c>
      <c r="AG732">
        <f t="shared" si="33"/>
        <v>5.9697598562343046E-3</v>
      </c>
      <c r="AH732">
        <f>IF(T732="IT_Admin", 0.25, IF(AND(T732="HR", AA732&gt;0.6), 0.25, IF(AND(T732="General", Z732&gt;0.7), 0.2, 0.1)))</f>
        <v>0.1</v>
      </c>
      <c r="AI732">
        <f>IF(V732&gt;0.7, 0.1,
 IF(F732&gt;0.5, 0.08,
 IF(E732&gt;0.5, 0.05,
 0)))</f>
        <v>0</v>
      </c>
      <c r="AJ732">
        <f t="shared" si="34"/>
        <v>1.0657788396640958E-2</v>
      </c>
      <c r="AK732">
        <f t="shared" si="35"/>
        <v>1.1723567236305054E-2</v>
      </c>
      <c r="AL732" t="str">
        <f>IF(MAX(X732, Y732, Z732, AA732)&gt;0.9,
 "Critical",
 IF(AK732&lt;=0.2,"Very Low",
 IF(AK732&lt;=0.4,"Low",
 IF(AK732&lt;=0.6,"Medium",
 IF(AK732&lt;=0.8,"High","Critical")))))</f>
        <v>Very Low</v>
      </c>
      <c r="AM732" t="str">
        <f>IF(MAX(X732:AA732)&gt;0.9,"CRITICAL ALERT",
 IF(AK732&gt;0.8,"CRITICAL ALERT",
 IF(AK732&gt;0.6,"ALERT",
 IF(AK732&gt;=0.4,"REVIEW","NO ACTION"))))</f>
        <v>NO ACTION</v>
      </c>
      <c r="AN732" t="str">
        <f>IF(AM732="NO ACTION","",
 IF(_xlfn.TEXTJOIN(", ", TRUE,
  IF(X732&gt;0.7,"Login anomaly",""),
  IF(Y732&gt;0.7,"File anomaly",""),
  IF(Z732&gt;0.7,"Network anomaly",""),
  IF(AA732&gt;0.7,"USB anomaly","")
 )="",
 "General anomaly detected",
 _xlfn.TEXTJOIN(", ", TRUE,
  IF(X732&gt;0.7,"Login anomaly",""),
  IF(Y732&gt;0.7,"File anomaly",""),
  IF(Z732&gt;0.7,"Network anomaly",""),
  IF(AA732&gt;0.7,"USB anomaly","")
 )))</f>
        <v/>
      </c>
    </row>
    <row r="733" spans="1:40" x14ac:dyDescent="0.3">
      <c r="A733" t="s">
        <v>756</v>
      </c>
      <c r="B733">
        <v>0.12892249527410199</v>
      </c>
      <c r="C733">
        <v>0.36953165208440503</v>
      </c>
      <c r="D733">
        <v>0</v>
      </c>
      <c r="E733">
        <v>0</v>
      </c>
      <c r="F733">
        <v>0</v>
      </c>
      <c r="G733">
        <v>0.99365523048830695</v>
      </c>
      <c r="H733">
        <v>8</v>
      </c>
      <c r="I733">
        <v>8</v>
      </c>
      <c r="J733">
        <v>9.4079480940794796E-2</v>
      </c>
      <c r="K733">
        <v>1.7944535073409401E-2</v>
      </c>
      <c r="L733">
        <v>4.8597751026655298E-2</v>
      </c>
      <c r="M733">
        <v>2.8860028860028799E-3</v>
      </c>
      <c r="N733">
        <v>1.8491147474455499E-2</v>
      </c>
      <c r="O733">
        <v>897</v>
      </c>
      <c r="P733">
        <v>7.8282828282828204E-2</v>
      </c>
      <c r="Q733">
        <v>7.84389354465444E-2</v>
      </c>
      <c r="R733">
        <v>0</v>
      </c>
      <c r="S733">
        <v>0</v>
      </c>
      <c r="T733" t="s">
        <v>49</v>
      </c>
      <c r="U733">
        <v>3.3962264150943298E-2</v>
      </c>
      <c r="V733">
        <v>0</v>
      </c>
      <c r="W733">
        <v>0</v>
      </c>
      <c r="X733">
        <v>0</v>
      </c>
      <c r="Y733">
        <v>4.8662115943823199E-2</v>
      </c>
      <c r="Z733">
        <v>5.43661559594791E-2</v>
      </c>
      <c r="AA733">
        <v>0</v>
      </c>
      <c r="AB733">
        <v>2.465000003576279E-2</v>
      </c>
      <c r="AC733">
        <v>9.0000003183376975E-6</v>
      </c>
      <c r="AD733">
        <v>3.5759999882429838E-3</v>
      </c>
      <c r="AE733">
        <v>1.748000038787723E-3</v>
      </c>
      <c r="AF733">
        <f>0.16*X733 + 0.28*Y733 + 0.28*Z733 + 0.28*AA733</f>
        <v>2.8847916132924645E-2</v>
      </c>
      <c r="AG733">
        <f t="shared" si="33"/>
        <v>5.4372400133797785E-3</v>
      </c>
      <c r="AH733">
        <f>IF(T733="IT_Admin", 0.25, IF(AND(T733="HR", AA733&gt;0.6), 0.25, IF(AND(T733="General", Z733&gt;0.7), 0.2, 0.1)))</f>
        <v>0.1</v>
      </c>
      <c r="AI733">
        <f>IF(V733&gt;0.7, 0.1,
 IF(F733&gt;0.5, 0.08,
 IF(E733&gt;0.5, 0.05,
 0)))</f>
        <v>0</v>
      </c>
      <c r="AJ733">
        <f t="shared" si="34"/>
        <v>1.2460442849243237E-2</v>
      </c>
      <c r="AK733">
        <f t="shared" si="35"/>
        <v>1.3706487134167562E-2</v>
      </c>
      <c r="AL733" t="str">
        <f>IF(MAX(X733, Y733, Z733, AA733)&gt;0.9,
 "Critical",
 IF(AK733&lt;=0.2,"Very Low",
 IF(AK733&lt;=0.4,"Low",
 IF(AK733&lt;=0.6,"Medium",
 IF(AK733&lt;=0.8,"High","Critical")))))</f>
        <v>Very Low</v>
      </c>
      <c r="AM733" t="str">
        <f>IF(MAX(X733:AA733)&gt;0.9,"CRITICAL ALERT",
 IF(AK733&gt;0.8,"CRITICAL ALERT",
 IF(AK733&gt;0.6,"ALERT",
 IF(AK733&gt;=0.4,"REVIEW","NO ACTION"))))</f>
        <v>NO ACTION</v>
      </c>
      <c r="AN733" t="str">
        <f>IF(AM733="NO ACTION","",
 IF(_xlfn.TEXTJOIN(", ", TRUE,
  IF(X733&gt;0.7,"Login anomaly",""),
  IF(Y733&gt;0.7,"File anomaly",""),
  IF(Z733&gt;0.7,"Network anomaly",""),
  IF(AA733&gt;0.7,"USB anomaly","")
 )="",
 "General anomaly detected",
 _xlfn.TEXTJOIN(", ", TRUE,
  IF(X733&gt;0.7,"Login anomaly",""),
  IF(Y733&gt;0.7,"File anomaly",""),
  IF(Z733&gt;0.7,"Network anomaly",""),
  IF(AA733&gt;0.7,"USB anomaly","")
 )))</f>
        <v/>
      </c>
    </row>
    <row r="734" spans="1:40" x14ac:dyDescent="0.3">
      <c r="A734" t="s">
        <v>757</v>
      </c>
      <c r="B734">
        <v>0.12892249527410199</v>
      </c>
      <c r="C734">
        <v>0.36953165208440503</v>
      </c>
      <c r="D734">
        <v>0</v>
      </c>
      <c r="E734">
        <v>0</v>
      </c>
      <c r="F734">
        <v>0</v>
      </c>
      <c r="G734">
        <v>0.99367653359657604</v>
      </c>
      <c r="H734">
        <v>8</v>
      </c>
      <c r="I734">
        <v>8</v>
      </c>
      <c r="J734">
        <v>0.10209436572682599</v>
      </c>
      <c r="K734">
        <v>1.1419249592169599E-2</v>
      </c>
      <c r="L734">
        <v>2.8503677747738199E-2</v>
      </c>
      <c r="M734">
        <v>1.44300144300144E-3</v>
      </c>
      <c r="N734">
        <v>8.5214448850812405E-3</v>
      </c>
      <c r="O734">
        <v>859</v>
      </c>
      <c r="P734">
        <v>8.06677890011223E-2</v>
      </c>
      <c r="Q734">
        <v>8.0823310775272605E-2</v>
      </c>
      <c r="R734">
        <v>0</v>
      </c>
      <c r="S734">
        <v>0</v>
      </c>
      <c r="T734" t="s">
        <v>24</v>
      </c>
      <c r="U734">
        <v>3.9622641509433898E-2</v>
      </c>
      <c r="V734">
        <v>0</v>
      </c>
      <c r="W734">
        <v>0</v>
      </c>
      <c r="X734">
        <v>0</v>
      </c>
      <c r="Y734">
        <v>3.7227145484758598E-2</v>
      </c>
      <c r="Z734">
        <v>5.1809251354705897E-2</v>
      </c>
      <c r="AA734">
        <v>0</v>
      </c>
      <c r="AB734">
        <v>2.465599961578846E-2</v>
      </c>
      <c r="AC734">
        <v>1.270000066142529E-4</v>
      </c>
      <c r="AD734">
        <v>3.536999924108386E-3</v>
      </c>
      <c r="AE734">
        <v>1.4339999761432409E-3</v>
      </c>
      <c r="AF734">
        <f>0.16*X734 + 0.28*Y734 + 0.28*Z734 + 0.28*AA734</f>
        <v>2.4930191115050064E-2</v>
      </c>
      <c r="AG734">
        <f t="shared" si="33"/>
        <v>5.372399912448601E-3</v>
      </c>
      <c r="AH734">
        <f>IF(T734="IT_Admin", 0.25, IF(AND(T734="HR", AA734&gt;0.6), 0.25, IF(AND(T734="General", Z734&gt;0.7), 0.2, 0.1)))</f>
        <v>0.25</v>
      </c>
      <c r="AI734">
        <f>IF(V734&gt;0.7, 0.1,
 IF(F734&gt;0.5, 0.08,
 IF(E734&gt;0.5, 0.05,
 0)))</f>
        <v>0</v>
      </c>
      <c r="AJ734">
        <f t="shared" si="34"/>
        <v>1.123973727322904E-2</v>
      </c>
      <c r="AK734">
        <f t="shared" si="35"/>
        <v>1.4049671591536299E-2</v>
      </c>
      <c r="AL734" t="str">
        <f>IF(MAX(X734, Y734, Z734, AA734)&gt;0.9,
 "Critical",
 IF(AK734&lt;=0.2,"Very Low",
 IF(AK734&lt;=0.4,"Low",
 IF(AK734&lt;=0.6,"Medium",
 IF(AK734&lt;=0.8,"High","Critical")))))</f>
        <v>Very Low</v>
      </c>
      <c r="AM734" t="str">
        <f>IF(MAX(X734:AA734)&gt;0.9,"CRITICAL ALERT",
 IF(AK734&gt;0.8,"CRITICAL ALERT",
 IF(AK734&gt;0.6,"ALERT",
 IF(AK734&gt;=0.4,"REVIEW","NO ACTION"))))</f>
        <v>NO ACTION</v>
      </c>
      <c r="AN734" t="str">
        <f>IF(AM734="NO ACTION","",
 IF(_xlfn.TEXTJOIN(", ", TRUE,
  IF(X734&gt;0.7,"Login anomaly",""),
  IF(Y734&gt;0.7,"File anomaly",""),
  IF(Z734&gt;0.7,"Network anomaly",""),
  IF(AA734&gt;0.7,"USB anomaly","")
 )="",
 "General anomaly detected",
 _xlfn.TEXTJOIN(", ", TRUE,
  IF(X734&gt;0.7,"Login anomaly",""),
  IF(Y734&gt;0.7,"File anomaly",""),
  IF(Z734&gt;0.7,"Network anomaly",""),
  IF(AA734&gt;0.7,"USB anomaly","")
 )))</f>
        <v/>
      </c>
    </row>
    <row r="735" spans="1:40" x14ac:dyDescent="0.3">
      <c r="A735" t="s">
        <v>758</v>
      </c>
      <c r="B735">
        <v>4.8015122873345903E-2</v>
      </c>
      <c r="C735">
        <v>0.36953165208440503</v>
      </c>
      <c r="D735">
        <v>0</v>
      </c>
      <c r="E735">
        <v>0</v>
      </c>
      <c r="F735">
        <v>0</v>
      </c>
      <c r="G735">
        <v>0.983319461789531</v>
      </c>
      <c r="H735">
        <v>8</v>
      </c>
      <c r="I735">
        <v>8</v>
      </c>
      <c r="J735">
        <v>1.3215018367444299E-2</v>
      </c>
      <c r="K735">
        <v>4.0783034257748704E-3</v>
      </c>
      <c r="L735">
        <v>7.74321033040761E-2</v>
      </c>
      <c r="M735">
        <v>0</v>
      </c>
      <c r="N735">
        <v>0</v>
      </c>
      <c r="O735">
        <v>177</v>
      </c>
      <c r="P735">
        <v>1.14688552188552E-2</v>
      </c>
      <c r="Q735">
        <v>1.1641361899084801E-2</v>
      </c>
      <c r="R735">
        <v>0</v>
      </c>
      <c r="S735">
        <v>0</v>
      </c>
      <c r="T735" t="s">
        <v>49</v>
      </c>
      <c r="U735">
        <v>8.4905660377358402E-2</v>
      </c>
      <c r="V735">
        <v>0</v>
      </c>
      <c r="W735">
        <v>0</v>
      </c>
      <c r="X735">
        <v>0</v>
      </c>
      <c r="Y735">
        <v>4.1359055325526903E-2</v>
      </c>
      <c r="Z735">
        <v>6.8813131313131297E-3</v>
      </c>
      <c r="AA735">
        <v>0</v>
      </c>
      <c r="AB735">
        <v>3.7342000752687447E-2</v>
      </c>
      <c r="AC735">
        <v>1.277999952435493E-3</v>
      </c>
      <c r="AD735">
        <v>1.5426999889314169E-2</v>
      </c>
      <c r="AE735">
        <v>2.14100000448525E-3</v>
      </c>
      <c r="AF735">
        <f>0.16*X735 + 0.28*Y735 + 0.28*Z735 + 0.28*AA735</f>
        <v>1.350730316791521E-2</v>
      </c>
      <c r="AG735">
        <f t="shared" si="33"/>
        <v>1.1251600077375768E-2</v>
      </c>
      <c r="AH735">
        <f>IF(T735="IT_Admin", 0.25, IF(AND(T735="HR", AA735&gt;0.6), 0.25, IF(AND(T735="General", Z735&gt;0.7), 0.2, 0.1)))</f>
        <v>0.1</v>
      </c>
      <c r="AI735">
        <f>IF(V735&gt;0.7, 0.1,
 IF(F735&gt;0.5, 0.08,
 IF(E735&gt;0.5, 0.05,
 0)))</f>
        <v>0</v>
      </c>
      <c r="AJ735">
        <f t="shared" si="34"/>
        <v>1.19283110045376E-2</v>
      </c>
      <c r="AK735">
        <f t="shared" si="35"/>
        <v>1.3121142104991362E-2</v>
      </c>
      <c r="AL735" t="str">
        <f>IF(MAX(X735, Y735, Z735, AA735)&gt;0.9,
 "Critical",
 IF(AK735&lt;=0.2,"Very Low",
 IF(AK735&lt;=0.4,"Low",
 IF(AK735&lt;=0.6,"Medium",
 IF(AK735&lt;=0.8,"High","Critical")))))</f>
        <v>Very Low</v>
      </c>
      <c r="AM735" t="str">
        <f>IF(MAX(X735:AA735)&gt;0.9,"CRITICAL ALERT",
 IF(AK735&gt;0.8,"CRITICAL ALERT",
 IF(AK735&gt;0.6,"ALERT",
 IF(AK735&gt;=0.4,"REVIEW","NO ACTION"))))</f>
        <v>NO ACTION</v>
      </c>
      <c r="AN735" t="str">
        <f>IF(AM735="NO ACTION","",
 IF(_xlfn.TEXTJOIN(", ", TRUE,
  IF(X735&gt;0.7,"Login anomaly",""),
  IF(Y735&gt;0.7,"File anomaly",""),
  IF(Z735&gt;0.7,"Network anomaly",""),
  IF(AA735&gt;0.7,"USB anomaly","")
 )="",
 "General anomaly detected",
 _xlfn.TEXTJOIN(", ", TRUE,
  IF(X735&gt;0.7,"Login anomaly",""),
  IF(Y735&gt;0.7,"File anomaly",""),
  IF(Z735&gt;0.7,"Network anomaly",""),
  IF(AA735&gt;0.7,"USB anomaly","")
 )))</f>
        <v/>
      </c>
    </row>
    <row r="736" spans="1:40" x14ac:dyDescent="0.3">
      <c r="A736" t="s">
        <v>759</v>
      </c>
      <c r="B736">
        <v>0.26956521739130401</v>
      </c>
      <c r="C736">
        <v>0.750144099872876</v>
      </c>
      <c r="D736">
        <v>0.50388155588107597</v>
      </c>
      <c r="E736">
        <v>0.31768169843483601</v>
      </c>
      <c r="F736">
        <v>8.9260808926080806E-2</v>
      </c>
      <c r="G736">
        <v>0.40037658561171402</v>
      </c>
      <c r="H736">
        <v>0</v>
      </c>
      <c r="I736">
        <v>23</v>
      </c>
      <c r="J736">
        <v>9.8420876866561702E-2</v>
      </c>
      <c r="K736">
        <v>2.36541598694942E-2</v>
      </c>
      <c r="L736">
        <v>6.1241754431405601E-2</v>
      </c>
      <c r="M736">
        <v>1.7316017316017301E-3</v>
      </c>
      <c r="N736">
        <v>1.06064792718564E-2</v>
      </c>
      <c r="O736">
        <v>1124</v>
      </c>
      <c r="P736">
        <v>8.3368406285072902E-2</v>
      </c>
      <c r="Q736">
        <v>8.3523265191626603E-2</v>
      </c>
      <c r="R736">
        <v>4.4247787610619399E-2</v>
      </c>
      <c r="S736">
        <v>1</v>
      </c>
      <c r="T736" t="s">
        <v>24</v>
      </c>
      <c r="U736">
        <v>7.0350404312668396E-2</v>
      </c>
      <c r="V736">
        <v>0</v>
      </c>
      <c r="W736">
        <v>0.17839092966939399</v>
      </c>
      <c r="X736">
        <v>0.28217329986520601</v>
      </c>
      <c r="Y736">
        <v>5.3486996370572103E-2</v>
      </c>
      <c r="Z736">
        <v>5.4263635479786299E-2</v>
      </c>
      <c r="AA736">
        <v>4.4247787610619399E-2</v>
      </c>
      <c r="AB736">
        <v>0.22598500549793241</v>
      </c>
      <c r="AC736">
        <v>6.1500002630054951E-4</v>
      </c>
      <c r="AD736">
        <v>2.4019998963922258E-3</v>
      </c>
      <c r="AE736">
        <v>6.1845000833272927E-2</v>
      </c>
      <c r="AF736">
        <f>0.16*X736 + 0.28*Y736 + 0.28*Z736 + 0.28*AA736</f>
        <v>8.7707285427506748E-2</v>
      </c>
      <c r="AG736">
        <f t="shared" si="33"/>
        <v>5.4318961091339588E-2</v>
      </c>
      <c r="AH736">
        <f>IF(T736="IT_Admin", 0.25, IF(AND(T736="HR", AA736&gt;0.6), 0.25, IF(AND(T736="General", Z736&gt;0.7), 0.2, 0.1)))</f>
        <v>0.25</v>
      </c>
      <c r="AI736">
        <f>IF(V736&gt;0.7, 0.1,
 IF(F736&gt;0.5, 0.08,
 IF(E736&gt;0.5, 0.05,
 0)))</f>
        <v>0</v>
      </c>
      <c r="AJ736">
        <f t="shared" si="34"/>
        <v>6.4335458392189737E-2</v>
      </c>
      <c r="AK736">
        <f t="shared" si="35"/>
        <v>8.0419322990237171E-2</v>
      </c>
      <c r="AL736" t="str">
        <f>IF(MAX(X736, Y736, Z736, AA736)&gt;0.9,
 "Critical",
 IF(AK736&lt;=0.2,"Very Low",
 IF(AK736&lt;=0.4,"Low",
 IF(AK736&lt;=0.6,"Medium",
 IF(AK736&lt;=0.8,"High","Critical")))))</f>
        <v>Very Low</v>
      </c>
      <c r="AM736" t="str">
        <f>IF(MAX(X736:AA736)&gt;0.9,"CRITICAL ALERT",
 IF(AK736&gt;0.8,"CRITICAL ALERT",
 IF(AK736&gt;0.6,"ALERT",
 IF(AK736&gt;=0.4,"REVIEW","NO ACTION"))))</f>
        <v>NO ACTION</v>
      </c>
      <c r="AN736" t="str">
        <f>IF(AM736="NO ACTION","",
 IF(_xlfn.TEXTJOIN(", ", TRUE,
  IF(X736&gt;0.7,"Login anomaly",""),
  IF(Y736&gt;0.7,"File anomaly",""),
  IF(Z736&gt;0.7,"Network anomaly",""),
  IF(AA736&gt;0.7,"USB anomaly","")
 )="",
 "General anomaly detected",
 _xlfn.TEXTJOIN(", ", TRUE,
  IF(X736&gt;0.7,"Login anomaly",""),
  IF(Y736&gt;0.7,"File anomaly",""),
  IF(Z736&gt;0.7,"Network anomaly",""),
  IF(AA736&gt;0.7,"USB anomaly","")
 )))</f>
        <v/>
      </c>
    </row>
    <row r="737" spans="1:40" x14ac:dyDescent="0.3">
      <c r="A737" t="s">
        <v>760</v>
      </c>
      <c r="B737">
        <v>0.12892249527410199</v>
      </c>
      <c r="C737">
        <v>0.460040129189136</v>
      </c>
      <c r="D737">
        <v>7.51173381640724E-2</v>
      </c>
      <c r="E737">
        <v>0</v>
      </c>
      <c r="F737">
        <v>0</v>
      </c>
      <c r="G737">
        <v>0.99365033291442195</v>
      </c>
      <c r="H737">
        <v>8</v>
      </c>
      <c r="I737">
        <v>9</v>
      </c>
      <c r="J737">
        <v>7.2611039549639794E-2</v>
      </c>
      <c r="K737">
        <v>8.9722675367047301E-3</v>
      </c>
      <c r="L737">
        <v>3.1459644328650102E-2</v>
      </c>
      <c r="M737">
        <v>1.7316017316017301E-3</v>
      </c>
      <c r="N737">
        <v>1.4364243047936501E-2</v>
      </c>
      <c r="O737">
        <v>826</v>
      </c>
      <c r="P737">
        <v>5.8080808080807997E-2</v>
      </c>
      <c r="Q737">
        <v>5.8241873838493601E-2</v>
      </c>
      <c r="R737">
        <v>0</v>
      </c>
      <c r="S737">
        <v>0</v>
      </c>
      <c r="T737" t="s">
        <v>49</v>
      </c>
      <c r="U737">
        <v>2.6684636118598299E-2</v>
      </c>
      <c r="V737">
        <v>0</v>
      </c>
      <c r="W737">
        <v>0</v>
      </c>
      <c r="X737">
        <v>2.2535201449221699E-2</v>
      </c>
      <c r="Y737">
        <v>3.4561302988634003E-2</v>
      </c>
      <c r="Z737">
        <v>4.0594182067659398E-2</v>
      </c>
      <c r="AA737">
        <v>0</v>
      </c>
      <c r="AB737">
        <v>1.3395999558269979E-2</v>
      </c>
      <c r="AC737">
        <v>1.5500000154133889E-4</v>
      </c>
      <c r="AD737">
        <v>6.1849998310208321E-3</v>
      </c>
      <c r="AE737">
        <v>2.3880000226199631E-3</v>
      </c>
      <c r="AF737">
        <f>0.16*X737 + 0.28*Y737 + 0.28*Z737 + 0.28*AA737</f>
        <v>2.4649168047637629E-2</v>
      </c>
      <c r="AG737">
        <f t="shared" si="33"/>
        <v>4.5871998887741941E-3</v>
      </c>
      <c r="AH737">
        <f>IF(T737="IT_Admin", 0.25, IF(AND(T737="HR", AA737&gt;0.6), 0.25, IF(AND(T737="General", Z737&gt;0.7), 0.2, 0.1)))</f>
        <v>0.1</v>
      </c>
      <c r="AI737">
        <f>IF(V737&gt;0.7, 0.1,
 IF(F737&gt;0.5, 0.08,
 IF(E737&gt;0.5, 0.05,
 0)))</f>
        <v>0</v>
      </c>
      <c r="AJ737">
        <f t="shared" si="34"/>
        <v>1.0605790336433224E-2</v>
      </c>
      <c r="AK737">
        <f t="shared" si="35"/>
        <v>1.1666369370076547E-2</v>
      </c>
      <c r="AL737" t="str">
        <f>IF(MAX(X737, Y737, Z737, AA737)&gt;0.9,
 "Critical",
 IF(AK737&lt;=0.2,"Very Low",
 IF(AK737&lt;=0.4,"Low",
 IF(AK737&lt;=0.6,"Medium",
 IF(AK737&lt;=0.8,"High","Critical")))))</f>
        <v>Very Low</v>
      </c>
      <c r="AM737" t="str">
        <f>IF(MAX(X737:AA737)&gt;0.9,"CRITICAL ALERT",
 IF(AK737&gt;0.8,"CRITICAL ALERT",
 IF(AK737&gt;0.6,"ALERT",
 IF(AK737&gt;=0.4,"REVIEW","NO ACTION"))))</f>
        <v>NO ACTION</v>
      </c>
      <c r="AN737" t="str">
        <f>IF(AM737="NO ACTION","",
 IF(_xlfn.TEXTJOIN(", ", TRUE,
  IF(X737&gt;0.7,"Login anomaly",""),
  IF(Y737&gt;0.7,"File anomaly",""),
  IF(Z737&gt;0.7,"Network anomaly",""),
  IF(AA737&gt;0.7,"USB anomaly","")
 )="",
 "General anomaly detected",
 _xlfn.TEXTJOIN(", ", TRUE,
  IF(X737&gt;0.7,"Login anomaly",""),
  IF(Y737&gt;0.7,"File anomaly",""),
  IF(Z737&gt;0.7,"Network anomaly",""),
  IF(AA737&gt;0.7,"USB anomaly","")
 )))</f>
        <v/>
      </c>
    </row>
    <row r="738" spans="1:40" x14ac:dyDescent="0.3">
      <c r="A738" t="s">
        <v>761</v>
      </c>
      <c r="B738">
        <v>0.12892249527410199</v>
      </c>
      <c r="C738">
        <v>0.36953165208440503</v>
      </c>
      <c r="D738">
        <v>0</v>
      </c>
      <c r="E738">
        <v>0</v>
      </c>
      <c r="F738">
        <v>0</v>
      </c>
      <c r="G738">
        <v>0.99366143943443597</v>
      </c>
      <c r="H738">
        <v>8</v>
      </c>
      <c r="I738">
        <v>8</v>
      </c>
      <c r="J738">
        <v>8.3870044368112198E-2</v>
      </c>
      <c r="K738">
        <v>3.3442088091353898E-2</v>
      </c>
      <c r="L738">
        <v>0.10156210758953201</v>
      </c>
      <c r="M738">
        <v>1.7316017316017301E-3</v>
      </c>
      <c r="N738">
        <v>1.24414062020414E-2</v>
      </c>
      <c r="O738">
        <v>887</v>
      </c>
      <c r="P738">
        <v>7.6879910213243502E-2</v>
      </c>
      <c r="Q738">
        <v>7.7036361723763103E-2</v>
      </c>
      <c r="R738">
        <v>0</v>
      </c>
      <c r="S738">
        <v>0</v>
      </c>
      <c r="T738" t="s">
        <v>49</v>
      </c>
      <c r="U738">
        <v>9.9460916442048505E-2</v>
      </c>
      <c r="V738">
        <v>0</v>
      </c>
      <c r="W738">
        <v>0</v>
      </c>
      <c r="X738">
        <v>0</v>
      </c>
      <c r="Y738">
        <v>7.1287484529000994E-2</v>
      </c>
      <c r="Z738">
        <v>5.11045086087627E-2</v>
      </c>
      <c r="AA738">
        <v>0</v>
      </c>
      <c r="AB738">
        <v>2.4739999324083332E-2</v>
      </c>
      <c r="AC738">
        <v>2.5069999974220991E-3</v>
      </c>
      <c r="AD738">
        <v>3.848999971523881E-3</v>
      </c>
      <c r="AE738">
        <v>1.6509999986737971E-3</v>
      </c>
      <c r="AF738">
        <f>0.16*X738 + 0.28*Y738 + 0.28*Z738 + 0.28*AA738</f>
        <v>3.4269758078573839E-2</v>
      </c>
      <c r="AG738">
        <f t="shared" si="33"/>
        <v>6.2003598827868704E-3</v>
      </c>
      <c r="AH738">
        <f>IF(T738="IT_Admin", 0.25, IF(AND(T738="HR", AA738&gt;0.6), 0.25, IF(AND(T738="General", Z738&gt;0.7), 0.2, 0.1)))</f>
        <v>0.1</v>
      </c>
      <c r="AI738">
        <f>IF(V738&gt;0.7, 0.1,
 IF(F738&gt;0.5, 0.08,
 IF(E738&gt;0.5, 0.05,
 0)))</f>
        <v>0</v>
      </c>
      <c r="AJ738">
        <f t="shared" si="34"/>
        <v>1.4621179341522961E-2</v>
      </c>
      <c r="AK738">
        <f t="shared" si="35"/>
        <v>1.6083297275675257E-2</v>
      </c>
      <c r="AL738" t="str">
        <f>IF(MAX(X738, Y738, Z738, AA738)&gt;0.9,
 "Critical",
 IF(AK738&lt;=0.2,"Very Low",
 IF(AK738&lt;=0.4,"Low",
 IF(AK738&lt;=0.6,"Medium",
 IF(AK738&lt;=0.8,"High","Critical")))))</f>
        <v>Very Low</v>
      </c>
      <c r="AM738" t="str">
        <f>IF(MAX(X738:AA738)&gt;0.9,"CRITICAL ALERT",
 IF(AK738&gt;0.8,"CRITICAL ALERT",
 IF(AK738&gt;0.6,"ALERT",
 IF(AK738&gt;=0.4,"REVIEW","NO ACTION"))))</f>
        <v>NO ACTION</v>
      </c>
      <c r="AN738" t="str">
        <f>IF(AM738="NO ACTION","",
 IF(_xlfn.TEXTJOIN(", ", TRUE,
  IF(X738&gt;0.7,"Login anomaly",""),
  IF(Y738&gt;0.7,"File anomaly",""),
  IF(Z738&gt;0.7,"Network anomaly",""),
  IF(AA738&gt;0.7,"USB anomaly","")
 )="",
 "General anomaly detected",
 _xlfn.TEXTJOIN(", ", TRUE,
  IF(X738&gt;0.7,"Login anomaly",""),
  IF(Y738&gt;0.7,"File anomaly",""),
  IF(Z738&gt;0.7,"Network anomaly",""),
  IF(AA738&gt;0.7,"USB anomaly","")
 )))</f>
        <v/>
      </c>
    </row>
    <row r="739" spans="1:40" x14ac:dyDescent="0.3">
      <c r="A739" t="s">
        <v>762</v>
      </c>
      <c r="B739">
        <v>1.51228733459357E-2</v>
      </c>
      <c r="C739">
        <v>0.36953165208440503</v>
      </c>
      <c r="D739">
        <v>0</v>
      </c>
      <c r="E739">
        <v>0</v>
      </c>
      <c r="F739">
        <v>0</v>
      </c>
      <c r="G739">
        <v>0.94278343470566495</v>
      </c>
      <c r="H739">
        <v>8</v>
      </c>
      <c r="I739">
        <v>8</v>
      </c>
      <c r="J739">
        <v>1.908305901436E-3</v>
      </c>
      <c r="K739">
        <v>1.6313213703099501E-3</v>
      </c>
      <c r="L739">
        <v>0.19409647228221699</v>
      </c>
      <c r="M739">
        <v>2.88600288600288E-4</v>
      </c>
      <c r="N739">
        <v>8.1237774571107896E-2</v>
      </c>
      <c r="O739">
        <v>43</v>
      </c>
      <c r="P739">
        <v>2.24466891133557E-3</v>
      </c>
      <c r="Q739">
        <v>2.4194396717977401E-3</v>
      </c>
      <c r="R739">
        <v>0</v>
      </c>
      <c r="S739">
        <v>0</v>
      </c>
      <c r="T739" t="s">
        <v>49</v>
      </c>
      <c r="U739">
        <v>1.6981132075471601E-2</v>
      </c>
      <c r="V739">
        <v>0</v>
      </c>
      <c r="W739">
        <v>0</v>
      </c>
      <c r="X739">
        <v>0</v>
      </c>
      <c r="Y739">
        <v>0.121801229692728</v>
      </c>
      <c r="Z739">
        <v>3.3841911175244502E-2</v>
      </c>
      <c r="AA739">
        <v>0</v>
      </c>
      <c r="AB739">
        <v>4.4245000928640373E-2</v>
      </c>
      <c r="AC739">
        <v>8.6549995467066765E-3</v>
      </c>
      <c r="AD739">
        <v>1.4012999832630159E-2</v>
      </c>
      <c r="AE739">
        <v>1.9700000993907452E-3</v>
      </c>
      <c r="AF739">
        <f>0.16*X739 + 0.28*Y739 + 0.28*Z739 + 0.28*AA739</f>
        <v>4.3580079443032306E-2</v>
      </c>
      <c r="AG739">
        <f t="shared" si="33"/>
        <v>1.3977840002626182E-2</v>
      </c>
      <c r="AH739">
        <f>IF(T739="IT_Admin", 0.25, IF(AND(T739="HR", AA739&gt;0.6), 0.25, IF(AND(T739="General", Z739&gt;0.7), 0.2, 0.1)))</f>
        <v>0.1</v>
      </c>
      <c r="AI739">
        <f>IF(V739&gt;0.7, 0.1,
 IF(F739&gt;0.5, 0.08,
 IF(E739&gt;0.5, 0.05,
 0)))</f>
        <v>0</v>
      </c>
      <c r="AJ739">
        <f t="shared" si="34"/>
        <v>2.2858511834748019E-2</v>
      </c>
      <c r="AK739">
        <f t="shared" si="35"/>
        <v>2.5144363018222822E-2</v>
      </c>
      <c r="AL739" t="str">
        <f>IF(MAX(X739, Y739, Z739, AA739)&gt;0.9,
 "Critical",
 IF(AK739&lt;=0.2,"Very Low",
 IF(AK739&lt;=0.4,"Low",
 IF(AK739&lt;=0.6,"Medium",
 IF(AK739&lt;=0.8,"High","Critical")))))</f>
        <v>Very Low</v>
      </c>
      <c r="AM739" t="str">
        <f>IF(MAX(X739:AA739)&gt;0.9,"CRITICAL ALERT",
 IF(AK739&gt;0.8,"CRITICAL ALERT",
 IF(AK739&gt;0.6,"ALERT",
 IF(AK739&gt;=0.4,"REVIEW","NO ACTION"))))</f>
        <v>NO ACTION</v>
      </c>
      <c r="AN739" t="str">
        <f>IF(AM739="NO ACTION","",
 IF(_xlfn.TEXTJOIN(", ", TRUE,
  IF(X739&gt;0.7,"Login anomaly",""),
  IF(Y739&gt;0.7,"File anomaly",""),
  IF(Z739&gt;0.7,"Network anomaly",""),
  IF(AA739&gt;0.7,"USB anomaly","")
 )="",
 "General anomaly detected",
 _xlfn.TEXTJOIN(", ", TRUE,
  IF(X739&gt;0.7,"Login anomaly",""),
  IF(Y739&gt;0.7,"File anomaly",""),
  IF(Z739&gt;0.7,"Network anomaly",""),
  IF(AA739&gt;0.7,"USB anomaly","")
 )))</f>
        <v/>
      </c>
    </row>
    <row r="740" spans="1:40" x14ac:dyDescent="0.3">
      <c r="A740" t="s">
        <v>763</v>
      </c>
      <c r="B740">
        <v>0.12892249527410199</v>
      </c>
      <c r="C740">
        <v>0.281165387455525</v>
      </c>
      <c r="D740">
        <v>7.5061757440099602E-2</v>
      </c>
      <c r="E740">
        <v>0</v>
      </c>
      <c r="F740">
        <v>0</v>
      </c>
      <c r="G740">
        <v>0.99367514193623696</v>
      </c>
      <c r="H740">
        <v>7</v>
      </c>
      <c r="I740">
        <v>8</v>
      </c>
      <c r="J740">
        <v>8.3870044368112198E-2</v>
      </c>
      <c r="K740">
        <v>8.9722675367047301E-3</v>
      </c>
      <c r="L740">
        <v>2.7248370328898899E-2</v>
      </c>
      <c r="M740">
        <v>1.44300144300144E-3</v>
      </c>
      <c r="N740">
        <v>1.03678385017012E-2</v>
      </c>
      <c r="O740">
        <v>873</v>
      </c>
      <c r="P740">
        <v>6.6217732884399499E-2</v>
      </c>
      <c r="Q740">
        <v>6.6376801430625201E-2</v>
      </c>
      <c r="R740">
        <v>0</v>
      </c>
      <c r="S740">
        <v>0</v>
      </c>
      <c r="T740" t="s">
        <v>49</v>
      </c>
      <c r="U740">
        <v>3.1132075471698099E-2</v>
      </c>
      <c r="V740">
        <v>0</v>
      </c>
      <c r="W740">
        <v>0</v>
      </c>
      <c r="X740">
        <v>2.2518527232029802E-2</v>
      </c>
      <c r="Y740">
        <v>3.3508545588582198E-2</v>
      </c>
      <c r="Z740">
        <v>4.3877775131320199E-2</v>
      </c>
      <c r="AA740">
        <v>0</v>
      </c>
      <c r="AB740">
        <v>1.8154999241232869E-2</v>
      </c>
      <c r="AC740">
        <v>1.8200000340584671E-4</v>
      </c>
      <c r="AD740">
        <v>5.2180001512169838E-3</v>
      </c>
      <c r="AE740">
        <v>1.9480000482872131E-3</v>
      </c>
      <c r="AF740">
        <f>0.16*X740 + 0.28*Y740 + 0.28*Z740 + 0.28*AA740</f>
        <v>2.5271134158697438E-2</v>
      </c>
      <c r="AG740">
        <f t="shared" si="33"/>
        <v>4.962239935412071E-3</v>
      </c>
      <c r="AH740">
        <f>IF(T740="IT_Admin", 0.25, IF(AND(T740="HR", AA740&gt;0.6), 0.25, IF(AND(T740="General", Z740&gt;0.7), 0.2, 0.1)))</f>
        <v>0.1</v>
      </c>
      <c r="AI740">
        <f>IF(V740&gt;0.7, 0.1,
 IF(F740&gt;0.5, 0.08,
 IF(E740&gt;0.5, 0.05,
 0)))</f>
        <v>0</v>
      </c>
      <c r="AJ740">
        <f t="shared" si="34"/>
        <v>1.1054908202397681E-2</v>
      </c>
      <c r="AK740">
        <f t="shared" si="35"/>
        <v>1.216039902263745E-2</v>
      </c>
      <c r="AL740" t="str">
        <f>IF(MAX(X740, Y740, Z740, AA740)&gt;0.9,
 "Critical",
 IF(AK740&lt;=0.2,"Very Low",
 IF(AK740&lt;=0.4,"Low",
 IF(AK740&lt;=0.6,"Medium",
 IF(AK740&lt;=0.8,"High","Critical")))))</f>
        <v>Very Low</v>
      </c>
      <c r="AM740" t="str">
        <f>IF(MAX(X740:AA740)&gt;0.9,"CRITICAL ALERT",
 IF(AK740&gt;0.8,"CRITICAL ALERT",
 IF(AK740&gt;0.6,"ALERT",
 IF(AK740&gt;=0.4,"REVIEW","NO ACTION"))))</f>
        <v>NO ACTION</v>
      </c>
      <c r="AN740" t="str">
        <f>IF(AM740="NO ACTION","",
 IF(_xlfn.TEXTJOIN(", ", TRUE,
  IF(X740&gt;0.7,"Login anomaly",""),
  IF(Y740&gt;0.7,"File anomaly",""),
  IF(Z740&gt;0.7,"Network anomaly",""),
  IF(AA740&gt;0.7,"USB anomaly","")
 )="",
 "General anomaly detected",
 _xlfn.TEXTJOIN(", ", TRUE,
  IF(X740&gt;0.7,"Login anomaly",""),
  IF(Y740&gt;0.7,"File anomaly",""),
  IF(Z740&gt;0.7,"Network anomaly",""),
  IF(AA740&gt;0.7,"USB anomaly","")
 )))</f>
        <v/>
      </c>
    </row>
    <row r="741" spans="1:40" x14ac:dyDescent="0.3">
      <c r="A741" t="s">
        <v>764</v>
      </c>
      <c r="B741">
        <v>0.12892249527410199</v>
      </c>
      <c r="C741">
        <v>0.36953165208440503</v>
      </c>
      <c r="D741">
        <v>0</v>
      </c>
      <c r="E741">
        <v>0</v>
      </c>
      <c r="F741">
        <v>0</v>
      </c>
      <c r="G741">
        <v>0.99367969159503799</v>
      </c>
      <c r="H741">
        <v>8</v>
      </c>
      <c r="I741">
        <v>8</v>
      </c>
      <c r="J741">
        <v>9.0262869137922794E-2</v>
      </c>
      <c r="K741">
        <v>1.71288743882544E-2</v>
      </c>
      <c r="L741">
        <v>4.83450622843161E-2</v>
      </c>
      <c r="M741">
        <v>2.8860028860028799E-3</v>
      </c>
      <c r="N741">
        <v>1.92709533774372E-2</v>
      </c>
      <c r="O741">
        <v>961</v>
      </c>
      <c r="P741">
        <v>7.5126262626262597E-2</v>
      </c>
      <c r="Q741">
        <v>7.5283144570286398E-2</v>
      </c>
      <c r="R741">
        <v>0</v>
      </c>
      <c r="S741">
        <v>0</v>
      </c>
      <c r="T741" t="s">
        <v>49</v>
      </c>
      <c r="U741">
        <v>3.2418524871354999E-2</v>
      </c>
      <c r="V741">
        <v>0</v>
      </c>
      <c r="W741">
        <v>0</v>
      </c>
      <c r="X741">
        <v>0</v>
      </c>
      <c r="Y741">
        <v>4.8006390982973803E-2</v>
      </c>
      <c r="Z741">
        <v>5.2784138926732498E-2</v>
      </c>
      <c r="AA741">
        <v>0</v>
      </c>
      <c r="AB741">
        <v>2.4638999253511429E-2</v>
      </c>
      <c r="AC741">
        <v>9.9999997473787516E-6</v>
      </c>
      <c r="AD741">
        <v>3.9099999703466892E-3</v>
      </c>
      <c r="AE741">
        <v>1.682000001892447E-3</v>
      </c>
      <c r="AF741">
        <f>0.16*X741 + 0.28*Y741 + 0.28*Z741 + 0.28*AA741</f>
        <v>2.8221348374717767E-2</v>
      </c>
      <c r="AG741">
        <f t="shared" si="33"/>
        <v>5.5107998727180526E-3</v>
      </c>
      <c r="AH741">
        <f>IF(T741="IT_Admin", 0.25, IF(AND(T741="HR", AA741&gt;0.6), 0.25, IF(AND(T741="General", Z741&gt;0.7), 0.2, 0.1)))</f>
        <v>0.1</v>
      </c>
      <c r="AI741">
        <f>IF(V741&gt;0.7, 0.1,
 IF(F741&gt;0.5, 0.08,
 IF(E741&gt;0.5, 0.05,
 0)))</f>
        <v>0</v>
      </c>
      <c r="AJ741">
        <f t="shared" si="34"/>
        <v>1.2323964423317966E-2</v>
      </c>
      <c r="AK741">
        <f t="shared" si="35"/>
        <v>1.3556360865649764E-2</v>
      </c>
      <c r="AL741" t="str">
        <f>IF(MAX(X741, Y741, Z741, AA741)&gt;0.9,
 "Critical",
 IF(AK741&lt;=0.2,"Very Low",
 IF(AK741&lt;=0.4,"Low",
 IF(AK741&lt;=0.6,"Medium",
 IF(AK741&lt;=0.8,"High","Critical")))))</f>
        <v>Very Low</v>
      </c>
      <c r="AM741" t="str">
        <f>IF(MAX(X741:AA741)&gt;0.9,"CRITICAL ALERT",
 IF(AK741&gt;0.8,"CRITICAL ALERT",
 IF(AK741&gt;0.6,"ALERT",
 IF(AK741&gt;=0.4,"REVIEW","NO ACTION"))))</f>
        <v>NO ACTION</v>
      </c>
      <c r="AN741" t="str">
        <f>IF(AM741="NO ACTION","",
 IF(_xlfn.TEXTJOIN(", ", TRUE,
  IF(X741&gt;0.7,"Login anomaly",""),
  IF(Y741&gt;0.7,"File anomaly",""),
  IF(Z741&gt;0.7,"Network anomaly",""),
  IF(AA741&gt;0.7,"USB anomaly","")
 )="",
 "General anomaly detected",
 _xlfn.TEXTJOIN(", ", TRUE,
  IF(X741&gt;0.7,"Login anomaly",""),
  IF(Y741&gt;0.7,"File anomaly",""),
  IF(Z741&gt;0.7,"Network anomaly",""),
  IF(AA741&gt;0.7,"USB anomaly","")
 )))</f>
        <v/>
      </c>
    </row>
    <row r="742" spans="1:40" x14ac:dyDescent="0.3">
      <c r="A742" t="s">
        <v>765</v>
      </c>
      <c r="B742">
        <v>0.23705103969754199</v>
      </c>
      <c r="C742">
        <v>0.56337472156132795</v>
      </c>
      <c r="D742">
        <v>0.34854997248887198</v>
      </c>
      <c r="E742">
        <v>0</v>
      </c>
      <c r="F742">
        <v>0</v>
      </c>
      <c r="G742">
        <v>0.47538699840182302</v>
      </c>
      <c r="H742">
        <v>7</v>
      </c>
      <c r="I742">
        <v>13</v>
      </c>
      <c r="J742">
        <v>5.8394160583941597E-2</v>
      </c>
      <c r="K742">
        <v>7.34094616639478E-3</v>
      </c>
      <c r="L742">
        <v>3.1980907760088703E-2</v>
      </c>
      <c r="M742">
        <v>0</v>
      </c>
      <c r="N742">
        <v>0</v>
      </c>
      <c r="O742">
        <v>642</v>
      </c>
      <c r="P742">
        <v>4.6085858585858501E-2</v>
      </c>
      <c r="Q742">
        <v>4.6249868508713397E-2</v>
      </c>
      <c r="R742">
        <v>0</v>
      </c>
      <c r="S742">
        <v>0</v>
      </c>
      <c r="T742" t="s">
        <v>49</v>
      </c>
      <c r="U742">
        <v>0.152830188679245</v>
      </c>
      <c r="V742">
        <v>0</v>
      </c>
      <c r="W742">
        <v>0</v>
      </c>
      <c r="X742">
        <v>0.10456499174666101</v>
      </c>
      <c r="Y742">
        <v>2.7669285996832601E-2</v>
      </c>
      <c r="Z742">
        <v>2.7651515151515101E-2</v>
      </c>
      <c r="AA742">
        <v>0</v>
      </c>
      <c r="AB742">
        <v>1.7265999689698219E-2</v>
      </c>
      <c r="AC742">
        <v>4.7430000267922878E-3</v>
      </c>
      <c r="AD742">
        <v>8.3419997245073318E-3</v>
      </c>
      <c r="AE742">
        <v>5.727000068873167E-3</v>
      </c>
      <c r="AF742">
        <f>0.16*X742 + 0.28*Y742 + 0.28*Z742 + 0.28*AA742</f>
        <v>3.222022300100312E-2</v>
      </c>
      <c r="AG742">
        <f t="shared" si="33"/>
        <v>8.0299199000000952E-3</v>
      </c>
      <c r="AH742">
        <f>IF(T742="IT_Admin", 0.25, IF(AND(T742="HR", AA742&gt;0.6), 0.25, IF(AND(T742="General", Z742&gt;0.7), 0.2, 0.1)))</f>
        <v>0.1</v>
      </c>
      <c r="AI742">
        <f>IF(V742&gt;0.7, 0.1,
 IF(F742&gt;0.5, 0.08,
 IF(E742&gt;0.5, 0.05,
 0)))</f>
        <v>0</v>
      </c>
      <c r="AJ742">
        <f t="shared" si="34"/>
        <v>1.5287010830301002E-2</v>
      </c>
      <c r="AK742">
        <f t="shared" si="35"/>
        <v>1.6815711913331102E-2</v>
      </c>
      <c r="AL742" t="str">
        <f>IF(MAX(X742, Y742, Z742, AA742)&gt;0.9,
 "Critical",
 IF(AK742&lt;=0.2,"Very Low",
 IF(AK742&lt;=0.4,"Low",
 IF(AK742&lt;=0.6,"Medium",
 IF(AK742&lt;=0.8,"High","Critical")))))</f>
        <v>Very Low</v>
      </c>
      <c r="AM742" t="str">
        <f>IF(MAX(X742:AA742)&gt;0.9,"CRITICAL ALERT",
 IF(AK742&gt;0.8,"CRITICAL ALERT",
 IF(AK742&gt;0.6,"ALERT",
 IF(AK742&gt;=0.4,"REVIEW","NO ACTION"))))</f>
        <v>NO ACTION</v>
      </c>
      <c r="AN742" t="str">
        <f>IF(AM742="NO ACTION","",
 IF(_xlfn.TEXTJOIN(", ", TRUE,
  IF(X742&gt;0.7,"Login anomaly",""),
  IF(Y742&gt;0.7,"File anomaly",""),
  IF(Z742&gt;0.7,"Network anomaly",""),
  IF(AA742&gt;0.7,"USB anomaly","")
 )="",
 "General anomaly detected",
 _xlfn.TEXTJOIN(", ", TRUE,
  IF(X742&gt;0.7,"Login anomaly",""),
  IF(Y742&gt;0.7,"File anomaly",""),
  IF(Z742&gt;0.7,"Network anomaly",""),
  IF(AA742&gt;0.7,"USB anomaly","")
 )))</f>
        <v/>
      </c>
    </row>
    <row r="743" spans="1:40" x14ac:dyDescent="0.3">
      <c r="A743" t="s">
        <v>766</v>
      </c>
      <c r="B743">
        <v>0.12892249527410199</v>
      </c>
      <c r="C743">
        <v>0.27580985626589599</v>
      </c>
      <c r="D743">
        <v>7.5124914167671697E-2</v>
      </c>
      <c r="E743">
        <v>0</v>
      </c>
      <c r="F743">
        <v>0</v>
      </c>
      <c r="G743">
        <v>0.993656033369273</v>
      </c>
      <c r="H743">
        <v>7</v>
      </c>
      <c r="I743">
        <v>8</v>
      </c>
      <c r="J743">
        <v>8.3011306712465996E-2</v>
      </c>
      <c r="K743">
        <v>6.5252854812398002E-3</v>
      </c>
      <c r="L743">
        <v>2.0021412613638399E-2</v>
      </c>
      <c r="M743">
        <v>1.44300144300144E-3</v>
      </c>
      <c r="N743">
        <v>1.0474784686819E-2</v>
      </c>
      <c r="O743">
        <v>736</v>
      </c>
      <c r="P743">
        <v>6.4534231200897796E-2</v>
      </c>
      <c r="Q743">
        <v>6.4693712963287603E-2</v>
      </c>
      <c r="R743">
        <v>0</v>
      </c>
      <c r="S743">
        <v>0</v>
      </c>
      <c r="T743" t="s">
        <v>49</v>
      </c>
      <c r="U743">
        <v>2.26415094339622E-2</v>
      </c>
      <c r="V743">
        <v>0</v>
      </c>
      <c r="W743">
        <v>0</v>
      </c>
      <c r="X743">
        <v>2.25374742503015E-2</v>
      </c>
      <c r="Y743">
        <v>2.97554030553581E-2</v>
      </c>
      <c r="Z743">
        <v>4.2910452595266303E-2</v>
      </c>
      <c r="AA743">
        <v>0</v>
      </c>
      <c r="AB743">
        <v>1.8636999651789669E-2</v>
      </c>
      <c r="AC743">
        <v>3.6500001442618668E-4</v>
      </c>
      <c r="AD743">
        <v>5.402000155299902E-3</v>
      </c>
      <c r="AE743">
        <v>2.2940000053495169E-3</v>
      </c>
      <c r="AF743">
        <f>0.16*X743 + 0.28*Y743 + 0.28*Z743 + 0.28*AA743</f>
        <v>2.3952435462223073E-2</v>
      </c>
      <c r="AG743">
        <f t="shared" si="33"/>
        <v>5.2389999933075172E-3</v>
      </c>
      <c r="AH743">
        <f>IF(T743="IT_Admin", 0.25, IF(AND(T743="HR", AA743&gt;0.6), 0.25, IF(AND(T743="General", Z743&gt;0.7), 0.2, 0.1)))</f>
        <v>0.1</v>
      </c>
      <c r="AI743">
        <f>IF(V743&gt;0.7, 0.1,
 IF(F743&gt;0.5, 0.08,
 IF(E743&gt;0.5, 0.05,
 0)))</f>
        <v>0</v>
      </c>
      <c r="AJ743">
        <f t="shared" si="34"/>
        <v>1.0853030633982184E-2</v>
      </c>
      <c r="AK743">
        <f t="shared" si="35"/>
        <v>1.1938333697380404E-2</v>
      </c>
      <c r="AL743" t="str">
        <f>IF(MAX(X743, Y743, Z743, AA743)&gt;0.9,
 "Critical",
 IF(AK743&lt;=0.2,"Very Low",
 IF(AK743&lt;=0.4,"Low",
 IF(AK743&lt;=0.6,"Medium",
 IF(AK743&lt;=0.8,"High","Critical")))))</f>
        <v>Very Low</v>
      </c>
      <c r="AM743" t="str">
        <f>IF(MAX(X743:AA743)&gt;0.9,"CRITICAL ALERT",
 IF(AK743&gt;0.8,"CRITICAL ALERT",
 IF(AK743&gt;0.6,"ALERT",
 IF(AK743&gt;=0.4,"REVIEW","NO ACTION"))))</f>
        <v>NO ACTION</v>
      </c>
      <c r="AN743" t="str">
        <f>IF(AM743="NO ACTION","",
 IF(_xlfn.TEXTJOIN(", ", TRUE,
  IF(X743&gt;0.7,"Login anomaly",""),
  IF(Y743&gt;0.7,"File anomaly",""),
  IF(Z743&gt;0.7,"Network anomaly",""),
  IF(AA743&gt;0.7,"USB anomaly","")
 )="",
 "General anomaly detected",
 _xlfn.TEXTJOIN(", ", TRUE,
  IF(X743&gt;0.7,"Login anomaly",""),
  IF(Y743&gt;0.7,"File anomaly",""),
  IF(Z743&gt;0.7,"Network anomaly",""),
  IF(AA743&gt;0.7,"USB anomaly","")
 )))</f>
        <v/>
      </c>
    </row>
    <row r="744" spans="1:40" x14ac:dyDescent="0.3">
      <c r="A744" t="s">
        <v>767</v>
      </c>
      <c r="B744">
        <v>0.24461247637051001</v>
      </c>
      <c r="C744">
        <v>0.79015062934176905</v>
      </c>
      <c r="D744">
        <v>0.37923928310143301</v>
      </c>
      <c r="E744">
        <v>0</v>
      </c>
      <c r="F744">
        <v>0</v>
      </c>
      <c r="G744">
        <v>0.456202706334562</v>
      </c>
      <c r="H744">
        <v>8</v>
      </c>
      <c r="I744">
        <v>18</v>
      </c>
      <c r="J744">
        <v>9.7848385096130905E-2</v>
      </c>
      <c r="K744">
        <v>1.4681892332789499E-2</v>
      </c>
      <c r="L744">
        <v>3.82339840828297E-2</v>
      </c>
      <c r="M744">
        <v>4.3290043290043203E-3</v>
      </c>
      <c r="N744">
        <v>2.6670961982246E-2</v>
      </c>
      <c r="O744">
        <v>963</v>
      </c>
      <c r="P744">
        <v>8.0352132435465698E-2</v>
      </c>
      <c r="Q744">
        <v>8.05077316876468E-2</v>
      </c>
      <c r="R744">
        <v>0.762536873156342</v>
      </c>
      <c r="S744">
        <v>1</v>
      </c>
      <c r="T744" t="s">
        <v>24</v>
      </c>
      <c r="U744">
        <v>1.9103773584905601E-2</v>
      </c>
      <c r="V744">
        <v>0</v>
      </c>
      <c r="W744">
        <v>0</v>
      </c>
      <c r="X744">
        <v>0.113771784930429</v>
      </c>
      <c r="Y744">
        <v>4.6687957655314798E-2</v>
      </c>
      <c r="Z744">
        <v>5.8879664254177802E-2</v>
      </c>
      <c r="AA744">
        <v>0.762536873156342</v>
      </c>
      <c r="AB744">
        <v>5.5431000888347633E-2</v>
      </c>
      <c r="AC744">
        <v>1.3200000103097409E-4</v>
      </c>
      <c r="AD744">
        <v>2.5220001116395001E-3</v>
      </c>
      <c r="AE744">
        <v>0.57609498500823975</v>
      </c>
      <c r="AF744">
        <f>0.16*X744 + 0.28*Y744 + 0.28*Z744 + 0.28*AA744</f>
        <v>0.26127274420730234</v>
      </c>
      <c r="AG744">
        <f t="shared" si="33"/>
        <v>0.17091867597599048</v>
      </c>
      <c r="AH744">
        <f>IF(T744="IT_Admin", 0.25, IF(AND(T744="HR", AA744&gt;0.6), 0.25, IF(AND(T744="General", Z744&gt;0.7), 0.2, 0.1)))</f>
        <v>0.25</v>
      </c>
      <c r="AI744">
        <f>IF(V744&gt;0.7, 0.1,
 IF(F744&gt;0.5, 0.08,
 IF(E744&gt;0.5, 0.05,
 0)))</f>
        <v>0</v>
      </c>
      <c r="AJ744">
        <f t="shared" si="34"/>
        <v>0.19802489644538401</v>
      </c>
      <c r="AK744">
        <f t="shared" si="35"/>
        <v>0.24753112055673002</v>
      </c>
      <c r="AL744" t="str">
        <f>IF(MAX(X744, Y744, Z744, AA744)&gt;0.9,
 "Critical",
 IF(AK744&lt;=0.2,"Very Low",
 IF(AK744&lt;=0.4,"Low",
 IF(AK744&lt;=0.6,"Medium",
 IF(AK744&lt;=0.8,"High","Critical")))))</f>
        <v>Low</v>
      </c>
      <c r="AM744" t="str">
        <f>IF(MAX(X744:AA744)&gt;0.9,"CRITICAL ALERT",
 IF(AK744&gt;0.8,"CRITICAL ALERT",
 IF(AK744&gt;0.6,"ALERT",
 IF(AK744&gt;=0.4,"REVIEW","NO ACTION"))))</f>
        <v>NO ACTION</v>
      </c>
      <c r="AN744" t="str">
        <f>IF(AM744="NO ACTION","",
 IF(_xlfn.TEXTJOIN(", ", TRUE,
  IF(X744&gt;0.7,"Login anomaly",""),
  IF(Y744&gt;0.7,"File anomaly",""),
  IF(Z744&gt;0.7,"Network anomaly",""),
  IF(AA744&gt;0.7,"USB anomaly","")
 )="",
 "General anomaly detected",
 _xlfn.TEXTJOIN(", ", TRUE,
  IF(X744&gt;0.7,"Login anomaly",""),
  IF(Y744&gt;0.7,"File anomaly",""),
  IF(Z744&gt;0.7,"Network anomaly",""),
  IF(AA744&gt;0.7,"USB anomaly","")
 )))</f>
        <v/>
      </c>
    </row>
    <row r="745" spans="1:40" x14ac:dyDescent="0.3">
      <c r="A745" t="s">
        <v>768</v>
      </c>
      <c r="B745">
        <v>0.26011342155009398</v>
      </c>
      <c r="C745">
        <v>0.61517407977057004</v>
      </c>
      <c r="D745">
        <v>0.53804177690350297</v>
      </c>
      <c r="E745">
        <v>0.65831727681438601</v>
      </c>
      <c r="F745">
        <v>7.5144508670520194E-2</v>
      </c>
      <c r="G745">
        <v>0.42022911704424898</v>
      </c>
      <c r="H745">
        <v>0</v>
      </c>
      <c r="I745">
        <v>23</v>
      </c>
      <c r="J745">
        <v>0.102285196316969</v>
      </c>
      <c r="K745">
        <v>1.4681892332789499E-2</v>
      </c>
      <c r="L745">
        <v>3.6579372393810101E-2</v>
      </c>
      <c r="M745">
        <v>2.8860028860028799E-3</v>
      </c>
      <c r="N745">
        <v>1.7011167313633498E-2</v>
      </c>
      <c r="O745">
        <v>1010</v>
      </c>
      <c r="P745">
        <v>8.2912457912457896E-2</v>
      </c>
      <c r="Q745">
        <v>8.3067428731722695E-2</v>
      </c>
      <c r="R745">
        <v>0</v>
      </c>
      <c r="S745">
        <v>0</v>
      </c>
      <c r="T745" t="s">
        <v>24</v>
      </c>
      <c r="U745">
        <v>2.7787307032590001E-2</v>
      </c>
      <c r="V745">
        <v>0</v>
      </c>
      <c r="W745">
        <v>0</v>
      </c>
      <c r="X745">
        <v>0.388965519583575</v>
      </c>
      <c r="Y745">
        <v>4.3850075654388997E-2</v>
      </c>
      <c r="Z745">
        <v>5.6551941672928097E-2</v>
      </c>
      <c r="AA745">
        <v>0</v>
      </c>
      <c r="AB745">
        <v>0.44613099098205572</v>
      </c>
      <c r="AC745">
        <v>4.9999998736893758E-5</v>
      </c>
      <c r="AD745">
        <v>2.2609999869018789E-3</v>
      </c>
      <c r="AE745">
        <v>2.2051999345421791E-2</v>
      </c>
      <c r="AF745">
        <f>0.16*X745 + 0.28*Y745 + 0.28*Z745 + 0.28*AA745</f>
        <v>9.0347047985020787E-2</v>
      </c>
      <c r="AG745">
        <f t="shared" si="33"/>
        <v>7.8202598369825876E-2</v>
      </c>
      <c r="AH745">
        <f>IF(T745="IT_Admin", 0.25, IF(AND(T745="HR", AA745&gt;0.6), 0.25, IF(AND(T745="General", Z745&gt;0.7), 0.2, 0.1)))</f>
        <v>0.25</v>
      </c>
      <c r="AI745">
        <f>IF(V745&gt;0.7, 0.1,
 IF(F745&gt;0.5, 0.08,
 IF(E745&gt;0.5, 0.05,
 0)))</f>
        <v>0.05</v>
      </c>
      <c r="AJ745">
        <f t="shared" si="34"/>
        <v>8.1845933254384343E-2</v>
      </c>
      <c r="AK745">
        <f t="shared" si="35"/>
        <v>0.10639971323069965</v>
      </c>
      <c r="AL745" t="str">
        <f>IF(MAX(X745, Y745, Z745, AA745)&gt;0.9,
 "Critical",
 IF(AK745&lt;=0.2,"Very Low",
 IF(AK745&lt;=0.4,"Low",
 IF(AK745&lt;=0.6,"Medium",
 IF(AK745&lt;=0.8,"High","Critical")))))</f>
        <v>Very Low</v>
      </c>
      <c r="AM745" t="str">
        <f>IF(MAX(X745:AA745)&gt;0.9,"CRITICAL ALERT",
 IF(AK745&gt;0.8,"CRITICAL ALERT",
 IF(AK745&gt;0.6,"ALERT",
 IF(AK745&gt;=0.4,"REVIEW","NO ACTION"))))</f>
        <v>NO ACTION</v>
      </c>
      <c r="AN745" t="str">
        <f>IF(AM745="NO ACTION","",
 IF(_xlfn.TEXTJOIN(", ", TRUE,
  IF(X745&gt;0.7,"Login anomaly",""),
  IF(Y745&gt;0.7,"File anomaly",""),
  IF(Z745&gt;0.7,"Network anomaly",""),
  IF(AA745&gt;0.7,"USB anomaly","")
 )="",
 "General anomaly detected",
 _xlfn.TEXTJOIN(", ", TRUE,
  IF(X745&gt;0.7,"Login anomaly",""),
  IF(Y745&gt;0.7,"File anomaly",""),
  IF(Z745&gt;0.7,"Network anomaly",""),
  IF(AA745&gt;0.7,"USB anomaly","")
 )))</f>
        <v/>
      </c>
    </row>
    <row r="746" spans="1:40" x14ac:dyDescent="0.3">
      <c r="A746" t="s">
        <v>769</v>
      </c>
      <c r="B746">
        <v>0.17126654064272201</v>
      </c>
      <c r="C746">
        <v>0.73865900258009698</v>
      </c>
      <c r="D746">
        <v>0.320077888053869</v>
      </c>
      <c r="E746">
        <v>0</v>
      </c>
      <c r="F746">
        <v>0</v>
      </c>
      <c r="G746">
        <v>0.713118705539037</v>
      </c>
      <c r="H746">
        <v>9</v>
      </c>
      <c r="I746">
        <v>18</v>
      </c>
      <c r="J746">
        <v>7.3612900147893706E-2</v>
      </c>
      <c r="K746">
        <v>8.1566068515497494E-3</v>
      </c>
      <c r="L746">
        <v>2.82116965526478E-2</v>
      </c>
      <c r="M746">
        <v>1.44300144300144E-3</v>
      </c>
      <c r="N746">
        <v>1.1807816071381899E-2</v>
      </c>
      <c r="O746">
        <v>619</v>
      </c>
      <c r="P746">
        <v>5.8326318742985397E-2</v>
      </c>
      <c r="Q746">
        <v>5.84873242399803E-2</v>
      </c>
      <c r="R746">
        <v>0</v>
      </c>
      <c r="S746">
        <v>0</v>
      </c>
      <c r="T746" t="s">
        <v>49</v>
      </c>
      <c r="U746">
        <v>2.83018867924528E-2</v>
      </c>
      <c r="V746">
        <v>0</v>
      </c>
      <c r="W746">
        <v>0</v>
      </c>
      <c r="X746">
        <v>9.6023366416160896E-2</v>
      </c>
      <c r="Y746">
        <v>3.2370773127317197E-2</v>
      </c>
      <c r="Z746">
        <v>3.9718917674343997E-2</v>
      </c>
      <c r="AA746">
        <v>0</v>
      </c>
      <c r="AB746">
        <v>3.6628000438213348E-2</v>
      </c>
      <c r="AC746">
        <v>1.9599999359343201E-4</v>
      </c>
      <c r="AD746">
        <v>5.9910002164542684E-3</v>
      </c>
      <c r="AE746">
        <v>6.7340000532567501E-3</v>
      </c>
      <c r="AF746">
        <f>0.16*X746 + 0.28*Y746 + 0.28*Z746 + 0.28*AA746</f>
        <v>3.5548852051050878E-2</v>
      </c>
      <c r="AG746">
        <f t="shared" si="33"/>
        <v>9.478360143839383E-3</v>
      </c>
      <c r="AH746">
        <f>IF(T746="IT_Admin", 0.25, IF(AND(T746="HR", AA746&gt;0.6), 0.25, IF(AND(T746="General", Z746&gt;0.7), 0.2, 0.1)))</f>
        <v>0.1</v>
      </c>
      <c r="AI746">
        <f>IF(V746&gt;0.7, 0.1,
 IF(F746&gt;0.5, 0.08,
 IF(E746&gt;0.5, 0.05,
 0)))</f>
        <v>0</v>
      </c>
      <c r="AJ746">
        <f t="shared" si="34"/>
        <v>1.7299507716002832E-2</v>
      </c>
      <c r="AK746">
        <f t="shared" si="35"/>
        <v>1.9029458487603117E-2</v>
      </c>
      <c r="AL746" t="str">
        <f>IF(MAX(X746, Y746, Z746, AA746)&gt;0.9,
 "Critical",
 IF(AK746&lt;=0.2,"Very Low",
 IF(AK746&lt;=0.4,"Low",
 IF(AK746&lt;=0.6,"Medium",
 IF(AK746&lt;=0.8,"High","Critical")))))</f>
        <v>Very Low</v>
      </c>
      <c r="AM746" t="str">
        <f>IF(MAX(X746:AA746)&gt;0.9,"CRITICAL ALERT",
 IF(AK746&gt;0.8,"CRITICAL ALERT",
 IF(AK746&gt;0.6,"ALERT",
 IF(AK746&gt;=0.4,"REVIEW","NO ACTION"))))</f>
        <v>NO ACTION</v>
      </c>
      <c r="AN746" t="str">
        <f>IF(AM746="NO ACTION","",
 IF(_xlfn.TEXTJOIN(", ", TRUE,
  IF(X746&gt;0.7,"Login anomaly",""),
  IF(Y746&gt;0.7,"File anomaly",""),
  IF(Z746&gt;0.7,"Network anomaly",""),
  IF(AA746&gt;0.7,"USB anomaly","")
 )="",
 "General anomaly detected",
 _xlfn.TEXTJOIN(", ", TRUE,
  IF(X746&gt;0.7,"Login anomaly",""),
  IF(Y746&gt;0.7,"File anomaly",""),
  IF(Z746&gt;0.7,"Network anomaly",""),
  IF(AA746&gt;0.7,"USB anomaly","")
 )))</f>
        <v/>
      </c>
    </row>
    <row r="747" spans="1:40" x14ac:dyDescent="0.3">
      <c r="A747" t="s">
        <v>770</v>
      </c>
      <c r="B747">
        <v>0.20604914933837401</v>
      </c>
      <c r="C747">
        <v>0.74377500100777405</v>
      </c>
      <c r="D747">
        <v>0.35058544018164201</v>
      </c>
      <c r="E747">
        <v>0</v>
      </c>
      <c r="F747">
        <v>0</v>
      </c>
      <c r="G747">
        <v>0.48595039611437901</v>
      </c>
      <c r="H747">
        <v>8</v>
      </c>
      <c r="I747">
        <v>14</v>
      </c>
      <c r="J747">
        <v>5.11903058060207E-2</v>
      </c>
      <c r="K747">
        <v>4.8939641109298502E-3</v>
      </c>
      <c r="L747">
        <v>2.43070721318175E-2</v>
      </c>
      <c r="M747">
        <v>2.88600288600288E-4</v>
      </c>
      <c r="N747">
        <v>3.3911872501853901E-3</v>
      </c>
      <c r="O747">
        <v>584</v>
      </c>
      <c r="P747">
        <v>3.9877946127946103E-2</v>
      </c>
      <c r="Q747">
        <v>4.0043479785406198E-2</v>
      </c>
      <c r="R747">
        <v>0</v>
      </c>
      <c r="S747">
        <v>0</v>
      </c>
      <c r="T747" t="s">
        <v>49</v>
      </c>
      <c r="U747">
        <v>5.0943396226415097E-2</v>
      </c>
      <c r="V747">
        <v>0</v>
      </c>
      <c r="W747">
        <v>0</v>
      </c>
      <c r="X747">
        <v>0.105175632054492</v>
      </c>
      <c r="Y747">
        <v>2.34089534021685E-2</v>
      </c>
      <c r="Z747">
        <v>2.5283242576841801E-2</v>
      </c>
      <c r="AA747">
        <v>0</v>
      </c>
      <c r="AB747">
        <v>3.1050000339746479E-2</v>
      </c>
      <c r="AC747">
        <v>4.6400001156143839E-4</v>
      </c>
      <c r="AD747">
        <v>9.1970004141330719E-3</v>
      </c>
      <c r="AE747">
        <v>6.6630002111196518E-3</v>
      </c>
      <c r="AF747">
        <f>0.16*X747 + 0.28*Y747 + 0.28*Z747 + 0.28*AA747</f>
        <v>3.0461916002841607E-2</v>
      </c>
      <c r="AG747">
        <f t="shared" si="33"/>
        <v>9.5387202326674015E-3</v>
      </c>
      <c r="AH747">
        <f>IF(T747="IT_Admin", 0.25, IF(AND(T747="HR", AA747&gt;0.6), 0.25, IF(AND(T747="General", Z747&gt;0.7), 0.2, 0.1)))</f>
        <v>0.1</v>
      </c>
      <c r="AI747">
        <f>IF(V747&gt;0.7, 0.1,
 IF(F747&gt;0.5, 0.08,
 IF(E747&gt;0.5, 0.05,
 0)))</f>
        <v>0</v>
      </c>
      <c r="AJ747">
        <f t="shared" si="34"/>
        <v>1.5815678963719663E-2</v>
      </c>
      <c r="AK747">
        <f t="shared" si="35"/>
        <v>1.7397246860091631E-2</v>
      </c>
      <c r="AL747" t="str">
        <f>IF(MAX(X747, Y747, Z747, AA747)&gt;0.9,
 "Critical",
 IF(AK747&lt;=0.2,"Very Low",
 IF(AK747&lt;=0.4,"Low",
 IF(AK747&lt;=0.6,"Medium",
 IF(AK747&lt;=0.8,"High","Critical")))))</f>
        <v>Very Low</v>
      </c>
      <c r="AM747" t="str">
        <f>IF(MAX(X747:AA747)&gt;0.9,"CRITICAL ALERT",
 IF(AK747&gt;0.8,"CRITICAL ALERT",
 IF(AK747&gt;0.6,"ALERT",
 IF(AK747&gt;=0.4,"REVIEW","NO ACTION"))))</f>
        <v>NO ACTION</v>
      </c>
      <c r="AN747" t="str">
        <f>IF(AM747="NO ACTION","",
 IF(_xlfn.TEXTJOIN(", ", TRUE,
  IF(X747&gt;0.7,"Login anomaly",""),
  IF(Y747&gt;0.7,"File anomaly",""),
  IF(Z747&gt;0.7,"Network anomaly",""),
  IF(AA747&gt;0.7,"USB anomaly","")
 )="",
 "General anomaly detected",
 _xlfn.TEXTJOIN(", ", TRUE,
  IF(X747&gt;0.7,"Login anomaly",""),
  IF(Y747&gt;0.7,"File anomaly",""),
  IF(Z747&gt;0.7,"Network anomaly",""),
  IF(AA747&gt;0.7,"USB anomaly","")
 )))</f>
        <v/>
      </c>
    </row>
    <row r="748" spans="1:40" x14ac:dyDescent="0.3">
      <c r="A748" t="s">
        <v>771</v>
      </c>
      <c r="B748">
        <v>0.244990548204158</v>
      </c>
      <c r="C748">
        <v>0.75124878042619503</v>
      </c>
      <c r="D748">
        <v>0.41183312536157302</v>
      </c>
      <c r="E748">
        <v>0.20961145194274</v>
      </c>
      <c r="F748">
        <v>2.45398773006134E-2</v>
      </c>
      <c r="G748">
        <v>0.45524335027026702</v>
      </c>
      <c r="H748">
        <v>0</v>
      </c>
      <c r="I748">
        <v>22</v>
      </c>
      <c r="J748">
        <v>0.100853966890892</v>
      </c>
      <c r="K748">
        <v>2.0391517128874301E-2</v>
      </c>
      <c r="L748">
        <v>5.1523957366091201E-2</v>
      </c>
      <c r="M748">
        <v>1.24098124098124E-2</v>
      </c>
      <c r="N748">
        <v>7.4183621422885204E-2</v>
      </c>
      <c r="O748">
        <v>974</v>
      </c>
      <c r="P748">
        <v>8.8945005611672207E-2</v>
      </c>
      <c r="Q748">
        <v>8.9098495739682301E-2</v>
      </c>
      <c r="R748">
        <v>0</v>
      </c>
      <c r="S748">
        <v>0</v>
      </c>
      <c r="T748" t="s">
        <v>24</v>
      </c>
      <c r="U748">
        <v>9.6483704974270994E-3</v>
      </c>
      <c r="V748">
        <v>0</v>
      </c>
      <c r="W748">
        <v>0</v>
      </c>
      <c r="X748">
        <v>0.196249324111539</v>
      </c>
      <c r="Y748">
        <v>6.8187858488089698E-2</v>
      </c>
      <c r="Z748">
        <v>8.3040451936157403E-2</v>
      </c>
      <c r="AA748">
        <v>0</v>
      </c>
      <c r="AB748">
        <v>0.15689599514007571</v>
      </c>
      <c r="AC748">
        <v>1.331000006757677E-3</v>
      </c>
      <c r="AD748">
        <v>1.3340000296011569E-3</v>
      </c>
      <c r="AE748">
        <v>1.5978999435901638E-2</v>
      </c>
      <c r="AF748">
        <f>0.16*X748 + 0.28*Y748 + 0.28*Z748 + 0.28*AA748</f>
        <v>7.3743818776635425E-2</v>
      </c>
      <c r="AG748">
        <f t="shared" si="33"/>
        <v>3.0323679074645046E-2</v>
      </c>
      <c r="AH748">
        <f>IF(T748="IT_Admin", 0.25, IF(AND(T748="HR", AA748&gt;0.6), 0.25, IF(AND(T748="General", Z748&gt;0.7), 0.2, 0.1)))</f>
        <v>0.25</v>
      </c>
      <c r="AI748">
        <f>IF(V748&gt;0.7, 0.1,
 IF(F748&gt;0.5, 0.08,
 IF(E748&gt;0.5, 0.05,
 0)))</f>
        <v>0</v>
      </c>
      <c r="AJ748">
        <f t="shared" si="34"/>
        <v>4.334972098524216E-2</v>
      </c>
      <c r="AK748">
        <f t="shared" si="35"/>
        <v>5.4187151231552697E-2</v>
      </c>
      <c r="AL748" t="str">
        <f>IF(MAX(X748, Y748, Z748, AA748)&gt;0.9,
 "Critical",
 IF(AK748&lt;=0.2,"Very Low",
 IF(AK748&lt;=0.4,"Low",
 IF(AK748&lt;=0.6,"Medium",
 IF(AK748&lt;=0.8,"High","Critical")))))</f>
        <v>Very Low</v>
      </c>
      <c r="AM748" t="str">
        <f>IF(MAX(X748:AA748)&gt;0.9,"CRITICAL ALERT",
 IF(AK748&gt;0.8,"CRITICAL ALERT",
 IF(AK748&gt;0.6,"ALERT",
 IF(AK748&gt;=0.4,"REVIEW","NO ACTION"))))</f>
        <v>NO ACTION</v>
      </c>
      <c r="AN748" t="str">
        <f>IF(AM748="NO ACTION","",
 IF(_xlfn.TEXTJOIN(", ", TRUE,
  IF(X748&gt;0.7,"Login anomaly",""),
  IF(Y748&gt;0.7,"File anomaly",""),
  IF(Z748&gt;0.7,"Network anomaly",""),
  IF(AA748&gt;0.7,"USB anomaly","")
 )="",
 "General anomaly detected",
 _xlfn.TEXTJOIN(", ", TRUE,
  IF(X748&gt;0.7,"Login anomaly",""),
  IF(Y748&gt;0.7,"File anomaly",""),
  IF(Z748&gt;0.7,"Network anomaly",""),
  IF(AA748&gt;0.7,"USB anomaly","")
 )))</f>
        <v/>
      </c>
    </row>
    <row r="749" spans="1:40" x14ac:dyDescent="0.3">
      <c r="A749" t="s">
        <v>772</v>
      </c>
      <c r="B749">
        <v>0.12892249527410199</v>
      </c>
      <c r="C749">
        <v>0.18476582604220201</v>
      </c>
      <c r="D749">
        <v>0</v>
      </c>
      <c r="E749">
        <v>0</v>
      </c>
      <c r="F749">
        <v>0</v>
      </c>
      <c r="G749">
        <v>0.99366465095829604</v>
      </c>
      <c r="H749">
        <v>7</v>
      </c>
      <c r="I749">
        <v>7</v>
      </c>
      <c r="J749">
        <v>9.7943800391202707E-2</v>
      </c>
      <c r="K749">
        <v>1.9575856443719401E-2</v>
      </c>
      <c r="L749">
        <v>5.0929103514284403E-2</v>
      </c>
      <c r="M749">
        <v>3.4632034632034602E-3</v>
      </c>
      <c r="N749">
        <v>2.1316034144022399E-2</v>
      </c>
      <c r="O749">
        <v>1026</v>
      </c>
      <c r="P749">
        <v>8.21057800224467E-2</v>
      </c>
      <c r="Q749">
        <v>8.2260948841123394E-2</v>
      </c>
      <c r="R749">
        <v>0</v>
      </c>
      <c r="S749">
        <v>0</v>
      </c>
      <c r="T749" t="s">
        <v>24</v>
      </c>
      <c r="U749">
        <v>3.1349782293178502E-2</v>
      </c>
      <c r="V749">
        <v>0</v>
      </c>
      <c r="W749">
        <v>0</v>
      </c>
      <c r="X749">
        <v>0</v>
      </c>
      <c r="Y749">
        <v>5.1448122078589502E-2</v>
      </c>
      <c r="Z749">
        <v>5.7789881671077001E-2</v>
      </c>
      <c r="AA749">
        <v>0</v>
      </c>
      <c r="AB749">
        <v>3.6680001765489578E-2</v>
      </c>
      <c r="AC749">
        <v>2.9000000722589899E-5</v>
      </c>
      <c r="AD749">
        <v>3.1059999018907551E-3</v>
      </c>
      <c r="AE749">
        <v>1.306000049225986E-3</v>
      </c>
      <c r="AF749">
        <f>0.16*X749 + 0.28*Y749 + 0.28*Z749 + 0.28*AA749</f>
        <v>3.0586641049906625E-2</v>
      </c>
      <c r="AG749">
        <f t="shared" si="33"/>
        <v>7.1122802689933462E-3</v>
      </c>
      <c r="AH749">
        <f>IF(T749="IT_Admin", 0.25, IF(AND(T749="HR", AA749&gt;0.6), 0.25, IF(AND(T749="General", Z749&gt;0.7), 0.2, 0.1)))</f>
        <v>0.25</v>
      </c>
      <c r="AI749">
        <f>IF(V749&gt;0.7, 0.1,
 IF(F749&gt;0.5, 0.08,
 IF(E749&gt;0.5, 0.05,
 0)))</f>
        <v>0</v>
      </c>
      <c r="AJ749">
        <f t="shared" si="34"/>
        <v>1.415458850326733E-2</v>
      </c>
      <c r="AK749">
        <f t="shared" si="35"/>
        <v>1.7693235629084161E-2</v>
      </c>
      <c r="AL749" t="str">
        <f>IF(MAX(X749, Y749, Z749, AA749)&gt;0.9,
 "Critical",
 IF(AK749&lt;=0.2,"Very Low",
 IF(AK749&lt;=0.4,"Low",
 IF(AK749&lt;=0.6,"Medium",
 IF(AK749&lt;=0.8,"High","Critical")))))</f>
        <v>Very Low</v>
      </c>
      <c r="AM749" t="str">
        <f>IF(MAX(X749:AA749)&gt;0.9,"CRITICAL ALERT",
 IF(AK749&gt;0.8,"CRITICAL ALERT",
 IF(AK749&gt;0.6,"ALERT",
 IF(AK749&gt;=0.4,"REVIEW","NO ACTION"))))</f>
        <v>NO ACTION</v>
      </c>
      <c r="AN749" t="str">
        <f>IF(AM749="NO ACTION","",
 IF(_xlfn.TEXTJOIN(", ", TRUE,
  IF(X749&gt;0.7,"Login anomaly",""),
  IF(Y749&gt;0.7,"File anomaly",""),
  IF(Z749&gt;0.7,"Network anomaly",""),
  IF(AA749&gt;0.7,"USB anomaly","")
 )="",
 "General anomaly detected",
 _xlfn.TEXTJOIN(", ", TRUE,
  IF(X749&gt;0.7,"Login anomaly",""),
  IF(Y749&gt;0.7,"File anomaly",""),
  IF(Z749&gt;0.7,"Network anomaly",""),
  IF(AA749&gt;0.7,"USB anomaly","")
 )))</f>
        <v/>
      </c>
    </row>
    <row r="750" spans="1:40" x14ac:dyDescent="0.3">
      <c r="A750" t="s">
        <v>773</v>
      </c>
      <c r="B750">
        <v>0.25330812854442297</v>
      </c>
      <c r="C750">
        <v>0.82541528518259999</v>
      </c>
      <c r="D750">
        <v>0.46479711869305901</v>
      </c>
      <c r="E750">
        <v>6.7589845037916194E-2</v>
      </c>
      <c r="F750">
        <v>3.2640949554896097E-2</v>
      </c>
      <c r="G750">
        <v>0.43548327566632999</v>
      </c>
      <c r="H750">
        <v>1</v>
      </c>
      <c r="I750">
        <v>23</v>
      </c>
      <c r="J750">
        <v>9.2218882686894696E-2</v>
      </c>
      <c r="K750">
        <v>2.2838499184339299E-2</v>
      </c>
      <c r="L750">
        <v>6.3096376438491697E-2</v>
      </c>
      <c r="M750">
        <v>2.0202020202020202E-3</v>
      </c>
      <c r="N750">
        <v>1.3204282244529899E-2</v>
      </c>
      <c r="O750">
        <v>760</v>
      </c>
      <c r="P750">
        <v>7.8598484848484806E-2</v>
      </c>
      <c r="Q750">
        <v>7.8754514534170206E-2</v>
      </c>
      <c r="R750">
        <v>0.14011799410029499</v>
      </c>
      <c r="S750">
        <v>1</v>
      </c>
      <c r="T750" t="s">
        <v>49</v>
      </c>
      <c r="U750">
        <v>5.9433962264150902E-2</v>
      </c>
      <c r="V750">
        <v>0</v>
      </c>
      <c r="W750">
        <v>6.7209633925833706E-2</v>
      </c>
      <c r="X750">
        <v>0.17277246894125101</v>
      </c>
      <c r="Y750">
        <v>5.3953249429983703E-2</v>
      </c>
      <c r="Z750">
        <v>5.2440803806902803E-2</v>
      </c>
      <c r="AA750">
        <v>0.14011799410029499</v>
      </c>
      <c r="AB750">
        <v>0.1423700004816055</v>
      </c>
      <c r="AC750">
        <v>3.9800000376999378E-4</v>
      </c>
      <c r="AD750">
        <v>2.984999911859632E-3</v>
      </c>
      <c r="AE750">
        <v>5.6476999074220657E-2</v>
      </c>
      <c r="AF750">
        <f>0.16*X750 + 0.28*Y750 + 0.28*Z750 + 0.28*AA750</f>
        <v>9.6666968285010993E-2</v>
      </c>
      <c r="AG750">
        <f t="shared" si="33"/>
        <v>3.9539999794214964E-2</v>
      </c>
      <c r="AH750">
        <f>IF(T750="IT_Admin", 0.25, IF(AND(T750="HR", AA750&gt;0.6), 0.25, IF(AND(T750="General", Z750&gt;0.7), 0.2, 0.1)))</f>
        <v>0.1</v>
      </c>
      <c r="AI750">
        <f>IF(V750&gt;0.7, 0.1,
 IF(F750&gt;0.5, 0.08,
 IF(E750&gt;0.5, 0.05,
 0)))</f>
        <v>0</v>
      </c>
      <c r="AJ750">
        <f t="shared" si="34"/>
        <v>5.6678090341453768E-2</v>
      </c>
      <c r="AK750">
        <f t="shared" si="35"/>
        <v>6.2345899375599152E-2</v>
      </c>
      <c r="AL750" t="str">
        <f>IF(MAX(X750, Y750, Z750, AA750)&gt;0.9,
 "Critical",
 IF(AK750&lt;=0.2,"Very Low",
 IF(AK750&lt;=0.4,"Low",
 IF(AK750&lt;=0.6,"Medium",
 IF(AK750&lt;=0.8,"High","Critical")))))</f>
        <v>Very Low</v>
      </c>
      <c r="AM750" t="str">
        <f>IF(MAX(X750:AA750)&gt;0.9,"CRITICAL ALERT",
 IF(AK750&gt;0.8,"CRITICAL ALERT",
 IF(AK750&gt;0.6,"ALERT",
 IF(AK750&gt;=0.4,"REVIEW","NO ACTION"))))</f>
        <v>NO ACTION</v>
      </c>
      <c r="AN750" t="str">
        <f>IF(AM750="NO ACTION","",
 IF(_xlfn.TEXTJOIN(", ", TRUE,
  IF(X750&gt;0.7,"Login anomaly",""),
  IF(Y750&gt;0.7,"File anomaly",""),
  IF(Z750&gt;0.7,"Network anomaly",""),
  IF(AA750&gt;0.7,"USB anomaly","")
 )="",
 "General anomaly detected",
 _xlfn.TEXTJOIN(", ", TRUE,
  IF(X750&gt;0.7,"Login anomaly",""),
  IF(Y750&gt;0.7,"File anomaly",""),
  IF(Z750&gt;0.7,"Network anomaly",""),
  IF(AA750&gt;0.7,"USB anomaly","")
 )))</f>
        <v/>
      </c>
    </row>
    <row r="751" spans="1:40" x14ac:dyDescent="0.3">
      <c r="A751" t="s">
        <v>774</v>
      </c>
      <c r="B751">
        <v>0.12892249527410199</v>
      </c>
      <c r="C751">
        <v>0.36953165208440503</v>
      </c>
      <c r="D751">
        <v>0</v>
      </c>
      <c r="E751">
        <v>0</v>
      </c>
      <c r="F751">
        <v>0</v>
      </c>
      <c r="G751">
        <v>0.99369585626513102</v>
      </c>
      <c r="H751">
        <v>8</v>
      </c>
      <c r="I751">
        <v>8</v>
      </c>
      <c r="J751">
        <v>9.3363866227756304E-2</v>
      </c>
      <c r="K751">
        <v>2.6101141924959201E-2</v>
      </c>
      <c r="L751">
        <v>7.1228063222831997E-2</v>
      </c>
      <c r="M751">
        <v>2.8860028860028799E-3</v>
      </c>
      <c r="N751">
        <v>1.8632517103465099E-2</v>
      </c>
      <c r="O751">
        <v>634</v>
      </c>
      <c r="P751">
        <v>8.1264029180695793E-2</v>
      </c>
      <c r="Q751">
        <v>8.1419404607454601E-2</v>
      </c>
      <c r="R751">
        <v>0</v>
      </c>
      <c r="S751">
        <v>0</v>
      </c>
      <c r="T751" t="s">
        <v>49</v>
      </c>
      <c r="U751">
        <v>4.93996569468267E-2</v>
      </c>
      <c r="V751">
        <v>0</v>
      </c>
      <c r="W751">
        <v>0</v>
      </c>
      <c r="X751">
        <v>0</v>
      </c>
      <c r="Y751">
        <v>5.9876559988006797E-2</v>
      </c>
      <c r="Z751">
        <v>5.6211424349803502E-2</v>
      </c>
      <c r="AA751">
        <v>0</v>
      </c>
      <c r="AB751">
        <v>2.4716999381780621E-2</v>
      </c>
      <c r="AC751">
        <v>3.5399998887442052E-4</v>
      </c>
      <c r="AD751">
        <v>3.2550001051276918E-3</v>
      </c>
      <c r="AE751">
        <v>2.0779999904334549E-3</v>
      </c>
      <c r="AF751">
        <f>0.16*X751 + 0.28*Y751 + 0.28*Z751 + 0.28*AA751</f>
        <v>3.2504635614586885E-2</v>
      </c>
      <c r="AG751">
        <f t="shared" si="33"/>
        <v>5.5470799247268584E-3</v>
      </c>
      <c r="AH751">
        <f>IF(T751="IT_Admin", 0.25, IF(AND(T751="HR", AA751&gt;0.6), 0.25, IF(AND(T751="General", Z751&gt;0.7), 0.2, 0.1)))</f>
        <v>0.1</v>
      </c>
      <c r="AI751">
        <f>IF(V751&gt;0.7, 0.1,
 IF(F751&gt;0.5, 0.08,
 IF(E751&gt;0.5, 0.05,
 0)))</f>
        <v>0</v>
      </c>
      <c r="AJ751">
        <f t="shared" si="34"/>
        <v>1.3634346631684866E-2</v>
      </c>
      <c r="AK751">
        <f t="shared" si="35"/>
        <v>1.4997781294853353E-2</v>
      </c>
      <c r="AL751" t="str">
        <f>IF(MAX(X751, Y751, Z751, AA751)&gt;0.9,
 "Critical",
 IF(AK751&lt;=0.2,"Very Low",
 IF(AK751&lt;=0.4,"Low",
 IF(AK751&lt;=0.6,"Medium",
 IF(AK751&lt;=0.8,"High","Critical")))))</f>
        <v>Very Low</v>
      </c>
      <c r="AM751" t="str">
        <f>IF(MAX(X751:AA751)&gt;0.9,"CRITICAL ALERT",
 IF(AK751&gt;0.8,"CRITICAL ALERT",
 IF(AK751&gt;0.6,"ALERT",
 IF(AK751&gt;=0.4,"REVIEW","NO ACTION"))))</f>
        <v>NO ACTION</v>
      </c>
      <c r="AN751" t="str">
        <f>IF(AM751="NO ACTION","",
 IF(_xlfn.TEXTJOIN(", ", TRUE,
  IF(X751&gt;0.7,"Login anomaly",""),
  IF(Y751&gt;0.7,"File anomaly",""),
  IF(Z751&gt;0.7,"Network anomaly",""),
  IF(AA751&gt;0.7,"USB anomaly","")
 )="",
 "General anomaly detected",
 _xlfn.TEXTJOIN(", ", TRUE,
  IF(X751&gt;0.7,"Login anomaly",""),
  IF(Y751&gt;0.7,"File anomaly",""),
  IF(Z751&gt;0.7,"Network anomaly",""),
  IF(AA751&gt;0.7,"USB anomaly","")
 )))</f>
        <v/>
      </c>
    </row>
    <row r="752" spans="1:40" x14ac:dyDescent="0.3">
      <c r="A752" t="s">
        <v>775</v>
      </c>
      <c r="B752">
        <v>0.12892249527410199</v>
      </c>
      <c r="C752">
        <v>0.55429747812660801</v>
      </c>
      <c r="D752">
        <v>0</v>
      </c>
      <c r="E752">
        <v>0</v>
      </c>
      <c r="F752">
        <v>0</v>
      </c>
      <c r="G752">
        <v>0.99368413420304402</v>
      </c>
      <c r="H752">
        <v>9</v>
      </c>
      <c r="I752">
        <v>9</v>
      </c>
      <c r="J752">
        <v>8.1198416106101803E-2</v>
      </c>
      <c r="K752">
        <v>3.9151712887438801E-2</v>
      </c>
      <c r="L752">
        <v>0.122802688965902</v>
      </c>
      <c r="M752">
        <v>9.8124098124098107E-3</v>
      </c>
      <c r="N752">
        <v>7.2814174044402505E-2</v>
      </c>
      <c r="O752">
        <v>690</v>
      </c>
      <c r="P752">
        <v>8.1299102132435394E-2</v>
      </c>
      <c r="Q752">
        <v>8.1454468950524203E-2</v>
      </c>
      <c r="R752">
        <v>0</v>
      </c>
      <c r="S752">
        <v>0</v>
      </c>
      <c r="T752" t="s">
        <v>49</v>
      </c>
      <c r="U752">
        <v>2.3288409703504001E-2</v>
      </c>
      <c r="V752">
        <v>0</v>
      </c>
      <c r="W752">
        <v>0</v>
      </c>
      <c r="X752">
        <v>0</v>
      </c>
      <c r="Y752">
        <v>9.9485279917492106E-2</v>
      </c>
      <c r="Z752">
        <v>7.7905130897222202E-2</v>
      </c>
      <c r="AA752">
        <v>0</v>
      </c>
      <c r="AB752">
        <v>2.8912000358104709E-2</v>
      </c>
      <c r="AC752">
        <v>3.623000113293529E-3</v>
      </c>
      <c r="AD752">
        <v>2.4439999833703041E-3</v>
      </c>
      <c r="AE752">
        <v>1.9249999895691869E-3</v>
      </c>
      <c r="AF752">
        <f>0.16*X752 + 0.28*Y752 + 0.28*Z752 + 0.28*AA752</f>
        <v>4.9669315028120012E-2</v>
      </c>
      <c r="AG752">
        <f t="shared" si="33"/>
        <v>6.8636800814419995E-3</v>
      </c>
      <c r="AH752">
        <f>IF(T752="IT_Admin", 0.25, IF(AND(T752="HR", AA752&gt;0.6), 0.25, IF(AND(T752="General", Z752&gt;0.7), 0.2, 0.1)))</f>
        <v>0.1</v>
      </c>
      <c r="AI752">
        <f>IF(V752&gt;0.7, 0.1,
 IF(F752&gt;0.5, 0.08,
 IF(E752&gt;0.5, 0.05,
 0)))</f>
        <v>0</v>
      </c>
      <c r="AJ752">
        <f t="shared" si="34"/>
        <v>1.9705370565445402E-2</v>
      </c>
      <c r="AK752">
        <f t="shared" si="35"/>
        <v>2.1675907621989943E-2</v>
      </c>
      <c r="AL752" t="str">
        <f>IF(MAX(X752, Y752, Z752, AA752)&gt;0.9,
 "Critical",
 IF(AK752&lt;=0.2,"Very Low",
 IF(AK752&lt;=0.4,"Low",
 IF(AK752&lt;=0.6,"Medium",
 IF(AK752&lt;=0.8,"High","Critical")))))</f>
        <v>Very Low</v>
      </c>
      <c r="AM752" t="str">
        <f>IF(MAX(X752:AA752)&gt;0.9,"CRITICAL ALERT",
 IF(AK752&gt;0.8,"CRITICAL ALERT",
 IF(AK752&gt;0.6,"ALERT",
 IF(AK752&gt;=0.4,"REVIEW","NO ACTION"))))</f>
        <v>NO ACTION</v>
      </c>
      <c r="AN752" t="str">
        <f>IF(AM752="NO ACTION","",
 IF(_xlfn.TEXTJOIN(", ", TRUE,
  IF(X752&gt;0.7,"Login anomaly",""),
  IF(Y752&gt;0.7,"File anomaly",""),
  IF(Z752&gt;0.7,"Network anomaly",""),
  IF(AA752&gt;0.7,"USB anomaly","")
 )="",
 "General anomaly detected",
 _xlfn.TEXTJOIN(", ", TRUE,
  IF(X752&gt;0.7,"Login anomaly",""),
  IF(Y752&gt;0.7,"File anomaly",""),
  IF(Z752&gt;0.7,"Network anomaly",""),
  IF(AA752&gt;0.7,"USB anomaly","")
 )))</f>
        <v/>
      </c>
    </row>
    <row r="753" spans="1:40" x14ac:dyDescent="0.3">
      <c r="A753" t="s">
        <v>776</v>
      </c>
      <c r="B753">
        <v>0.12892249527410199</v>
      </c>
      <c r="C753">
        <v>0.36953165208440503</v>
      </c>
      <c r="D753">
        <v>0</v>
      </c>
      <c r="E753">
        <v>0</v>
      </c>
      <c r="F753">
        <v>0</v>
      </c>
      <c r="G753">
        <v>0.99368983465789495</v>
      </c>
      <c r="H753">
        <v>8</v>
      </c>
      <c r="I753">
        <v>8</v>
      </c>
      <c r="J753">
        <v>7.2611039549639794E-2</v>
      </c>
      <c r="K753">
        <v>1.38662316476345E-2</v>
      </c>
      <c r="L753">
        <v>4.8619450326095701E-2</v>
      </c>
      <c r="M753">
        <v>1.1544011544011501E-3</v>
      </c>
      <c r="N753">
        <v>9.5761620319576995E-3</v>
      </c>
      <c r="O753">
        <v>741</v>
      </c>
      <c r="P753">
        <v>5.9904601571268201E-2</v>
      </c>
      <c r="Q753">
        <v>6.0065219678109301E-2</v>
      </c>
      <c r="R753">
        <v>0</v>
      </c>
      <c r="S753">
        <v>0</v>
      </c>
      <c r="T753" t="s">
        <v>49</v>
      </c>
      <c r="U753">
        <v>5.77358490566037E-2</v>
      </c>
      <c r="V753">
        <v>0</v>
      </c>
      <c r="W753">
        <v>0</v>
      </c>
      <c r="X753">
        <v>0</v>
      </c>
      <c r="Y753">
        <v>4.17047816825631E-2</v>
      </c>
      <c r="Z753">
        <v>3.9773225755543998E-2</v>
      </c>
      <c r="AA753">
        <v>0</v>
      </c>
      <c r="AB753">
        <v>2.4669000878930088E-2</v>
      </c>
      <c r="AC753">
        <v>1.9700000120792541E-4</v>
      </c>
      <c r="AD753">
        <v>6.120000034570694E-3</v>
      </c>
      <c r="AE753">
        <v>1.836000010371208E-3</v>
      </c>
      <c r="AF753">
        <f>0.16*X753 + 0.28*Y753 + 0.28*Z753 + 0.28*AA753</f>
        <v>2.281384208266999E-2</v>
      </c>
      <c r="AG753">
        <f t="shared" si="33"/>
        <v>6.229880153550766E-3</v>
      </c>
      <c r="AH753">
        <f>IF(T753="IT_Admin", 0.25, IF(AND(T753="HR", AA753&gt;0.6), 0.25, IF(AND(T753="General", Z753&gt;0.7), 0.2, 0.1)))</f>
        <v>0.1</v>
      </c>
      <c r="AI753">
        <f>IF(V753&gt;0.7, 0.1,
 IF(F753&gt;0.5, 0.08,
 IF(E753&gt;0.5, 0.05,
 0)))</f>
        <v>0</v>
      </c>
      <c r="AJ753">
        <f t="shared" si="34"/>
        <v>1.1205068732286532E-2</v>
      </c>
      <c r="AK753">
        <f t="shared" si="35"/>
        <v>1.2325575605515187E-2</v>
      </c>
      <c r="AL753" t="str">
        <f>IF(MAX(X753, Y753, Z753, AA753)&gt;0.9,
 "Critical",
 IF(AK753&lt;=0.2,"Very Low",
 IF(AK753&lt;=0.4,"Low",
 IF(AK753&lt;=0.6,"Medium",
 IF(AK753&lt;=0.8,"High","Critical")))))</f>
        <v>Very Low</v>
      </c>
      <c r="AM753" t="str">
        <f>IF(MAX(X753:AA753)&gt;0.9,"CRITICAL ALERT",
 IF(AK753&gt;0.8,"CRITICAL ALERT",
 IF(AK753&gt;0.6,"ALERT",
 IF(AK753&gt;=0.4,"REVIEW","NO ACTION"))))</f>
        <v>NO ACTION</v>
      </c>
      <c r="AN753" t="str">
        <f>IF(AM753="NO ACTION","",
 IF(_xlfn.TEXTJOIN(", ", TRUE,
  IF(X753&gt;0.7,"Login anomaly",""),
  IF(Y753&gt;0.7,"File anomaly",""),
  IF(Z753&gt;0.7,"Network anomaly",""),
  IF(AA753&gt;0.7,"USB anomaly","")
 )="",
 "General anomaly detected",
 _xlfn.TEXTJOIN(", ", TRUE,
  IF(X753&gt;0.7,"Login anomaly",""),
  IF(Y753&gt;0.7,"File anomaly",""),
  IF(Z753&gt;0.7,"Network anomaly",""),
  IF(AA753&gt;0.7,"USB anomaly","")
 )))</f>
        <v/>
      </c>
    </row>
    <row r="754" spans="1:40" x14ac:dyDescent="0.3">
      <c r="A754" t="s">
        <v>777</v>
      </c>
      <c r="B754">
        <v>0.12892249527410199</v>
      </c>
      <c r="C754">
        <v>0.18476582604220201</v>
      </c>
      <c r="D754">
        <v>0</v>
      </c>
      <c r="E754">
        <v>0</v>
      </c>
      <c r="F754">
        <v>0</v>
      </c>
      <c r="G754">
        <v>0.99368247491571604</v>
      </c>
      <c r="H754">
        <v>7</v>
      </c>
      <c r="I754">
        <v>7</v>
      </c>
      <c r="J754">
        <v>7.0988979533419205E-2</v>
      </c>
      <c r="K754">
        <v>4.8939641109298502E-3</v>
      </c>
      <c r="L754">
        <v>1.7550585236503199E-2</v>
      </c>
      <c r="M754">
        <v>2.8860028860028799E-3</v>
      </c>
      <c r="N754">
        <v>2.4485598497654699E-2</v>
      </c>
      <c r="O754">
        <v>785</v>
      </c>
      <c r="P754">
        <v>5.5695847362513998E-2</v>
      </c>
      <c r="Q754">
        <v>5.5857498509765402E-2</v>
      </c>
      <c r="R754">
        <v>0</v>
      </c>
      <c r="S754">
        <v>0</v>
      </c>
      <c r="T754" t="s">
        <v>49</v>
      </c>
      <c r="U754">
        <v>9.2624356775300107E-3</v>
      </c>
      <c r="V754">
        <v>0</v>
      </c>
      <c r="W754">
        <v>0</v>
      </c>
      <c r="X754">
        <v>0</v>
      </c>
      <c r="Y754">
        <v>3.0318768074231801E-2</v>
      </c>
      <c r="Z754">
        <v>4.3211747816570299E-2</v>
      </c>
      <c r="AA754">
        <v>0</v>
      </c>
      <c r="AB754">
        <v>3.6651000380516052E-2</v>
      </c>
      <c r="AC754">
        <v>5.6299997959285975E-4</v>
      </c>
      <c r="AD754">
        <v>6.2799998559057713E-3</v>
      </c>
      <c r="AE754">
        <v>1.644999952986836E-3</v>
      </c>
      <c r="AF754">
        <f>0.16*X754 + 0.28*Y754 + 0.28*Z754 + 0.28*AA754</f>
        <v>2.0588544449424588E-2</v>
      </c>
      <c r="AG754">
        <f t="shared" si="33"/>
        <v>8.2408000016584992E-3</v>
      </c>
      <c r="AH754">
        <f>IF(T754="IT_Admin", 0.25, IF(AND(T754="HR", AA754&gt;0.6), 0.25, IF(AND(T754="General", Z754&gt;0.7), 0.2, 0.1)))</f>
        <v>0.1</v>
      </c>
      <c r="AI754">
        <f>IF(V754&gt;0.7, 0.1,
 IF(F754&gt;0.5, 0.08,
 IF(E754&gt;0.5, 0.05,
 0)))</f>
        <v>0</v>
      </c>
      <c r="AJ754">
        <f t="shared" si="34"/>
        <v>1.1945123335988326E-2</v>
      </c>
      <c r="AK754">
        <f t="shared" si="35"/>
        <v>1.313963566958716E-2</v>
      </c>
      <c r="AL754" t="str">
        <f>IF(MAX(X754, Y754, Z754, AA754)&gt;0.9,
 "Critical",
 IF(AK754&lt;=0.2,"Very Low",
 IF(AK754&lt;=0.4,"Low",
 IF(AK754&lt;=0.6,"Medium",
 IF(AK754&lt;=0.8,"High","Critical")))))</f>
        <v>Very Low</v>
      </c>
      <c r="AM754" t="str">
        <f>IF(MAX(X754:AA754)&gt;0.9,"CRITICAL ALERT",
 IF(AK754&gt;0.8,"CRITICAL ALERT",
 IF(AK754&gt;0.6,"ALERT",
 IF(AK754&gt;=0.4,"REVIEW","NO ACTION"))))</f>
        <v>NO ACTION</v>
      </c>
      <c r="AN754" t="str">
        <f>IF(AM754="NO ACTION","",
 IF(_xlfn.TEXTJOIN(", ", TRUE,
  IF(X754&gt;0.7,"Login anomaly",""),
  IF(Y754&gt;0.7,"File anomaly",""),
  IF(Z754&gt;0.7,"Network anomaly",""),
  IF(AA754&gt;0.7,"USB anomaly","")
 )="",
 "General anomaly detected",
 _xlfn.TEXTJOIN(", ", TRUE,
  IF(X754&gt;0.7,"Login anomaly",""),
  IF(Y754&gt;0.7,"File anomaly",""),
  IF(Z754&gt;0.7,"Network anomaly",""),
  IF(AA754&gt;0.7,"USB anomaly","")
 )))</f>
        <v/>
      </c>
    </row>
    <row r="755" spans="1:40" x14ac:dyDescent="0.3">
      <c r="A755" t="s">
        <v>778</v>
      </c>
      <c r="B755">
        <v>0.12892249527410199</v>
      </c>
      <c r="C755">
        <v>0.18476582604220201</v>
      </c>
      <c r="D755">
        <v>0</v>
      </c>
      <c r="E755">
        <v>0</v>
      </c>
      <c r="F755">
        <v>0</v>
      </c>
      <c r="G755">
        <v>0.99370206521126003</v>
      </c>
      <c r="H755">
        <v>7</v>
      </c>
      <c r="I755">
        <v>7</v>
      </c>
      <c r="J755">
        <v>7.6809312532799004E-2</v>
      </c>
      <c r="K755">
        <v>2.0391517128874301E-2</v>
      </c>
      <c r="L755">
        <v>6.7603260469812507E-2</v>
      </c>
      <c r="M755">
        <v>1.1544011544011501E-3</v>
      </c>
      <c r="N755">
        <v>9.0543649676776607E-3</v>
      </c>
      <c r="O755">
        <v>735</v>
      </c>
      <c r="P755">
        <v>6.5796857463524094E-2</v>
      </c>
      <c r="Q755">
        <v>6.5956029313790798E-2</v>
      </c>
      <c r="R755">
        <v>0</v>
      </c>
      <c r="S755">
        <v>0</v>
      </c>
      <c r="T755" t="s">
        <v>49</v>
      </c>
      <c r="U755">
        <v>8.4905660377358402E-2</v>
      </c>
      <c r="V755">
        <v>0</v>
      </c>
      <c r="W755">
        <v>0</v>
      </c>
      <c r="X755">
        <v>0</v>
      </c>
      <c r="Y755">
        <v>5.1879802231769301E-2</v>
      </c>
      <c r="Z755">
        <v>4.3099860465185498E-2</v>
      </c>
      <c r="AA755">
        <v>0</v>
      </c>
      <c r="AB755">
        <v>3.661699965596199E-2</v>
      </c>
      <c r="AC755">
        <v>9.7300001652911305E-4</v>
      </c>
      <c r="AD755">
        <v>5.3110001608729362E-3</v>
      </c>
      <c r="AE755">
        <v>1.4919999521225691E-3</v>
      </c>
      <c r="AF755">
        <f>0.16*X755 + 0.28*Y755 + 0.28*Z755 + 0.28*AA755</f>
        <v>2.6594305555147347E-2</v>
      </c>
      <c r="AG755">
        <f t="shared" si="33"/>
        <v>8.0359999812208115E-3</v>
      </c>
      <c r="AH755">
        <f>IF(T755="IT_Admin", 0.25, IF(AND(T755="HR", AA755&gt;0.6), 0.25, IF(AND(T755="General", Z755&gt;0.7), 0.2, 0.1)))</f>
        <v>0.1</v>
      </c>
      <c r="AI755">
        <f>IF(V755&gt;0.7, 0.1,
 IF(F755&gt;0.5, 0.08,
 IF(E755&gt;0.5, 0.05,
 0)))</f>
        <v>0</v>
      </c>
      <c r="AJ755">
        <f t="shared" si="34"/>
        <v>1.3603491653398771E-2</v>
      </c>
      <c r="AK755">
        <f t="shared" si="35"/>
        <v>1.4963840818738649E-2</v>
      </c>
      <c r="AL755" t="str">
        <f>IF(MAX(X755, Y755, Z755, AA755)&gt;0.9,
 "Critical",
 IF(AK755&lt;=0.2,"Very Low",
 IF(AK755&lt;=0.4,"Low",
 IF(AK755&lt;=0.6,"Medium",
 IF(AK755&lt;=0.8,"High","Critical")))))</f>
        <v>Very Low</v>
      </c>
      <c r="AM755" t="str">
        <f>IF(MAX(X755:AA755)&gt;0.9,"CRITICAL ALERT",
 IF(AK755&gt;0.8,"CRITICAL ALERT",
 IF(AK755&gt;0.6,"ALERT",
 IF(AK755&gt;=0.4,"REVIEW","NO ACTION"))))</f>
        <v>NO ACTION</v>
      </c>
      <c r="AN755" t="str">
        <f>IF(AM755="NO ACTION","",
 IF(_xlfn.TEXTJOIN(", ", TRUE,
  IF(X755&gt;0.7,"Login anomaly",""),
  IF(Y755&gt;0.7,"File anomaly",""),
  IF(Z755&gt;0.7,"Network anomaly",""),
  IF(AA755&gt;0.7,"USB anomaly","")
 )="",
 "General anomaly detected",
 _xlfn.TEXTJOIN(", ", TRUE,
  IF(X755&gt;0.7,"Login anomaly",""),
  IF(Y755&gt;0.7,"File anomaly",""),
  IF(Z755&gt;0.7,"Network anomaly",""),
  IF(AA755&gt;0.7,"USB anomaly","")
 )))</f>
        <v/>
      </c>
    </row>
    <row r="756" spans="1:40" x14ac:dyDescent="0.3">
      <c r="A756" t="s">
        <v>779</v>
      </c>
      <c r="B756">
        <v>0.12892249527410199</v>
      </c>
      <c r="C756">
        <v>0.18476582604220201</v>
      </c>
      <c r="D756">
        <v>0</v>
      </c>
      <c r="E756">
        <v>0</v>
      </c>
      <c r="F756">
        <v>0</v>
      </c>
      <c r="G756">
        <v>0.99368068181489499</v>
      </c>
      <c r="H756">
        <v>7</v>
      </c>
      <c r="I756">
        <v>7</v>
      </c>
      <c r="J756">
        <v>7.7954296073660598E-2</v>
      </c>
      <c r="K756">
        <v>7.34094616639478E-3</v>
      </c>
      <c r="L756">
        <v>2.3980802707229399E-2</v>
      </c>
      <c r="M756">
        <v>1.7316017316017301E-3</v>
      </c>
      <c r="N756">
        <v>1.3382671832946299E-2</v>
      </c>
      <c r="O756">
        <v>750</v>
      </c>
      <c r="P756">
        <v>6.1307519640852903E-2</v>
      </c>
      <c r="Q756">
        <v>6.1467793400890598E-2</v>
      </c>
      <c r="R756">
        <v>0</v>
      </c>
      <c r="S756">
        <v>0</v>
      </c>
      <c r="T756" t="s">
        <v>49</v>
      </c>
      <c r="U756">
        <v>2.1832884097034998E-2</v>
      </c>
      <c r="V756">
        <v>0</v>
      </c>
      <c r="W756">
        <v>0</v>
      </c>
      <c r="X756">
        <v>0</v>
      </c>
      <c r="Y756">
        <v>3.1596062118230697E-2</v>
      </c>
      <c r="Z756">
        <v>4.2137580517690301E-2</v>
      </c>
      <c r="AA756">
        <v>0</v>
      </c>
      <c r="AB756">
        <v>3.6660999059677117E-2</v>
      </c>
      <c r="AC756">
        <v>2.95000005280599E-4</v>
      </c>
      <c r="AD756">
        <v>5.8090002276003361E-3</v>
      </c>
      <c r="AE756">
        <v>1.6769999638199811E-3</v>
      </c>
      <c r="AF756">
        <f>0.16*X756 + 0.28*Y756 + 0.28*Z756 + 0.28*AA756</f>
        <v>2.0645419938057883E-2</v>
      </c>
      <c r="AG756">
        <f t="shared" si="33"/>
        <v>8.0444399046245944E-3</v>
      </c>
      <c r="AH756">
        <f>IF(T756="IT_Admin", 0.25, IF(AND(T756="HR", AA756&gt;0.6), 0.25, IF(AND(T756="General", Z756&gt;0.7), 0.2, 0.1)))</f>
        <v>0.1</v>
      </c>
      <c r="AI756">
        <f>IF(V756&gt;0.7, 0.1,
 IF(F756&gt;0.5, 0.08,
 IF(E756&gt;0.5, 0.05,
 0)))</f>
        <v>0</v>
      </c>
      <c r="AJ756">
        <f t="shared" si="34"/>
        <v>1.182473391465458E-2</v>
      </c>
      <c r="AK756">
        <f t="shared" si="35"/>
        <v>1.3007207306120039E-2</v>
      </c>
      <c r="AL756" t="str">
        <f>IF(MAX(X756, Y756, Z756, AA756)&gt;0.9,
 "Critical",
 IF(AK756&lt;=0.2,"Very Low",
 IF(AK756&lt;=0.4,"Low",
 IF(AK756&lt;=0.6,"Medium",
 IF(AK756&lt;=0.8,"High","Critical")))))</f>
        <v>Very Low</v>
      </c>
      <c r="AM756" t="str">
        <f>IF(MAX(X756:AA756)&gt;0.9,"CRITICAL ALERT",
 IF(AK756&gt;0.8,"CRITICAL ALERT",
 IF(AK756&gt;0.6,"ALERT",
 IF(AK756&gt;=0.4,"REVIEW","NO ACTION"))))</f>
        <v>NO ACTION</v>
      </c>
      <c r="AN756" t="str">
        <f>IF(AM756="NO ACTION","",
 IF(_xlfn.TEXTJOIN(", ", TRUE,
  IF(X756&gt;0.7,"Login anomaly",""),
  IF(Y756&gt;0.7,"File anomaly",""),
  IF(Z756&gt;0.7,"Network anomaly",""),
  IF(AA756&gt;0.7,"USB anomaly","")
 )="",
 "General anomaly detected",
 _xlfn.TEXTJOIN(", ", TRUE,
  IF(X756&gt;0.7,"Login anomaly",""),
  IF(Y756&gt;0.7,"File anomaly",""),
  IF(Z756&gt;0.7,"Network anomaly",""),
  IF(AA756&gt;0.7,"USB anomaly","")
 )))</f>
        <v/>
      </c>
    </row>
    <row r="757" spans="1:40" x14ac:dyDescent="0.3">
      <c r="A757" t="s">
        <v>780</v>
      </c>
      <c r="B757">
        <v>0.27977315689981003</v>
      </c>
      <c r="C757">
        <v>0.65909744934947001</v>
      </c>
      <c r="D757">
        <v>0.39175012782409802</v>
      </c>
      <c r="E757">
        <v>0</v>
      </c>
      <c r="F757">
        <v>0</v>
      </c>
      <c r="G757">
        <v>0.38025468100675702</v>
      </c>
      <c r="H757">
        <v>7</v>
      </c>
      <c r="I757">
        <v>15</v>
      </c>
      <c r="J757">
        <v>7.8240541958876003E-2</v>
      </c>
      <c r="K757">
        <v>8.1566068515497494E-3</v>
      </c>
      <c r="L757">
        <v>2.6548149704254599E-2</v>
      </c>
      <c r="M757">
        <v>3.1746031746031698E-3</v>
      </c>
      <c r="N757">
        <v>2.4445409369421502E-2</v>
      </c>
      <c r="O757">
        <v>784</v>
      </c>
      <c r="P757">
        <v>6.2570145903479202E-2</v>
      </c>
      <c r="Q757">
        <v>6.2730109751393801E-2</v>
      </c>
      <c r="R757">
        <v>0.3952802359882</v>
      </c>
      <c r="S757">
        <v>1</v>
      </c>
      <c r="T757" t="s">
        <v>49</v>
      </c>
      <c r="U757">
        <v>1.41509433962264E-2</v>
      </c>
      <c r="V757">
        <v>0</v>
      </c>
      <c r="W757">
        <v>0</v>
      </c>
      <c r="X757">
        <v>0.11752503834722899</v>
      </c>
      <c r="Y757">
        <v>3.6255806054728897E-2</v>
      </c>
      <c r="Z757">
        <v>4.7320251289856098E-2</v>
      </c>
      <c r="AA757">
        <v>0.3952802359882</v>
      </c>
      <c r="AB757">
        <v>4.2812000960111618E-2</v>
      </c>
      <c r="AC757">
        <v>2.9600001289509242E-4</v>
      </c>
      <c r="AD757">
        <v>4.6049999073147774E-3</v>
      </c>
      <c r="AE757">
        <v>0.15605500340461731</v>
      </c>
      <c r="AF757">
        <f>0.16*X757 + 0.28*Y757 + 0.28*Z757 + 0.28*AA757</f>
        <v>0.15288376826873645</v>
      </c>
      <c r="AG757">
        <f t="shared" si="33"/>
        <v>5.191760108456947E-2</v>
      </c>
      <c r="AH757">
        <f>IF(T757="IT_Admin", 0.25, IF(AND(T757="HR", AA757&gt;0.6), 0.25, IF(AND(T757="General", Z757&gt;0.7), 0.2, 0.1)))</f>
        <v>0.1</v>
      </c>
      <c r="AI757">
        <f>IF(V757&gt;0.7, 0.1,
 IF(F757&gt;0.5, 0.08,
 IF(E757&gt;0.5, 0.05,
 0)))</f>
        <v>0</v>
      </c>
      <c r="AJ757">
        <f t="shared" si="34"/>
        <v>8.2207451239819568E-2</v>
      </c>
      <c r="AK757">
        <f t="shared" si="35"/>
        <v>9.0428196363801533E-2</v>
      </c>
      <c r="AL757" t="str">
        <f>IF(MAX(X757, Y757, Z757, AA757)&gt;0.9,
 "Critical",
 IF(AK757&lt;=0.2,"Very Low",
 IF(AK757&lt;=0.4,"Low",
 IF(AK757&lt;=0.6,"Medium",
 IF(AK757&lt;=0.8,"High","Critical")))))</f>
        <v>Very Low</v>
      </c>
      <c r="AM757" t="str">
        <f>IF(MAX(X757:AA757)&gt;0.9,"CRITICAL ALERT",
 IF(AK757&gt;0.8,"CRITICAL ALERT",
 IF(AK757&gt;0.6,"ALERT",
 IF(AK757&gt;=0.4,"REVIEW","NO ACTION"))))</f>
        <v>NO ACTION</v>
      </c>
      <c r="AN757" t="str">
        <f>IF(AM757="NO ACTION","",
 IF(_xlfn.TEXTJOIN(", ", TRUE,
  IF(X757&gt;0.7,"Login anomaly",""),
  IF(Y757&gt;0.7,"File anomaly",""),
  IF(Z757&gt;0.7,"Network anomaly",""),
  IF(AA757&gt;0.7,"USB anomaly","")
 )="",
 "General anomaly detected",
 _xlfn.TEXTJOIN(", ", TRUE,
  IF(X757&gt;0.7,"Login anomaly",""),
  IF(Y757&gt;0.7,"File anomaly",""),
  IF(Z757&gt;0.7,"Network anomaly",""),
  IF(AA757&gt;0.7,"USB anomaly","")
 )))</f>
        <v/>
      </c>
    </row>
    <row r="758" spans="1:40" x14ac:dyDescent="0.3">
      <c r="A758" t="s">
        <v>781</v>
      </c>
      <c r="B758">
        <v>0.12892249527410199</v>
      </c>
      <c r="C758">
        <v>0.36953165208440503</v>
      </c>
      <c r="D758">
        <v>0</v>
      </c>
      <c r="E758">
        <v>0</v>
      </c>
      <c r="F758">
        <v>0</v>
      </c>
      <c r="G758">
        <v>0.99370318924461098</v>
      </c>
      <c r="H758">
        <v>8</v>
      </c>
      <c r="I758">
        <v>8</v>
      </c>
      <c r="J758">
        <v>0.103143933972615</v>
      </c>
      <c r="K758">
        <v>1.0603588907014599E-2</v>
      </c>
      <c r="L758">
        <v>2.61989931437695E-2</v>
      </c>
      <c r="M758">
        <v>1.44300144300144E-3</v>
      </c>
      <c r="N758">
        <v>8.4349327542682304E-3</v>
      </c>
      <c r="O758">
        <v>956</v>
      </c>
      <c r="P758">
        <v>8.1088664421997705E-2</v>
      </c>
      <c r="Q758">
        <v>8.1244082892106995E-2</v>
      </c>
      <c r="R758">
        <v>0</v>
      </c>
      <c r="S758">
        <v>0</v>
      </c>
      <c r="T758" t="s">
        <v>24</v>
      </c>
      <c r="U758">
        <v>3.6792452830188602E-2</v>
      </c>
      <c r="V758">
        <v>0</v>
      </c>
      <c r="W758">
        <v>0</v>
      </c>
      <c r="X758">
        <v>0</v>
      </c>
      <c r="Y758">
        <v>3.6258763192688399E-2</v>
      </c>
      <c r="Z758">
        <v>5.2027171754905899E-2</v>
      </c>
      <c r="AA758">
        <v>0</v>
      </c>
      <c r="AB758">
        <v>2.4692000821232799E-2</v>
      </c>
      <c r="AC758">
        <v>1.5500000154133889E-4</v>
      </c>
      <c r="AD758">
        <v>3.4960000775754452E-3</v>
      </c>
      <c r="AE758">
        <v>1.3709999620914459E-3</v>
      </c>
      <c r="AF758">
        <f>0.16*X758 + 0.28*Y758 + 0.28*Z758 + 0.28*AA758</f>
        <v>2.4720061785326406E-2</v>
      </c>
      <c r="AG758">
        <f t="shared" si="33"/>
        <v>5.3568801429355519E-3</v>
      </c>
      <c r="AH758">
        <f>IF(T758="IT_Admin", 0.25, IF(AND(T758="HR", AA758&gt;0.6), 0.25, IF(AND(T758="General", Z758&gt;0.7), 0.2, 0.1)))</f>
        <v>0.25</v>
      </c>
      <c r="AI758">
        <f>IF(V758&gt;0.7, 0.1,
 IF(F758&gt;0.5, 0.08,
 IF(E758&gt;0.5, 0.05,
 0)))</f>
        <v>0</v>
      </c>
      <c r="AJ758">
        <f t="shared" si="34"/>
        <v>1.1165834635652808E-2</v>
      </c>
      <c r="AK758">
        <f t="shared" si="35"/>
        <v>1.395729329456601E-2</v>
      </c>
      <c r="AL758" t="str">
        <f>IF(MAX(X758, Y758, Z758, AA758)&gt;0.9,
 "Critical",
 IF(AK758&lt;=0.2,"Very Low",
 IF(AK758&lt;=0.4,"Low",
 IF(AK758&lt;=0.6,"Medium",
 IF(AK758&lt;=0.8,"High","Critical")))))</f>
        <v>Very Low</v>
      </c>
      <c r="AM758" t="str">
        <f>IF(MAX(X758:AA758)&gt;0.9,"CRITICAL ALERT",
 IF(AK758&gt;0.8,"CRITICAL ALERT",
 IF(AK758&gt;0.6,"ALERT",
 IF(AK758&gt;=0.4,"REVIEW","NO ACTION"))))</f>
        <v>NO ACTION</v>
      </c>
      <c r="AN758" t="str">
        <f>IF(AM758="NO ACTION","",
 IF(_xlfn.TEXTJOIN(", ", TRUE,
  IF(X758&gt;0.7,"Login anomaly",""),
  IF(Y758&gt;0.7,"File anomaly",""),
  IF(Z758&gt;0.7,"Network anomaly",""),
  IF(AA758&gt;0.7,"USB anomaly","")
 )="",
 "General anomaly detected",
 _xlfn.TEXTJOIN(", ", TRUE,
  IF(X758&gt;0.7,"Login anomaly",""),
  IF(Y758&gt;0.7,"File anomaly",""),
  IF(Z758&gt;0.7,"Network anomaly",""),
  IF(AA758&gt;0.7,"USB anomaly","")
 )))</f>
        <v/>
      </c>
    </row>
    <row r="759" spans="1:40" x14ac:dyDescent="0.3">
      <c r="A759" t="s">
        <v>782</v>
      </c>
      <c r="B759">
        <v>0.14820415879016999</v>
      </c>
      <c r="C759">
        <v>0.247754175829317</v>
      </c>
      <c r="D759">
        <v>0.56511932030884304</v>
      </c>
      <c r="E759">
        <v>0.115039281705948</v>
      </c>
      <c r="F759">
        <v>0.50252525252525204</v>
      </c>
      <c r="G759">
        <v>0.84616865175790401</v>
      </c>
      <c r="H759">
        <v>0</v>
      </c>
      <c r="I759">
        <v>23</v>
      </c>
      <c r="J759">
        <v>7.5807451934545106E-2</v>
      </c>
      <c r="K759">
        <v>8.1566068515497494E-3</v>
      </c>
      <c r="L759">
        <v>2.7397557254390699E-2</v>
      </c>
      <c r="M759">
        <v>1.7316017316017301E-3</v>
      </c>
      <c r="N759">
        <v>1.3760476244792401E-2</v>
      </c>
      <c r="O759">
        <v>643</v>
      </c>
      <c r="P759">
        <v>6.0079966329966303E-2</v>
      </c>
      <c r="Q759">
        <v>6.0240541393456901E-2</v>
      </c>
      <c r="R759">
        <v>0.38200589970501397</v>
      </c>
      <c r="S759">
        <v>1</v>
      </c>
      <c r="T759" t="s">
        <v>49</v>
      </c>
      <c r="U759">
        <v>2.4258760107816701E-2</v>
      </c>
      <c r="V759">
        <v>0</v>
      </c>
      <c r="W759">
        <v>0.44929756035821899</v>
      </c>
      <c r="X759">
        <v>0.40505768161453798</v>
      </c>
      <c r="Y759">
        <v>3.2988411887542098E-2</v>
      </c>
      <c r="Z759">
        <v>4.1552170295896702E-2</v>
      </c>
      <c r="AA759">
        <v>0.38200589970501397</v>
      </c>
      <c r="AB759">
        <v>0.2053900063037872</v>
      </c>
      <c r="AC759">
        <v>2.010000025620684E-4</v>
      </c>
      <c r="AD759">
        <v>4.7070002183318138E-3</v>
      </c>
      <c r="AE759">
        <v>0.1312150061130524</v>
      </c>
      <c r="AF759">
        <f>0.16*X759 + 0.28*Y759 + 0.28*Z759 + 0.28*AA759</f>
        <v>0.19264224398709284</v>
      </c>
      <c r="AG759">
        <f t="shared" si="33"/>
        <v>7.0976842782110916E-2</v>
      </c>
      <c r="AH759">
        <f>IF(T759="IT_Admin", 0.25, IF(AND(T759="HR", AA759&gt;0.6), 0.25, IF(AND(T759="General", Z759&gt;0.7), 0.2, 0.1)))</f>
        <v>0.1</v>
      </c>
      <c r="AI759">
        <f>IF(V759&gt;0.7, 0.1,
 IF(F759&gt;0.5, 0.08,
 IF(E759&gt;0.5, 0.05,
 0)))</f>
        <v>0.08</v>
      </c>
      <c r="AJ759">
        <f t="shared" si="34"/>
        <v>0.10747646314360548</v>
      </c>
      <c r="AK759">
        <f t="shared" si="35"/>
        <v>0.12682222650945449</v>
      </c>
      <c r="AL759" t="str">
        <f>IF(MAX(X759, Y759, Z759, AA759)&gt;0.9,
 "Critical",
 IF(AK759&lt;=0.2,"Very Low",
 IF(AK759&lt;=0.4,"Low",
 IF(AK759&lt;=0.6,"Medium",
 IF(AK759&lt;=0.8,"High","Critical")))))</f>
        <v>Very Low</v>
      </c>
      <c r="AM759" t="str">
        <f>IF(MAX(X759:AA759)&gt;0.9,"CRITICAL ALERT",
 IF(AK759&gt;0.8,"CRITICAL ALERT",
 IF(AK759&gt;0.6,"ALERT",
 IF(AK759&gt;=0.4,"REVIEW","NO ACTION"))))</f>
        <v>NO ACTION</v>
      </c>
      <c r="AN759" t="str">
        <f>IF(AM759="NO ACTION","",
 IF(_xlfn.TEXTJOIN(", ", TRUE,
  IF(X759&gt;0.7,"Login anomaly",""),
  IF(Y759&gt;0.7,"File anomaly",""),
  IF(Z759&gt;0.7,"Network anomaly",""),
  IF(AA759&gt;0.7,"USB anomaly","")
 )="",
 "General anomaly detected",
 _xlfn.TEXTJOIN(", ", TRUE,
  IF(X759&gt;0.7,"Login anomaly",""),
  IF(Y759&gt;0.7,"File anomaly",""),
  IF(Z759&gt;0.7,"Network anomaly",""),
  IF(AA759&gt;0.7,"USB anomaly","")
 )))</f>
        <v/>
      </c>
    </row>
    <row r="760" spans="1:40" x14ac:dyDescent="0.3">
      <c r="A760" t="s">
        <v>783</v>
      </c>
      <c r="B760">
        <v>0.12892249527410199</v>
      </c>
      <c r="C760">
        <v>0.18476582604220201</v>
      </c>
      <c r="D760">
        <v>0</v>
      </c>
      <c r="E760">
        <v>0</v>
      </c>
      <c r="F760">
        <v>0</v>
      </c>
      <c r="G760">
        <v>0.99366986968456705</v>
      </c>
      <c r="H760">
        <v>7</v>
      </c>
      <c r="I760">
        <v>7</v>
      </c>
      <c r="J760">
        <v>7.9576356089881201E-2</v>
      </c>
      <c r="K760">
        <v>2.0391517128874301E-2</v>
      </c>
      <c r="L760">
        <v>6.5259573017780806E-2</v>
      </c>
      <c r="M760">
        <v>2.8860028860028799E-3</v>
      </c>
      <c r="N760">
        <v>2.1851164708307499E-2</v>
      </c>
      <c r="O760">
        <v>832</v>
      </c>
      <c r="P760">
        <v>6.8672839506172798E-2</v>
      </c>
      <c r="Q760">
        <v>6.8831305445492402E-2</v>
      </c>
      <c r="R760">
        <v>0</v>
      </c>
      <c r="S760">
        <v>0</v>
      </c>
      <c r="T760" t="s">
        <v>49</v>
      </c>
      <c r="U760">
        <v>3.8593481989708397E-2</v>
      </c>
      <c r="V760">
        <v>0</v>
      </c>
      <c r="W760">
        <v>0</v>
      </c>
      <c r="X760">
        <v>0</v>
      </c>
      <c r="Y760">
        <v>5.5100407139358903E-2</v>
      </c>
      <c r="Z760">
        <v>4.9944169587026702E-2</v>
      </c>
      <c r="AA760">
        <v>0</v>
      </c>
      <c r="AB760">
        <v>3.6681998521089547E-2</v>
      </c>
      <c r="AC760">
        <v>1.5399999392684549E-4</v>
      </c>
      <c r="AD760">
        <v>4.6129999682307243E-3</v>
      </c>
      <c r="AE760">
        <v>1.748000038787723E-3</v>
      </c>
      <c r="AF760">
        <f>0.16*X760 + 0.28*Y760 + 0.28*Z760 + 0.28*AA760</f>
        <v>2.9412481483387973E-2</v>
      </c>
      <c r="AG760">
        <f t="shared" si="33"/>
        <v>7.6933197636390102E-3</v>
      </c>
      <c r="AH760">
        <f>IF(T760="IT_Admin", 0.25, IF(AND(T760="HR", AA760&gt;0.6), 0.25, IF(AND(T760="General", Z760&gt;0.7), 0.2, 0.1)))</f>
        <v>0.1</v>
      </c>
      <c r="AI760">
        <f>IF(V760&gt;0.7, 0.1,
 IF(F760&gt;0.5, 0.08,
 IF(E760&gt;0.5, 0.05,
 0)))</f>
        <v>0</v>
      </c>
      <c r="AJ760">
        <f t="shared" si="34"/>
        <v>1.4209068279563699E-2</v>
      </c>
      <c r="AK760">
        <f t="shared" si="35"/>
        <v>1.562997510752007E-2</v>
      </c>
      <c r="AL760" t="str">
        <f>IF(MAX(X760, Y760, Z760, AA760)&gt;0.9,
 "Critical",
 IF(AK760&lt;=0.2,"Very Low",
 IF(AK760&lt;=0.4,"Low",
 IF(AK760&lt;=0.6,"Medium",
 IF(AK760&lt;=0.8,"High","Critical")))))</f>
        <v>Very Low</v>
      </c>
      <c r="AM760" t="str">
        <f>IF(MAX(X760:AA760)&gt;0.9,"CRITICAL ALERT",
 IF(AK760&gt;0.8,"CRITICAL ALERT",
 IF(AK760&gt;0.6,"ALERT",
 IF(AK760&gt;=0.4,"REVIEW","NO ACTION"))))</f>
        <v>NO ACTION</v>
      </c>
      <c r="AN760" t="str">
        <f>IF(AM760="NO ACTION","",
 IF(_xlfn.TEXTJOIN(", ", TRUE,
  IF(X760&gt;0.7,"Login anomaly",""),
  IF(Y760&gt;0.7,"File anomaly",""),
  IF(Z760&gt;0.7,"Network anomaly",""),
  IF(AA760&gt;0.7,"USB anomaly","")
 )="",
 "General anomaly detected",
 _xlfn.TEXTJOIN(", ", TRUE,
  IF(X760&gt;0.7,"Login anomaly",""),
  IF(Y760&gt;0.7,"File anomaly",""),
  IF(Z760&gt;0.7,"Network anomaly",""),
  IF(AA760&gt;0.7,"USB anomaly","")
 )))</f>
        <v/>
      </c>
    </row>
    <row r="761" spans="1:40" x14ac:dyDescent="0.3">
      <c r="A761" t="s">
        <v>784</v>
      </c>
      <c r="B761">
        <v>0.12892249527410199</v>
      </c>
      <c r="C761">
        <v>0.18476582604220201</v>
      </c>
      <c r="D761">
        <v>0</v>
      </c>
      <c r="E761">
        <v>0</v>
      </c>
      <c r="F761">
        <v>0</v>
      </c>
      <c r="G761">
        <v>0.99367824640930102</v>
      </c>
      <c r="H761">
        <v>7</v>
      </c>
      <c r="I761">
        <v>7</v>
      </c>
      <c r="J761">
        <v>9.2028052096751106E-2</v>
      </c>
      <c r="K761">
        <v>5.7096247960848204E-3</v>
      </c>
      <c r="L761">
        <v>1.5806718916468E-2</v>
      </c>
      <c r="M761">
        <v>2.0202020202020202E-3</v>
      </c>
      <c r="N761">
        <v>1.32315920320056E-2</v>
      </c>
      <c r="O761">
        <v>918</v>
      </c>
      <c r="P761">
        <v>7.1092873176206495E-2</v>
      </c>
      <c r="Q761">
        <v>7.1250745117290196E-2</v>
      </c>
      <c r="R761">
        <v>0</v>
      </c>
      <c r="S761">
        <v>0</v>
      </c>
      <c r="T761" t="s">
        <v>49</v>
      </c>
      <c r="U761">
        <v>1.48584905660377E-2</v>
      </c>
      <c r="V761">
        <v>0</v>
      </c>
      <c r="W761">
        <v>0</v>
      </c>
      <c r="X761">
        <v>0</v>
      </c>
      <c r="Y761">
        <v>3.0278447487185899E-2</v>
      </c>
      <c r="Z761">
        <v>4.7948360718526102E-2</v>
      </c>
      <c r="AA761">
        <v>0</v>
      </c>
      <c r="AB761">
        <v>3.6626998335123062E-2</v>
      </c>
      <c r="AC761">
        <v>4.9599999329075217E-4</v>
      </c>
      <c r="AD761">
        <v>4.5360000804066658E-3</v>
      </c>
      <c r="AE761">
        <v>1.567000057548285E-3</v>
      </c>
      <c r="AF761">
        <f>0.16*X761 + 0.28*Y761 + 0.28*Z761 + 0.28*AA761</f>
        <v>2.1903506297599365E-2</v>
      </c>
      <c r="AG761">
        <f t="shared" si="33"/>
        <v>7.7080397703684876E-3</v>
      </c>
      <c r="AH761">
        <f>IF(T761="IT_Admin", 0.25, IF(AND(T761="HR", AA761&gt;0.6), 0.25, IF(AND(T761="General", Z761&gt;0.7), 0.2, 0.1)))</f>
        <v>0.1</v>
      </c>
      <c r="AI761">
        <f>IF(V761&gt;0.7, 0.1,
 IF(F761&gt;0.5, 0.08,
 IF(E761&gt;0.5, 0.05,
 0)))</f>
        <v>0</v>
      </c>
      <c r="AJ761">
        <f t="shared" si="34"/>
        <v>1.196667972853775E-2</v>
      </c>
      <c r="AK761">
        <f t="shared" si="35"/>
        <v>1.3163347701391527E-2</v>
      </c>
      <c r="AL761" t="str">
        <f>IF(MAX(X761, Y761, Z761, AA761)&gt;0.9,
 "Critical",
 IF(AK761&lt;=0.2,"Very Low",
 IF(AK761&lt;=0.4,"Low",
 IF(AK761&lt;=0.6,"Medium",
 IF(AK761&lt;=0.8,"High","Critical")))))</f>
        <v>Very Low</v>
      </c>
      <c r="AM761" t="str">
        <f>IF(MAX(X761:AA761)&gt;0.9,"CRITICAL ALERT",
 IF(AK761&gt;0.8,"CRITICAL ALERT",
 IF(AK761&gt;0.6,"ALERT",
 IF(AK761&gt;=0.4,"REVIEW","NO ACTION"))))</f>
        <v>NO ACTION</v>
      </c>
      <c r="AN761" t="str">
        <f>IF(AM761="NO ACTION","",
 IF(_xlfn.TEXTJOIN(", ", TRUE,
  IF(X761&gt;0.7,"Login anomaly",""),
  IF(Y761&gt;0.7,"File anomaly",""),
  IF(Z761&gt;0.7,"Network anomaly",""),
  IF(AA761&gt;0.7,"USB anomaly","")
 )="",
 "General anomaly detected",
 _xlfn.TEXTJOIN(", ", TRUE,
  IF(X761&gt;0.7,"Login anomaly",""),
  IF(Y761&gt;0.7,"File anomaly",""),
  IF(Z761&gt;0.7,"Network anomaly",""),
  IF(AA761&gt;0.7,"USB anomaly","")
 )))</f>
        <v/>
      </c>
    </row>
    <row r="762" spans="1:40" x14ac:dyDescent="0.3">
      <c r="A762" t="s">
        <v>785</v>
      </c>
      <c r="B762">
        <v>0.23289224952741</v>
      </c>
      <c r="C762">
        <v>0.76409609350356</v>
      </c>
      <c r="D762">
        <v>0.37588775903479199</v>
      </c>
      <c r="E762">
        <v>0</v>
      </c>
      <c r="F762">
        <v>0</v>
      </c>
      <c r="G762">
        <v>0.486388220334247</v>
      </c>
      <c r="H762">
        <v>8</v>
      </c>
      <c r="I762">
        <v>16</v>
      </c>
      <c r="J762">
        <v>8.7495825580840597E-2</v>
      </c>
      <c r="K762">
        <v>1.7944535073409401E-2</v>
      </c>
      <c r="L762">
        <v>5.2244564317399399E-2</v>
      </c>
      <c r="M762">
        <v>2.8860028860028799E-3</v>
      </c>
      <c r="N762">
        <v>1.9878737660140498E-2</v>
      </c>
      <c r="O762">
        <v>799</v>
      </c>
      <c r="P762">
        <v>7.3442760942760907E-2</v>
      </c>
      <c r="Q762">
        <v>7.3600056102948896E-2</v>
      </c>
      <c r="R762">
        <v>0.87463126843657801</v>
      </c>
      <c r="S762">
        <v>1</v>
      </c>
      <c r="T762" t="s">
        <v>49</v>
      </c>
      <c r="U762">
        <v>3.3962264150943298E-2</v>
      </c>
      <c r="V762">
        <v>0</v>
      </c>
      <c r="W762">
        <v>0</v>
      </c>
      <c r="X762">
        <v>0.112766327710437</v>
      </c>
      <c r="Y762">
        <v>4.958506857291E-2</v>
      </c>
      <c r="Z762">
        <v>5.20171516297128E-2</v>
      </c>
      <c r="AA762">
        <v>0.87463126843657801</v>
      </c>
      <c r="AB762">
        <v>4.1157998144626617E-2</v>
      </c>
      <c r="AC762">
        <v>8.1999998656101525E-5</v>
      </c>
      <c r="AD762">
        <v>3.3579999580979352E-3</v>
      </c>
      <c r="AE762">
        <v>0.77416497468948364</v>
      </c>
      <c r="AF762">
        <f>0.16*X762 + 0.28*Y762 + 0.28*Z762 + 0.28*AA762</f>
        <v>0.2913879892526462</v>
      </c>
      <c r="AG762">
        <f t="shared" si="33"/>
        <v>0.22431467260408683</v>
      </c>
      <c r="AH762">
        <f>IF(T762="IT_Admin", 0.25, IF(AND(T762="HR", AA762&gt;0.6), 0.25, IF(AND(T762="General", Z762&gt;0.7), 0.2, 0.1)))</f>
        <v>0.1</v>
      </c>
      <c r="AI762">
        <f>IF(V762&gt;0.7, 0.1,
 IF(F762&gt;0.5, 0.08,
 IF(E762&gt;0.5, 0.05,
 0)))</f>
        <v>0</v>
      </c>
      <c r="AJ762">
        <f t="shared" si="34"/>
        <v>0.24443666759865462</v>
      </c>
      <c r="AK762">
        <f t="shared" si="35"/>
        <v>0.2688803343585201</v>
      </c>
      <c r="AL762" t="str">
        <f>IF(MAX(X762, Y762, Z762, AA762)&gt;0.9,
 "Critical",
 IF(AK762&lt;=0.2,"Very Low",
 IF(AK762&lt;=0.4,"Low",
 IF(AK762&lt;=0.6,"Medium",
 IF(AK762&lt;=0.8,"High","Critical")))))</f>
        <v>Low</v>
      </c>
      <c r="AM762" t="str">
        <f>IF(MAX(X762:AA762)&gt;0.9,"CRITICAL ALERT",
 IF(AK762&gt;0.8,"CRITICAL ALERT",
 IF(AK762&gt;0.6,"ALERT",
 IF(AK762&gt;=0.4,"REVIEW","NO ACTION"))))</f>
        <v>NO ACTION</v>
      </c>
      <c r="AN762" t="str">
        <f>IF(AM762="NO ACTION","",
 IF(_xlfn.TEXTJOIN(", ", TRUE,
  IF(X762&gt;0.7,"Login anomaly",""),
  IF(Y762&gt;0.7,"File anomaly",""),
  IF(Z762&gt;0.7,"Network anomaly",""),
  IF(AA762&gt;0.7,"USB anomaly","")
 )="",
 "General anomaly detected",
 _xlfn.TEXTJOIN(", ", TRUE,
  IF(X762&gt;0.7,"Login anomaly",""),
  IF(Y762&gt;0.7,"File anomaly",""),
  IF(Z762&gt;0.7,"Network anomaly",""),
  IF(AA762&gt;0.7,"USB anomaly","")
 )))</f>
        <v/>
      </c>
    </row>
    <row r="763" spans="1:40" x14ac:dyDescent="0.3">
      <c r="A763" t="s">
        <v>786</v>
      </c>
      <c r="B763">
        <v>0.12892249527410199</v>
      </c>
      <c r="C763">
        <v>0.18476582604220201</v>
      </c>
      <c r="D763">
        <v>0</v>
      </c>
      <c r="E763">
        <v>0</v>
      </c>
      <c r="F763">
        <v>0</v>
      </c>
      <c r="G763">
        <v>0.99365630099626101</v>
      </c>
      <c r="H763">
        <v>7</v>
      </c>
      <c r="I763">
        <v>7</v>
      </c>
      <c r="J763">
        <v>8.1293831401173605E-2</v>
      </c>
      <c r="K763">
        <v>1.0603588907014599E-2</v>
      </c>
      <c r="L763">
        <v>3.3220139346137198E-2</v>
      </c>
      <c r="M763">
        <v>1.1544011544011501E-3</v>
      </c>
      <c r="N763">
        <v>8.5563484042126495E-3</v>
      </c>
      <c r="O763">
        <v>802</v>
      </c>
      <c r="P763">
        <v>6.4884960718293999E-2</v>
      </c>
      <c r="Q763">
        <v>6.5044356393982899E-2</v>
      </c>
      <c r="R763">
        <v>0</v>
      </c>
      <c r="S763">
        <v>0</v>
      </c>
      <c r="T763" t="s">
        <v>49</v>
      </c>
      <c r="U763">
        <v>4.4150943396226397E-2</v>
      </c>
      <c r="V763">
        <v>0</v>
      </c>
      <c r="W763">
        <v>0</v>
      </c>
      <c r="X763">
        <v>0</v>
      </c>
      <c r="Y763">
        <v>3.5435740474567101E-2</v>
      </c>
      <c r="Z763">
        <v>4.2353515792661403E-2</v>
      </c>
      <c r="AA763">
        <v>0</v>
      </c>
      <c r="AB763">
        <v>3.6644000560045242E-2</v>
      </c>
      <c r="AC763">
        <v>1.380000030621886E-4</v>
      </c>
      <c r="AD763">
        <v>5.4629999212920666E-3</v>
      </c>
      <c r="AE763">
        <v>1.6240000259131191E-3</v>
      </c>
      <c r="AF763">
        <f>0.16*X763 + 0.28*Y763 + 0.28*Z763 + 0.28*AA763</f>
        <v>2.1780991754823981E-2</v>
      </c>
      <c r="AG763">
        <f t="shared" si="33"/>
        <v>7.8860400756821034E-3</v>
      </c>
      <c r="AH763">
        <f>IF(T763="IT_Admin", 0.25, IF(AND(T763="HR", AA763&gt;0.6), 0.25, IF(AND(T763="General", Z763&gt;0.7), 0.2, 0.1)))</f>
        <v>0.1</v>
      </c>
      <c r="AI763">
        <f>IF(V763&gt;0.7, 0.1,
 IF(F763&gt;0.5, 0.08,
 IF(E763&gt;0.5, 0.05,
 0)))</f>
        <v>0</v>
      </c>
      <c r="AJ763">
        <f t="shared" si="34"/>
        <v>1.2054525579424664E-2</v>
      </c>
      <c r="AK763">
        <f t="shared" si="35"/>
        <v>1.3259978137367132E-2</v>
      </c>
      <c r="AL763" t="str">
        <f>IF(MAX(X763, Y763, Z763, AA763)&gt;0.9,
 "Critical",
 IF(AK763&lt;=0.2,"Very Low",
 IF(AK763&lt;=0.4,"Low",
 IF(AK763&lt;=0.6,"Medium",
 IF(AK763&lt;=0.8,"High","Critical")))))</f>
        <v>Very Low</v>
      </c>
      <c r="AM763" t="str">
        <f>IF(MAX(X763:AA763)&gt;0.9,"CRITICAL ALERT",
 IF(AK763&gt;0.8,"CRITICAL ALERT",
 IF(AK763&gt;0.6,"ALERT",
 IF(AK763&gt;=0.4,"REVIEW","NO ACTION"))))</f>
        <v>NO ACTION</v>
      </c>
      <c r="AN763" t="str">
        <f>IF(AM763="NO ACTION","",
 IF(_xlfn.TEXTJOIN(", ", TRUE,
  IF(X763&gt;0.7,"Login anomaly",""),
  IF(Y763&gt;0.7,"File anomaly",""),
  IF(Z763&gt;0.7,"Network anomaly",""),
  IF(AA763&gt;0.7,"USB anomaly","")
 )="",
 "General anomaly detected",
 _xlfn.TEXTJOIN(", ", TRUE,
  IF(X763&gt;0.7,"Login anomaly",""),
  IF(Y763&gt;0.7,"File anomaly",""),
  IF(Z763&gt;0.7,"Network anomaly",""),
  IF(AA763&gt;0.7,"USB anomaly","")
 )))</f>
        <v/>
      </c>
    </row>
    <row r="764" spans="1:40" x14ac:dyDescent="0.3">
      <c r="A764" t="s">
        <v>787</v>
      </c>
      <c r="B764">
        <v>0.23213610586011299</v>
      </c>
      <c r="C764">
        <v>0.57014309103961203</v>
      </c>
      <c r="D764">
        <v>0.36054656759350201</v>
      </c>
      <c r="E764">
        <v>0</v>
      </c>
      <c r="F764">
        <v>0</v>
      </c>
      <c r="G764">
        <v>0.48854447044475702</v>
      </c>
      <c r="H764">
        <v>7</v>
      </c>
      <c r="I764">
        <v>13</v>
      </c>
      <c r="J764">
        <v>8.2820476122322406E-2</v>
      </c>
      <c r="K764">
        <v>8.9722675367047301E-3</v>
      </c>
      <c r="L764">
        <v>2.75926920676903E-2</v>
      </c>
      <c r="M764">
        <v>1.44300144300144E-3</v>
      </c>
      <c r="N764">
        <v>1.0498850820505E-2</v>
      </c>
      <c r="O764">
        <v>670</v>
      </c>
      <c r="P764">
        <v>6.5446127946127905E-2</v>
      </c>
      <c r="Q764">
        <v>6.5605385883095405E-2</v>
      </c>
      <c r="R764">
        <v>0</v>
      </c>
      <c r="S764">
        <v>0</v>
      </c>
      <c r="T764" t="s">
        <v>49</v>
      </c>
      <c r="U764">
        <v>3.1132075471698099E-2</v>
      </c>
      <c r="V764">
        <v>0</v>
      </c>
      <c r="W764">
        <v>0</v>
      </c>
      <c r="X764">
        <v>0.10816397027805</v>
      </c>
      <c r="Y764">
        <v>3.3510096504461101E-2</v>
      </c>
      <c r="Z764">
        <v>4.3467217095878703E-2</v>
      </c>
      <c r="AA764">
        <v>0</v>
      </c>
      <c r="AB764">
        <v>1.6525000333786011E-2</v>
      </c>
      <c r="AC764">
        <v>1.6999999934341761E-4</v>
      </c>
      <c r="AD764">
        <v>5.0440002232789993E-3</v>
      </c>
      <c r="AE764">
        <v>6.965000182390213E-3</v>
      </c>
      <c r="AF764">
        <f>0.16*X764 + 0.28*Y764 + 0.28*Z764 + 0.28*AA764</f>
        <v>3.8859883052583144E-2</v>
      </c>
      <c r="AG764">
        <f t="shared" si="33"/>
        <v>6.0541201668092987E-3</v>
      </c>
      <c r="AH764">
        <f>IF(T764="IT_Admin", 0.25, IF(AND(T764="HR", AA764&gt;0.6), 0.25, IF(AND(T764="General", Z764&gt;0.7), 0.2, 0.1)))</f>
        <v>0.1</v>
      </c>
      <c r="AI764">
        <f>IF(V764&gt;0.7, 0.1,
 IF(F764&gt;0.5, 0.08,
 IF(E764&gt;0.5, 0.05,
 0)))</f>
        <v>0</v>
      </c>
      <c r="AJ764">
        <f t="shared" si="34"/>
        <v>1.5895849032541452E-2</v>
      </c>
      <c r="AK764">
        <f t="shared" si="35"/>
        <v>1.7485433935795599E-2</v>
      </c>
      <c r="AL764" t="str">
        <f>IF(MAX(X764, Y764, Z764, AA764)&gt;0.9,
 "Critical",
 IF(AK764&lt;=0.2,"Very Low",
 IF(AK764&lt;=0.4,"Low",
 IF(AK764&lt;=0.6,"Medium",
 IF(AK764&lt;=0.8,"High","Critical")))))</f>
        <v>Very Low</v>
      </c>
      <c r="AM764" t="str">
        <f>IF(MAX(X764:AA764)&gt;0.9,"CRITICAL ALERT",
 IF(AK764&gt;0.8,"CRITICAL ALERT",
 IF(AK764&gt;0.6,"ALERT",
 IF(AK764&gt;=0.4,"REVIEW","NO ACTION"))))</f>
        <v>NO ACTION</v>
      </c>
      <c r="AN764" t="str">
        <f>IF(AM764="NO ACTION","",
 IF(_xlfn.TEXTJOIN(", ", TRUE,
  IF(X764&gt;0.7,"Login anomaly",""),
  IF(Y764&gt;0.7,"File anomaly",""),
  IF(Z764&gt;0.7,"Network anomaly",""),
  IF(AA764&gt;0.7,"USB anomaly","")
 )="",
 "General anomaly detected",
 _xlfn.TEXTJOIN(", ", TRUE,
  IF(X764&gt;0.7,"Login anomaly",""),
  IF(Y764&gt;0.7,"File anomaly",""),
  IF(Z764&gt;0.7,"Network anomaly",""),
  IF(AA764&gt;0.7,"USB anomaly","")
 )))</f>
        <v/>
      </c>
    </row>
    <row r="765" spans="1:40" x14ac:dyDescent="0.3">
      <c r="A765" t="s">
        <v>788</v>
      </c>
      <c r="B765">
        <v>0.270321361058601</v>
      </c>
      <c r="C765">
        <v>0.73340982965847901</v>
      </c>
      <c r="D765">
        <v>0.39243385708419698</v>
      </c>
      <c r="E765">
        <v>0</v>
      </c>
      <c r="F765">
        <v>0</v>
      </c>
      <c r="G765">
        <v>0.39894327582053002</v>
      </c>
      <c r="H765">
        <v>7</v>
      </c>
      <c r="I765">
        <v>16</v>
      </c>
      <c r="J765">
        <v>8.2820476122322406E-2</v>
      </c>
      <c r="K765">
        <v>8.1566068515497494E-3</v>
      </c>
      <c r="L765">
        <v>2.5084265516082001E-2</v>
      </c>
      <c r="M765">
        <v>2.59740259740259E-3</v>
      </c>
      <c r="N765">
        <v>1.8897931476909002E-2</v>
      </c>
      <c r="O765">
        <v>751</v>
      </c>
      <c r="P765">
        <v>6.5656565656565594E-2</v>
      </c>
      <c r="Q765">
        <v>6.5815771941512599E-2</v>
      </c>
      <c r="R765">
        <v>0</v>
      </c>
      <c r="S765">
        <v>0</v>
      </c>
      <c r="T765" t="s">
        <v>49</v>
      </c>
      <c r="U765">
        <v>1.6981132075471601E-2</v>
      </c>
      <c r="V765">
        <v>0</v>
      </c>
      <c r="W765">
        <v>0</v>
      </c>
      <c r="X765">
        <v>0.117730157125259</v>
      </c>
      <c r="Y765">
        <v>3.4775607425578198E-2</v>
      </c>
      <c r="Z765">
        <v>4.6953111984702998E-2</v>
      </c>
      <c r="AA765">
        <v>0</v>
      </c>
      <c r="AB765">
        <v>4.922499880194664E-2</v>
      </c>
      <c r="AC765">
        <v>2.7799999224953348E-4</v>
      </c>
      <c r="AD765">
        <v>4.6799997799098492E-3</v>
      </c>
      <c r="AE765">
        <v>9.0300003066658974E-3</v>
      </c>
      <c r="AF765">
        <f>0.16*X765 + 0.28*Y765 + 0.28*Z765 + 0.28*AA765</f>
        <v>4.1720866574920176E-2</v>
      </c>
      <c r="AG765">
        <f t="shared" si="33"/>
        <v>1.1792639830382541E-2</v>
      </c>
      <c r="AH765">
        <f>IF(T765="IT_Admin", 0.25, IF(AND(T765="HR", AA765&gt;0.6), 0.25, IF(AND(T765="General", Z765&gt;0.7), 0.2, 0.1)))</f>
        <v>0.1</v>
      </c>
      <c r="AI765">
        <f>IF(V765&gt;0.7, 0.1,
 IF(F765&gt;0.5, 0.08,
 IF(E765&gt;0.5, 0.05,
 0)))</f>
        <v>0</v>
      </c>
      <c r="AJ765">
        <f t="shared" si="34"/>
        <v>2.077110785374383E-2</v>
      </c>
      <c r="AK765">
        <f t="shared" si="35"/>
        <v>2.2848218639118213E-2</v>
      </c>
      <c r="AL765" t="str">
        <f>IF(MAX(X765, Y765, Z765, AA765)&gt;0.9,
 "Critical",
 IF(AK765&lt;=0.2,"Very Low",
 IF(AK765&lt;=0.4,"Low",
 IF(AK765&lt;=0.6,"Medium",
 IF(AK765&lt;=0.8,"High","Critical")))))</f>
        <v>Very Low</v>
      </c>
      <c r="AM765" t="str">
        <f>IF(MAX(X765:AA765)&gt;0.9,"CRITICAL ALERT",
 IF(AK765&gt;0.8,"CRITICAL ALERT",
 IF(AK765&gt;0.6,"ALERT",
 IF(AK765&gt;=0.4,"REVIEW","NO ACTION"))))</f>
        <v>NO ACTION</v>
      </c>
      <c r="AN765" t="str">
        <f>IF(AM765="NO ACTION","",
 IF(_xlfn.TEXTJOIN(", ", TRUE,
  IF(X765&gt;0.7,"Login anomaly",""),
  IF(Y765&gt;0.7,"File anomaly",""),
  IF(Z765&gt;0.7,"Network anomaly",""),
  IF(AA765&gt;0.7,"USB anomaly","")
 )="",
 "General anomaly detected",
 _xlfn.TEXTJOIN(", ", TRUE,
  IF(X765&gt;0.7,"Login anomaly",""),
  IF(Y765&gt;0.7,"File anomaly",""),
  IF(Z765&gt;0.7,"Network anomaly",""),
  IF(AA765&gt;0.7,"USB anomaly","")
 )))</f>
        <v/>
      </c>
    </row>
    <row r="766" spans="1:40" x14ac:dyDescent="0.3">
      <c r="A766" t="s">
        <v>789</v>
      </c>
      <c r="B766">
        <v>0.12892249527410199</v>
      </c>
      <c r="C766">
        <v>0.27098987819523002</v>
      </c>
      <c r="D766">
        <v>7.4965657310309297E-2</v>
      </c>
      <c r="E766">
        <v>0</v>
      </c>
      <c r="F766">
        <v>0</v>
      </c>
      <c r="G766">
        <v>0.99369304618175402</v>
      </c>
      <c r="H766">
        <v>7</v>
      </c>
      <c r="I766">
        <v>8</v>
      </c>
      <c r="J766">
        <v>7.0798148943275602E-2</v>
      </c>
      <c r="K766">
        <v>1.2234910277324601E-2</v>
      </c>
      <c r="L766">
        <v>4.3994331360139902E-2</v>
      </c>
      <c r="M766">
        <v>1.7316017316017301E-3</v>
      </c>
      <c r="N766">
        <v>1.47308254762922E-2</v>
      </c>
      <c r="O766">
        <v>792</v>
      </c>
      <c r="P766">
        <v>5.8150953984287303E-2</v>
      </c>
      <c r="Q766">
        <v>5.83120025246327E-2</v>
      </c>
      <c r="R766">
        <v>0</v>
      </c>
      <c r="S766">
        <v>0</v>
      </c>
      <c r="T766" t="s">
        <v>49</v>
      </c>
      <c r="U766">
        <v>3.6388140161725001E-2</v>
      </c>
      <c r="V766">
        <v>0</v>
      </c>
      <c r="W766">
        <v>0</v>
      </c>
      <c r="X766">
        <v>2.2489697193092802E-2</v>
      </c>
      <c r="Y766">
        <v>4.0576043111612697E-2</v>
      </c>
      <c r="Z766">
        <v>4.07829025810892E-2</v>
      </c>
      <c r="AA766">
        <v>0</v>
      </c>
      <c r="AB766">
        <v>1.8871000036597248E-2</v>
      </c>
      <c r="AC766">
        <v>3.3000000257743523E-5</v>
      </c>
      <c r="AD766">
        <v>6.1989999376237392E-3</v>
      </c>
      <c r="AE766">
        <v>2.010999945923686E-3</v>
      </c>
      <c r="AF766">
        <f>0.16*X766 + 0.28*Y766 + 0.28*Z766 + 0.28*AA766</f>
        <v>2.6378856344851383E-2</v>
      </c>
      <c r="AG766">
        <f t="shared" si="33"/>
        <v>5.327399973321008E-3</v>
      </c>
      <c r="AH766">
        <f>IF(T766="IT_Admin", 0.25, IF(AND(T766="HR", AA766&gt;0.6), 0.25, IF(AND(T766="General", Z766&gt;0.7), 0.2, 0.1)))</f>
        <v>0.1</v>
      </c>
      <c r="AI766">
        <f>IF(V766&gt;0.7, 0.1,
 IF(F766&gt;0.5, 0.08,
 IF(E766&gt;0.5, 0.05,
 0)))</f>
        <v>0</v>
      </c>
      <c r="AJ766">
        <f t="shared" si="34"/>
        <v>1.1642836884780121E-2</v>
      </c>
      <c r="AK766">
        <f t="shared" si="35"/>
        <v>1.2807120573258134E-2</v>
      </c>
      <c r="AL766" t="str">
        <f>IF(MAX(X766, Y766, Z766, AA766)&gt;0.9,
 "Critical",
 IF(AK766&lt;=0.2,"Very Low",
 IF(AK766&lt;=0.4,"Low",
 IF(AK766&lt;=0.6,"Medium",
 IF(AK766&lt;=0.8,"High","Critical")))))</f>
        <v>Very Low</v>
      </c>
      <c r="AM766" t="str">
        <f>IF(MAX(X766:AA766)&gt;0.9,"CRITICAL ALERT",
 IF(AK766&gt;0.8,"CRITICAL ALERT",
 IF(AK766&gt;0.6,"ALERT",
 IF(AK766&gt;=0.4,"REVIEW","NO ACTION"))))</f>
        <v>NO ACTION</v>
      </c>
      <c r="AN766" t="str">
        <f>IF(AM766="NO ACTION","",
 IF(_xlfn.TEXTJOIN(", ", TRUE,
  IF(X766&gt;0.7,"Login anomaly",""),
  IF(Y766&gt;0.7,"File anomaly",""),
  IF(Z766&gt;0.7,"Network anomaly",""),
  IF(AA766&gt;0.7,"USB anomaly","")
 )="",
 "General anomaly detected",
 _xlfn.TEXTJOIN(", ", TRUE,
  IF(X766&gt;0.7,"Login anomaly",""),
  IF(Y766&gt;0.7,"File anomaly",""),
  IF(Z766&gt;0.7,"Network anomaly",""),
  IF(AA766&gt;0.7,"USB anomaly","")
 )))</f>
        <v/>
      </c>
    </row>
    <row r="767" spans="1:40" x14ac:dyDescent="0.3">
      <c r="A767" t="s">
        <v>790</v>
      </c>
      <c r="B767">
        <v>0.15538752362948899</v>
      </c>
      <c r="C767">
        <v>0.53693394266722005</v>
      </c>
      <c r="D767">
        <v>0.36689862827007802</v>
      </c>
      <c r="E767">
        <v>0</v>
      </c>
      <c r="F767">
        <v>0</v>
      </c>
      <c r="G767">
        <v>0.80142628718040798</v>
      </c>
      <c r="H767">
        <v>8</v>
      </c>
      <c r="I767">
        <v>19</v>
      </c>
      <c r="J767">
        <v>9.8277753923954006E-2</v>
      </c>
      <c r="K767">
        <v>1.6313213703099499E-2</v>
      </c>
      <c r="L767">
        <v>4.2297052071185302E-2</v>
      </c>
      <c r="M767">
        <v>2.0202020202020202E-3</v>
      </c>
      <c r="N767">
        <v>1.23922029006774E-2</v>
      </c>
      <c r="O767">
        <v>1010</v>
      </c>
      <c r="P767">
        <v>8.0246913580246895E-2</v>
      </c>
      <c r="Q767">
        <v>8.0402538658438202E-2</v>
      </c>
      <c r="R767">
        <v>0.684365781710914</v>
      </c>
      <c r="S767">
        <v>1</v>
      </c>
      <c r="T767" t="s">
        <v>24</v>
      </c>
      <c r="U767">
        <v>4.2452830188679201E-2</v>
      </c>
      <c r="V767">
        <v>0</v>
      </c>
      <c r="W767">
        <v>0</v>
      </c>
      <c r="X767">
        <v>0.110069588481023</v>
      </c>
      <c r="Y767">
        <v>4.4521737690586698E-2</v>
      </c>
      <c r="Z767">
        <v>5.3105029308419101E-2</v>
      </c>
      <c r="AA767">
        <v>0.684365781710914</v>
      </c>
      <c r="AB767">
        <v>2.4297000840306279E-2</v>
      </c>
      <c r="AC767">
        <v>4.5000000682193793E-5</v>
      </c>
      <c r="AD767">
        <v>2.8899998869746919E-3</v>
      </c>
      <c r="AE767">
        <v>0.46175199747085571</v>
      </c>
      <c r="AF767">
        <f>0.16*X767 + 0.28*Y767 + 0.28*Z767 + 0.28*AA767</f>
        <v>0.23656904779574123</v>
      </c>
      <c r="AG767">
        <f t="shared" si="33"/>
        <v>0.13399987939483254</v>
      </c>
      <c r="AH767">
        <f>IF(T767="IT_Admin", 0.25, IF(AND(T767="HR", AA767&gt;0.6), 0.25, IF(AND(T767="General", Z767&gt;0.7), 0.2, 0.1)))</f>
        <v>0.25</v>
      </c>
      <c r="AI767">
        <f>IF(V767&gt;0.7, 0.1,
 IF(F767&gt;0.5, 0.08,
 IF(E767&gt;0.5, 0.05,
 0)))</f>
        <v>0</v>
      </c>
      <c r="AJ767">
        <f t="shared" si="34"/>
        <v>0.16477062991510513</v>
      </c>
      <c r="AK767">
        <f t="shared" si="35"/>
        <v>0.20596328739388142</v>
      </c>
      <c r="AL767" t="str">
        <f>IF(MAX(X767, Y767, Z767, AA767)&gt;0.9,
 "Critical",
 IF(AK767&lt;=0.2,"Very Low",
 IF(AK767&lt;=0.4,"Low",
 IF(AK767&lt;=0.6,"Medium",
 IF(AK767&lt;=0.8,"High","Critical")))))</f>
        <v>Low</v>
      </c>
      <c r="AM767" t="str">
        <f>IF(MAX(X767:AA767)&gt;0.9,"CRITICAL ALERT",
 IF(AK767&gt;0.8,"CRITICAL ALERT",
 IF(AK767&gt;0.6,"ALERT",
 IF(AK767&gt;=0.4,"REVIEW","NO ACTION"))))</f>
        <v>NO ACTION</v>
      </c>
      <c r="AN767" t="str">
        <f>IF(AM767="NO ACTION","",
 IF(_xlfn.TEXTJOIN(", ", TRUE,
  IF(X767&gt;0.7,"Login anomaly",""),
  IF(Y767&gt;0.7,"File anomaly",""),
  IF(Z767&gt;0.7,"Network anomaly",""),
  IF(AA767&gt;0.7,"USB anomaly","")
 )="",
 "General anomaly detected",
 _xlfn.TEXTJOIN(", ", TRUE,
  IF(X767&gt;0.7,"Login anomaly",""),
  IF(Y767&gt;0.7,"File anomaly",""),
  IF(Z767&gt;0.7,"Network anomaly",""),
  IF(AA767&gt;0.7,"USB anomaly","")
 )))</f>
        <v/>
      </c>
    </row>
    <row r="768" spans="1:40" x14ac:dyDescent="0.3">
      <c r="A768" t="s">
        <v>791</v>
      </c>
      <c r="B768">
        <v>0.12892249527410199</v>
      </c>
      <c r="C768">
        <v>0.27902317497967399</v>
      </c>
      <c r="D768">
        <v>7.51173381640724E-2</v>
      </c>
      <c r="E768">
        <v>0</v>
      </c>
      <c r="F768">
        <v>0</v>
      </c>
      <c r="G768">
        <v>0.99366513268687495</v>
      </c>
      <c r="H768">
        <v>7</v>
      </c>
      <c r="I768">
        <v>8</v>
      </c>
      <c r="J768">
        <v>5.85372835265493E-2</v>
      </c>
      <c r="K768">
        <v>6.5252854812398002E-3</v>
      </c>
      <c r="L768">
        <v>2.83582508204538E-2</v>
      </c>
      <c r="M768">
        <v>6.9264069264069203E-3</v>
      </c>
      <c r="N768">
        <v>7.1214932253893207E-2</v>
      </c>
      <c r="O768">
        <v>535</v>
      </c>
      <c r="P768">
        <v>4.9207351290684598E-2</v>
      </c>
      <c r="Q768">
        <v>4.9370595041901798E-2</v>
      </c>
      <c r="R768">
        <v>0</v>
      </c>
      <c r="S768">
        <v>0</v>
      </c>
      <c r="T768" t="s">
        <v>49</v>
      </c>
      <c r="U768">
        <v>5.4339622641509404E-3</v>
      </c>
      <c r="V768">
        <v>0</v>
      </c>
      <c r="W768">
        <v>0</v>
      </c>
      <c r="X768">
        <v>2.2535201449221699E-2</v>
      </c>
      <c r="Y768">
        <v>4.7251061791704699E-2</v>
      </c>
      <c r="Z768">
        <v>5.8010383675968002E-2</v>
      </c>
      <c r="AA768">
        <v>0</v>
      </c>
      <c r="AB768">
        <v>1.8740000203251839E-2</v>
      </c>
      <c r="AC768">
        <v>1.137000042945147E-3</v>
      </c>
      <c r="AD768">
        <v>5.9320000000298023E-3</v>
      </c>
      <c r="AE768">
        <v>3.2899999059736729E-3</v>
      </c>
      <c r="AF768">
        <f>0.16*X768 + 0.28*Y768 + 0.28*Z768 + 0.28*AA768</f>
        <v>3.3078836962823835E-2</v>
      </c>
      <c r="AG768">
        <f t="shared" si="33"/>
        <v>5.8989200182259088E-3</v>
      </c>
      <c r="AH768">
        <f>IF(T768="IT_Admin", 0.25, IF(AND(T768="HR", AA768&gt;0.6), 0.25, IF(AND(T768="General", Z768&gt;0.7), 0.2, 0.1)))</f>
        <v>0.1</v>
      </c>
      <c r="AI768">
        <f>IF(V768&gt;0.7, 0.1,
 IF(F768&gt;0.5, 0.08,
 IF(E768&gt;0.5, 0.05,
 0)))</f>
        <v>0</v>
      </c>
      <c r="AJ768">
        <f t="shared" si="34"/>
        <v>1.4052895101605286E-2</v>
      </c>
      <c r="AK768">
        <f t="shared" si="35"/>
        <v>1.5458184611765817E-2</v>
      </c>
      <c r="AL768" t="str">
        <f>IF(MAX(X768, Y768, Z768, AA768)&gt;0.9,
 "Critical",
 IF(AK768&lt;=0.2,"Very Low",
 IF(AK768&lt;=0.4,"Low",
 IF(AK768&lt;=0.6,"Medium",
 IF(AK768&lt;=0.8,"High","Critical")))))</f>
        <v>Very Low</v>
      </c>
      <c r="AM768" t="str">
        <f>IF(MAX(X768:AA768)&gt;0.9,"CRITICAL ALERT",
 IF(AK768&gt;0.8,"CRITICAL ALERT",
 IF(AK768&gt;0.6,"ALERT",
 IF(AK768&gt;=0.4,"REVIEW","NO ACTION"))))</f>
        <v>NO ACTION</v>
      </c>
      <c r="AN768" t="str">
        <f>IF(AM768="NO ACTION","",
 IF(_xlfn.TEXTJOIN(", ", TRUE,
  IF(X768&gt;0.7,"Login anomaly",""),
  IF(Y768&gt;0.7,"File anomaly",""),
  IF(Z768&gt;0.7,"Network anomaly",""),
  IF(AA768&gt;0.7,"USB anomaly","")
 )="",
 "General anomaly detected",
 _xlfn.TEXTJOIN(", ", TRUE,
  IF(X768&gt;0.7,"Login anomaly",""),
  IF(Y768&gt;0.7,"File anomaly",""),
  IF(Z768&gt;0.7,"Network anomaly",""),
  IF(AA768&gt;0.7,"USB anomaly","")
 )))</f>
        <v/>
      </c>
    </row>
    <row r="769" spans="1:40" x14ac:dyDescent="0.3">
      <c r="A769" t="s">
        <v>792</v>
      </c>
      <c r="B769">
        <v>0.270321361058601</v>
      </c>
      <c r="C769">
        <v>0.80150849989656503</v>
      </c>
      <c r="D769">
        <v>0.36766279692959603</v>
      </c>
      <c r="E769">
        <v>0</v>
      </c>
      <c r="F769">
        <v>0</v>
      </c>
      <c r="G769">
        <v>0.39894124990659202</v>
      </c>
      <c r="H769">
        <v>8</v>
      </c>
      <c r="I769">
        <v>15</v>
      </c>
      <c r="J769">
        <v>6.4309908878393204E-2</v>
      </c>
      <c r="K769">
        <v>1.1419249592169599E-2</v>
      </c>
      <c r="L769">
        <v>4.5188757404950798E-2</v>
      </c>
      <c r="M769">
        <v>1.1544011544011501E-3</v>
      </c>
      <c r="N769">
        <v>1.0807686195712801E-2</v>
      </c>
      <c r="O769">
        <v>617</v>
      </c>
      <c r="P769">
        <v>5.2749719416386003E-2</v>
      </c>
      <c r="Q769">
        <v>5.2912093691924601E-2</v>
      </c>
      <c r="R769">
        <v>0</v>
      </c>
      <c r="S769">
        <v>0</v>
      </c>
      <c r="T769" t="s">
        <v>49</v>
      </c>
      <c r="U769">
        <v>4.7547169811320698E-2</v>
      </c>
      <c r="V769">
        <v>0</v>
      </c>
      <c r="W769">
        <v>0</v>
      </c>
      <c r="X769">
        <v>0.110298839078878</v>
      </c>
      <c r="Y769">
        <v>3.8698666336867901E-2</v>
      </c>
      <c r="Z769">
        <v>3.5972906128116697E-2</v>
      </c>
      <c r="AA769">
        <v>0</v>
      </c>
      <c r="AB769">
        <v>5.5201001465320587E-2</v>
      </c>
      <c r="AC769">
        <v>1.0699999984353779E-4</v>
      </c>
      <c r="AD769">
        <v>6.7750001326203346E-3</v>
      </c>
      <c r="AE769">
        <v>7.7109998092055321E-3</v>
      </c>
      <c r="AF769">
        <f>0.16*X769 + 0.28*Y769 + 0.28*Z769 + 0.28*AA769</f>
        <v>3.8555854542816168E-2</v>
      </c>
      <c r="AG769">
        <f t="shared" si="33"/>
        <v>1.2918200218118729E-2</v>
      </c>
      <c r="AH769">
        <f>IF(T769="IT_Admin", 0.25, IF(AND(T769="HR", AA769&gt;0.6), 0.25, IF(AND(T769="General", Z769&gt;0.7), 0.2, 0.1)))</f>
        <v>0.1</v>
      </c>
      <c r="AI769">
        <f>IF(V769&gt;0.7, 0.1,
 IF(F769&gt;0.5, 0.08,
 IF(E769&gt;0.5, 0.05,
 0)))</f>
        <v>0</v>
      </c>
      <c r="AJ769">
        <f t="shared" si="34"/>
        <v>2.0609496515527959E-2</v>
      </c>
      <c r="AK769">
        <f t="shared" si="35"/>
        <v>2.2670446167080756E-2</v>
      </c>
      <c r="AL769" t="str">
        <f>IF(MAX(X769, Y769, Z769, AA769)&gt;0.9,
 "Critical",
 IF(AK769&lt;=0.2,"Very Low",
 IF(AK769&lt;=0.4,"Low",
 IF(AK769&lt;=0.6,"Medium",
 IF(AK769&lt;=0.8,"High","Critical")))))</f>
        <v>Very Low</v>
      </c>
      <c r="AM769" t="str">
        <f>IF(MAX(X769:AA769)&gt;0.9,"CRITICAL ALERT",
 IF(AK769&gt;0.8,"CRITICAL ALERT",
 IF(AK769&gt;0.6,"ALERT",
 IF(AK769&gt;=0.4,"REVIEW","NO ACTION"))))</f>
        <v>NO ACTION</v>
      </c>
      <c r="AN769" t="str">
        <f>IF(AM769="NO ACTION","",
 IF(_xlfn.TEXTJOIN(", ", TRUE,
  IF(X769&gt;0.7,"Login anomaly",""),
  IF(Y769&gt;0.7,"File anomaly",""),
  IF(Z769&gt;0.7,"Network anomaly",""),
  IF(AA769&gt;0.7,"USB anomaly","")
 )="",
 "General anomaly detected",
 _xlfn.TEXTJOIN(", ", TRUE,
  IF(X769&gt;0.7,"Login anomaly",""),
  IF(Y769&gt;0.7,"File anomaly",""),
  IF(Z769&gt;0.7,"Network anomaly",""),
  IF(AA769&gt;0.7,"USB anomaly","")
 )))</f>
        <v/>
      </c>
    </row>
    <row r="770" spans="1:40" x14ac:dyDescent="0.3">
      <c r="A770" t="s">
        <v>793</v>
      </c>
      <c r="B770">
        <v>0.27561436672967798</v>
      </c>
      <c r="C770">
        <v>0.66268670759201997</v>
      </c>
      <c r="D770">
        <v>0.40571549960198799</v>
      </c>
      <c r="E770">
        <v>0</v>
      </c>
      <c r="F770">
        <v>0</v>
      </c>
      <c r="G770">
        <v>0.388444329418347</v>
      </c>
      <c r="H770">
        <v>7</v>
      </c>
      <c r="I770">
        <v>16</v>
      </c>
      <c r="J770">
        <v>8.2009446114212098E-2</v>
      </c>
      <c r="K770">
        <v>8.1566068515497494E-3</v>
      </c>
      <c r="L770">
        <v>2.5331616162122299E-2</v>
      </c>
      <c r="M770">
        <v>3.1746031746031698E-3</v>
      </c>
      <c r="N770">
        <v>2.3325231097852901E-2</v>
      </c>
      <c r="O770">
        <v>804</v>
      </c>
      <c r="P770">
        <v>6.5340909090909102E-2</v>
      </c>
      <c r="Q770">
        <v>6.5500192853886793E-2</v>
      </c>
      <c r="R770">
        <v>0</v>
      </c>
      <c r="S770">
        <v>0</v>
      </c>
      <c r="T770" t="s">
        <v>49</v>
      </c>
      <c r="U770">
        <v>1.41509433962264E-2</v>
      </c>
      <c r="V770">
        <v>0</v>
      </c>
      <c r="W770">
        <v>0</v>
      </c>
      <c r="X770">
        <v>0.12171464988059599</v>
      </c>
      <c r="Y770">
        <v>3.6065266633259402E-2</v>
      </c>
      <c r="Z770">
        <v>4.8534637893686602E-2</v>
      </c>
      <c r="AA770">
        <v>0</v>
      </c>
      <c r="AB770">
        <v>4.6489998698234558E-2</v>
      </c>
      <c r="AC770">
        <v>3.0499999411404127E-4</v>
      </c>
      <c r="AD770">
        <v>4.6060001477599144E-3</v>
      </c>
      <c r="AE770">
        <v>9.0180002152919769E-3</v>
      </c>
      <c r="AF770">
        <f>0.16*X770 + 0.28*Y770 + 0.28*Z770 + 0.28*AA770</f>
        <v>4.3162317248440246E-2</v>
      </c>
      <c r="AG770">
        <f t="shared" si="33"/>
        <v>1.1338519891723992E-2</v>
      </c>
      <c r="AH770">
        <f>IF(T770="IT_Admin", 0.25, IF(AND(T770="HR", AA770&gt;0.6), 0.25, IF(AND(T770="General", Z770&gt;0.7), 0.2, 0.1)))</f>
        <v>0.1</v>
      </c>
      <c r="AI770">
        <f>IF(V770&gt;0.7, 0.1,
 IF(F770&gt;0.5, 0.08,
 IF(E770&gt;0.5, 0.05,
 0)))</f>
        <v>0</v>
      </c>
      <c r="AJ770">
        <f t="shared" si="34"/>
        <v>2.0885659098738869E-2</v>
      </c>
      <c r="AK770">
        <f t="shared" si="35"/>
        <v>2.2974225008612757E-2</v>
      </c>
      <c r="AL770" t="str">
        <f>IF(MAX(X770, Y770, Z770, AA770)&gt;0.9,
 "Critical",
 IF(AK770&lt;=0.2,"Very Low",
 IF(AK770&lt;=0.4,"Low",
 IF(AK770&lt;=0.6,"Medium",
 IF(AK770&lt;=0.8,"High","Critical")))))</f>
        <v>Very Low</v>
      </c>
      <c r="AM770" t="str">
        <f>IF(MAX(X770:AA770)&gt;0.9,"CRITICAL ALERT",
 IF(AK770&gt;0.8,"CRITICAL ALERT",
 IF(AK770&gt;0.6,"ALERT",
 IF(AK770&gt;=0.4,"REVIEW","NO ACTION"))))</f>
        <v>NO ACTION</v>
      </c>
      <c r="AN770" t="str">
        <f>IF(AM770="NO ACTION","",
 IF(_xlfn.TEXTJOIN(", ", TRUE,
  IF(X770&gt;0.7,"Login anomaly",""),
  IF(Y770&gt;0.7,"File anomaly",""),
  IF(Z770&gt;0.7,"Network anomaly",""),
  IF(AA770&gt;0.7,"USB anomaly","")
 )="",
 "General anomaly detected",
 _xlfn.TEXTJOIN(", ", TRUE,
  IF(X770&gt;0.7,"Login anomaly",""),
  IF(Y770&gt;0.7,"File anomaly",""),
  IF(Z770&gt;0.7,"Network anomaly",""),
  IF(AA770&gt;0.7,"USB anomaly","")
 )))</f>
        <v/>
      </c>
    </row>
    <row r="771" spans="1:40" x14ac:dyDescent="0.3">
      <c r="A771" t="s">
        <v>794</v>
      </c>
      <c r="B771">
        <v>0.12892249527410199</v>
      </c>
      <c r="C771">
        <v>0.36953165208440503</v>
      </c>
      <c r="D771">
        <v>0</v>
      </c>
      <c r="E771">
        <v>0</v>
      </c>
      <c r="F771">
        <v>0</v>
      </c>
      <c r="G771">
        <v>0.99367728295214297</v>
      </c>
      <c r="H771">
        <v>8</v>
      </c>
      <c r="I771">
        <v>8</v>
      </c>
      <c r="J771">
        <v>0.10166499689900201</v>
      </c>
      <c r="K771">
        <v>9.7879282218597003E-3</v>
      </c>
      <c r="L771">
        <v>2.4534666440167899E-2</v>
      </c>
      <c r="M771">
        <v>7.5324675324675294E-2</v>
      </c>
      <c r="N771">
        <v>0.44669366214310002</v>
      </c>
      <c r="O771">
        <v>685</v>
      </c>
      <c r="P771">
        <v>0.115565375982042</v>
      </c>
      <c r="Q771">
        <v>0.115712332129457</v>
      </c>
      <c r="R771">
        <v>0</v>
      </c>
      <c r="S771">
        <v>0</v>
      </c>
      <c r="T771" t="s">
        <v>24</v>
      </c>
      <c r="U771">
        <v>7.7776177444908502E-4</v>
      </c>
      <c r="V771">
        <v>0</v>
      </c>
      <c r="W771">
        <v>0</v>
      </c>
      <c r="X771">
        <v>0</v>
      </c>
      <c r="Y771">
        <v>0.16660843124281399</v>
      </c>
      <c r="Z771">
        <v>0.24801669044646499</v>
      </c>
      <c r="AA771">
        <v>0</v>
      </c>
      <c r="AB771">
        <v>2.4729000404477119E-2</v>
      </c>
      <c r="AC771">
        <v>6.2199998646974557E-2</v>
      </c>
      <c r="AD771">
        <v>1.757499948143959E-2</v>
      </c>
      <c r="AE771">
        <v>8.140000281855464E-4</v>
      </c>
      <c r="AF771">
        <f>0.16*X771 + 0.28*Y771 + 0.28*Z771 + 0.28*AA771</f>
        <v>0.11609503407299812</v>
      </c>
      <c r="AG771">
        <f t="shared" ref="AG771:AG834" si="36">0.16*AB771 + 0.28*AC771 + 0.28*AD771 + 0.28*AE771</f>
        <v>2.6521559548564253E-2</v>
      </c>
      <c r="AH771">
        <f>IF(T771="IT_Admin", 0.25, IF(AND(T771="HR", AA771&gt;0.6), 0.25, IF(AND(T771="General", Z771&gt;0.7), 0.2, 0.1)))</f>
        <v>0.25</v>
      </c>
      <c r="AI771">
        <f>IF(V771&gt;0.7, 0.1,
 IF(F771&gt;0.5, 0.08,
 IF(E771&gt;0.5, 0.05,
 0)))</f>
        <v>0</v>
      </c>
      <c r="AJ771">
        <f t="shared" ref="AJ771:AJ834" si="37">0.3*AF771+0.7*AG771</f>
        <v>5.3393601905894414E-2</v>
      </c>
      <c r="AK771">
        <f t="shared" ref="AK771:AK834" si="38">MIN(1,AJ771*(1+AH771+AI771))</f>
        <v>6.6742002382368021E-2</v>
      </c>
      <c r="AL771" t="str">
        <f>IF(MAX(X771, Y771, Z771, AA771)&gt;0.9,
 "Critical",
 IF(AK771&lt;=0.2,"Very Low",
 IF(AK771&lt;=0.4,"Low",
 IF(AK771&lt;=0.6,"Medium",
 IF(AK771&lt;=0.8,"High","Critical")))))</f>
        <v>Very Low</v>
      </c>
      <c r="AM771" t="str">
        <f>IF(MAX(X771:AA771)&gt;0.9,"CRITICAL ALERT",
 IF(AK771&gt;0.8,"CRITICAL ALERT",
 IF(AK771&gt;0.6,"ALERT",
 IF(AK771&gt;=0.4,"REVIEW","NO ACTION"))))</f>
        <v>NO ACTION</v>
      </c>
      <c r="AN771" t="str">
        <f>IF(AM771="NO ACTION","",
 IF(_xlfn.TEXTJOIN(", ", TRUE,
  IF(X771&gt;0.7,"Login anomaly",""),
  IF(Y771&gt;0.7,"File anomaly",""),
  IF(Z771&gt;0.7,"Network anomaly",""),
  IF(AA771&gt;0.7,"USB anomaly","")
 )="",
 "General anomaly detected",
 _xlfn.TEXTJOIN(", ", TRUE,
  IF(X771&gt;0.7,"Login anomaly",""),
  IF(Y771&gt;0.7,"File anomaly",""),
  IF(Z771&gt;0.7,"Network anomaly",""),
  IF(AA771&gt;0.7,"USB anomaly","")
 )))</f>
        <v/>
      </c>
    </row>
    <row r="772" spans="1:40" x14ac:dyDescent="0.3">
      <c r="A772" t="s">
        <v>795</v>
      </c>
      <c r="B772">
        <v>0.22570888468809</v>
      </c>
      <c r="C772">
        <v>0.75535712909432895</v>
      </c>
      <c r="D772">
        <v>0.37272711098299599</v>
      </c>
      <c r="E772">
        <v>0</v>
      </c>
      <c r="F772">
        <v>0</v>
      </c>
      <c r="G772">
        <v>0.50630354125652</v>
      </c>
      <c r="H772">
        <v>8</v>
      </c>
      <c r="I772">
        <v>14</v>
      </c>
      <c r="J772">
        <v>7.5091837221506599E-2</v>
      </c>
      <c r="K772">
        <v>1.30505709624796E-2</v>
      </c>
      <c r="L772">
        <v>4.4252520596325597E-2</v>
      </c>
      <c r="M772">
        <v>1.44300144300144E-3</v>
      </c>
      <c r="N772">
        <v>1.15759970098158E-2</v>
      </c>
      <c r="O772">
        <v>867</v>
      </c>
      <c r="P772">
        <v>6.1517957351290599E-2</v>
      </c>
      <c r="Q772">
        <v>6.16781794593078E-2</v>
      </c>
      <c r="R772">
        <v>0</v>
      </c>
      <c r="S772">
        <v>0</v>
      </c>
      <c r="T772" t="s">
        <v>49</v>
      </c>
      <c r="U772">
        <v>4.5283018867924497E-2</v>
      </c>
      <c r="V772">
        <v>0</v>
      </c>
      <c r="W772">
        <v>0</v>
      </c>
      <c r="X772">
        <v>0.111818133294898</v>
      </c>
      <c r="Y772">
        <v>4.0617426845408901E-2</v>
      </c>
      <c r="Z772">
        <v>4.1541173214700702E-2</v>
      </c>
      <c r="AA772">
        <v>0</v>
      </c>
      <c r="AB772">
        <v>3.3675998449325562E-2</v>
      </c>
      <c r="AC772">
        <v>6.7000000854022801E-5</v>
      </c>
      <c r="AD772">
        <v>5.5780000984668732E-3</v>
      </c>
      <c r="AE772">
        <v>6.1619998887181282E-3</v>
      </c>
      <c r="AF772">
        <f>0.16*X772 + 0.28*Y772 + 0.28*Z772 + 0.28*AA772</f>
        <v>4.089530934401437E-2</v>
      </c>
      <c r="AG772">
        <f t="shared" si="36"/>
        <v>8.6941197485430159E-3</v>
      </c>
      <c r="AH772">
        <f>IF(T772="IT_Admin", 0.25, IF(AND(T772="HR", AA772&gt;0.6), 0.25, IF(AND(T772="General", Z772&gt;0.7), 0.2, 0.1)))</f>
        <v>0.1</v>
      </c>
      <c r="AI772">
        <f>IF(V772&gt;0.7, 0.1,
 IF(F772&gt;0.5, 0.08,
 IF(E772&gt;0.5, 0.05,
 0)))</f>
        <v>0</v>
      </c>
      <c r="AJ772">
        <f t="shared" si="37"/>
        <v>1.835447662718442E-2</v>
      </c>
      <c r="AK772">
        <f t="shared" si="38"/>
        <v>2.0189924289902864E-2</v>
      </c>
      <c r="AL772" t="str">
        <f>IF(MAX(X772, Y772, Z772, AA772)&gt;0.9,
 "Critical",
 IF(AK772&lt;=0.2,"Very Low",
 IF(AK772&lt;=0.4,"Low",
 IF(AK772&lt;=0.6,"Medium",
 IF(AK772&lt;=0.8,"High","Critical")))))</f>
        <v>Very Low</v>
      </c>
      <c r="AM772" t="str">
        <f>IF(MAX(X772:AA772)&gt;0.9,"CRITICAL ALERT",
 IF(AK772&gt;0.8,"CRITICAL ALERT",
 IF(AK772&gt;0.6,"ALERT",
 IF(AK772&gt;=0.4,"REVIEW","NO ACTION"))))</f>
        <v>NO ACTION</v>
      </c>
      <c r="AN772" t="str">
        <f>IF(AM772="NO ACTION","",
 IF(_xlfn.TEXTJOIN(", ", TRUE,
  IF(X772&gt;0.7,"Login anomaly",""),
  IF(Y772&gt;0.7,"File anomaly",""),
  IF(Z772&gt;0.7,"Network anomaly",""),
  IF(AA772&gt;0.7,"USB anomaly","")
 )="",
 "General anomaly detected",
 _xlfn.TEXTJOIN(", ", TRUE,
  IF(X772&gt;0.7,"Login anomaly",""),
  IF(Y772&gt;0.7,"File anomaly",""),
  IF(Z772&gt;0.7,"Network anomaly",""),
  IF(AA772&gt;0.7,"USB anomaly","")
 )))</f>
        <v/>
      </c>
    </row>
    <row r="773" spans="1:40" x14ac:dyDescent="0.3">
      <c r="A773" t="s">
        <v>796</v>
      </c>
      <c r="B773">
        <v>0.12892249527410199</v>
      </c>
      <c r="C773">
        <v>0.36953165208440503</v>
      </c>
      <c r="D773">
        <v>0</v>
      </c>
      <c r="E773">
        <v>0</v>
      </c>
      <c r="F773">
        <v>0</v>
      </c>
      <c r="G773">
        <v>0.99367763086722805</v>
      </c>
      <c r="H773">
        <v>8</v>
      </c>
      <c r="I773">
        <v>8</v>
      </c>
      <c r="J773">
        <v>8.2009446114212098E-2</v>
      </c>
      <c r="K773">
        <v>1.2234910277324601E-2</v>
      </c>
      <c r="L773">
        <v>3.7997424243183503E-2</v>
      </c>
      <c r="M773">
        <v>7.2150072150072098E-3</v>
      </c>
      <c r="N773">
        <v>5.3011888858756601E-2</v>
      </c>
      <c r="O773">
        <v>874</v>
      </c>
      <c r="P773">
        <v>6.9058641975308602E-2</v>
      </c>
      <c r="Q773">
        <v>6.9217013219257301E-2</v>
      </c>
      <c r="R773">
        <v>0</v>
      </c>
      <c r="S773">
        <v>0</v>
      </c>
      <c r="T773" t="s">
        <v>49</v>
      </c>
      <c r="U773">
        <v>9.7968069666182801E-3</v>
      </c>
      <c r="V773">
        <v>0</v>
      </c>
      <c r="W773">
        <v>0</v>
      </c>
      <c r="X773">
        <v>0</v>
      </c>
      <c r="Y773">
        <v>5.1304168002061099E-2</v>
      </c>
      <c r="Z773">
        <v>6.2639940728687796E-2</v>
      </c>
      <c r="AA773">
        <v>0</v>
      </c>
      <c r="AB773">
        <v>2.4695999920368191E-2</v>
      </c>
      <c r="AC773">
        <v>5.5100000463426113E-4</v>
      </c>
      <c r="AD773">
        <v>3.9029999170452361E-3</v>
      </c>
      <c r="AE773">
        <v>1.899000024423003E-3</v>
      </c>
      <c r="AF773">
        <f>0.16*X773 + 0.28*Y773 + 0.28*Z773 + 0.28*AA773</f>
        <v>3.1904350444609694E-2</v>
      </c>
      <c r="AG773">
        <f t="shared" si="36"/>
        <v>5.7301999721676104E-3</v>
      </c>
      <c r="AH773">
        <f>IF(T773="IT_Admin", 0.25, IF(AND(T773="HR", AA773&gt;0.6), 0.25, IF(AND(T773="General", Z773&gt;0.7), 0.2, 0.1)))</f>
        <v>0.1</v>
      </c>
      <c r="AI773">
        <f>IF(V773&gt;0.7, 0.1,
 IF(F773&gt;0.5, 0.08,
 IF(E773&gt;0.5, 0.05,
 0)))</f>
        <v>0</v>
      </c>
      <c r="AJ773">
        <f t="shared" si="37"/>
        <v>1.3582445113900235E-2</v>
      </c>
      <c r="AK773">
        <f t="shared" si="38"/>
        <v>1.4940689625290259E-2</v>
      </c>
      <c r="AL773" t="str">
        <f>IF(MAX(X773, Y773, Z773, AA773)&gt;0.9,
 "Critical",
 IF(AK773&lt;=0.2,"Very Low",
 IF(AK773&lt;=0.4,"Low",
 IF(AK773&lt;=0.6,"Medium",
 IF(AK773&lt;=0.8,"High","Critical")))))</f>
        <v>Very Low</v>
      </c>
      <c r="AM773" t="str">
        <f>IF(MAX(X773:AA773)&gt;0.9,"CRITICAL ALERT",
 IF(AK773&gt;0.8,"CRITICAL ALERT",
 IF(AK773&gt;0.6,"ALERT",
 IF(AK773&gt;=0.4,"REVIEW","NO ACTION"))))</f>
        <v>NO ACTION</v>
      </c>
      <c r="AN773" t="str">
        <f>IF(AM773="NO ACTION","",
 IF(_xlfn.TEXTJOIN(", ", TRUE,
  IF(X773&gt;0.7,"Login anomaly",""),
  IF(Y773&gt;0.7,"File anomaly",""),
  IF(Z773&gt;0.7,"Network anomaly",""),
  IF(AA773&gt;0.7,"USB anomaly","")
 )="",
 "General anomaly detected",
 _xlfn.TEXTJOIN(", ", TRUE,
  IF(X773&gt;0.7,"Login anomaly",""),
  IF(Y773&gt;0.7,"File anomaly",""),
  IF(Z773&gt;0.7,"Network anomaly",""),
  IF(AA773&gt;0.7,"USB anomaly","")
 )))</f>
        <v/>
      </c>
    </row>
    <row r="774" spans="1:40" x14ac:dyDescent="0.3">
      <c r="A774" t="s">
        <v>797</v>
      </c>
      <c r="B774">
        <v>0.23478260869565201</v>
      </c>
      <c r="C774">
        <v>0.76300895522388001</v>
      </c>
      <c r="D774">
        <v>0.36302140454424803</v>
      </c>
      <c r="E774">
        <v>0</v>
      </c>
      <c r="F774">
        <v>0</v>
      </c>
      <c r="G774">
        <v>0.48110880511863402</v>
      </c>
      <c r="H774">
        <v>8</v>
      </c>
      <c r="I774">
        <v>14</v>
      </c>
      <c r="J774">
        <v>8.1866323171604402E-2</v>
      </c>
      <c r="K774">
        <v>8.1566068515497494E-3</v>
      </c>
      <c r="L774">
        <v>2.5375773540673399E-2</v>
      </c>
      <c r="M774">
        <v>3.4632034632034602E-3</v>
      </c>
      <c r="N774">
        <v>2.5490062910167401E-2</v>
      </c>
      <c r="O774">
        <v>842</v>
      </c>
      <c r="P774">
        <v>6.5375982042648703E-2</v>
      </c>
      <c r="Q774">
        <v>6.5535257196956395E-2</v>
      </c>
      <c r="R774">
        <v>0</v>
      </c>
      <c r="S774">
        <v>0</v>
      </c>
      <c r="T774" t="s">
        <v>49</v>
      </c>
      <c r="U774">
        <v>1.30624092888243E-2</v>
      </c>
      <c r="V774">
        <v>0</v>
      </c>
      <c r="W774">
        <v>0</v>
      </c>
      <c r="X774">
        <v>0.108906421363274</v>
      </c>
      <c r="Y774">
        <v>3.67081702777078E-2</v>
      </c>
      <c r="Z774">
        <v>4.9421614389656199E-2</v>
      </c>
      <c r="AA774">
        <v>0</v>
      </c>
      <c r="AB774">
        <v>3.6338001489639282E-2</v>
      </c>
      <c r="AC774">
        <v>3.2099999953061342E-4</v>
      </c>
      <c r="AD774">
        <v>4.6520000323653221E-3</v>
      </c>
      <c r="AE774">
        <v>6.9459998048841953E-3</v>
      </c>
      <c r="AF774">
        <f>0.16*X774 + 0.28*Y774 + 0.28*Z774 + 0.28*AA774</f>
        <v>4.1541367124985761E-2</v>
      </c>
      <c r="AG774">
        <f t="shared" si="36"/>
        <v>9.1514001926407216E-3</v>
      </c>
      <c r="AH774">
        <f>IF(T774="IT_Admin", 0.25, IF(AND(T774="HR", AA774&gt;0.6), 0.25, IF(AND(T774="General", Z774&gt;0.7), 0.2, 0.1)))</f>
        <v>0.1</v>
      </c>
      <c r="AI774">
        <f>IF(V774&gt;0.7, 0.1,
 IF(F774&gt;0.5, 0.08,
 IF(E774&gt;0.5, 0.05,
 0)))</f>
        <v>0</v>
      </c>
      <c r="AJ774">
        <f t="shared" si="37"/>
        <v>1.8868390272344233E-2</v>
      </c>
      <c r="AK774">
        <f t="shared" si="38"/>
        <v>2.0755229299578657E-2</v>
      </c>
      <c r="AL774" t="str">
        <f>IF(MAX(X774, Y774, Z774, AA774)&gt;0.9,
 "Critical",
 IF(AK774&lt;=0.2,"Very Low",
 IF(AK774&lt;=0.4,"Low",
 IF(AK774&lt;=0.6,"Medium",
 IF(AK774&lt;=0.8,"High","Critical")))))</f>
        <v>Very Low</v>
      </c>
      <c r="AM774" t="str">
        <f>IF(MAX(X774:AA774)&gt;0.9,"CRITICAL ALERT",
 IF(AK774&gt;0.8,"CRITICAL ALERT",
 IF(AK774&gt;0.6,"ALERT",
 IF(AK774&gt;=0.4,"REVIEW","NO ACTION"))))</f>
        <v>NO ACTION</v>
      </c>
      <c r="AN774" t="str">
        <f>IF(AM774="NO ACTION","",
 IF(_xlfn.TEXTJOIN(", ", TRUE,
  IF(X774&gt;0.7,"Login anomaly",""),
  IF(Y774&gt;0.7,"File anomaly",""),
  IF(Z774&gt;0.7,"Network anomaly",""),
  IF(AA774&gt;0.7,"USB anomaly","")
 )="",
 "General anomaly detected",
 _xlfn.TEXTJOIN(", ", TRUE,
  IF(X774&gt;0.7,"Login anomaly",""),
  IF(Y774&gt;0.7,"File anomaly",""),
  IF(Z774&gt;0.7,"Network anomaly",""),
  IF(AA774&gt;0.7,"USB anomaly","")
 )))</f>
        <v/>
      </c>
    </row>
    <row r="775" spans="1:40" x14ac:dyDescent="0.3">
      <c r="A775" t="s">
        <v>798</v>
      </c>
      <c r="B775">
        <v>0.12892249527410199</v>
      </c>
      <c r="C775">
        <v>0.46164678854602498</v>
      </c>
      <c r="D775">
        <v>7.5132489407342906E-2</v>
      </c>
      <c r="E775">
        <v>0</v>
      </c>
      <c r="F775">
        <v>0</v>
      </c>
      <c r="G775">
        <v>0.99369259121587405</v>
      </c>
      <c r="H775">
        <v>8</v>
      </c>
      <c r="I775">
        <v>9</v>
      </c>
      <c r="J775">
        <v>7.7190973713086197E-2</v>
      </c>
      <c r="K775">
        <v>1.1419249592169599E-2</v>
      </c>
      <c r="L775">
        <v>3.7671219204496897E-2</v>
      </c>
      <c r="M775">
        <v>1.44300144300144E-3</v>
      </c>
      <c r="N775">
        <v>1.12621683786193E-2</v>
      </c>
      <c r="O775">
        <v>742</v>
      </c>
      <c r="P775">
        <v>6.2359708193041499E-2</v>
      </c>
      <c r="Q775">
        <v>6.2519723692976606E-2</v>
      </c>
      <c r="R775">
        <v>0</v>
      </c>
      <c r="S775">
        <v>0</v>
      </c>
      <c r="T775" t="s">
        <v>49</v>
      </c>
      <c r="U775">
        <v>3.9622641509433898E-2</v>
      </c>
      <c r="V775">
        <v>0</v>
      </c>
      <c r="W775">
        <v>0</v>
      </c>
      <c r="X775">
        <v>2.2539746822202798E-2</v>
      </c>
      <c r="Y775">
        <v>3.7652454858451499E-2</v>
      </c>
      <c r="Z775">
        <v>4.1920692267272602E-2</v>
      </c>
      <c r="AA775">
        <v>0</v>
      </c>
      <c r="AB775">
        <v>1.341199968010187E-2</v>
      </c>
      <c r="AC775">
        <v>7.1000002208165824E-5</v>
      </c>
      <c r="AD775">
        <v>5.6719998829066753E-3</v>
      </c>
      <c r="AE775">
        <v>2.5249999016523361E-3</v>
      </c>
      <c r="AF775">
        <f>0.16*X775 + 0.28*Y775 + 0.28*Z775 + 0.28*AA775</f>
        <v>2.5886840686755199E-2</v>
      </c>
      <c r="AG775">
        <f t="shared" si="36"/>
        <v>4.460959889111109E-3</v>
      </c>
      <c r="AH775">
        <f>IF(T775="IT_Admin", 0.25, IF(AND(T775="HR", AA775&gt;0.6), 0.25, IF(AND(T775="General", Z775&gt;0.7), 0.2, 0.1)))</f>
        <v>0.1</v>
      </c>
      <c r="AI775">
        <f>IF(V775&gt;0.7, 0.1,
 IF(F775&gt;0.5, 0.08,
 IF(E775&gt;0.5, 0.05,
 0)))</f>
        <v>0</v>
      </c>
      <c r="AJ775">
        <f t="shared" si="37"/>
        <v>1.0888724128404335E-2</v>
      </c>
      <c r="AK775">
        <f t="shared" si="38"/>
        <v>1.197759654124477E-2</v>
      </c>
      <c r="AL775" t="str">
        <f>IF(MAX(X775, Y775, Z775, AA775)&gt;0.9,
 "Critical",
 IF(AK775&lt;=0.2,"Very Low",
 IF(AK775&lt;=0.4,"Low",
 IF(AK775&lt;=0.6,"Medium",
 IF(AK775&lt;=0.8,"High","Critical")))))</f>
        <v>Very Low</v>
      </c>
      <c r="AM775" t="str">
        <f>IF(MAX(X775:AA775)&gt;0.9,"CRITICAL ALERT",
 IF(AK775&gt;0.8,"CRITICAL ALERT",
 IF(AK775&gt;0.6,"ALERT",
 IF(AK775&gt;=0.4,"REVIEW","NO ACTION"))))</f>
        <v>NO ACTION</v>
      </c>
      <c r="AN775" t="str">
        <f>IF(AM775="NO ACTION","",
 IF(_xlfn.TEXTJOIN(", ", TRUE,
  IF(X775&gt;0.7,"Login anomaly",""),
  IF(Y775&gt;0.7,"File anomaly",""),
  IF(Z775&gt;0.7,"Network anomaly",""),
  IF(AA775&gt;0.7,"USB anomaly","")
 )="",
 "General anomaly detected",
 _xlfn.TEXTJOIN(", ", TRUE,
  IF(X775&gt;0.7,"Login anomaly",""),
  IF(Y775&gt;0.7,"File anomaly",""),
  IF(Z775&gt;0.7,"Network anomaly",""),
  IF(AA775&gt;0.7,"USB anomaly","")
 )))</f>
        <v/>
      </c>
    </row>
    <row r="776" spans="1:40" x14ac:dyDescent="0.3">
      <c r="A776" t="s">
        <v>799</v>
      </c>
      <c r="B776">
        <v>0.240075614366729</v>
      </c>
      <c r="C776">
        <v>0.79313405451292895</v>
      </c>
      <c r="D776">
        <v>0.418886652429864</v>
      </c>
      <c r="E776">
        <v>0.21387584767866399</v>
      </c>
      <c r="F776">
        <v>1.4084507042253501E-2</v>
      </c>
      <c r="G776">
        <v>0.467562642413614</v>
      </c>
      <c r="H776">
        <v>0</v>
      </c>
      <c r="I776">
        <v>22</v>
      </c>
      <c r="J776">
        <v>7.4137684270788595E-2</v>
      </c>
      <c r="K776">
        <v>3.2626427406199001E-3</v>
      </c>
      <c r="L776">
        <v>1.1205056129184999E-2</v>
      </c>
      <c r="M776">
        <v>2.88600288600288E-4</v>
      </c>
      <c r="N776">
        <v>2.3449004847337098E-3</v>
      </c>
      <c r="O776">
        <v>512</v>
      </c>
      <c r="P776">
        <v>5.6046576879910201E-2</v>
      </c>
      <c r="Q776">
        <v>5.6208141940460699E-2</v>
      </c>
      <c r="R776">
        <v>0</v>
      </c>
      <c r="S776">
        <v>0</v>
      </c>
      <c r="T776" t="s">
        <v>49</v>
      </c>
      <c r="U776">
        <v>3.3962264150943298E-2</v>
      </c>
      <c r="V776">
        <v>0</v>
      </c>
      <c r="W776">
        <v>0</v>
      </c>
      <c r="X776">
        <v>0.19546255284945999</v>
      </c>
      <c r="Y776">
        <v>2.1133535064170299E-2</v>
      </c>
      <c r="Z776">
        <v>3.4565906321839597E-2</v>
      </c>
      <c r="AA776">
        <v>0</v>
      </c>
      <c r="AB776">
        <v>0.1611270010471344</v>
      </c>
      <c r="AC776">
        <v>5.8300001546740532E-4</v>
      </c>
      <c r="AD776">
        <v>6.0780001804232597E-3</v>
      </c>
      <c r="AE776">
        <v>1.6206000000238419E-2</v>
      </c>
      <c r="AF776">
        <f>0.16*X776 + 0.28*Y776 + 0.28*Z776 + 0.28*AA776</f>
        <v>4.6869852043996366E-2</v>
      </c>
      <c r="AG776">
        <f t="shared" si="36"/>
        <v>3.2183080222457652E-2</v>
      </c>
      <c r="AH776">
        <f>IF(T776="IT_Admin", 0.25, IF(AND(T776="HR", AA776&gt;0.6), 0.25, IF(AND(T776="General", Z776&gt;0.7), 0.2, 0.1)))</f>
        <v>0.1</v>
      </c>
      <c r="AI776">
        <f>IF(V776&gt;0.7, 0.1,
 IF(F776&gt;0.5, 0.08,
 IF(E776&gt;0.5, 0.05,
 0)))</f>
        <v>0</v>
      </c>
      <c r="AJ776">
        <f t="shared" si="37"/>
        <v>3.6589111768919262E-2</v>
      </c>
      <c r="AK776">
        <f t="shared" si="38"/>
        <v>4.0248022945811195E-2</v>
      </c>
      <c r="AL776" t="str">
        <f>IF(MAX(X776, Y776, Z776, AA776)&gt;0.9,
 "Critical",
 IF(AK776&lt;=0.2,"Very Low",
 IF(AK776&lt;=0.4,"Low",
 IF(AK776&lt;=0.6,"Medium",
 IF(AK776&lt;=0.8,"High","Critical")))))</f>
        <v>Very Low</v>
      </c>
      <c r="AM776" t="str">
        <f>IF(MAX(X776:AA776)&gt;0.9,"CRITICAL ALERT",
 IF(AK776&gt;0.8,"CRITICAL ALERT",
 IF(AK776&gt;0.6,"ALERT",
 IF(AK776&gt;=0.4,"REVIEW","NO ACTION"))))</f>
        <v>NO ACTION</v>
      </c>
      <c r="AN776" t="str">
        <f>IF(AM776="NO ACTION","",
 IF(_xlfn.TEXTJOIN(", ", TRUE,
  IF(X776&gt;0.7,"Login anomaly",""),
  IF(Y776&gt;0.7,"File anomaly",""),
  IF(Z776&gt;0.7,"Network anomaly",""),
  IF(AA776&gt;0.7,"USB anomaly","")
 )="",
 "General anomaly detected",
 _xlfn.TEXTJOIN(", ", TRUE,
  IF(X776&gt;0.7,"Login anomaly",""),
  IF(Y776&gt;0.7,"File anomaly",""),
  IF(Z776&gt;0.7,"Network anomaly",""),
  IF(AA776&gt;0.7,"USB anomaly","")
 )))</f>
        <v/>
      </c>
    </row>
    <row r="777" spans="1:40" x14ac:dyDescent="0.3">
      <c r="A777" t="s">
        <v>800</v>
      </c>
      <c r="B777">
        <v>0.15652173913043399</v>
      </c>
      <c r="C777">
        <v>0.48313169345485002</v>
      </c>
      <c r="D777">
        <v>0.49558555862876502</v>
      </c>
      <c r="E777">
        <v>0.98086124401913799</v>
      </c>
      <c r="F777">
        <v>9.0909090909090898E-2</v>
      </c>
      <c r="G777">
        <v>0.79370550501293002</v>
      </c>
      <c r="H777">
        <v>0</v>
      </c>
      <c r="I777">
        <v>23</v>
      </c>
      <c r="J777">
        <v>7.8383664901483699E-2</v>
      </c>
      <c r="K777">
        <v>1.5497553017944501E-2</v>
      </c>
      <c r="L777">
        <v>5.03496613474805E-2</v>
      </c>
      <c r="M777">
        <v>5.7720057720057698E-4</v>
      </c>
      <c r="N777">
        <v>4.4365289510920501E-3</v>
      </c>
      <c r="O777">
        <v>777</v>
      </c>
      <c r="P777">
        <v>6.4569304152637494E-2</v>
      </c>
      <c r="Q777">
        <v>6.4728777306357094E-2</v>
      </c>
      <c r="R777">
        <v>0.10176991150442399</v>
      </c>
      <c r="S777">
        <v>1</v>
      </c>
      <c r="T777" t="s">
        <v>49</v>
      </c>
      <c r="U777">
        <v>0.10754716981132</v>
      </c>
      <c r="V777">
        <v>0</v>
      </c>
      <c r="W777">
        <v>0.14937165587290899</v>
      </c>
      <c r="X777">
        <v>0.47929767715800697</v>
      </c>
      <c r="Y777">
        <v>4.2182522339364599E-2</v>
      </c>
      <c r="Z777">
        <v>4.0516194072019299E-2</v>
      </c>
      <c r="AA777">
        <v>0.10176991150442399</v>
      </c>
      <c r="AB777">
        <v>0.77703899145126343</v>
      </c>
      <c r="AC777">
        <v>1.8319999799132349E-3</v>
      </c>
      <c r="AD777">
        <v>4.4450000859797001E-3</v>
      </c>
      <c r="AE777">
        <v>5.2779000252485282E-2</v>
      </c>
      <c r="AF777">
        <f>0.16*X777 + 0.28*Y777 + 0.28*Z777 + 0.28*AA777</f>
        <v>0.12833884416170732</v>
      </c>
      <c r="AG777">
        <f t="shared" si="36"/>
        <v>0.14086191872134804</v>
      </c>
      <c r="AH777">
        <f>IF(T777="IT_Admin", 0.25, IF(AND(T777="HR", AA777&gt;0.6), 0.25, IF(AND(T777="General", Z777&gt;0.7), 0.2, 0.1)))</f>
        <v>0.1</v>
      </c>
      <c r="AI777">
        <f>IF(V777&gt;0.7, 0.1,
 IF(F777&gt;0.5, 0.08,
 IF(E777&gt;0.5, 0.05,
 0)))</f>
        <v>0.05</v>
      </c>
      <c r="AJ777">
        <f t="shared" si="37"/>
        <v>0.1371049963534558</v>
      </c>
      <c r="AK777">
        <f t="shared" si="38"/>
        <v>0.15767074580647419</v>
      </c>
      <c r="AL777" t="str">
        <f>IF(MAX(X777, Y777, Z777, AA777)&gt;0.9,
 "Critical",
 IF(AK777&lt;=0.2,"Very Low",
 IF(AK777&lt;=0.4,"Low",
 IF(AK777&lt;=0.6,"Medium",
 IF(AK777&lt;=0.8,"High","Critical")))))</f>
        <v>Very Low</v>
      </c>
      <c r="AM777" t="str">
        <f>IF(MAX(X777:AA777)&gt;0.9,"CRITICAL ALERT",
 IF(AK777&gt;0.8,"CRITICAL ALERT",
 IF(AK777&gt;0.6,"ALERT",
 IF(AK777&gt;=0.4,"REVIEW","NO ACTION"))))</f>
        <v>NO ACTION</v>
      </c>
      <c r="AN777" t="str">
        <f>IF(AM777="NO ACTION","",
 IF(_xlfn.TEXTJOIN(", ", TRUE,
  IF(X777&gt;0.7,"Login anomaly",""),
  IF(Y777&gt;0.7,"File anomaly",""),
  IF(Z777&gt;0.7,"Network anomaly",""),
  IF(AA777&gt;0.7,"USB anomaly","")
 )="",
 "General anomaly detected",
 _xlfn.TEXTJOIN(", ", TRUE,
  IF(X777&gt;0.7,"Login anomaly",""),
  IF(Y777&gt;0.7,"File anomaly",""),
  IF(Z777&gt;0.7,"Network anomaly",""),
  IF(AA777&gt;0.7,"USB anomaly","")
 )))</f>
        <v/>
      </c>
    </row>
    <row r="778" spans="1:40" x14ac:dyDescent="0.3">
      <c r="A778" t="s">
        <v>801</v>
      </c>
      <c r="B778">
        <v>0.23327032136105799</v>
      </c>
      <c r="C778">
        <v>0.91966371706352401</v>
      </c>
      <c r="D778">
        <v>0.34129446298003202</v>
      </c>
      <c r="E778">
        <v>0</v>
      </c>
      <c r="F778">
        <v>0</v>
      </c>
      <c r="G778">
        <v>0.48540210430874797</v>
      </c>
      <c r="H778">
        <v>9</v>
      </c>
      <c r="I778">
        <v>15</v>
      </c>
      <c r="J778">
        <v>6.4786985353752199E-2</v>
      </c>
      <c r="K778">
        <v>9.7879282218597003E-3</v>
      </c>
      <c r="L778">
        <v>3.8449044399265303E-2</v>
      </c>
      <c r="M778">
        <v>2.88600288600288E-4</v>
      </c>
      <c r="N778">
        <v>2.6820982066763401E-3</v>
      </c>
      <c r="O778">
        <v>322</v>
      </c>
      <c r="P778">
        <v>5.1978114478114401E-2</v>
      </c>
      <c r="Q778">
        <v>5.2140678144394902E-2</v>
      </c>
      <c r="R778">
        <v>0</v>
      </c>
      <c r="S778">
        <v>0</v>
      </c>
      <c r="T778" t="s">
        <v>49</v>
      </c>
      <c r="U778">
        <v>0.10188679245283</v>
      </c>
      <c r="V778">
        <v>0</v>
      </c>
      <c r="W778">
        <v>0</v>
      </c>
      <c r="X778">
        <v>0.102388338894009</v>
      </c>
      <c r="Y778">
        <v>3.2986548732385997E-2</v>
      </c>
      <c r="Z778">
        <v>3.2259707969539198E-2</v>
      </c>
      <c r="AA778">
        <v>0</v>
      </c>
      <c r="AB778">
        <v>6.4448997378349304E-2</v>
      </c>
      <c r="AC778">
        <v>1.5480000292882319E-3</v>
      </c>
      <c r="AD778">
        <v>7.2659999132156372E-3</v>
      </c>
      <c r="AE778">
        <v>6.0870000161230564E-3</v>
      </c>
      <c r="AF778">
        <f>0.16*X778 + 0.28*Y778 + 0.28*Z778 + 0.28*AA778</f>
        <v>3.4651086099580494E-2</v>
      </c>
      <c r="AG778">
        <f t="shared" si="36"/>
        <v>1.4484119568951428E-2</v>
      </c>
      <c r="AH778">
        <f>IF(T778="IT_Admin", 0.25, IF(AND(T778="HR", AA778&gt;0.6), 0.25, IF(AND(T778="General", Z778&gt;0.7), 0.2, 0.1)))</f>
        <v>0.1</v>
      </c>
      <c r="AI778">
        <f>IF(V778&gt;0.7, 0.1,
 IF(F778&gt;0.5, 0.08,
 IF(E778&gt;0.5, 0.05,
 0)))</f>
        <v>0</v>
      </c>
      <c r="AJ778">
        <f t="shared" si="37"/>
        <v>2.0534209528140147E-2</v>
      </c>
      <c r="AK778">
        <f t="shared" si="38"/>
        <v>2.2587630480954163E-2</v>
      </c>
      <c r="AL778" t="str">
        <f>IF(MAX(X778, Y778, Z778, AA778)&gt;0.9,
 "Critical",
 IF(AK778&lt;=0.2,"Very Low",
 IF(AK778&lt;=0.4,"Low",
 IF(AK778&lt;=0.6,"Medium",
 IF(AK778&lt;=0.8,"High","Critical")))))</f>
        <v>Very Low</v>
      </c>
      <c r="AM778" t="str">
        <f>IF(MAX(X778:AA778)&gt;0.9,"CRITICAL ALERT",
 IF(AK778&gt;0.8,"CRITICAL ALERT",
 IF(AK778&gt;0.6,"ALERT",
 IF(AK778&gt;=0.4,"REVIEW","NO ACTION"))))</f>
        <v>NO ACTION</v>
      </c>
      <c r="AN778" t="str">
        <f>IF(AM778="NO ACTION","",
 IF(_xlfn.TEXTJOIN(", ", TRUE,
  IF(X778&gt;0.7,"Login anomaly",""),
  IF(Y778&gt;0.7,"File anomaly",""),
  IF(Z778&gt;0.7,"Network anomaly",""),
  IF(AA778&gt;0.7,"USB anomaly","")
 )="",
 "General anomaly detected",
 _xlfn.TEXTJOIN(", ", TRUE,
  IF(X778&gt;0.7,"Login anomaly",""),
  IF(Y778&gt;0.7,"File anomaly",""),
  IF(Z778&gt;0.7,"Network anomaly",""),
  IF(AA778&gt;0.7,"USB anomaly","")
 )))</f>
        <v/>
      </c>
    </row>
    <row r="779" spans="1:40" x14ac:dyDescent="0.3">
      <c r="A779" t="s">
        <v>802</v>
      </c>
      <c r="B779">
        <v>0.12892249527410199</v>
      </c>
      <c r="C779">
        <v>0.18476582604220201</v>
      </c>
      <c r="D779">
        <v>0</v>
      </c>
      <c r="E779">
        <v>0</v>
      </c>
      <c r="F779">
        <v>0</v>
      </c>
      <c r="G779">
        <v>0.99367969159503799</v>
      </c>
      <c r="H779">
        <v>7</v>
      </c>
      <c r="I779">
        <v>7</v>
      </c>
      <c r="J779">
        <v>0.109632174037498</v>
      </c>
      <c r="K779">
        <v>1.4681892332789499E-2</v>
      </c>
      <c r="L779">
        <v>3.4133335334041698E-2</v>
      </c>
      <c r="M779">
        <v>2.8860028860028799E-3</v>
      </c>
      <c r="N779">
        <v>1.5873642447676299E-2</v>
      </c>
      <c r="O779">
        <v>1073</v>
      </c>
      <c r="P779">
        <v>8.8313692480359099E-2</v>
      </c>
      <c r="Q779">
        <v>8.8467337564430704E-2</v>
      </c>
      <c r="R779">
        <v>0</v>
      </c>
      <c r="S779">
        <v>0</v>
      </c>
      <c r="T779" t="s">
        <v>24</v>
      </c>
      <c r="U779">
        <v>2.7787307032590001E-2</v>
      </c>
      <c r="V779">
        <v>0</v>
      </c>
      <c r="W779">
        <v>0</v>
      </c>
      <c r="X779">
        <v>0</v>
      </c>
      <c r="Y779">
        <v>4.3755195208823303E-2</v>
      </c>
      <c r="Z779">
        <v>5.9337672467286003E-2</v>
      </c>
      <c r="AA779">
        <v>0</v>
      </c>
      <c r="AB779">
        <v>3.6671001464128487E-2</v>
      </c>
      <c r="AC779">
        <v>4.3000000005122267E-5</v>
      </c>
      <c r="AD779">
        <v>2.614999888464808E-3</v>
      </c>
      <c r="AE779">
        <v>1.269000000320375E-3</v>
      </c>
      <c r="AF779">
        <f>0.16*X779 + 0.28*Y779 + 0.28*Z779 + 0.28*AA779</f>
        <v>2.8866002949310608E-2</v>
      </c>
      <c r="AG779">
        <f t="shared" si="36"/>
        <v>6.9669202031218437E-3</v>
      </c>
      <c r="AH779">
        <f>IF(T779="IT_Admin", 0.25, IF(AND(T779="HR", AA779&gt;0.6), 0.25, IF(AND(T779="General", Z779&gt;0.7), 0.2, 0.1)))</f>
        <v>0.25</v>
      </c>
      <c r="AI779">
        <f>IF(V779&gt;0.7, 0.1,
 IF(F779&gt;0.5, 0.08,
 IF(E779&gt;0.5, 0.05,
 0)))</f>
        <v>0</v>
      </c>
      <c r="AJ779">
        <f t="shared" si="37"/>
        <v>1.3536645026978471E-2</v>
      </c>
      <c r="AK779">
        <f t="shared" si="38"/>
        <v>1.692080628372309E-2</v>
      </c>
      <c r="AL779" t="str">
        <f>IF(MAX(X779, Y779, Z779, AA779)&gt;0.9,
 "Critical",
 IF(AK779&lt;=0.2,"Very Low",
 IF(AK779&lt;=0.4,"Low",
 IF(AK779&lt;=0.6,"Medium",
 IF(AK779&lt;=0.8,"High","Critical")))))</f>
        <v>Very Low</v>
      </c>
      <c r="AM779" t="str">
        <f>IF(MAX(X779:AA779)&gt;0.9,"CRITICAL ALERT",
 IF(AK779&gt;0.8,"CRITICAL ALERT",
 IF(AK779&gt;0.6,"ALERT",
 IF(AK779&gt;=0.4,"REVIEW","NO ACTION"))))</f>
        <v>NO ACTION</v>
      </c>
      <c r="AN779" t="str">
        <f>IF(AM779="NO ACTION","",
 IF(_xlfn.TEXTJOIN(", ", TRUE,
  IF(X779&gt;0.7,"Login anomaly",""),
  IF(Y779&gt;0.7,"File anomaly",""),
  IF(Z779&gt;0.7,"Network anomaly",""),
  IF(AA779&gt;0.7,"USB anomaly","")
 )="",
 "General anomaly detected",
 _xlfn.TEXTJOIN(", ", TRUE,
  IF(X779&gt;0.7,"Login anomaly",""),
  IF(Y779&gt;0.7,"File anomaly",""),
  IF(Z779&gt;0.7,"Network anomaly",""),
  IF(AA779&gt;0.7,"USB anomaly","")
 )))</f>
        <v/>
      </c>
    </row>
    <row r="780" spans="1:40" x14ac:dyDescent="0.3">
      <c r="A780" t="s">
        <v>803</v>
      </c>
      <c r="B780">
        <v>0.26994328922495198</v>
      </c>
      <c r="C780">
        <v>0.999999999999999</v>
      </c>
      <c r="D780">
        <v>0.41918667291248402</v>
      </c>
      <c r="E780">
        <v>0.12689569792633801</v>
      </c>
      <c r="F780">
        <v>1.53203342618384E-2</v>
      </c>
      <c r="G780">
        <v>0.39964572513063801</v>
      </c>
      <c r="H780">
        <v>1</v>
      </c>
      <c r="I780">
        <v>22</v>
      </c>
      <c r="J780">
        <v>6.2926387099852099E-2</v>
      </c>
      <c r="K780">
        <v>4.8939641109298502E-3</v>
      </c>
      <c r="L780">
        <v>1.9790803442673199E-2</v>
      </c>
      <c r="M780">
        <v>2.3088023088023001E-3</v>
      </c>
      <c r="N780">
        <v>2.2088820880361602E-2</v>
      </c>
      <c r="O780">
        <v>415</v>
      </c>
      <c r="P780">
        <v>4.9487934904601502E-2</v>
      </c>
      <c r="Q780">
        <v>4.9651109786458099E-2</v>
      </c>
      <c r="R780">
        <v>8.8495575221238902E-3</v>
      </c>
      <c r="S780">
        <v>1</v>
      </c>
      <c r="T780" t="s">
        <v>49</v>
      </c>
      <c r="U780">
        <v>1.13207547169811E-2</v>
      </c>
      <c r="V780">
        <v>0</v>
      </c>
      <c r="W780">
        <v>9.8945487636718493E-3</v>
      </c>
      <c r="X780">
        <v>0.16995284495638199</v>
      </c>
      <c r="Y780">
        <v>2.91073254054155E-2</v>
      </c>
      <c r="Z780">
        <v>3.85282892949056E-2</v>
      </c>
      <c r="AA780">
        <v>8.8495575221238902E-3</v>
      </c>
      <c r="AB780">
        <v>0.16814699769020081</v>
      </c>
      <c r="AC780">
        <v>4.8499999684281653E-4</v>
      </c>
      <c r="AD780">
        <v>6.3649998046457767E-3</v>
      </c>
      <c r="AE780">
        <v>7.1386002004146576E-2</v>
      </c>
      <c r="AF780">
        <f>0.16*X780 + 0.28*Y780 + 0.28*Z780 + 0.28*AA780</f>
        <v>4.8608303415305719E-2</v>
      </c>
      <c r="AG780">
        <f t="shared" si="36"/>
        <v>4.8809600136009983E-2</v>
      </c>
      <c r="AH780">
        <f>IF(T780="IT_Admin", 0.25, IF(AND(T780="HR", AA780&gt;0.6), 0.25, IF(AND(T780="General", Z780&gt;0.7), 0.2, 0.1)))</f>
        <v>0.1</v>
      </c>
      <c r="AI780">
        <f>IF(V780&gt;0.7, 0.1,
 IF(F780&gt;0.5, 0.08,
 IF(E780&gt;0.5, 0.05,
 0)))</f>
        <v>0</v>
      </c>
      <c r="AJ780">
        <f t="shared" si="37"/>
        <v>4.8749211119798699E-2</v>
      </c>
      <c r="AK780">
        <f t="shared" si="38"/>
        <v>5.3624132231778573E-2</v>
      </c>
      <c r="AL780" t="str">
        <f>IF(MAX(X780, Y780, Z780, AA780)&gt;0.9,
 "Critical",
 IF(AK780&lt;=0.2,"Very Low",
 IF(AK780&lt;=0.4,"Low",
 IF(AK780&lt;=0.6,"Medium",
 IF(AK780&lt;=0.8,"High","Critical")))))</f>
        <v>Very Low</v>
      </c>
      <c r="AM780" t="str">
        <f>IF(MAX(X780:AA780)&gt;0.9,"CRITICAL ALERT",
 IF(AK780&gt;0.8,"CRITICAL ALERT",
 IF(AK780&gt;0.6,"ALERT",
 IF(AK780&gt;=0.4,"REVIEW","NO ACTION"))))</f>
        <v>NO ACTION</v>
      </c>
      <c r="AN780" t="str">
        <f>IF(AM780="NO ACTION","",
 IF(_xlfn.TEXTJOIN(", ", TRUE,
  IF(X780&gt;0.7,"Login anomaly",""),
  IF(Y780&gt;0.7,"File anomaly",""),
  IF(Z780&gt;0.7,"Network anomaly",""),
  IF(AA780&gt;0.7,"USB anomaly","")
 )="",
 "General anomaly detected",
 _xlfn.TEXTJOIN(", ", TRUE,
  IF(X780&gt;0.7,"Login anomaly",""),
  IF(Y780&gt;0.7,"File anomaly",""),
  IF(Z780&gt;0.7,"Network anomaly",""),
  IF(AA780&gt;0.7,"USB anomaly","")
 )))</f>
        <v/>
      </c>
    </row>
    <row r="781" spans="1:40" x14ac:dyDescent="0.3">
      <c r="A781" t="s">
        <v>804</v>
      </c>
      <c r="B781">
        <v>0.25595463137996199</v>
      </c>
      <c r="C781">
        <v>0.72902463226930703</v>
      </c>
      <c r="D781">
        <v>0.46940586410005503</v>
      </c>
      <c r="E781">
        <v>6.6895088921520601E-2</v>
      </c>
      <c r="F781">
        <v>6.1674008810572598E-2</v>
      </c>
      <c r="G781">
        <v>0.42953303058662401</v>
      </c>
      <c r="H781">
        <v>0</v>
      </c>
      <c r="I781">
        <v>23</v>
      </c>
      <c r="J781">
        <v>9.0787653260817697E-2</v>
      </c>
      <c r="K781">
        <v>8.1566068515497494E-3</v>
      </c>
      <c r="L781">
        <v>2.28887349389407E-2</v>
      </c>
      <c r="M781">
        <v>1.44300144300144E-3</v>
      </c>
      <c r="N781">
        <v>9.57992624659291E-3</v>
      </c>
      <c r="O781">
        <v>606</v>
      </c>
      <c r="P781">
        <v>7.0952581369247994E-2</v>
      </c>
      <c r="Q781">
        <v>7.1110487745012094E-2</v>
      </c>
      <c r="R781">
        <v>0.90855457227138603</v>
      </c>
      <c r="S781">
        <v>1</v>
      </c>
      <c r="T781" t="s">
        <v>49</v>
      </c>
      <c r="U781">
        <v>2.83018867924528E-2</v>
      </c>
      <c r="V781">
        <v>0</v>
      </c>
      <c r="W781">
        <v>4.60668264965816E-2</v>
      </c>
      <c r="X781">
        <v>0.18555988943070101</v>
      </c>
      <c r="Y781">
        <v>3.2475875995611699E-2</v>
      </c>
      <c r="Z781">
        <v>4.6403519320185903E-2</v>
      </c>
      <c r="AA781">
        <v>0.90855457227138603</v>
      </c>
      <c r="AB781">
        <v>0.15075799822807309</v>
      </c>
      <c r="AC781">
        <v>2.269999968120828E-4</v>
      </c>
      <c r="AD781">
        <v>3.599999938160181E-3</v>
      </c>
      <c r="AE781">
        <v>0.81660199165344238</v>
      </c>
      <c r="AF781">
        <f>0.16*X781 + 0.28*Y781 + 0.28*Z781 + 0.28*AA781</f>
        <v>0.30617109323332359</v>
      </c>
      <c r="AG781">
        <f t="shared" si="36"/>
        <v>0.25384139736124783</v>
      </c>
      <c r="AH781">
        <f>IF(T781="IT_Admin", 0.25, IF(AND(T781="HR", AA781&gt;0.6), 0.25, IF(AND(T781="General", Z781&gt;0.7), 0.2, 0.1)))</f>
        <v>0.1</v>
      </c>
      <c r="AI781">
        <f>IF(V781&gt;0.7, 0.1,
 IF(F781&gt;0.5, 0.08,
 IF(E781&gt;0.5, 0.05,
 0)))</f>
        <v>0</v>
      </c>
      <c r="AJ781">
        <f t="shared" si="37"/>
        <v>0.26954030612287055</v>
      </c>
      <c r="AK781">
        <f t="shared" si="38"/>
        <v>0.29649433673515763</v>
      </c>
      <c r="AL781" t="str">
        <f>IF(MAX(X781, Y781, Z781, AA781)&gt;0.9,
 "Critical",
 IF(AK781&lt;=0.2,"Very Low",
 IF(AK781&lt;=0.4,"Low",
 IF(AK781&lt;=0.6,"Medium",
 IF(AK781&lt;=0.8,"High","Critical")))))</f>
        <v>Critical</v>
      </c>
      <c r="AM781" t="str">
        <f>IF(MAX(X781:AA781)&gt;0.9,"CRITICAL ALERT",
 IF(AK781&gt;0.8,"CRITICAL ALERT",
 IF(AK781&gt;0.6,"ALERT",
 IF(AK781&gt;=0.4,"REVIEW","NO ACTION"))))</f>
        <v>CRITICAL ALERT</v>
      </c>
      <c r="AN781" t="str">
        <f>IF(AM781="NO ACTION","",
 IF(_xlfn.TEXTJOIN(", ", TRUE,
  IF(X781&gt;0.7,"Login anomaly",""),
  IF(Y781&gt;0.7,"File anomaly",""),
  IF(Z781&gt;0.7,"Network anomaly",""),
  IF(AA781&gt;0.7,"USB anomaly","")
 )="",
 "General anomaly detected",
 _xlfn.TEXTJOIN(", ", TRUE,
  IF(X781&gt;0.7,"Login anomaly",""),
  IF(Y781&gt;0.7,"File anomaly",""),
  IF(Z781&gt;0.7,"Network anomaly",""),
  IF(AA781&gt;0.7,"USB anomaly","")
 )))</f>
        <v>USB anomaly</v>
      </c>
    </row>
    <row r="782" spans="1:40" x14ac:dyDescent="0.3">
      <c r="A782" t="s">
        <v>805</v>
      </c>
      <c r="B782">
        <v>0.15689981096408301</v>
      </c>
      <c r="C782">
        <v>0.31793833073133199</v>
      </c>
      <c r="D782">
        <v>0.41297063872724499</v>
      </c>
      <c r="E782">
        <v>0.434897905064969</v>
      </c>
      <c r="F782">
        <v>4.5346062052505902E-2</v>
      </c>
      <c r="G782">
        <v>0.79308727708792404</v>
      </c>
      <c r="H782">
        <v>0</v>
      </c>
      <c r="I782">
        <v>23</v>
      </c>
      <c r="J782">
        <v>8.80206097037355E-2</v>
      </c>
      <c r="K782">
        <v>1.5497553017944501E-2</v>
      </c>
      <c r="L782">
        <v>4.4852022648998797E-2</v>
      </c>
      <c r="M782">
        <v>2.59740259740259E-3</v>
      </c>
      <c r="N782">
        <v>1.7784485784485701E-2</v>
      </c>
      <c r="O782">
        <v>978</v>
      </c>
      <c r="P782">
        <v>7.2636083052749698E-2</v>
      </c>
      <c r="Q782">
        <v>7.2793576212349595E-2</v>
      </c>
      <c r="R782">
        <v>0</v>
      </c>
      <c r="S782">
        <v>0</v>
      </c>
      <c r="T782" t="s">
        <v>49</v>
      </c>
      <c r="U782">
        <v>3.22641509433962E-2</v>
      </c>
      <c r="V782">
        <v>0</v>
      </c>
      <c r="W782">
        <v>0</v>
      </c>
      <c r="X782">
        <v>0.272498987958667</v>
      </c>
      <c r="Y782">
        <v>4.53654790005922E-2</v>
      </c>
      <c r="Z782">
        <v>5.06954441454441E-2</v>
      </c>
      <c r="AA782">
        <v>0</v>
      </c>
      <c r="AB782">
        <v>0.2317990064620972</v>
      </c>
      <c r="AC782">
        <v>4.1999999666586518E-5</v>
      </c>
      <c r="AD782">
        <v>3.5049999132752419E-3</v>
      </c>
      <c r="AE782">
        <v>1.7155999317765239E-2</v>
      </c>
      <c r="AF782">
        <f>0.16*X782 + 0.28*Y782 + 0.28*Z782 + 0.28*AA782</f>
        <v>7.0496896554276892E-2</v>
      </c>
      <c r="AG782">
        <f t="shared" si="36"/>
        <v>4.2884680818533534E-2</v>
      </c>
      <c r="AH782">
        <f>IF(T782="IT_Admin", 0.25, IF(AND(T782="HR", AA782&gt;0.6), 0.25, IF(AND(T782="General", Z782&gt;0.7), 0.2, 0.1)))</f>
        <v>0.1</v>
      </c>
      <c r="AI782">
        <f>IF(V782&gt;0.7, 0.1,
 IF(F782&gt;0.5, 0.08,
 IF(E782&gt;0.5, 0.05,
 0)))</f>
        <v>0</v>
      </c>
      <c r="AJ782">
        <f t="shared" si="37"/>
        <v>5.1168345539256539E-2</v>
      </c>
      <c r="AK782">
        <f t="shared" si="38"/>
        <v>5.6285180093182195E-2</v>
      </c>
      <c r="AL782" t="str">
        <f>IF(MAX(X782, Y782, Z782, AA782)&gt;0.9,
 "Critical",
 IF(AK782&lt;=0.2,"Very Low",
 IF(AK782&lt;=0.4,"Low",
 IF(AK782&lt;=0.6,"Medium",
 IF(AK782&lt;=0.8,"High","Critical")))))</f>
        <v>Very Low</v>
      </c>
      <c r="AM782" t="str">
        <f>IF(MAX(X782:AA782)&gt;0.9,"CRITICAL ALERT",
 IF(AK782&gt;0.8,"CRITICAL ALERT",
 IF(AK782&gt;0.6,"ALERT",
 IF(AK782&gt;=0.4,"REVIEW","NO ACTION"))))</f>
        <v>NO ACTION</v>
      </c>
      <c r="AN782" t="str">
        <f>IF(AM782="NO ACTION","",
 IF(_xlfn.TEXTJOIN(", ", TRUE,
  IF(X782&gt;0.7,"Login anomaly",""),
  IF(Y782&gt;0.7,"File anomaly",""),
  IF(Z782&gt;0.7,"Network anomaly",""),
  IF(AA782&gt;0.7,"USB anomaly","")
 )="",
 "General anomaly detected",
 _xlfn.TEXTJOIN(", ", TRUE,
  IF(X782&gt;0.7,"Login anomaly",""),
  IF(Y782&gt;0.7,"File anomaly",""),
  IF(Z782&gt;0.7,"Network anomaly",""),
  IF(AA782&gt;0.7,"USB anomaly","")
 )))</f>
        <v/>
      </c>
    </row>
    <row r="783" spans="1:40" x14ac:dyDescent="0.3">
      <c r="A783" t="s">
        <v>806</v>
      </c>
      <c r="B783">
        <v>0.12892249527410199</v>
      </c>
      <c r="C783">
        <v>0.18476582604220201</v>
      </c>
      <c r="D783">
        <v>0</v>
      </c>
      <c r="E783">
        <v>0</v>
      </c>
      <c r="F783">
        <v>0</v>
      </c>
      <c r="G783">
        <v>0.99366580175434505</v>
      </c>
      <c r="H783">
        <v>7</v>
      </c>
      <c r="I783">
        <v>7</v>
      </c>
      <c r="J783">
        <v>6.6027384189685595E-2</v>
      </c>
      <c r="K783">
        <v>7.34094616639478E-3</v>
      </c>
      <c r="L783">
        <v>2.8297001898595402E-2</v>
      </c>
      <c r="M783">
        <v>0</v>
      </c>
      <c r="N783">
        <v>0</v>
      </c>
      <c r="O783">
        <v>574</v>
      </c>
      <c r="P783">
        <v>5.1697530864197497E-2</v>
      </c>
      <c r="Q783">
        <v>5.1860163399838698E-2</v>
      </c>
      <c r="R783">
        <v>0</v>
      </c>
      <c r="S783">
        <v>0</v>
      </c>
      <c r="T783" t="s">
        <v>49</v>
      </c>
      <c r="U783">
        <v>0.152830188679245</v>
      </c>
      <c r="V783">
        <v>0</v>
      </c>
      <c r="W783">
        <v>0</v>
      </c>
      <c r="X783">
        <v>0</v>
      </c>
      <c r="Y783">
        <v>2.73539777872348E-2</v>
      </c>
      <c r="Z783">
        <v>3.1018518518518501E-2</v>
      </c>
      <c r="AA783">
        <v>0</v>
      </c>
      <c r="AB783">
        <v>3.6646001040935523E-2</v>
      </c>
      <c r="AC783">
        <v>4.8600002191960812E-3</v>
      </c>
      <c r="AD783">
        <v>7.6529998332262039E-3</v>
      </c>
      <c r="AE783">
        <v>1.5500000445172191E-3</v>
      </c>
      <c r="AF783">
        <f>0.16*X783 + 0.28*Y783 + 0.28*Z783 + 0.28*AA783</f>
        <v>1.6344298965610925E-2</v>
      </c>
      <c r="AG783">
        <f t="shared" si="36"/>
        <v>9.8010001936927448E-3</v>
      </c>
      <c r="AH783">
        <f>IF(T783="IT_Admin", 0.25, IF(AND(T783="HR", AA783&gt;0.6), 0.25, IF(AND(T783="General", Z783&gt;0.7), 0.2, 0.1)))</f>
        <v>0.1</v>
      </c>
      <c r="AI783">
        <f>IF(V783&gt;0.7, 0.1,
 IF(F783&gt;0.5, 0.08,
 IF(E783&gt;0.5, 0.05,
 0)))</f>
        <v>0</v>
      </c>
      <c r="AJ783">
        <f t="shared" si="37"/>
        <v>1.1763989825268198E-2</v>
      </c>
      <c r="AK783">
        <f t="shared" si="38"/>
        <v>1.2940388807795019E-2</v>
      </c>
      <c r="AL783" t="str">
        <f>IF(MAX(X783, Y783, Z783, AA783)&gt;0.9,
 "Critical",
 IF(AK783&lt;=0.2,"Very Low",
 IF(AK783&lt;=0.4,"Low",
 IF(AK783&lt;=0.6,"Medium",
 IF(AK783&lt;=0.8,"High","Critical")))))</f>
        <v>Very Low</v>
      </c>
      <c r="AM783" t="str">
        <f>IF(MAX(X783:AA783)&gt;0.9,"CRITICAL ALERT",
 IF(AK783&gt;0.8,"CRITICAL ALERT",
 IF(AK783&gt;0.6,"ALERT",
 IF(AK783&gt;=0.4,"REVIEW","NO ACTION"))))</f>
        <v>NO ACTION</v>
      </c>
      <c r="AN783" t="str">
        <f>IF(AM783="NO ACTION","",
 IF(_xlfn.TEXTJOIN(", ", TRUE,
  IF(X783&gt;0.7,"Login anomaly",""),
  IF(Y783&gt;0.7,"File anomaly",""),
  IF(Z783&gt;0.7,"Network anomaly",""),
  IF(AA783&gt;0.7,"USB anomaly","")
 )="",
 "General anomaly detected",
 _xlfn.TEXTJOIN(", ", TRUE,
  IF(X783&gt;0.7,"Login anomaly",""),
  IF(Y783&gt;0.7,"File anomaly",""),
  IF(Z783&gt;0.7,"Network anomaly",""),
  IF(AA783&gt;0.7,"USB anomaly","")
 )))</f>
        <v/>
      </c>
    </row>
    <row r="784" spans="1:40" x14ac:dyDescent="0.3">
      <c r="A784" t="s">
        <v>807</v>
      </c>
      <c r="B784">
        <v>0.12892249527410199</v>
      </c>
      <c r="C784">
        <v>0.18476582604220201</v>
      </c>
      <c r="D784">
        <v>0</v>
      </c>
      <c r="E784">
        <v>0</v>
      </c>
      <c r="F784">
        <v>0</v>
      </c>
      <c r="G784">
        <v>0.99366826392263796</v>
      </c>
      <c r="H784">
        <v>7</v>
      </c>
      <c r="I784">
        <v>7</v>
      </c>
      <c r="J784">
        <v>7.36606077954296E-2</v>
      </c>
      <c r="K784">
        <v>1.2234910277324601E-2</v>
      </c>
      <c r="L784">
        <v>4.2290225561813E-2</v>
      </c>
      <c r="M784">
        <v>2.0202020202020202E-3</v>
      </c>
      <c r="N784">
        <v>1.6520270490573901E-2</v>
      </c>
      <c r="O784">
        <v>808</v>
      </c>
      <c r="P784">
        <v>6.0395622895622898E-2</v>
      </c>
      <c r="Q784">
        <v>6.0556120481082699E-2</v>
      </c>
      <c r="R784">
        <v>0</v>
      </c>
      <c r="S784">
        <v>0</v>
      </c>
      <c r="T784" t="s">
        <v>49</v>
      </c>
      <c r="U784">
        <v>3.1839622641509399E-2</v>
      </c>
      <c r="V784">
        <v>0</v>
      </c>
      <c r="W784">
        <v>0</v>
      </c>
      <c r="X784">
        <v>0</v>
      </c>
      <c r="Y784">
        <v>4.0833315487164602E-2</v>
      </c>
      <c r="Z784">
        <v>4.2845481933603297E-2</v>
      </c>
      <c r="AA784">
        <v>0</v>
      </c>
      <c r="AB784">
        <v>3.6657001823186867E-2</v>
      </c>
      <c r="AC784">
        <v>3.4000000596279278E-5</v>
      </c>
      <c r="AD784">
        <v>5.8450000360608101E-3</v>
      </c>
      <c r="AE784">
        <v>1.664999988861382E-3</v>
      </c>
      <c r="AF784">
        <f>0.16*X784 + 0.28*Y784 + 0.28*Z784 + 0.28*AA784</f>
        <v>2.3430063277815015E-2</v>
      </c>
      <c r="AG784">
        <f t="shared" si="36"/>
        <v>7.9774402988550715E-3</v>
      </c>
      <c r="AH784">
        <f>IF(T784="IT_Admin", 0.25, IF(AND(T784="HR", AA784&gt;0.6), 0.25, IF(AND(T784="General", Z784&gt;0.7), 0.2, 0.1)))</f>
        <v>0.1</v>
      </c>
      <c r="AI784">
        <f>IF(V784&gt;0.7, 0.1,
 IF(F784&gt;0.5, 0.08,
 IF(E784&gt;0.5, 0.05,
 0)))</f>
        <v>0</v>
      </c>
      <c r="AJ784">
        <f t="shared" si="37"/>
        <v>1.2613227192543054E-2</v>
      </c>
      <c r="AK784">
        <f t="shared" si="38"/>
        <v>1.387454991179736E-2</v>
      </c>
      <c r="AL784" t="str">
        <f>IF(MAX(X784, Y784, Z784, AA784)&gt;0.9,
 "Critical",
 IF(AK784&lt;=0.2,"Very Low",
 IF(AK784&lt;=0.4,"Low",
 IF(AK784&lt;=0.6,"Medium",
 IF(AK784&lt;=0.8,"High","Critical")))))</f>
        <v>Very Low</v>
      </c>
      <c r="AM784" t="str">
        <f>IF(MAX(X784:AA784)&gt;0.9,"CRITICAL ALERT",
 IF(AK784&gt;0.8,"CRITICAL ALERT",
 IF(AK784&gt;0.6,"ALERT",
 IF(AK784&gt;=0.4,"REVIEW","NO ACTION"))))</f>
        <v>NO ACTION</v>
      </c>
      <c r="AN784" t="str">
        <f>IF(AM784="NO ACTION","",
 IF(_xlfn.TEXTJOIN(", ", TRUE,
  IF(X784&gt;0.7,"Login anomaly",""),
  IF(Y784&gt;0.7,"File anomaly",""),
  IF(Z784&gt;0.7,"Network anomaly",""),
  IF(AA784&gt;0.7,"USB anomaly","")
 )="",
 "General anomaly detected",
 _xlfn.TEXTJOIN(", ", TRUE,
  IF(X784&gt;0.7,"Login anomaly",""),
  IF(Y784&gt;0.7,"File anomaly",""),
  IF(Z784&gt;0.7,"Network anomaly",""),
  IF(AA784&gt;0.7,"USB anomaly","")
 )))</f>
        <v/>
      </c>
    </row>
    <row r="785" spans="1:40" x14ac:dyDescent="0.3">
      <c r="A785" t="s">
        <v>808</v>
      </c>
      <c r="B785">
        <v>0.12892249527410199</v>
      </c>
      <c r="C785">
        <v>0.27527430314693302</v>
      </c>
      <c r="D785">
        <v>7.51173381640724E-2</v>
      </c>
      <c r="E785">
        <v>0</v>
      </c>
      <c r="F785">
        <v>0</v>
      </c>
      <c r="G785">
        <v>0.99365343738748602</v>
      </c>
      <c r="H785">
        <v>7</v>
      </c>
      <c r="I785">
        <v>8</v>
      </c>
      <c r="J785">
        <v>7.0321072467916607E-2</v>
      </c>
      <c r="K785">
        <v>1.2234910277324601E-2</v>
      </c>
      <c r="L785">
        <v>4.4291791342290901E-2</v>
      </c>
      <c r="M785">
        <v>5.7720057720057698E-4</v>
      </c>
      <c r="N785">
        <v>4.9434751260309003E-3</v>
      </c>
      <c r="O785">
        <v>785</v>
      </c>
      <c r="P785">
        <v>5.7239057239057201E-2</v>
      </c>
      <c r="Q785">
        <v>5.7400329604824801E-2</v>
      </c>
      <c r="R785">
        <v>0.28023598820058998</v>
      </c>
      <c r="S785">
        <v>1</v>
      </c>
      <c r="T785" t="s">
        <v>49</v>
      </c>
      <c r="U785">
        <v>8.4905660377358402E-2</v>
      </c>
      <c r="V785">
        <v>0</v>
      </c>
      <c r="W785">
        <v>0</v>
      </c>
      <c r="X785">
        <v>2.2535201449221699E-2</v>
      </c>
      <c r="Y785">
        <v>3.7693152702538001E-2</v>
      </c>
      <c r="Z785">
        <v>3.63208243938467E-2</v>
      </c>
      <c r="AA785">
        <v>0.28023598820058998</v>
      </c>
      <c r="AB785">
        <v>1.996799930930138E-2</v>
      </c>
      <c r="AC785">
        <v>8.3999999333173037E-4</v>
      </c>
      <c r="AD785">
        <v>6.370999850332737E-3</v>
      </c>
      <c r="AE785">
        <v>0.107234001159668</v>
      </c>
      <c r="AF785">
        <f>0.16*X785 + 0.28*Y785 + 0.28*Z785 + 0.28*AA785</f>
        <v>0.1027956225150284</v>
      </c>
      <c r="AG785">
        <f t="shared" si="36"/>
        <v>3.5239480170421313E-2</v>
      </c>
      <c r="AH785">
        <f>IF(T785="IT_Admin", 0.25, IF(AND(T785="HR", AA785&gt;0.6), 0.25, IF(AND(T785="General", Z785&gt;0.7), 0.2, 0.1)))</f>
        <v>0.1</v>
      </c>
      <c r="AI785">
        <f>IF(V785&gt;0.7, 0.1,
 IF(F785&gt;0.5, 0.08,
 IF(E785&gt;0.5, 0.05,
 0)))</f>
        <v>0</v>
      </c>
      <c r="AJ785">
        <f t="shared" si="37"/>
        <v>5.5506322873803436E-2</v>
      </c>
      <c r="AK785">
        <f t="shared" si="38"/>
        <v>6.1056955161183785E-2</v>
      </c>
      <c r="AL785" t="str">
        <f>IF(MAX(X785, Y785, Z785, AA785)&gt;0.9,
 "Critical",
 IF(AK785&lt;=0.2,"Very Low",
 IF(AK785&lt;=0.4,"Low",
 IF(AK785&lt;=0.6,"Medium",
 IF(AK785&lt;=0.8,"High","Critical")))))</f>
        <v>Very Low</v>
      </c>
      <c r="AM785" t="str">
        <f>IF(MAX(X785:AA785)&gt;0.9,"CRITICAL ALERT",
 IF(AK785&gt;0.8,"CRITICAL ALERT",
 IF(AK785&gt;0.6,"ALERT",
 IF(AK785&gt;=0.4,"REVIEW","NO ACTION"))))</f>
        <v>NO ACTION</v>
      </c>
      <c r="AN785" t="str">
        <f>IF(AM785="NO ACTION","",
 IF(_xlfn.TEXTJOIN(", ", TRUE,
  IF(X785&gt;0.7,"Login anomaly",""),
  IF(Y785&gt;0.7,"File anomaly",""),
  IF(Z785&gt;0.7,"Network anomaly",""),
  IF(AA785&gt;0.7,"USB anomaly","")
 )="",
 "General anomaly detected",
 _xlfn.TEXTJOIN(", ", TRUE,
  IF(X785&gt;0.7,"Login anomaly",""),
  IF(Y785&gt;0.7,"File anomaly",""),
  IF(Z785&gt;0.7,"Network anomaly",""),
  IF(AA785&gt;0.7,"USB anomaly","")
 )))</f>
        <v/>
      </c>
    </row>
    <row r="786" spans="1:40" x14ac:dyDescent="0.3">
      <c r="A786" t="s">
        <v>809</v>
      </c>
      <c r="B786">
        <v>0.12892249527410199</v>
      </c>
      <c r="C786">
        <v>0.36953165208440503</v>
      </c>
      <c r="D786">
        <v>0</v>
      </c>
      <c r="E786">
        <v>0</v>
      </c>
      <c r="F786">
        <v>0</v>
      </c>
      <c r="G786">
        <v>0.993682715780006</v>
      </c>
      <c r="H786">
        <v>8</v>
      </c>
      <c r="I786">
        <v>8</v>
      </c>
      <c r="J786">
        <v>7.0798148943275602E-2</v>
      </c>
      <c r="K786">
        <v>1.6313213703099499E-2</v>
      </c>
      <c r="L786">
        <v>5.8659108480186503E-2</v>
      </c>
      <c r="M786">
        <v>8.6580086580086504E-4</v>
      </c>
      <c r="N786">
        <v>7.3654127381461102E-3</v>
      </c>
      <c r="O786">
        <v>739</v>
      </c>
      <c r="P786">
        <v>5.9483726150392803E-2</v>
      </c>
      <c r="Q786">
        <v>5.9644447561274898E-2</v>
      </c>
      <c r="R786">
        <v>0</v>
      </c>
      <c r="S786">
        <v>0</v>
      </c>
      <c r="T786" t="s">
        <v>49</v>
      </c>
      <c r="U786">
        <v>8.4905660377358402E-2</v>
      </c>
      <c r="V786">
        <v>0</v>
      </c>
      <c r="W786">
        <v>0</v>
      </c>
      <c r="X786">
        <v>0</v>
      </c>
      <c r="Y786">
        <v>4.5698807850192202E-2</v>
      </c>
      <c r="Z786">
        <v>3.8636400785494102E-2</v>
      </c>
      <c r="AA786">
        <v>0</v>
      </c>
      <c r="AB786">
        <v>2.467699907720089E-2</v>
      </c>
      <c r="AC786">
        <v>8.7699998402968049E-4</v>
      </c>
      <c r="AD786">
        <v>6.2339999713003644E-3</v>
      </c>
      <c r="AE786">
        <v>1.766999950632453E-3</v>
      </c>
      <c r="AF786">
        <f>0.16*X786 + 0.28*Y786 + 0.28*Z786 + 0.28*AA786</f>
        <v>2.3613858417992167E-2</v>
      </c>
      <c r="AG786">
        <f t="shared" si="36"/>
        <v>6.4341598260216418E-3</v>
      </c>
      <c r="AH786">
        <f>IF(T786="IT_Admin", 0.25, IF(AND(T786="HR", AA786&gt;0.6), 0.25, IF(AND(T786="General", Z786&gt;0.7), 0.2, 0.1)))</f>
        <v>0.1</v>
      </c>
      <c r="AI786">
        <f>IF(V786&gt;0.7, 0.1,
 IF(F786&gt;0.5, 0.08,
 IF(E786&gt;0.5, 0.05,
 0)))</f>
        <v>0</v>
      </c>
      <c r="AJ786">
        <f t="shared" si="37"/>
        <v>1.1588069403612799E-2</v>
      </c>
      <c r="AK786">
        <f t="shared" si="38"/>
        <v>1.2746876343974079E-2</v>
      </c>
      <c r="AL786" t="str">
        <f>IF(MAX(X786, Y786, Z786, AA786)&gt;0.9,
 "Critical",
 IF(AK786&lt;=0.2,"Very Low",
 IF(AK786&lt;=0.4,"Low",
 IF(AK786&lt;=0.6,"Medium",
 IF(AK786&lt;=0.8,"High","Critical")))))</f>
        <v>Very Low</v>
      </c>
      <c r="AM786" t="str">
        <f>IF(MAX(X786:AA786)&gt;0.9,"CRITICAL ALERT",
 IF(AK786&gt;0.8,"CRITICAL ALERT",
 IF(AK786&gt;0.6,"ALERT",
 IF(AK786&gt;=0.4,"REVIEW","NO ACTION"))))</f>
        <v>NO ACTION</v>
      </c>
      <c r="AN786" t="str">
        <f>IF(AM786="NO ACTION","",
 IF(_xlfn.TEXTJOIN(", ", TRUE,
  IF(X786&gt;0.7,"Login anomaly",""),
  IF(Y786&gt;0.7,"File anomaly",""),
  IF(Z786&gt;0.7,"Network anomaly",""),
  IF(AA786&gt;0.7,"USB anomaly","")
 )="",
 "General anomaly detected",
 _xlfn.TEXTJOIN(", ", TRUE,
  IF(X786&gt;0.7,"Login anomaly",""),
  IF(Y786&gt;0.7,"File anomaly",""),
  IF(Z786&gt;0.7,"Network anomaly",""),
  IF(AA786&gt;0.7,"USB anomaly","")
 )))</f>
        <v/>
      </c>
    </row>
    <row r="787" spans="1:40" x14ac:dyDescent="0.3">
      <c r="A787" t="s">
        <v>810</v>
      </c>
      <c r="B787">
        <v>0.12892249527410199</v>
      </c>
      <c r="C787">
        <v>0.18476582604220201</v>
      </c>
      <c r="D787">
        <v>0</v>
      </c>
      <c r="E787">
        <v>0</v>
      </c>
      <c r="F787">
        <v>0</v>
      </c>
      <c r="G787">
        <v>0.99366422275511401</v>
      </c>
      <c r="H787">
        <v>7</v>
      </c>
      <c r="I787">
        <v>7</v>
      </c>
      <c r="J787">
        <v>0.10180811984161001</v>
      </c>
      <c r="K787">
        <v>1.7944535073409401E-2</v>
      </c>
      <c r="L787">
        <v>4.49171359418876E-2</v>
      </c>
      <c r="M787">
        <v>1.44300144300144E-3</v>
      </c>
      <c r="N787">
        <v>8.5453479562876394E-3</v>
      </c>
      <c r="O787">
        <v>715</v>
      </c>
      <c r="P787">
        <v>8.3263187429854099E-2</v>
      </c>
      <c r="Q787">
        <v>8.3418072162418005E-2</v>
      </c>
      <c r="R787">
        <v>0</v>
      </c>
      <c r="S787">
        <v>0</v>
      </c>
      <c r="T787" t="s">
        <v>24</v>
      </c>
      <c r="U787">
        <v>6.2264150943396199E-2</v>
      </c>
      <c r="V787">
        <v>0</v>
      </c>
      <c r="W787">
        <v>0</v>
      </c>
      <c r="X787">
        <v>0</v>
      </c>
      <c r="Y787">
        <v>4.53837963261522E-2</v>
      </c>
      <c r="Z787">
        <v>5.3376051640427503E-2</v>
      </c>
      <c r="AA787">
        <v>0</v>
      </c>
      <c r="AB787">
        <v>3.6619998514652252E-2</v>
      </c>
      <c r="AC787">
        <v>2.5000001187436283E-4</v>
      </c>
      <c r="AD787">
        <v>3.259999910369515E-3</v>
      </c>
      <c r="AE787">
        <v>1.475000055506825E-3</v>
      </c>
      <c r="AF787">
        <f>0.16*X787 + 0.28*Y787 + 0.28*Z787 + 0.28*AA787</f>
        <v>2.765275743064232E-2</v>
      </c>
      <c r="AG787">
        <f t="shared" si="36"/>
        <v>7.2549997561145571E-3</v>
      </c>
      <c r="AH787">
        <f>IF(T787="IT_Admin", 0.25, IF(AND(T787="HR", AA787&gt;0.6), 0.25, IF(AND(T787="General", Z787&gt;0.7), 0.2, 0.1)))</f>
        <v>0.25</v>
      </c>
      <c r="AI787">
        <f>IF(V787&gt;0.7, 0.1,
 IF(F787&gt;0.5, 0.08,
 IF(E787&gt;0.5, 0.05,
 0)))</f>
        <v>0</v>
      </c>
      <c r="AJ787">
        <f t="shared" si="37"/>
        <v>1.3374327058472886E-2</v>
      </c>
      <c r="AK787">
        <f t="shared" si="38"/>
        <v>1.6717908823091109E-2</v>
      </c>
      <c r="AL787" t="str">
        <f>IF(MAX(X787, Y787, Z787, AA787)&gt;0.9,
 "Critical",
 IF(AK787&lt;=0.2,"Very Low",
 IF(AK787&lt;=0.4,"Low",
 IF(AK787&lt;=0.6,"Medium",
 IF(AK787&lt;=0.8,"High","Critical")))))</f>
        <v>Very Low</v>
      </c>
      <c r="AM787" t="str">
        <f>IF(MAX(X787:AA787)&gt;0.9,"CRITICAL ALERT",
 IF(AK787&gt;0.8,"CRITICAL ALERT",
 IF(AK787&gt;0.6,"ALERT",
 IF(AK787&gt;=0.4,"REVIEW","NO ACTION"))))</f>
        <v>NO ACTION</v>
      </c>
      <c r="AN787" t="str">
        <f>IF(AM787="NO ACTION","",
 IF(_xlfn.TEXTJOIN(", ", TRUE,
  IF(X787&gt;0.7,"Login anomaly",""),
  IF(Y787&gt;0.7,"File anomaly",""),
  IF(Z787&gt;0.7,"Network anomaly",""),
  IF(AA787&gt;0.7,"USB anomaly","")
 )="",
 "General anomaly detected",
 _xlfn.TEXTJOIN(", ", TRUE,
  IF(X787&gt;0.7,"Login anomaly",""),
  IF(Y787&gt;0.7,"File anomaly",""),
  IF(Z787&gt;0.7,"Network anomaly",""),
  IF(AA787&gt;0.7,"USB anomaly","")
 )))</f>
        <v/>
      </c>
    </row>
    <row r="788" spans="1:40" x14ac:dyDescent="0.3">
      <c r="A788" t="s">
        <v>811</v>
      </c>
      <c r="B788">
        <v>0.12892249527410199</v>
      </c>
      <c r="C788">
        <v>0.18476582604220201</v>
      </c>
      <c r="D788">
        <v>0</v>
      </c>
      <c r="E788">
        <v>0</v>
      </c>
      <c r="F788">
        <v>0</v>
      </c>
      <c r="G788">
        <v>0.99369160099601805</v>
      </c>
      <c r="H788">
        <v>7</v>
      </c>
      <c r="I788">
        <v>7</v>
      </c>
      <c r="J788">
        <v>9.3411573875292198E-2</v>
      </c>
      <c r="K788">
        <v>3.4257748776508903E-2</v>
      </c>
      <c r="L788">
        <v>9.34392085107974E-2</v>
      </c>
      <c r="M788">
        <v>8.6580086580086504E-4</v>
      </c>
      <c r="N788">
        <v>5.5869075736625397E-3</v>
      </c>
      <c r="O788">
        <v>915</v>
      </c>
      <c r="P788">
        <v>8.3824354657688005E-2</v>
      </c>
      <c r="Q788">
        <v>8.3979101651530497E-2</v>
      </c>
      <c r="R788">
        <v>0</v>
      </c>
      <c r="S788">
        <v>0</v>
      </c>
      <c r="T788" t="s">
        <v>49</v>
      </c>
      <c r="U788">
        <v>0.17830188679245201</v>
      </c>
      <c r="V788">
        <v>0</v>
      </c>
      <c r="W788">
        <v>0</v>
      </c>
      <c r="X788">
        <v>0</v>
      </c>
      <c r="Y788">
        <v>6.70779913025559E-2</v>
      </c>
      <c r="Z788">
        <v>5.2529375824077802E-2</v>
      </c>
      <c r="AA788">
        <v>0</v>
      </c>
      <c r="AB788">
        <v>3.6853000521659851E-2</v>
      </c>
      <c r="AC788">
        <v>7.7470000833272934E-3</v>
      </c>
      <c r="AD788">
        <v>3.2639999408274889E-3</v>
      </c>
      <c r="AE788">
        <v>1.5620000194758179E-3</v>
      </c>
      <c r="AF788">
        <f>0.16*X788 + 0.28*Y788 + 0.28*Z788 + 0.28*AA788</f>
        <v>3.3490062795457437E-2</v>
      </c>
      <c r="AG788">
        <f t="shared" si="36"/>
        <v>9.416920095682145E-3</v>
      </c>
      <c r="AH788">
        <f>IF(T788="IT_Admin", 0.25, IF(AND(T788="HR", AA788&gt;0.6), 0.25, IF(AND(T788="General", Z788&gt;0.7), 0.2, 0.1)))</f>
        <v>0.1</v>
      </c>
      <c r="AI788">
        <f>IF(V788&gt;0.7, 0.1,
 IF(F788&gt;0.5, 0.08,
 IF(E788&gt;0.5, 0.05,
 0)))</f>
        <v>0</v>
      </c>
      <c r="AJ788">
        <f t="shared" si="37"/>
        <v>1.6638862905614733E-2</v>
      </c>
      <c r="AK788">
        <f t="shared" si="38"/>
        <v>1.8302749196176207E-2</v>
      </c>
      <c r="AL788" t="str">
        <f>IF(MAX(X788, Y788, Z788, AA788)&gt;0.9,
 "Critical",
 IF(AK788&lt;=0.2,"Very Low",
 IF(AK788&lt;=0.4,"Low",
 IF(AK788&lt;=0.6,"Medium",
 IF(AK788&lt;=0.8,"High","Critical")))))</f>
        <v>Very Low</v>
      </c>
      <c r="AM788" t="str">
        <f>IF(MAX(X788:AA788)&gt;0.9,"CRITICAL ALERT",
 IF(AK788&gt;0.8,"CRITICAL ALERT",
 IF(AK788&gt;0.6,"ALERT",
 IF(AK788&gt;=0.4,"REVIEW","NO ACTION"))))</f>
        <v>NO ACTION</v>
      </c>
      <c r="AN788" t="str">
        <f>IF(AM788="NO ACTION","",
 IF(_xlfn.TEXTJOIN(", ", TRUE,
  IF(X788&gt;0.7,"Login anomaly",""),
  IF(Y788&gt;0.7,"File anomaly",""),
  IF(Z788&gt;0.7,"Network anomaly",""),
  IF(AA788&gt;0.7,"USB anomaly","")
 )="",
 "General anomaly detected",
 _xlfn.TEXTJOIN(", ", TRUE,
  IF(X788&gt;0.7,"Login anomaly",""),
  IF(Y788&gt;0.7,"File anomaly",""),
  IF(Z788&gt;0.7,"Network anomaly",""),
  IF(AA788&gt;0.7,"USB anomaly","")
 )))</f>
        <v/>
      </c>
    </row>
    <row r="789" spans="1:40" x14ac:dyDescent="0.3">
      <c r="A789" t="s">
        <v>812</v>
      </c>
      <c r="B789">
        <v>0.12892249527410199</v>
      </c>
      <c r="C789">
        <v>0.18476582604220201</v>
      </c>
      <c r="D789">
        <v>0</v>
      </c>
      <c r="E789">
        <v>0</v>
      </c>
      <c r="F789">
        <v>0</v>
      </c>
      <c r="G789">
        <v>0.99368212700063197</v>
      </c>
      <c r="H789">
        <v>7</v>
      </c>
      <c r="I789">
        <v>7</v>
      </c>
      <c r="J789">
        <v>6.1161204141023801E-2</v>
      </c>
      <c r="K789">
        <v>1.1419249592169599E-2</v>
      </c>
      <c r="L789">
        <v>4.7506129579563697E-2</v>
      </c>
      <c r="M789">
        <v>0</v>
      </c>
      <c r="N789">
        <v>0</v>
      </c>
      <c r="O789">
        <v>616</v>
      </c>
      <c r="P789">
        <v>4.9873737373737299E-2</v>
      </c>
      <c r="Q789">
        <v>5.0036817560222997E-2</v>
      </c>
      <c r="R789">
        <v>0</v>
      </c>
      <c r="S789">
        <v>0</v>
      </c>
      <c r="T789" t="s">
        <v>49</v>
      </c>
      <c r="U789">
        <v>0.237735849056603</v>
      </c>
      <c r="V789">
        <v>0</v>
      </c>
      <c r="W789">
        <v>0</v>
      </c>
      <c r="X789">
        <v>0</v>
      </c>
      <c r="Y789">
        <v>3.5985305617986602E-2</v>
      </c>
      <c r="Z789">
        <v>2.9924242424242398E-2</v>
      </c>
      <c r="AA789">
        <v>0</v>
      </c>
      <c r="AB789">
        <v>3.6830998957157142E-2</v>
      </c>
      <c r="AC789">
        <v>1.383700035512447E-2</v>
      </c>
      <c r="AD789">
        <v>7.9330001026391983E-3</v>
      </c>
      <c r="AE789">
        <v>1.647999975830317E-3</v>
      </c>
      <c r="AF789">
        <f>0.16*X789 + 0.28*Y789 + 0.28*Z789 + 0.28*AA789</f>
        <v>1.8454673451824125E-2</v>
      </c>
      <c r="AG789">
        <f t="shared" si="36"/>
        <v>1.244999995455146E-2</v>
      </c>
      <c r="AH789">
        <f>IF(T789="IT_Admin", 0.25, IF(AND(T789="HR", AA789&gt;0.6), 0.25, IF(AND(T789="General", Z789&gt;0.7), 0.2, 0.1)))</f>
        <v>0.1</v>
      </c>
      <c r="AI789">
        <f>IF(V789&gt;0.7, 0.1,
 IF(F789&gt;0.5, 0.08,
 IF(E789&gt;0.5, 0.05,
 0)))</f>
        <v>0</v>
      </c>
      <c r="AJ789">
        <f t="shared" si="37"/>
        <v>1.425140200373326E-2</v>
      </c>
      <c r="AK789">
        <f t="shared" si="38"/>
        <v>1.5676542204106587E-2</v>
      </c>
      <c r="AL789" t="str">
        <f>IF(MAX(X789, Y789, Z789, AA789)&gt;0.9,
 "Critical",
 IF(AK789&lt;=0.2,"Very Low",
 IF(AK789&lt;=0.4,"Low",
 IF(AK789&lt;=0.6,"Medium",
 IF(AK789&lt;=0.8,"High","Critical")))))</f>
        <v>Very Low</v>
      </c>
      <c r="AM789" t="str">
        <f>IF(MAX(X789:AA789)&gt;0.9,"CRITICAL ALERT",
 IF(AK789&gt;0.8,"CRITICAL ALERT",
 IF(AK789&gt;0.6,"ALERT",
 IF(AK789&gt;=0.4,"REVIEW","NO ACTION"))))</f>
        <v>NO ACTION</v>
      </c>
      <c r="AN789" t="str">
        <f>IF(AM789="NO ACTION","",
 IF(_xlfn.TEXTJOIN(", ", TRUE,
  IF(X789&gt;0.7,"Login anomaly",""),
  IF(Y789&gt;0.7,"File anomaly",""),
  IF(Z789&gt;0.7,"Network anomaly",""),
  IF(AA789&gt;0.7,"USB anomaly","")
 )="",
 "General anomaly detected",
 _xlfn.TEXTJOIN(", ", TRUE,
  IF(X789&gt;0.7,"Login anomaly",""),
  IF(Y789&gt;0.7,"File anomaly",""),
  IF(Z789&gt;0.7,"Network anomaly",""),
  IF(AA789&gt;0.7,"USB anomaly","")
 )))</f>
        <v/>
      </c>
    </row>
    <row r="790" spans="1:40" x14ac:dyDescent="0.3">
      <c r="A790" t="s">
        <v>813</v>
      </c>
      <c r="B790">
        <v>0.23213610586011299</v>
      </c>
      <c r="C790">
        <v>0.83832261524649898</v>
      </c>
      <c r="D790">
        <v>0.359491928348249</v>
      </c>
      <c r="E790">
        <v>0</v>
      </c>
      <c r="F790">
        <v>0</v>
      </c>
      <c r="G790">
        <v>0.48851233022185903</v>
      </c>
      <c r="H790">
        <v>8</v>
      </c>
      <c r="I790">
        <v>15</v>
      </c>
      <c r="J790">
        <v>7.3422069557750103E-2</v>
      </c>
      <c r="K790">
        <v>8.9722675367047301E-3</v>
      </c>
      <c r="L790">
        <v>3.1113262234358001E-2</v>
      </c>
      <c r="M790">
        <v>1.44300144300144E-3</v>
      </c>
      <c r="N790">
        <v>1.1838406268458E-2</v>
      </c>
      <c r="O790">
        <v>660</v>
      </c>
      <c r="P790">
        <v>5.85367564534231E-2</v>
      </c>
      <c r="Q790">
        <v>5.8697710298397501E-2</v>
      </c>
      <c r="R790">
        <v>0</v>
      </c>
      <c r="S790">
        <v>0</v>
      </c>
      <c r="T790" t="s">
        <v>49</v>
      </c>
      <c r="U790">
        <v>3.1132075471698099E-2</v>
      </c>
      <c r="V790">
        <v>0</v>
      </c>
      <c r="W790">
        <v>0</v>
      </c>
      <c r="X790">
        <v>0.107847578504474</v>
      </c>
      <c r="Y790">
        <v>3.3792566909266401E-2</v>
      </c>
      <c r="Z790">
        <v>3.9857416379437099E-2</v>
      </c>
      <c r="AA790">
        <v>0</v>
      </c>
      <c r="AB790">
        <v>4.6604998409748077E-2</v>
      </c>
      <c r="AC790">
        <v>1.460000057704747E-4</v>
      </c>
      <c r="AD790">
        <v>5.9259999543428421E-3</v>
      </c>
      <c r="AE790">
        <v>7.2479997761547574E-3</v>
      </c>
      <c r="AF790">
        <f>0.16*X790 + 0.28*Y790 + 0.28*Z790 + 0.28*AA790</f>
        <v>3.7877607881552824E-2</v>
      </c>
      <c r="AG790">
        <f t="shared" si="36"/>
        <v>1.1186399671714753E-2</v>
      </c>
      <c r="AH790">
        <f>IF(T790="IT_Admin", 0.25, IF(AND(T790="HR", AA790&gt;0.6), 0.25, IF(AND(T790="General", Z790&gt;0.7), 0.2, 0.1)))</f>
        <v>0.1</v>
      </c>
      <c r="AI790">
        <f>IF(V790&gt;0.7, 0.1,
 IF(F790&gt;0.5, 0.08,
 IF(E790&gt;0.5, 0.05,
 0)))</f>
        <v>0</v>
      </c>
      <c r="AJ790">
        <f t="shared" si="37"/>
        <v>1.9193762134666174E-2</v>
      </c>
      <c r="AK790">
        <f t="shared" si="38"/>
        <v>2.1113138348132793E-2</v>
      </c>
      <c r="AL790" t="str">
        <f>IF(MAX(X790, Y790, Z790, AA790)&gt;0.9,
 "Critical",
 IF(AK790&lt;=0.2,"Very Low",
 IF(AK790&lt;=0.4,"Low",
 IF(AK790&lt;=0.6,"Medium",
 IF(AK790&lt;=0.8,"High","Critical")))))</f>
        <v>Very Low</v>
      </c>
      <c r="AM790" t="str">
        <f>IF(MAX(X790:AA790)&gt;0.9,"CRITICAL ALERT",
 IF(AK790&gt;0.8,"CRITICAL ALERT",
 IF(AK790&gt;0.6,"ALERT",
 IF(AK790&gt;=0.4,"REVIEW","NO ACTION"))))</f>
        <v>NO ACTION</v>
      </c>
      <c r="AN790" t="str">
        <f>IF(AM790="NO ACTION","",
 IF(_xlfn.TEXTJOIN(", ", TRUE,
  IF(X790&gt;0.7,"Login anomaly",""),
  IF(Y790&gt;0.7,"File anomaly",""),
  IF(Z790&gt;0.7,"Network anomaly",""),
  IF(AA790&gt;0.7,"USB anomaly","")
 )="",
 "General anomaly detected",
 _xlfn.TEXTJOIN(", ", TRUE,
  IF(X790&gt;0.7,"Login anomaly",""),
  IF(Y790&gt;0.7,"File anomaly",""),
  IF(Z790&gt;0.7,"Network anomaly",""),
  IF(AA790&gt;0.7,"USB anomaly","")
 )))</f>
        <v/>
      </c>
    </row>
    <row r="791" spans="1:40" x14ac:dyDescent="0.3">
      <c r="A791" t="s">
        <v>814</v>
      </c>
      <c r="B791">
        <v>0.12665406427221099</v>
      </c>
      <c r="C791">
        <v>0.45837185752652598</v>
      </c>
      <c r="D791">
        <v>7.5079471950386598E-2</v>
      </c>
      <c r="E791">
        <v>0</v>
      </c>
      <c r="F791">
        <v>0</v>
      </c>
      <c r="G791">
        <v>0.99510718148699395</v>
      </c>
      <c r="H791">
        <v>8</v>
      </c>
      <c r="I791">
        <v>9</v>
      </c>
      <c r="J791">
        <v>7.9385525499737597E-2</v>
      </c>
      <c r="K791">
        <v>1.0603588907014599E-2</v>
      </c>
      <c r="L791">
        <v>3.4016308054253201E-2</v>
      </c>
      <c r="M791">
        <v>2.0202020202020202E-3</v>
      </c>
      <c r="N791">
        <v>1.5332473930436699E-2</v>
      </c>
      <c r="O791">
        <v>624</v>
      </c>
      <c r="P791">
        <v>6.3902918069584702E-2</v>
      </c>
      <c r="Q791">
        <v>6.4062554788036005E-2</v>
      </c>
      <c r="R791">
        <v>0</v>
      </c>
      <c r="S791">
        <v>0</v>
      </c>
      <c r="T791" t="s">
        <v>49</v>
      </c>
      <c r="U791">
        <v>2.75943396226415E-2</v>
      </c>
      <c r="V791">
        <v>0</v>
      </c>
      <c r="W791">
        <v>0</v>
      </c>
      <c r="X791">
        <v>2.2523841585116E-2</v>
      </c>
      <c r="Y791">
        <v>3.74850013062051E-2</v>
      </c>
      <c r="Z791">
        <v>4.4474740413925497E-2</v>
      </c>
      <c r="AA791">
        <v>0</v>
      </c>
      <c r="AB791">
        <v>1.387900020927191E-2</v>
      </c>
      <c r="AC791">
        <v>9.7999996796716005E-5</v>
      </c>
      <c r="AD791">
        <v>5.3159999661147586E-3</v>
      </c>
      <c r="AE791">
        <v>2.9599999543279409E-3</v>
      </c>
      <c r="AF791">
        <f>0.16*X791 + 0.28*Y791 + 0.28*Z791 + 0.28*AA791</f>
        <v>2.6552542335255131E-2</v>
      </c>
      <c r="AG791">
        <f t="shared" si="36"/>
        <v>4.5653600103105424E-3</v>
      </c>
      <c r="AH791">
        <f>IF(T791="IT_Admin", 0.25, IF(AND(T791="HR", AA791&gt;0.6), 0.25, IF(AND(T791="General", Z791&gt;0.7), 0.2, 0.1)))</f>
        <v>0.1</v>
      </c>
      <c r="AI791">
        <f>IF(V791&gt;0.7, 0.1,
 IF(F791&gt;0.5, 0.08,
 IF(E791&gt;0.5, 0.05,
 0)))</f>
        <v>0</v>
      </c>
      <c r="AJ791">
        <f t="shared" si="37"/>
        <v>1.1161514707793918E-2</v>
      </c>
      <c r="AK791">
        <f t="shared" si="38"/>
        <v>1.227766617857331E-2</v>
      </c>
      <c r="AL791" t="str">
        <f>IF(MAX(X791, Y791, Z791, AA791)&gt;0.9,
 "Critical",
 IF(AK791&lt;=0.2,"Very Low",
 IF(AK791&lt;=0.4,"Low",
 IF(AK791&lt;=0.6,"Medium",
 IF(AK791&lt;=0.8,"High","Critical")))))</f>
        <v>Very Low</v>
      </c>
      <c r="AM791" t="str">
        <f>IF(MAX(X791:AA791)&gt;0.9,"CRITICAL ALERT",
 IF(AK791&gt;0.8,"CRITICAL ALERT",
 IF(AK791&gt;0.6,"ALERT",
 IF(AK791&gt;=0.4,"REVIEW","NO ACTION"))))</f>
        <v>NO ACTION</v>
      </c>
      <c r="AN791" t="str">
        <f>IF(AM791="NO ACTION","",
 IF(_xlfn.TEXTJOIN(", ", TRUE,
  IF(X791&gt;0.7,"Login anomaly",""),
  IF(Y791&gt;0.7,"File anomaly",""),
  IF(Z791&gt;0.7,"Network anomaly",""),
  IF(AA791&gt;0.7,"USB anomaly","")
 )="",
 "General anomaly detected",
 _xlfn.TEXTJOIN(", ", TRUE,
  IF(X791&gt;0.7,"Login anomaly",""),
  IF(Y791&gt;0.7,"File anomaly",""),
  IF(Z791&gt;0.7,"Network anomaly",""),
  IF(AA791&gt;0.7,"USB anomaly","")
 )))</f>
        <v/>
      </c>
    </row>
    <row r="792" spans="1:40" x14ac:dyDescent="0.3">
      <c r="A792" t="s">
        <v>815</v>
      </c>
      <c r="B792">
        <v>0.23137996219281601</v>
      </c>
      <c r="C792">
        <v>0.55069814385305804</v>
      </c>
      <c r="D792">
        <v>0.346085056714457</v>
      </c>
      <c r="E792">
        <v>0</v>
      </c>
      <c r="F792">
        <v>0</v>
      </c>
      <c r="G792">
        <v>0.49058343069650201</v>
      </c>
      <c r="H792">
        <v>7</v>
      </c>
      <c r="I792">
        <v>13</v>
      </c>
      <c r="J792">
        <v>8.1341539048709499E-2</v>
      </c>
      <c r="K792">
        <v>9.7879282218597003E-3</v>
      </c>
      <c r="L792">
        <v>3.06468114129816E-2</v>
      </c>
      <c r="M792">
        <v>2.59740259740259E-3</v>
      </c>
      <c r="N792">
        <v>1.9240525556314999E-2</v>
      </c>
      <c r="O792">
        <v>844</v>
      </c>
      <c r="P792">
        <v>6.5270763187429803E-2</v>
      </c>
      <c r="Q792">
        <v>6.5430064167747798E-2</v>
      </c>
      <c r="R792">
        <v>0</v>
      </c>
      <c r="S792">
        <v>0</v>
      </c>
      <c r="T792" t="s">
        <v>49</v>
      </c>
      <c r="U792">
        <v>2.0377358490565999E-2</v>
      </c>
      <c r="V792">
        <v>0</v>
      </c>
      <c r="W792">
        <v>0</v>
      </c>
      <c r="X792">
        <v>0.103825517014337</v>
      </c>
      <c r="Y792">
        <v>3.7363871183127201E-2</v>
      </c>
      <c r="Z792">
        <v>4.6858668134983898E-2</v>
      </c>
      <c r="AA792">
        <v>0</v>
      </c>
      <c r="AB792">
        <v>1.480599958449602E-2</v>
      </c>
      <c r="AC792">
        <v>1.7299999308306721E-4</v>
      </c>
      <c r="AD792">
        <v>4.8639997839927673E-3</v>
      </c>
      <c r="AE792">
        <v>6.1409999616444111E-3</v>
      </c>
      <c r="AF792">
        <f>0.16*X792 + 0.28*Y792 + 0.28*Z792 + 0.28*AA792</f>
        <v>4.0194393731365033E-2</v>
      </c>
      <c r="AG792">
        <f t="shared" si="36"/>
        <v>5.4987998603610319E-3</v>
      </c>
      <c r="AH792">
        <f>IF(T792="IT_Admin", 0.25, IF(AND(T792="HR", AA792&gt;0.6), 0.25, IF(AND(T792="General", Z792&gt;0.7), 0.2, 0.1)))</f>
        <v>0.1</v>
      </c>
      <c r="AI792">
        <f>IF(V792&gt;0.7, 0.1,
 IF(F792&gt;0.5, 0.08,
 IF(E792&gt;0.5, 0.05,
 0)))</f>
        <v>0</v>
      </c>
      <c r="AJ792">
        <f t="shared" si="37"/>
        <v>1.5907478021662234E-2</v>
      </c>
      <c r="AK792">
        <f t="shared" si="38"/>
        <v>1.749822582382846E-2</v>
      </c>
      <c r="AL792" t="str">
        <f>IF(MAX(X792, Y792, Z792, AA792)&gt;0.9,
 "Critical",
 IF(AK792&lt;=0.2,"Very Low",
 IF(AK792&lt;=0.4,"Low",
 IF(AK792&lt;=0.6,"Medium",
 IF(AK792&lt;=0.8,"High","Critical")))))</f>
        <v>Very Low</v>
      </c>
      <c r="AM792" t="str">
        <f>IF(MAX(X792:AA792)&gt;0.9,"CRITICAL ALERT",
 IF(AK792&gt;0.8,"CRITICAL ALERT",
 IF(AK792&gt;0.6,"ALERT",
 IF(AK792&gt;=0.4,"REVIEW","NO ACTION"))))</f>
        <v>NO ACTION</v>
      </c>
      <c r="AN792" t="str">
        <f>IF(AM792="NO ACTION","",
 IF(_xlfn.TEXTJOIN(", ", TRUE,
  IF(X792&gt;0.7,"Login anomaly",""),
  IF(Y792&gt;0.7,"File anomaly",""),
  IF(Z792&gt;0.7,"Network anomaly",""),
  IF(AA792&gt;0.7,"USB anomaly","")
 )="",
 "General anomaly detected",
 _xlfn.TEXTJOIN(", ", TRUE,
  IF(X792&gt;0.7,"Login anomaly",""),
  IF(Y792&gt;0.7,"File anomaly",""),
  IF(Z792&gt;0.7,"Network anomaly",""),
  IF(AA792&gt;0.7,"USB anomaly","")
 )))</f>
        <v/>
      </c>
    </row>
    <row r="793" spans="1:40" x14ac:dyDescent="0.3">
      <c r="A793" t="s">
        <v>816</v>
      </c>
      <c r="B793">
        <v>0.14858223062381801</v>
      </c>
      <c r="C793">
        <v>0.173596103561062</v>
      </c>
      <c r="D793">
        <v>0.21173665844287801</v>
      </c>
      <c r="E793">
        <v>0</v>
      </c>
      <c r="F793">
        <v>0.435768261964735</v>
      </c>
      <c r="G793">
        <v>0.84368785647934497</v>
      </c>
      <c r="H793">
        <v>6</v>
      </c>
      <c r="I793">
        <v>13</v>
      </c>
      <c r="J793">
        <v>6.2163064739277699E-2</v>
      </c>
      <c r="K793">
        <v>7.34094616639478E-3</v>
      </c>
      <c r="L793">
        <v>3.0049339172132199E-2</v>
      </c>
      <c r="M793">
        <v>1.44300144300144E-3</v>
      </c>
      <c r="N793">
        <v>1.39743878275988E-2</v>
      </c>
      <c r="O793">
        <v>688</v>
      </c>
      <c r="P793">
        <v>4.9558080808080801E-2</v>
      </c>
      <c r="Q793">
        <v>4.9721238472597198E-2</v>
      </c>
      <c r="R793">
        <v>0.58259587020648895</v>
      </c>
      <c r="S793">
        <v>1</v>
      </c>
      <c r="T793" t="s">
        <v>49</v>
      </c>
      <c r="U793">
        <v>2.54716981132075E-2</v>
      </c>
      <c r="V793">
        <v>0</v>
      </c>
      <c r="W793">
        <v>0.42732160293451199</v>
      </c>
      <c r="X793">
        <v>0.23782830231875701</v>
      </c>
      <c r="Y793">
        <v>3.1649598882201299E-2</v>
      </c>
      <c r="Z793">
        <v>3.5324603615888003E-2</v>
      </c>
      <c r="AA793">
        <v>0.58259587020648895</v>
      </c>
      <c r="AB793">
        <v>2.7989000082015991E-2</v>
      </c>
      <c r="AC793">
        <v>2.0700000459328291E-4</v>
      </c>
      <c r="AD793">
        <v>6.5080001950263977E-3</v>
      </c>
      <c r="AE793">
        <v>0.3248240053653717</v>
      </c>
      <c r="AF793">
        <f>0.16*X793 + 0.28*Y793 + 0.28*Z793 + 0.28*AA793</f>
        <v>0.21993214872828307</v>
      </c>
      <c r="AG793">
        <f t="shared" si="36"/>
        <v>9.7309161571320149E-2</v>
      </c>
      <c r="AH793">
        <f>IF(T793="IT_Admin", 0.25, IF(AND(T793="HR", AA793&gt;0.6), 0.25, IF(AND(T793="General", Z793&gt;0.7), 0.2, 0.1)))</f>
        <v>0.1</v>
      </c>
      <c r="AI793">
        <f>IF(V793&gt;0.7, 0.1,
 IF(F793&gt;0.5, 0.08,
 IF(E793&gt;0.5, 0.05,
 0)))</f>
        <v>0</v>
      </c>
      <c r="AJ793">
        <f t="shared" si="37"/>
        <v>0.13409605771840902</v>
      </c>
      <c r="AK793">
        <f t="shared" si="38"/>
        <v>0.14750566349024993</v>
      </c>
      <c r="AL793" t="str">
        <f>IF(MAX(X793, Y793, Z793, AA793)&gt;0.9,
 "Critical",
 IF(AK793&lt;=0.2,"Very Low",
 IF(AK793&lt;=0.4,"Low",
 IF(AK793&lt;=0.6,"Medium",
 IF(AK793&lt;=0.8,"High","Critical")))))</f>
        <v>Very Low</v>
      </c>
      <c r="AM793" t="str">
        <f>IF(MAX(X793:AA793)&gt;0.9,"CRITICAL ALERT",
 IF(AK793&gt;0.8,"CRITICAL ALERT",
 IF(AK793&gt;0.6,"ALERT",
 IF(AK793&gt;=0.4,"REVIEW","NO ACTION"))))</f>
        <v>NO ACTION</v>
      </c>
      <c r="AN793" t="str">
        <f>IF(AM793="NO ACTION","",
 IF(_xlfn.TEXTJOIN(", ", TRUE,
  IF(X793&gt;0.7,"Login anomaly",""),
  IF(Y793&gt;0.7,"File anomaly",""),
  IF(Z793&gt;0.7,"Network anomaly",""),
  IF(AA793&gt;0.7,"USB anomaly","")
 )="",
 "General anomaly detected",
 _xlfn.TEXTJOIN(", ", TRUE,
  IF(X793&gt;0.7,"Login anomaly",""),
  IF(Y793&gt;0.7,"File anomaly",""),
  IF(Z793&gt;0.7,"Network anomaly",""),
  IF(AA793&gt;0.7,"USB anomaly","")
 )))</f>
        <v/>
      </c>
    </row>
    <row r="794" spans="1:40" x14ac:dyDescent="0.3">
      <c r="A794" t="s">
        <v>817</v>
      </c>
      <c r="B794">
        <v>0.22155009451795801</v>
      </c>
      <c r="C794">
        <v>0.72872894440712799</v>
      </c>
      <c r="D794">
        <v>0.342850728629851</v>
      </c>
      <c r="E794">
        <v>0</v>
      </c>
      <c r="F794">
        <v>0</v>
      </c>
      <c r="G794">
        <v>0.49848282904563601</v>
      </c>
      <c r="H794">
        <v>8</v>
      </c>
      <c r="I794">
        <v>14</v>
      </c>
      <c r="J794">
        <v>6.07795429607366E-2</v>
      </c>
      <c r="K794">
        <v>6.5252854812398002E-3</v>
      </c>
      <c r="L794">
        <v>2.731615716247E-2</v>
      </c>
      <c r="M794">
        <v>1.7316017316017301E-3</v>
      </c>
      <c r="N794">
        <v>1.7149491113525501E-2</v>
      </c>
      <c r="O794">
        <v>659</v>
      </c>
      <c r="P794">
        <v>4.8330527497194103E-2</v>
      </c>
      <c r="Q794">
        <v>4.8493986465163501E-2</v>
      </c>
      <c r="R794">
        <v>0.66371681415929196</v>
      </c>
      <c r="S794">
        <v>1</v>
      </c>
      <c r="T794" t="s">
        <v>49</v>
      </c>
      <c r="U794">
        <v>1.94070080862533E-2</v>
      </c>
      <c r="V794">
        <v>0</v>
      </c>
      <c r="W794">
        <v>0</v>
      </c>
      <c r="X794">
        <v>0.10285521858895499</v>
      </c>
      <c r="Y794">
        <v>3.09588345074399E-2</v>
      </c>
      <c r="Z794">
        <v>3.5858112943726698E-2</v>
      </c>
      <c r="AA794">
        <v>0.66371681415929196</v>
      </c>
      <c r="AB794">
        <v>2.859999984502792E-2</v>
      </c>
      <c r="AC794">
        <v>2.899999963119626E-4</v>
      </c>
      <c r="AD794">
        <v>6.7289997823536396E-3</v>
      </c>
      <c r="AE794">
        <v>0.43425199389457703</v>
      </c>
      <c r="AF794">
        <f>0.16*X794 + 0.28*Y794 + 0.28*Z794 + 0.28*AA794</f>
        <v>0.22100628822516122</v>
      </c>
      <c r="AG794">
        <f t="shared" si="36"/>
        <v>0.12813187820371241</v>
      </c>
      <c r="AH794">
        <f>IF(T794="IT_Admin", 0.25, IF(AND(T794="HR", AA794&gt;0.6), 0.25, IF(AND(T794="General", Z794&gt;0.7), 0.2, 0.1)))</f>
        <v>0.1</v>
      </c>
      <c r="AI794">
        <f>IF(V794&gt;0.7, 0.1,
 IF(F794&gt;0.5, 0.08,
 IF(E794&gt;0.5, 0.05,
 0)))</f>
        <v>0</v>
      </c>
      <c r="AJ794">
        <f t="shared" si="37"/>
        <v>0.15599420121014707</v>
      </c>
      <c r="AK794">
        <f t="shared" si="38"/>
        <v>0.17159362133116179</v>
      </c>
      <c r="AL794" t="str">
        <f>IF(MAX(X794, Y794, Z794, AA794)&gt;0.9,
 "Critical",
 IF(AK794&lt;=0.2,"Very Low",
 IF(AK794&lt;=0.4,"Low",
 IF(AK794&lt;=0.6,"Medium",
 IF(AK794&lt;=0.8,"High","Critical")))))</f>
        <v>Very Low</v>
      </c>
      <c r="AM794" t="str">
        <f>IF(MAX(X794:AA794)&gt;0.9,"CRITICAL ALERT",
 IF(AK794&gt;0.8,"CRITICAL ALERT",
 IF(AK794&gt;0.6,"ALERT",
 IF(AK794&gt;=0.4,"REVIEW","NO ACTION"))))</f>
        <v>NO ACTION</v>
      </c>
      <c r="AN794" t="str">
        <f>IF(AM794="NO ACTION","",
 IF(_xlfn.TEXTJOIN(", ", TRUE,
  IF(X794&gt;0.7,"Login anomaly",""),
  IF(Y794&gt;0.7,"File anomaly",""),
  IF(Z794&gt;0.7,"Network anomaly",""),
  IF(AA794&gt;0.7,"USB anomaly","")
 )="",
 "General anomaly detected",
 _xlfn.TEXTJOIN(", ", TRUE,
  IF(X794&gt;0.7,"Login anomaly",""),
  IF(Y794&gt;0.7,"File anomaly",""),
  IF(Z794&gt;0.7,"Network anomaly",""),
  IF(AA794&gt;0.7,"USB anomaly","")
 )))</f>
        <v/>
      </c>
    </row>
    <row r="795" spans="1:40" x14ac:dyDescent="0.3">
      <c r="A795" t="s">
        <v>818</v>
      </c>
      <c r="B795">
        <v>4.9905482041587901E-2</v>
      </c>
      <c r="C795">
        <v>0.28665874481547599</v>
      </c>
      <c r="D795">
        <v>7.4901149595576394E-2</v>
      </c>
      <c r="E795">
        <v>0</v>
      </c>
      <c r="F795">
        <v>0</v>
      </c>
      <c r="G795">
        <v>0.98270516620248605</v>
      </c>
      <c r="H795">
        <v>7</v>
      </c>
      <c r="I795">
        <v>8</v>
      </c>
      <c r="J795">
        <v>1.37875101378751E-2</v>
      </c>
      <c r="K795">
        <v>1.6313213703099501E-3</v>
      </c>
      <c r="L795">
        <v>2.97086437166659E-2</v>
      </c>
      <c r="M795">
        <v>2.88600288600288E-4</v>
      </c>
      <c r="N795">
        <v>1.24343532506797E-2</v>
      </c>
      <c r="O795">
        <v>186</v>
      </c>
      <c r="P795">
        <v>1.0977833894500501E-2</v>
      </c>
      <c r="Q795">
        <v>1.11504610961113E-2</v>
      </c>
      <c r="R795">
        <v>0</v>
      </c>
      <c r="S795">
        <v>0</v>
      </c>
      <c r="T795" t="s">
        <v>49</v>
      </c>
      <c r="U795">
        <v>1.6981132075471601E-2</v>
      </c>
      <c r="V795">
        <v>0</v>
      </c>
      <c r="W795">
        <v>0</v>
      </c>
      <c r="X795">
        <v>2.2470344878672902E-2</v>
      </c>
      <c r="Y795">
        <v>2.1342129861111898E-2</v>
      </c>
      <c r="Z795">
        <v>1.15604416369722E-2</v>
      </c>
      <c r="AA795">
        <v>0</v>
      </c>
      <c r="AB795">
        <v>3.02130002528429E-2</v>
      </c>
      <c r="AC795">
        <v>5.6199997197836637E-4</v>
      </c>
      <c r="AD795">
        <v>1.482599973678589E-2</v>
      </c>
      <c r="AE795">
        <v>2.68599996343255E-3</v>
      </c>
      <c r="AF795">
        <f>0.16*X795 + 0.28*Y795 + 0.28*Z795 + 0.28*AA795</f>
        <v>1.2807975200051214E-2</v>
      </c>
      <c r="AG795">
        <f t="shared" si="36"/>
        <v>9.89479994866997E-3</v>
      </c>
      <c r="AH795">
        <f>IF(T795="IT_Admin", 0.25, IF(AND(T795="HR", AA795&gt;0.6), 0.25, IF(AND(T795="General", Z795&gt;0.7), 0.2, 0.1)))</f>
        <v>0.1</v>
      </c>
      <c r="AI795">
        <f>IF(V795&gt;0.7, 0.1,
 IF(F795&gt;0.5, 0.08,
 IF(E795&gt;0.5, 0.05,
 0)))</f>
        <v>0</v>
      </c>
      <c r="AJ795">
        <f t="shared" si="37"/>
        <v>1.0768752524084341E-2</v>
      </c>
      <c r="AK795">
        <f t="shared" si="38"/>
        <v>1.1845627776492777E-2</v>
      </c>
      <c r="AL795" t="str">
        <f>IF(MAX(X795, Y795, Z795, AA795)&gt;0.9,
 "Critical",
 IF(AK795&lt;=0.2,"Very Low",
 IF(AK795&lt;=0.4,"Low",
 IF(AK795&lt;=0.6,"Medium",
 IF(AK795&lt;=0.8,"High","Critical")))))</f>
        <v>Very Low</v>
      </c>
      <c r="AM795" t="str">
        <f>IF(MAX(X795:AA795)&gt;0.9,"CRITICAL ALERT",
 IF(AK795&gt;0.8,"CRITICAL ALERT",
 IF(AK795&gt;0.6,"ALERT",
 IF(AK795&gt;=0.4,"REVIEW","NO ACTION"))))</f>
        <v>NO ACTION</v>
      </c>
      <c r="AN795" t="str">
        <f>IF(AM795="NO ACTION","",
 IF(_xlfn.TEXTJOIN(", ", TRUE,
  IF(X795&gt;0.7,"Login anomaly",""),
  IF(Y795&gt;0.7,"File anomaly",""),
  IF(Z795&gt;0.7,"Network anomaly",""),
  IF(AA795&gt;0.7,"USB anomaly","")
 )="",
 "General anomaly detected",
 _xlfn.TEXTJOIN(", ", TRUE,
  IF(X795&gt;0.7,"Login anomaly",""),
  IF(Y795&gt;0.7,"File anomaly",""),
  IF(Z795&gt;0.7,"Network anomaly",""),
  IF(AA795&gt;0.7,"USB anomaly","")
 )))</f>
        <v/>
      </c>
    </row>
    <row r="796" spans="1:40" x14ac:dyDescent="0.3">
      <c r="A796" t="s">
        <v>819</v>
      </c>
      <c r="B796">
        <v>0.12892249527410199</v>
      </c>
      <c r="C796">
        <v>0.36953165208440503</v>
      </c>
      <c r="D796">
        <v>0</v>
      </c>
      <c r="E796">
        <v>0</v>
      </c>
      <c r="F796">
        <v>0</v>
      </c>
      <c r="G796">
        <v>0.99368418772844203</v>
      </c>
      <c r="H796">
        <v>8</v>
      </c>
      <c r="I796">
        <v>8</v>
      </c>
      <c r="J796">
        <v>9.8754830399313001E-2</v>
      </c>
      <c r="K796">
        <v>1.7944535073409401E-2</v>
      </c>
      <c r="L796">
        <v>4.6302531942022898E-2</v>
      </c>
      <c r="M796">
        <v>4.6176046176046098E-3</v>
      </c>
      <c r="N796">
        <v>2.81885290078061E-2</v>
      </c>
      <c r="O796">
        <v>950</v>
      </c>
      <c r="P796">
        <v>8.2561728395061706E-2</v>
      </c>
      <c r="Q796">
        <v>8.2716785301027301E-2</v>
      </c>
      <c r="R796">
        <v>0</v>
      </c>
      <c r="S796">
        <v>0</v>
      </c>
      <c r="T796" t="s">
        <v>24</v>
      </c>
      <c r="U796">
        <v>2.19755826859045E-2</v>
      </c>
      <c r="V796">
        <v>0</v>
      </c>
      <c r="W796">
        <v>0</v>
      </c>
      <c r="X796">
        <v>0</v>
      </c>
      <c r="Y796">
        <v>5.1358790753215901E-2</v>
      </c>
      <c r="Z796">
        <v>6.0812448640159403E-2</v>
      </c>
      <c r="AA796">
        <v>0</v>
      </c>
      <c r="AB796">
        <v>2.467099949717522E-2</v>
      </c>
      <c r="AC796">
        <v>8.7000000348780304E-5</v>
      </c>
      <c r="AD796">
        <v>2.9239999130368228E-3</v>
      </c>
      <c r="AE796">
        <v>1.39999995008111E-3</v>
      </c>
      <c r="AF796">
        <f>0.16*X796 + 0.28*Y796 + 0.28*Z796 + 0.28*AA796</f>
        <v>3.1407947030145086E-2</v>
      </c>
      <c r="AG796">
        <f t="shared" si="36"/>
        <v>5.1824398813187147E-3</v>
      </c>
      <c r="AH796">
        <f>IF(T796="IT_Admin", 0.25, IF(AND(T796="HR", AA796&gt;0.6), 0.25, IF(AND(T796="General", Z796&gt;0.7), 0.2, 0.1)))</f>
        <v>0.25</v>
      </c>
      <c r="AI796">
        <f>IF(V796&gt;0.7, 0.1,
 IF(F796&gt;0.5, 0.08,
 IF(E796&gt;0.5, 0.05,
 0)))</f>
        <v>0</v>
      </c>
      <c r="AJ796">
        <f t="shared" si="37"/>
        <v>1.3050092025966624E-2</v>
      </c>
      <c r="AK796">
        <f t="shared" si="38"/>
        <v>1.6312615032458282E-2</v>
      </c>
      <c r="AL796" t="str">
        <f>IF(MAX(X796, Y796, Z796, AA796)&gt;0.9,
 "Critical",
 IF(AK796&lt;=0.2,"Very Low",
 IF(AK796&lt;=0.4,"Low",
 IF(AK796&lt;=0.6,"Medium",
 IF(AK796&lt;=0.8,"High","Critical")))))</f>
        <v>Very Low</v>
      </c>
      <c r="AM796" t="str">
        <f>IF(MAX(X796:AA796)&gt;0.9,"CRITICAL ALERT",
 IF(AK796&gt;0.8,"CRITICAL ALERT",
 IF(AK796&gt;0.6,"ALERT",
 IF(AK796&gt;=0.4,"REVIEW","NO ACTION"))))</f>
        <v>NO ACTION</v>
      </c>
      <c r="AN796" t="str">
        <f>IF(AM796="NO ACTION","",
 IF(_xlfn.TEXTJOIN(", ", TRUE,
  IF(X796&gt;0.7,"Login anomaly",""),
  IF(Y796&gt;0.7,"File anomaly",""),
  IF(Z796&gt;0.7,"Network anomaly",""),
  IF(AA796&gt;0.7,"USB anomaly","")
 )="",
 "General anomaly detected",
 _xlfn.TEXTJOIN(", ", TRUE,
  IF(X796&gt;0.7,"Login anomaly",""),
  IF(Y796&gt;0.7,"File anomaly",""),
  IF(Z796&gt;0.7,"Network anomaly",""),
  IF(AA796&gt;0.7,"USB anomaly","")
 )))</f>
        <v/>
      </c>
    </row>
    <row r="797" spans="1:40" x14ac:dyDescent="0.3">
      <c r="A797" t="s">
        <v>820</v>
      </c>
      <c r="B797">
        <v>0.12892249527410199</v>
      </c>
      <c r="C797">
        <v>0.18476582604220201</v>
      </c>
      <c r="D797">
        <v>0</v>
      </c>
      <c r="E797">
        <v>0</v>
      </c>
      <c r="F797">
        <v>0</v>
      </c>
      <c r="G797">
        <v>0.99368517794829803</v>
      </c>
      <c r="H797">
        <v>7</v>
      </c>
      <c r="I797">
        <v>7</v>
      </c>
      <c r="J797">
        <v>9.4842803301369197E-2</v>
      </c>
      <c r="K797">
        <v>1.8760195758564399E-2</v>
      </c>
      <c r="L797">
        <v>5.0398858206747298E-2</v>
      </c>
      <c r="M797">
        <v>6.0606060606060597E-3</v>
      </c>
      <c r="N797">
        <v>3.8519667320470102E-2</v>
      </c>
      <c r="O797">
        <v>908</v>
      </c>
      <c r="P797">
        <v>8.0737934904601502E-2</v>
      </c>
      <c r="Q797">
        <v>8.0893439461411601E-2</v>
      </c>
      <c r="R797">
        <v>0</v>
      </c>
      <c r="S797">
        <v>0</v>
      </c>
      <c r="T797" t="s">
        <v>49</v>
      </c>
      <c r="U797">
        <v>1.7753001715265799E-2</v>
      </c>
      <c r="V797">
        <v>0</v>
      </c>
      <c r="W797">
        <v>0</v>
      </c>
      <c r="X797">
        <v>0</v>
      </c>
      <c r="Y797">
        <v>5.5723889959788497E-2</v>
      </c>
      <c r="Z797">
        <v>6.3850627870949E-2</v>
      </c>
      <c r="AA797">
        <v>0</v>
      </c>
      <c r="AB797">
        <v>3.6690998822450638E-2</v>
      </c>
      <c r="AC797">
        <v>2.4799999664537609E-4</v>
      </c>
      <c r="AD797">
        <v>2.9309999663382769E-3</v>
      </c>
      <c r="AE797">
        <v>1.772999996319413E-3</v>
      </c>
      <c r="AF797">
        <f>0.16*X797 + 0.28*Y797 + 0.28*Z797 + 0.28*AA797</f>
        <v>3.3480864992606503E-2</v>
      </c>
      <c r="AG797">
        <f t="shared" si="36"/>
        <v>7.2571198001969602E-3</v>
      </c>
      <c r="AH797">
        <f>IF(T797="IT_Admin", 0.25, IF(AND(T797="HR", AA797&gt;0.6), 0.25, IF(AND(T797="General", Z797&gt;0.7), 0.2, 0.1)))</f>
        <v>0.1</v>
      </c>
      <c r="AI797">
        <f>IF(V797&gt;0.7, 0.1,
 IF(F797&gt;0.5, 0.08,
 IF(E797&gt;0.5, 0.05,
 0)))</f>
        <v>0</v>
      </c>
      <c r="AJ797">
        <f t="shared" si="37"/>
        <v>1.5124243357919823E-2</v>
      </c>
      <c r="AK797">
        <f t="shared" si="38"/>
        <v>1.6636667693711808E-2</v>
      </c>
      <c r="AL797" t="str">
        <f>IF(MAX(X797, Y797, Z797, AA797)&gt;0.9,
 "Critical",
 IF(AK797&lt;=0.2,"Very Low",
 IF(AK797&lt;=0.4,"Low",
 IF(AK797&lt;=0.6,"Medium",
 IF(AK797&lt;=0.8,"High","Critical")))))</f>
        <v>Very Low</v>
      </c>
      <c r="AM797" t="str">
        <f>IF(MAX(X797:AA797)&gt;0.9,"CRITICAL ALERT",
 IF(AK797&gt;0.8,"CRITICAL ALERT",
 IF(AK797&gt;0.6,"ALERT",
 IF(AK797&gt;=0.4,"REVIEW","NO ACTION"))))</f>
        <v>NO ACTION</v>
      </c>
      <c r="AN797" t="str">
        <f>IF(AM797="NO ACTION","",
 IF(_xlfn.TEXTJOIN(", ", TRUE,
  IF(X797&gt;0.7,"Login anomaly",""),
  IF(Y797&gt;0.7,"File anomaly",""),
  IF(Z797&gt;0.7,"Network anomaly",""),
  IF(AA797&gt;0.7,"USB anomaly","")
 )="",
 "General anomaly detected",
 _xlfn.TEXTJOIN(", ", TRUE,
  IF(X797&gt;0.7,"Login anomaly",""),
  IF(Y797&gt;0.7,"File anomaly",""),
  IF(Z797&gt;0.7,"Network anomaly",""),
  IF(AA797&gt;0.7,"USB anomaly","")
 )))</f>
        <v/>
      </c>
    </row>
    <row r="798" spans="1:40" x14ac:dyDescent="0.3">
      <c r="A798" t="s">
        <v>821</v>
      </c>
      <c r="B798">
        <v>0.2351606805293</v>
      </c>
      <c r="C798">
        <v>0.66881687190356398</v>
      </c>
      <c r="D798">
        <v>0.36238371393180302</v>
      </c>
      <c r="E798">
        <v>0</v>
      </c>
      <c r="F798">
        <v>0</v>
      </c>
      <c r="G798">
        <v>0.48039914550093299</v>
      </c>
      <c r="H798">
        <v>7</v>
      </c>
      <c r="I798">
        <v>14</v>
      </c>
      <c r="J798">
        <v>8.1293831401173605E-2</v>
      </c>
      <c r="K798">
        <v>1.30505709624796E-2</v>
      </c>
      <c r="L798">
        <v>4.0886325349092E-2</v>
      </c>
      <c r="M798">
        <v>1.7316017316017301E-3</v>
      </c>
      <c r="N798">
        <v>1.2834522606318901E-2</v>
      </c>
      <c r="O798">
        <v>886</v>
      </c>
      <c r="P798">
        <v>6.6217732884399499E-2</v>
      </c>
      <c r="Q798">
        <v>6.6376801430625201E-2</v>
      </c>
      <c r="R798">
        <v>0</v>
      </c>
      <c r="S798">
        <v>0</v>
      </c>
      <c r="T798" t="s">
        <v>49</v>
      </c>
      <c r="U798">
        <v>3.8814016172506703E-2</v>
      </c>
      <c r="V798">
        <v>0</v>
      </c>
      <c r="W798">
        <v>0</v>
      </c>
      <c r="X798">
        <v>0.10871511417954099</v>
      </c>
      <c r="Y798">
        <v>4.0552285736676401E-2</v>
      </c>
      <c r="Z798">
        <v>4.4864448773167302E-2</v>
      </c>
      <c r="AA798">
        <v>0</v>
      </c>
      <c r="AB798">
        <v>2.4682000279426571E-2</v>
      </c>
      <c r="AC798">
        <v>3.8999998650979251E-5</v>
      </c>
      <c r="AD798">
        <v>4.8839999362826347E-3</v>
      </c>
      <c r="AE798">
        <v>6.9329999387264252E-3</v>
      </c>
      <c r="AF798">
        <f>0.16*X798 + 0.28*Y798 + 0.28*Z798 + 0.28*AA798</f>
        <v>4.1311103931482802E-2</v>
      </c>
      <c r="AG798">
        <f t="shared" si="36"/>
        <v>7.2688000093330636E-3</v>
      </c>
      <c r="AH798">
        <f>IF(T798="IT_Admin", 0.25, IF(AND(T798="HR", AA798&gt;0.6), 0.25, IF(AND(T798="General", Z798&gt;0.7), 0.2, 0.1)))</f>
        <v>0.1</v>
      </c>
      <c r="AI798">
        <f>IF(V798&gt;0.7, 0.1,
 IF(F798&gt;0.5, 0.08,
 IF(E798&gt;0.5, 0.05,
 0)))</f>
        <v>0</v>
      </c>
      <c r="AJ798">
        <f t="shared" si="37"/>
        <v>1.7481491185977985E-2</v>
      </c>
      <c r="AK798">
        <f t="shared" si="38"/>
        <v>1.9229640304575784E-2</v>
      </c>
      <c r="AL798" t="str">
        <f>IF(MAX(X798, Y798, Z798, AA798)&gt;0.9,
 "Critical",
 IF(AK798&lt;=0.2,"Very Low",
 IF(AK798&lt;=0.4,"Low",
 IF(AK798&lt;=0.6,"Medium",
 IF(AK798&lt;=0.8,"High","Critical")))))</f>
        <v>Very Low</v>
      </c>
      <c r="AM798" t="str">
        <f>IF(MAX(X798:AA798)&gt;0.9,"CRITICAL ALERT",
 IF(AK798&gt;0.8,"CRITICAL ALERT",
 IF(AK798&gt;0.6,"ALERT",
 IF(AK798&gt;=0.4,"REVIEW","NO ACTION"))))</f>
        <v>NO ACTION</v>
      </c>
      <c r="AN798" t="str">
        <f>IF(AM798="NO ACTION","",
 IF(_xlfn.TEXTJOIN(", ", TRUE,
  IF(X798&gt;0.7,"Login anomaly",""),
  IF(Y798&gt;0.7,"File anomaly",""),
  IF(Z798&gt;0.7,"Network anomaly",""),
  IF(AA798&gt;0.7,"USB anomaly","")
 )="",
 "General anomaly detected",
 _xlfn.TEXTJOIN(", ", TRUE,
  IF(X798&gt;0.7,"Login anomaly",""),
  IF(Y798&gt;0.7,"File anomaly",""),
  IF(Z798&gt;0.7,"Network anomaly",""),
  IF(AA798&gt;0.7,"USB anomaly","")
 )))</f>
        <v/>
      </c>
    </row>
    <row r="799" spans="1:40" x14ac:dyDescent="0.3">
      <c r="A799" t="s">
        <v>822</v>
      </c>
      <c r="B799">
        <v>0.12892249527410199</v>
      </c>
      <c r="C799">
        <v>0.36953165208440503</v>
      </c>
      <c r="D799">
        <v>0</v>
      </c>
      <c r="E799">
        <v>0</v>
      </c>
      <c r="F799">
        <v>0</v>
      </c>
      <c r="G799">
        <v>0.99365675596214098</v>
      </c>
      <c r="H799">
        <v>8</v>
      </c>
      <c r="I799">
        <v>8</v>
      </c>
      <c r="J799">
        <v>7.7238681360622105E-2</v>
      </c>
      <c r="K799">
        <v>2.1207177814029299E-2</v>
      </c>
      <c r="L799">
        <v>6.9917756333187905E-2</v>
      </c>
      <c r="M799">
        <v>1.7316017316017301E-3</v>
      </c>
      <c r="N799">
        <v>1.35062802550487E-2</v>
      </c>
      <c r="O799">
        <v>923</v>
      </c>
      <c r="P799">
        <v>6.6743827160493804E-2</v>
      </c>
      <c r="Q799">
        <v>6.6902766576668105E-2</v>
      </c>
      <c r="R799">
        <v>0</v>
      </c>
      <c r="S799">
        <v>0</v>
      </c>
      <c r="T799" t="s">
        <v>49</v>
      </c>
      <c r="U799">
        <v>6.30727762803234E-2</v>
      </c>
      <c r="V799">
        <v>0</v>
      </c>
      <c r="W799">
        <v>0</v>
      </c>
      <c r="X799">
        <v>0</v>
      </c>
      <c r="Y799">
        <v>5.4458498515233003E-2</v>
      </c>
      <c r="Z799">
        <v>4.54488083983157E-2</v>
      </c>
      <c r="AA799">
        <v>0</v>
      </c>
      <c r="AB799">
        <v>2.465100027620792E-2</v>
      </c>
      <c r="AC799">
        <v>4.4999999227002258E-4</v>
      </c>
      <c r="AD799">
        <v>5.0579998642206192E-3</v>
      </c>
      <c r="AE799">
        <v>1.5160000184550879E-3</v>
      </c>
      <c r="AF799">
        <f>0.16*X799 + 0.28*Y799 + 0.28*Z799 + 0.28*AA799</f>
        <v>2.797404593579364E-2</v>
      </c>
      <c r="AG799">
        <f t="shared" si="36"/>
        <v>5.9108800091780718E-3</v>
      </c>
      <c r="AH799">
        <f>IF(T799="IT_Admin", 0.25, IF(AND(T799="HR", AA799&gt;0.6), 0.25, IF(AND(T799="General", Z799&gt;0.7), 0.2, 0.1)))</f>
        <v>0.1</v>
      </c>
      <c r="AI799">
        <f>IF(V799&gt;0.7, 0.1,
 IF(F799&gt;0.5, 0.08,
 IF(E799&gt;0.5, 0.05,
 0)))</f>
        <v>0</v>
      </c>
      <c r="AJ799">
        <f t="shared" si="37"/>
        <v>1.2529829787162741E-2</v>
      </c>
      <c r="AK799">
        <f t="shared" si="38"/>
        <v>1.3782812765879015E-2</v>
      </c>
      <c r="AL799" t="str">
        <f>IF(MAX(X799, Y799, Z799, AA799)&gt;0.9,
 "Critical",
 IF(AK799&lt;=0.2,"Very Low",
 IF(AK799&lt;=0.4,"Low",
 IF(AK799&lt;=0.6,"Medium",
 IF(AK799&lt;=0.8,"High","Critical")))))</f>
        <v>Very Low</v>
      </c>
      <c r="AM799" t="str">
        <f>IF(MAX(X799:AA799)&gt;0.9,"CRITICAL ALERT",
 IF(AK799&gt;0.8,"CRITICAL ALERT",
 IF(AK799&gt;0.6,"ALERT",
 IF(AK799&gt;=0.4,"REVIEW","NO ACTION"))))</f>
        <v>NO ACTION</v>
      </c>
      <c r="AN799" t="str">
        <f>IF(AM799="NO ACTION","",
 IF(_xlfn.TEXTJOIN(", ", TRUE,
  IF(X799&gt;0.7,"Login anomaly",""),
  IF(Y799&gt;0.7,"File anomaly",""),
  IF(Z799&gt;0.7,"Network anomaly",""),
  IF(AA799&gt;0.7,"USB anomaly","")
 )="",
 "General anomaly detected",
 _xlfn.TEXTJOIN(", ", TRUE,
  IF(X799&gt;0.7,"Login anomaly",""),
  IF(Y799&gt;0.7,"File anomaly",""),
  IF(Z799&gt;0.7,"Network anomaly",""),
  IF(AA799&gt;0.7,"USB anomaly","")
 )))</f>
        <v/>
      </c>
    </row>
    <row r="800" spans="1:40" x14ac:dyDescent="0.3">
      <c r="A800" t="s">
        <v>823</v>
      </c>
      <c r="B800">
        <v>0.12892249527410199</v>
      </c>
      <c r="C800">
        <v>0.28384315305034002</v>
      </c>
      <c r="D800">
        <v>7.4935284296444499E-2</v>
      </c>
      <c r="E800">
        <v>0</v>
      </c>
      <c r="F800">
        <v>0</v>
      </c>
      <c r="G800">
        <v>0.99368274254270395</v>
      </c>
      <c r="H800">
        <v>7</v>
      </c>
      <c r="I800">
        <v>8</v>
      </c>
      <c r="J800">
        <v>8.5778350269548206E-2</v>
      </c>
      <c r="K800">
        <v>1.0603588907014599E-2</v>
      </c>
      <c r="L800">
        <v>3.1488196418496102E-2</v>
      </c>
      <c r="M800">
        <v>1.1544011544011501E-3</v>
      </c>
      <c r="N800">
        <v>8.1102603565165899E-3</v>
      </c>
      <c r="O800">
        <v>899</v>
      </c>
      <c r="P800">
        <v>6.8181818181818094E-2</v>
      </c>
      <c r="Q800">
        <v>6.8340404642519004E-2</v>
      </c>
      <c r="R800">
        <v>0</v>
      </c>
      <c r="S800">
        <v>0</v>
      </c>
      <c r="T800" t="s">
        <v>49</v>
      </c>
      <c r="U800">
        <v>4.4150943396226397E-2</v>
      </c>
      <c r="V800">
        <v>0</v>
      </c>
      <c r="W800">
        <v>0</v>
      </c>
      <c r="X800">
        <v>2.2480585288933298E-2</v>
      </c>
      <c r="Y800">
        <v>3.5332846370112699E-2</v>
      </c>
      <c r="Z800">
        <v>4.41531950516975E-2</v>
      </c>
      <c r="AA800">
        <v>0</v>
      </c>
      <c r="AB800">
        <v>1.794599927961826E-2</v>
      </c>
      <c r="AC800">
        <v>1.4699999883305279E-4</v>
      </c>
      <c r="AD800">
        <v>5.0389999523758888E-3</v>
      </c>
      <c r="AE800">
        <v>1.836000010371208E-3</v>
      </c>
      <c r="AF800">
        <f>0.16*X800 + 0.28*Y800 + 0.28*Z800 + 0.28*AA800</f>
        <v>2.5852985244336185E-2</v>
      </c>
      <c r="AG800">
        <f t="shared" si="36"/>
        <v>4.8375198739813632E-3</v>
      </c>
      <c r="AH800">
        <f>IF(T800="IT_Admin", 0.25, IF(AND(T800="HR", AA800&gt;0.6), 0.25, IF(AND(T800="General", Z800&gt;0.7), 0.2, 0.1)))</f>
        <v>0.1</v>
      </c>
      <c r="AI800">
        <f>IF(V800&gt;0.7, 0.1,
 IF(F800&gt;0.5, 0.08,
 IF(E800&gt;0.5, 0.05,
 0)))</f>
        <v>0</v>
      </c>
      <c r="AJ800">
        <f t="shared" si="37"/>
        <v>1.1142159485087809E-2</v>
      </c>
      <c r="AK800">
        <f t="shared" si="38"/>
        <v>1.2256375433596591E-2</v>
      </c>
      <c r="AL800" t="str">
        <f>IF(MAX(X800, Y800, Z800, AA800)&gt;0.9,
 "Critical",
 IF(AK800&lt;=0.2,"Very Low",
 IF(AK800&lt;=0.4,"Low",
 IF(AK800&lt;=0.6,"Medium",
 IF(AK800&lt;=0.8,"High","Critical")))))</f>
        <v>Very Low</v>
      </c>
      <c r="AM800" t="str">
        <f>IF(MAX(X800:AA800)&gt;0.9,"CRITICAL ALERT",
 IF(AK800&gt;0.8,"CRITICAL ALERT",
 IF(AK800&gt;0.6,"ALERT",
 IF(AK800&gt;=0.4,"REVIEW","NO ACTION"))))</f>
        <v>NO ACTION</v>
      </c>
      <c r="AN800" t="str">
        <f>IF(AM800="NO ACTION","",
 IF(_xlfn.TEXTJOIN(", ", TRUE,
  IF(X800&gt;0.7,"Login anomaly",""),
  IF(Y800&gt;0.7,"File anomaly",""),
  IF(Z800&gt;0.7,"Network anomaly",""),
  IF(AA800&gt;0.7,"USB anomaly","")
 )="",
 "General anomaly detected",
 _xlfn.TEXTJOIN(", ", TRUE,
  IF(X800&gt;0.7,"Login anomaly",""),
  IF(Y800&gt;0.7,"File anomaly",""),
  IF(Z800&gt;0.7,"Network anomaly",""),
  IF(AA800&gt;0.7,"USB anomaly","")
 )))</f>
        <v/>
      </c>
    </row>
    <row r="801" spans="1:40" x14ac:dyDescent="0.3">
      <c r="A801" t="s">
        <v>824</v>
      </c>
      <c r="B801">
        <v>0.12892249527410199</v>
      </c>
      <c r="C801">
        <v>0.18476582604220201</v>
      </c>
      <c r="D801">
        <v>0</v>
      </c>
      <c r="E801">
        <v>0</v>
      </c>
      <c r="F801">
        <v>0</v>
      </c>
      <c r="G801">
        <v>0.99369170804681295</v>
      </c>
      <c r="H801">
        <v>7</v>
      </c>
      <c r="I801">
        <v>7</v>
      </c>
      <c r="J801">
        <v>7.8479080196555501E-2</v>
      </c>
      <c r="K801">
        <v>1.0603588907014599E-2</v>
      </c>
      <c r="L801">
        <v>3.4408010995483997E-2</v>
      </c>
      <c r="M801">
        <v>1.44300144300144E-3</v>
      </c>
      <c r="N801">
        <v>1.1077878350605599E-2</v>
      </c>
      <c r="O801">
        <v>778</v>
      </c>
      <c r="P801">
        <v>6.2955948372615006E-2</v>
      </c>
      <c r="Q801">
        <v>6.3115817525158602E-2</v>
      </c>
      <c r="R801">
        <v>0</v>
      </c>
      <c r="S801">
        <v>0</v>
      </c>
      <c r="T801" t="s">
        <v>49</v>
      </c>
      <c r="U801">
        <v>3.6792452830188602E-2</v>
      </c>
      <c r="V801">
        <v>0</v>
      </c>
      <c r="W801">
        <v>0</v>
      </c>
      <c r="X801">
        <v>0</v>
      </c>
      <c r="Y801">
        <v>3.62231850422347E-2</v>
      </c>
      <c r="Z801">
        <v>4.2204720363811198E-2</v>
      </c>
      <c r="AA801">
        <v>0</v>
      </c>
      <c r="AB801">
        <v>3.6655999720096588E-2</v>
      </c>
      <c r="AC801">
        <v>9.6000003395602107E-5</v>
      </c>
      <c r="AD801">
        <v>5.6500001810491094E-3</v>
      </c>
      <c r="AE801">
        <v>1.658999943174422E-3</v>
      </c>
      <c r="AF801">
        <f>0.16*X801 + 0.28*Y801 + 0.28*Z801 + 0.28*AA801</f>
        <v>2.1959813513692854E-2</v>
      </c>
      <c r="AG801">
        <f t="shared" si="36"/>
        <v>7.9383599909488116E-3</v>
      </c>
      <c r="AH801">
        <f>IF(T801="IT_Admin", 0.25, IF(AND(T801="HR", AA801&gt;0.6), 0.25, IF(AND(T801="General", Z801&gt;0.7), 0.2, 0.1)))</f>
        <v>0.1</v>
      </c>
      <c r="AI801">
        <f>IF(V801&gt;0.7, 0.1,
 IF(F801&gt;0.5, 0.08,
 IF(E801&gt;0.5, 0.05,
 0)))</f>
        <v>0</v>
      </c>
      <c r="AJ801">
        <f t="shared" si="37"/>
        <v>1.2144796047772025E-2</v>
      </c>
      <c r="AK801">
        <f t="shared" si="38"/>
        <v>1.3359275652549229E-2</v>
      </c>
      <c r="AL801" t="str">
        <f>IF(MAX(X801, Y801, Z801, AA801)&gt;0.9,
 "Critical",
 IF(AK801&lt;=0.2,"Very Low",
 IF(AK801&lt;=0.4,"Low",
 IF(AK801&lt;=0.6,"Medium",
 IF(AK801&lt;=0.8,"High","Critical")))))</f>
        <v>Very Low</v>
      </c>
      <c r="AM801" t="str">
        <f>IF(MAX(X801:AA801)&gt;0.9,"CRITICAL ALERT",
 IF(AK801&gt;0.8,"CRITICAL ALERT",
 IF(AK801&gt;0.6,"ALERT",
 IF(AK801&gt;=0.4,"REVIEW","NO ACTION"))))</f>
        <v>NO ACTION</v>
      </c>
      <c r="AN801" t="str">
        <f>IF(AM801="NO ACTION","",
 IF(_xlfn.TEXTJOIN(", ", TRUE,
  IF(X801&gt;0.7,"Login anomaly",""),
  IF(Y801&gt;0.7,"File anomaly",""),
  IF(Z801&gt;0.7,"Network anomaly",""),
  IF(AA801&gt;0.7,"USB anomaly","")
 )="",
 "General anomaly detected",
 _xlfn.TEXTJOIN(", ", TRUE,
  IF(X801&gt;0.7,"Login anomaly",""),
  IF(Y801&gt;0.7,"File anomaly",""),
  IF(Z801&gt;0.7,"Network anomaly",""),
  IF(AA801&gt;0.7,"USB anomaly","")
 )))</f>
        <v/>
      </c>
    </row>
    <row r="802" spans="1:40" x14ac:dyDescent="0.3">
      <c r="A802" t="s">
        <v>825</v>
      </c>
      <c r="B802">
        <v>0.12892249527410199</v>
      </c>
      <c r="C802">
        <v>0.27206098443315602</v>
      </c>
      <c r="D802">
        <v>7.5018780494472401E-2</v>
      </c>
      <c r="E802">
        <v>0</v>
      </c>
      <c r="F802">
        <v>0</v>
      </c>
      <c r="G802">
        <v>0.99367096695521895</v>
      </c>
      <c r="H802">
        <v>7</v>
      </c>
      <c r="I802">
        <v>8</v>
      </c>
      <c r="J802">
        <v>9.0930776203425406E-2</v>
      </c>
      <c r="K802">
        <v>1.1419249592169599E-2</v>
      </c>
      <c r="L802">
        <v>3.1993924002563297E-2</v>
      </c>
      <c r="M802">
        <v>4.0404040404040404E-3</v>
      </c>
      <c r="N802">
        <v>2.6781683924541E-2</v>
      </c>
      <c r="O802">
        <v>632</v>
      </c>
      <c r="P802">
        <v>7.3723344556677894E-2</v>
      </c>
      <c r="Q802">
        <v>7.38805708475051E-2</v>
      </c>
      <c r="R802">
        <v>0</v>
      </c>
      <c r="S802">
        <v>0</v>
      </c>
      <c r="T802" t="s">
        <v>49</v>
      </c>
      <c r="U802">
        <v>1.58490566037735E-2</v>
      </c>
      <c r="V802">
        <v>0</v>
      </c>
      <c r="W802">
        <v>0</v>
      </c>
      <c r="X802">
        <v>2.25056341483417E-2</v>
      </c>
      <c r="Y802">
        <v>4.2217622419328998E-2</v>
      </c>
      <c r="Z802">
        <v>5.4946680303823103E-2</v>
      </c>
      <c r="AA802">
        <v>0</v>
      </c>
      <c r="AB802">
        <v>1.9093999639153481E-2</v>
      </c>
      <c r="AC802">
        <v>1.9200000679120419E-4</v>
      </c>
      <c r="AD802">
        <v>3.8260000292211771E-3</v>
      </c>
      <c r="AE802">
        <v>2.8939999174326658E-3</v>
      </c>
      <c r="AF802">
        <f>0.16*X802 + 0.28*Y802 + 0.28*Z802 + 0.28*AA802</f>
        <v>3.0806906226217262E-2</v>
      </c>
      <c r="AG802">
        <f t="shared" si="36"/>
        <v>4.9903999292291706E-3</v>
      </c>
      <c r="AH802">
        <f>IF(T802="IT_Admin", 0.25, IF(AND(T802="HR", AA802&gt;0.6), 0.25, IF(AND(T802="General", Z802&gt;0.7), 0.2, 0.1)))</f>
        <v>0.1</v>
      </c>
      <c r="AI802">
        <f>IF(V802&gt;0.7, 0.1,
 IF(F802&gt;0.5, 0.08,
 IF(E802&gt;0.5, 0.05,
 0)))</f>
        <v>0</v>
      </c>
      <c r="AJ802">
        <f t="shared" si="37"/>
        <v>1.2735351818325597E-2</v>
      </c>
      <c r="AK802">
        <f t="shared" si="38"/>
        <v>1.4008887000158158E-2</v>
      </c>
      <c r="AL802" t="str">
        <f>IF(MAX(X802, Y802, Z802, AA802)&gt;0.9,
 "Critical",
 IF(AK802&lt;=0.2,"Very Low",
 IF(AK802&lt;=0.4,"Low",
 IF(AK802&lt;=0.6,"Medium",
 IF(AK802&lt;=0.8,"High","Critical")))))</f>
        <v>Very Low</v>
      </c>
      <c r="AM802" t="str">
        <f>IF(MAX(X802:AA802)&gt;0.9,"CRITICAL ALERT",
 IF(AK802&gt;0.8,"CRITICAL ALERT",
 IF(AK802&gt;0.6,"ALERT",
 IF(AK802&gt;=0.4,"REVIEW","NO ACTION"))))</f>
        <v>NO ACTION</v>
      </c>
      <c r="AN802" t="str">
        <f>IF(AM802="NO ACTION","",
 IF(_xlfn.TEXTJOIN(", ", TRUE,
  IF(X802&gt;0.7,"Login anomaly",""),
  IF(Y802&gt;0.7,"File anomaly",""),
  IF(Z802&gt;0.7,"Network anomaly",""),
  IF(AA802&gt;0.7,"USB anomaly","")
 )="",
 "General anomaly detected",
 _xlfn.TEXTJOIN(", ", TRUE,
  IF(X802&gt;0.7,"Login anomaly",""),
  IF(Y802&gt;0.7,"File anomaly",""),
  IF(Z802&gt;0.7,"Network anomaly",""),
  IF(AA802&gt;0.7,"USB anomaly","")
 )))</f>
        <v/>
      </c>
    </row>
    <row r="803" spans="1:40" x14ac:dyDescent="0.3">
      <c r="A803" t="s">
        <v>826</v>
      </c>
      <c r="B803">
        <v>0.12892249527410199</v>
      </c>
      <c r="C803">
        <v>0.18476582604220201</v>
      </c>
      <c r="D803">
        <v>0</v>
      </c>
      <c r="E803">
        <v>0</v>
      </c>
      <c r="F803">
        <v>0</v>
      </c>
      <c r="G803">
        <v>0.99366133238364096</v>
      </c>
      <c r="H803">
        <v>7</v>
      </c>
      <c r="I803">
        <v>7</v>
      </c>
      <c r="J803">
        <v>8.80206097037355E-2</v>
      </c>
      <c r="K803">
        <v>7.34094616639478E-3</v>
      </c>
      <c r="L803">
        <v>2.1245694938999402E-2</v>
      </c>
      <c r="M803">
        <v>0</v>
      </c>
      <c r="N803">
        <v>0</v>
      </c>
      <c r="O803">
        <v>367</v>
      </c>
      <c r="P803">
        <v>6.7866161616161602E-2</v>
      </c>
      <c r="Q803">
        <v>6.8024825554893198E-2</v>
      </c>
      <c r="R803">
        <v>0</v>
      </c>
      <c r="S803">
        <v>0</v>
      </c>
      <c r="T803" t="s">
        <v>49</v>
      </c>
      <c r="U803">
        <v>0.152830188679245</v>
      </c>
      <c r="V803">
        <v>0</v>
      </c>
      <c r="W803">
        <v>0</v>
      </c>
      <c r="X803">
        <v>0</v>
      </c>
      <c r="Y803">
        <v>2.8226969410246799E-2</v>
      </c>
      <c r="Z803">
        <v>4.0719696969696899E-2</v>
      </c>
      <c r="AA803">
        <v>0</v>
      </c>
      <c r="AB803">
        <v>3.6759998649358749E-2</v>
      </c>
      <c r="AC803">
        <v>4.8750001005828381E-3</v>
      </c>
      <c r="AD803">
        <v>5.3159999661147586E-3</v>
      </c>
      <c r="AE803">
        <v>2.001000102609396E-3</v>
      </c>
      <c r="AF803">
        <f>0.16*X803 + 0.28*Y803 + 0.28*Z803 + 0.28*AA803</f>
        <v>1.9305066586384236E-2</v>
      </c>
      <c r="AG803">
        <f t="shared" si="36"/>
        <v>9.2953598313033573E-3</v>
      </c>
      <c r="AH803">
        <f>IF(T803="IT_Admin", 0.25, IF(AND(T803="HR", AA803&gt;0.6), 0.25, IF(AND(T803="General", Z803&gt;0.7), 0.2, 0.1)))</f>
        <v>0.1</v>
      </c>
      <c r="AI803">
        <f>IF(V803&gt;0.7, 0.1,
 IF(F803&gt;0.5, 0.08,
 IF(E803&gt;0.5, 0.05,
 0)))</f>
        <v>0</v>
      </c>
      <c r="AJ803">
        <f t="shared" si="37"/>
        <v>1.2298271857827621E-2</v>
      </c>
      <c r="AK803">
        <f t="shared" si="38"/>
        <v>1.3528099043610384E-2</v>
      </c>
      <c r="AL803" t="str">
        <f>IF(MAX(X803, Y803, Z803, AA803)&gt;0.9,
 "Critical",
 IF(AK803&lt;=0.2,"Very Low",
 IF(AK803&lt;=0.4,"Low",
 IF(AK803&lt;=0.6,"Medium",
 IF(AK803&lt;=0.8,"High","Critical")))))</f>
        <v>Very Low</v>
      </c>
      <c r="AM803" t="str">
        <f>IF(MAX(X803:AA803)&gt;0.9,"CRITICAL ALERT",
 IF(AK803&gt;0.8,"CRITICAL ALERT",
 IF(AK803&gt;0.6,"ALERT",
 IF(AK803&gt;=0.4,"REVIEW","NO ACTION"))))</f>
        <v>NO ACTION</v>
      </c>
      <c r="AN803" t="str">
        <f>IF(AM803="NO ACTION","",
 IF(_xlfn.TEXTJOIN(", ", TRUE,
  IF(X803&gt;0.7,"Login anomaly",""),
  IF(Y803&gt;0.7,"File anomaly",""),
  IF(Z803&gt;0.7,"Network anomaly",""),
  IF(AA803&gt;0.7,"USB anomaly","")
 )="",
 "General anomaly detected",
 _xlfn.TEXTJOIN(", ", TRUE,
  IF(X803&gt;0.7,"Login anomaly",""),
  IF(Y803&gt;0.7,"File anomaly",""),
  IF(Z803&gt;0.7,"Network anomaly",""),
  IF(AA803&gt;0.7,"USB anomaly","")
 )))</f>
        <v/>
      </c>
    </row>
    <row r="804" spans="1:40" x14ac:dyDescent="0.3">
      <c r="A804" t="s">
        <v>827</v>
      </c>
      <c r="B804">
        <v>0.12892249527410199</v>
      </c>
      <c r="C804">
        <v>0.28170094057448802</v>
      </c>
      <c r="D804">
        <v>7.5041536061111899E-2</v>
      </c>
      <c r="E804">
        <v>0</v>
      </c>
      <c r="F804">
        <v>0</v>
      </c>
      <c r="G804">
        <v>0.99366834421073402</v>
      </c>
      <c r="H804">
        <v>7</v>
      </c>
      <c r="I804">
        <v>8</v>
      </c>
      <c r="J804">
        <v>8.5110443204045594E-2</v>
      </c>
      <c r="K804">
        <v>1.2234910277324601E-2</v>
      </c>
      <c r="L804">
        <v>3.6616858242173402E-2</v>
      </c>
      <c r="M804">
        <v>2.3088023088023001E-3</v>
      </c>
      <c r="N804">
        <v>1.6347456034431902E-2</v>
      </c>
      <c r="O804">
        <v>901</v>
      </c>
      <c r="P804">
        <v>6.8953423120089799E-2</v>
      </c>
      <c r="Q804">
        <v>6.9111820190048703E-2</v>
      </c>
      <c r="R804">
        <v>0</v>
      </c>
      <c r="S804">
        <v>0</v>
      </c>
      <c r="T804" t="s">
        <v>49</v>
      </c>
      <c r="U804">
        <v>2.83018867924528E-2</v>
      </c>
      <c r="V804">
        <v>0</v>
      </c>
      <c r="W804">
        <v>0</v>
      </c>
      <c r="X804">
        <v>2.25124608183335E-2</v>
      </c>
      <c r="Y804">
        <v>4.0234754572225397E-2</v>
      </c>
      <c r="Z804">
        <v>4.7911036285826603E-2</v>
      </c>
      <c r="AA804">
        <v>0</v>
      </c>
      <c r="AB804">
        <v>1.8131999298930172E-2</v>
      </c>
      <c r="AC804">
        <v>5.8000001445179812E-5</v>
      </c>
      <c r="AD804">
        <v>4.7019999474287033E-3</v>
      </c>
      <c r="AE804">
        <v>1.9990000873804088E-3</v>
      </c>
      <c r="AF804">
        <f>0.16*X804 + 0.28*Y804 + 0.28*Z804 + 0.28*AA804</f>
        <v>2.8282815171187921E-2</v>
      </c>
      <c r="AG804">
        <f t="shared" si="36"/>
        <v>4.7936398979800295E-3</v>
      </c>
      <c r="AH804">
        <f>IF(T804="IT_Admin", 0.25, IF(AND(T804="HR", AA804&gt;0.6), 0.25, IF(AND(T804="General", Z804&gt;0.7), 0.2, 0.1)))</f>
        <v>0.1</v>
      </c>
      <c r="AI804">
        <f>IF(V804&gt;0.7, 0.1,
 IF(F804&gt;0.5, 0.08,
 IF(E804&gt;0.5, 0.05,
 0)))</f>
        <v>0</v>
      </c>
      <c r="AJ804">
        <f t="shared" si="37"/>
        <v>1.1840392479942397E-2</v>
      </c>
      <c r="AK804">
        <f t="shared" si="38"/>
        <v>1.3024431727936638E-2</v>
      </c>
      <c r="AL804" t="str">
        <f>IF(MAX(X804, Y804, Z804, AA804)&gt;0.9,
 "Critical",
 IF(AK804&lt;=0.2,"Very Low",
 IF(AK804&lt;=0.4,"Low",
 IF(AK804&lt;=0.6,"Medium",
 IF(AK804&lt;=0.8,"High","Critical")))))</f>
        <v>Very Low</v>
      </c>
      <c r="AM804" t="str">
        <f>IF(MAX(X804:AA804)&gt;0.9,"CRITICAL ALERT",
 IF(AK804&gt;0.8,"CRITICAL ALERT",
 IF(AK804&gt;0.6,"ALERT",
 IF(AK804&gt;=0.4,"REVIEW","NO ACTION"))))</f>
        <v>NO ACTION</v>
      </c>
      <c r="AN804" t="str">
        <f>IF(AM804="NO ACTION","",
 IF(_xlfn.TEXTJOIN(", ", TRUE,
  IF(X804&gt;0.7,"Login anomaly",""),
  IF(Y804&gt;0.7,"File anomaly",""),
  IF(Z804&gt;0.7,"Network anomaly",""),
  IF(AA804&gt;0.7,"USB anomaly","")
 )="",
 "General anomaly detected",
 _xlfn.TEXTJOIN(", ", TRUE,
  IF(X804&gt;0.7,"Login anomaly",""),
  IF(Y804&gt;0.7,"File anomaly",""),
  IF(Z804&gt;0.7,"Network anomaly",""),
  IF(AA804&gt;0.7,"USB anomaly","")
 )))</f>
        <v/>
      </c>
    </row>
    <row r="805" spans="1:40" x14ac:dyDescent="0.3">
      <c r="A805" t="s">
        <v>828</v>
      </c>
      <c r="B805">
        <v>0.14555765595463099</v>
      </c>
      <c r="C805">
        <v>0.29306044901809503</v>
      </c>
      <c r="D805">
        <v>0.52689680351799095</v>
      </c>
      <c r="E805">
        <v>0.117109397315052</v>
      </c>
      <c r="F805">
        <v>0.10025706940874</v>
      </c>
      <c r="G805">
        <v>0.86412558663578498</v>
      </c>
      <c r="H805">
        <v>0</v>
      </c>
      <c r="I805">
        <v>23</v>
      </c>
      <c r="J805">
        <v>8.4537951433614797E-2</v>
      </c>
      <c r="K805">
        <v>8.9722675367047301E-3</v>
      </c>
      <c r="L805">
        <v>2.7033695492317801E-2</v>
      </c>
      <c r="M805">
        <v>2.3088023088023001E-3</v>
      </c>
      <c r="N805">
        <v>1.6457849659875502E-2</v>
      </c>
      <c r="O805">
        <v>892</v>
      </c>
      <c r="P805">
        <v>6.7129629629629595E-2</v>
      </c>
      <c r="Q805">
        <v>6.7288474350433003E-2</v>
      </c>
      <c r="R805">
        <v>0.104719764011799</v>
      </c>
      <c r="S805">
        <v>1</v>
      </c>
      <c r="T805" t="s">
        <v>49</v>
      </c>
      <c r="U805">
        <v>2.0754716981132001E-2</v>
      </c>
      <c r="V805">
        <v>0</v>
      </c>
      <c r="W805">
        <v>8.8447334654598003E-2</v>
      </c>
      <c r="X805">
        <v>0.23330468801340901</v>
      </c>
      <c r="Y805">
        <v>3.5361792930844502E-2</v>
      </c>
      <c r="Z805">
        <v>4.6860917641727999E-2</v>
      </c>
      <c r="AA805">
        <v>0.104719764011799</v>
      </c>
      <c r="AB805">
        <v>0.14483900368213651</v>
      </c>
      <c r="AC805">
        <v>2.059999969787896E-4</v>
      </c>
      <c r="AD805">
        <v>4.1789999231696129E-3</v>
      </c>
      <c r="AE805">
        <v>5.6531999260187149E-2</v>
      </c>
      <c r="AF805">
        <f>0.16*X805 + 0.28*Y805 + 0.28*Z805 + 0.28*AA805</f>
        <v>8.9672642965769461E-2</v>
      </c>
      <c r="AG805">
        <f t="shared" si="36"/>
        <v>4.0231000359635796E-2</v>
      </c>
      <c r="AH805">
        <f>IF(T805="IT_Admin", 0.25, IF(AND(T805="HR", AA805&gt;0.6), 0.25, IF(AND(T805="General", Z805&gt;0.7), 0.2, 0.1)))</f>
        <v>0.1</v>
      </c>
      <c r="AI805">
        <f>IF(V805&gt;0.7, 0.1,
 IF(F805&gt;0.5, 0.08,
 IF(E805&gt;0.5, 0.05,
 0)))</f>
        <v>0</v>
      </c>
      <c r="AJ805">
        <f t="shared" si="37"/>
        <v>5.5063493141475892E-2</v>
      </c>
      <c r="AK805">
        <f t="shared" si="38"/>
        <v>6.0569842455623489E-2</v>
      </c>
      <c r="AL805" t="str">
        <f>IF(MAX(X805, Y805, Z805, AA805)&gt;0.9,
 "Critical",
 IF(AK805&lt;=0.2,"Very Low",
 IF(AK805&lt;=0.4,"Low",
 IF(AK805&lt;=0.6,"Medium",
 IF(AK805&lt;=0.8,"High","Critical")))))</f>
        <v>Very Low</v>
      </c>
      <c r="AM805" t="str">
        <f>IF(MAX(X805:AA805)&gt;0.9,"CRITICAL ALERT",
 IF(AK805&gt;0.8,"CRITICAL ALERT",
 IF(AK805&gt;0.6,"ALERT",
 IF(AK805&gt;=0.4,"REVIEW","NO ACTION"))))</f>
        <v>NO ACTION</v>
      </c>
      <c r="AN805" t="str">
        <f>IF(AM805="NO ACTION","",
 IF(_xlfn.TEXTJOIN(", ", TRUE,
  IF(X805&gt;0.7,"Login anomaly",""),
  IF(Y805&gt;0.7,"File anomaly",""),
  IF(Z805&gt;0.7,"Network anomaly",""),
  IF(AA805&gt;0.7,"USB anomaly","")
 )="",
 "General anomaly detected",
 _xlfn.TEXTJOIN(", ", TRUE,
  IF(X805&gt;0.7,"Login anomaly",""),
  IF(Y805&gt;0.7,"File anomaly",""),
  IF(Z805&gt;0.7,"Network anomaly",""),
  IF(AA805&gt;0.7,"USB anomaly","")
 )))</f>
        <v/>
      </c>
    </row>
    <row r="806" spans="1:40" x14ac:dyDescent="0.3">
      <c r="A806" t="s">
        <v>829</v>
      </c>
      <c r="B806">
        <v>0.12892249527410199</v>
      </c>
      <c r="C806">
        <v>0.18476582604220201</v>
      </c>
      <c r="D806">
        <v>0</v>
      </c>
      <c r="E806">
        <v>0</v>
      </c>
      <c r="F806">
        <v>0</v>
      </c>
      <c r="G806">
        <v>0.993681779085547</v>
      </c>
      <c r="H806">
        <v>7</v>
      </c>
      <c r="I806">
        <v>7</v>
      </c>
      <c r="J806">
        <v>8.1580077286388997E-2</v>
      </c>
      <c r="K806">
        <v>2.1207177814029299E-2</v>
      </c>
      <c r="L806">
        <v>6.6207834568569796E-2</v>
      </c>
      <c r="M806">
        <v>3.1746031746031698E-3</v>
      </c>
      <c r="N806">
        <v>2.3447637558424699E-2</v>
      </c>
      <c r="O806">
        <v>892</v>
      </c>
      <c r="P806">
        <v>7.0636924803591405E-2</v>
      </c>
      <c r="Q806">
        <v>7.0794908657386302E-2</v>
      </c>
      <c r="R806">
        <v>0</v>
      </c>
      <c r="S806">
        <v>0</v>
      </c>
      <c r="T806" t="s">
        <v>49</v>
      </c>
      <c r="U806">
        <v>3.6792452830188602E-2</v>
      </c>
      <c r="V806">
        <v>0</v>
      </c>
      <c r="W806">
        <v>0</v>
      </c>
      <c r="X806">
        <v>0</v>
      </c>
      <c r="Y806">
        <v>5.6454224009090101E-2</v>
      </c>
      <c r="Z806">
        <v>5.1761209905524699E-2</v>
      </c>
      <c r="AA806">
        <v>0</v>
      </c>
      <c r="AB806">
        <v>3.6669999361038208E-2</v>
      </c>
      <c r="AC806">
        <v>1.7600000137463209E-4</v>
      </c>
      <c r="AD806">
        <v>4.3359999544918537E-3</v>
      </c>
      <c r="AE806">
        <v>1.7069999594241381E-3</v>
      </c>
      <c r="AF806">
        <f>0.16*X806 + 0.28*Y806 + 0.28*Z806 + 0.28*AA806</f>
        <v>3.0300321496092148E-2</v>
      </c>
      <c r="AG806">
        <f t="shared" si="36"/>
        <v>7.6085198740474874E-3</v>
      </c>
      <c r="AH806">
        <f>IF(T806="IT_Admin", 0.25, IF(AND(T806="HR", AA806&gt;0.6), 0.25, IF(AND(T806="General", Z806&gt;0.7), 0.2, 0.1)))</f>
        <v>0.1</v>
      </c>
      <c r="AI806">
        <f>IF(V806&gt;0.7, 0.1,
 IF(F806&gt;0.5, 0.08,
 IF(E806&gt;0.5, 0.05,
 0)))</f>
        <v>0</v>
      </c>
      <c r="AJ806">
        <f t="shared" si="37"/>
        <v>1.4416060360660884E-2</v>
      </c>
      <c r="AK806">
        <f t="shared" si="38"/>
        <v>1.5857666396726974E-2</v>
      </c>
      <c r="AL806" t="str">
        <f>IF(MAX(X806, Y806, Z806, AA806)&gt;0.9,
 "Critical",
 IF(AK806&lt;=0.2,"Very Low",
 IF(AK806&lt;=0.4,"Low",
 IF(AK806&lt;=0.6,"Medium",
 IF(AK806&lt;=0.8,"High","Critical")))))</f>
        <v>Very Low</v>
      </c>
      <c r="AM806" t="str">
        <f>IF(MAX(X806:AA806)&gt;0.9,"CRITICAL ALERT",
 IF(AK806&gt;0.8,"CRITICAL ALERT",
 IF(AK806&gt;0.6,"ALERT",
 IF(AK806&gt;=0.4,"REVIEW","NO ACTION"))))</f>
        <v>NO ACTION</v>
      </c>
      <c r="AN806" t="str">
        <f>IF(AM806="NO ACTION","",
 IF(_xlfn.TEXTJOIN(", ", TRUE,
  IF(X806&gt;0.7,"Login anomaly",""),
  IF(Y806&gt;0.7,"File anomaly",""),
  IF(Z806&gt;0.7,"Network anomaly",""),
  IF(AA806&gt;0.7,"USB anomaly","")
 )="",
 "General anomaly detected",
 _xlfn.TEXTJOIN(", ", TRUE,
  IF(X806&gt;0.7,"Login anomaly",""),
  IF(Y806&gt;0.7,"File anomaly",""),
  IF(Z806&gt;0.7,"Network anomaly",""),
  IF(AA806&gt;0.7,"USB anomaly","")
 )))</f>
        <v/>
      </c>
    </row>
    <row r="807" spans="1:40" x14ac:dyDescent="0.3">
      <c r="A807" t="s">
        <v>830</v>
      </c>
      <c r="B807">
        <v>0.12892249527410199</v>
      </c>
      <c r="C807">
        <v>0.18476582604220201</v>
      </c>
      <c r="D807">
        <v>0</v>
      </c>
      <c r="E807">
        <v>0</v>
      </c>
      <c r="F807">
        <v>0</v>
      </c>
      <c r="G807">
        <v>0.993679852171231</v>
      </c>
      <c r="H807">
        <v>7</v>
      </c>
      <c r="I807">
        <v>7</v>
      </c>
      <c r="J807">
        <v>9.0119746195315098E-2</v>
      </c>
      <c r="K807">
        <v>1.30505709624796E-2</v>
      </c>
      <c r="L807">
        <v>3.6892676885743499E-2</v>
      </c>
      <c r="M807">
        <v>6.9264069264069203E-3</v>
      </c>
      <c r="N807">
        <v>4.6323546217949499E-2</v>
      </c>
      <c r="O807">
        <v>913</v>
      </c>
      <c r="P807">
        <v>7.5231481481481496E-2</v>
      </c>
      <c r="Q807">
        <v>7.5388337599494995E-2</v>
      </c>
      <c r="R807">
        <v>0</v>
      </c>
      <c r="S807">
        <v>0</v>
      </c>
      <c r="T807" t="s">
        <v>49</v>
      </c>
      <c r="U807">
        <v>1.0867924528301799E-2</v>
      </c>
      <c r="V807">
        <v>0</v>
      </c>
      <c r="W807">
        <v>0</v>
      </c>
      <c r="X807">
        <v>0</v>
      </c>
      <c r="Y807">
        <v>5.0367351547319597E-2</v>
      </c>
      <c r="Z807">
        <v>6.3668307376068697E-2</v>
      </c>
      <c r="AA807">
        <v>0</v>
      </c>
      <c r="AB807">
        <v>3.6674000322818763E-2</v>
      </c>
      <c r="AC807">
        <v>4.1400000918656588E-4</v>
      </c>
      <c r="AD807">
        <v>3.354999935254455E-3</v>
      </c>
      <c r="AE807">
        <v>1.720999949611723E-3</v>
      </c>
      <c r="AF807">
        <f>0.16*X807 + 0.28*Y807 + 0.28*Z807 + 0.28*AA807</f>
        <v>3.1929984498548725E-2</v>
      </c>
      <c r="AG807">
        <f t="shared" si="36"/>
        <v>7.4050400219857707E-3</v>
      </c>
      <c r="AH807">
        <f>IF(T807="IT_Admin", 0.25, IF(AND(T807="HR", AA807&gt;0.6), 0.25, IF(AND(T807="General", Z807&gt;0.7), 0.2, 0.1)))</f>
        <v>0.1</v>
      </c>
      <c r="AI807">
        <f>IF(V807&gt;0.7, 0.1,
 IF(F807&gt;0.5, 0.08,
 IF(E807&gt;0.5, 0.05,
 0)))</f>
        <v>0</v>
      </c>
      <c r="AJ807">
        <f t="shared" si="37"/>
        <v>1.4762523364954656E-2</v>
      </c>
      <c r="AK807">
        <f t="shared" si="38"/>
        <v>1.6238775701450124E-2</v>
      </c>
      <c r="AL807" t="str">
        <f>IF(MAX(X807, Y807, Z807, AA807)&gt;0.9,
 "Critical",
 IF(AK807&lt;=0.2,"Very Low",
 IF(AK807&lt;=0.4,"Low",
 IF(AK807&lt;=0.6,"Medium",
 IF(AK807&lt;=0.8,"High","Critical")))))</f>
        <v>Very Low</v>
      </c>
      <c r="AM807" t="str">
        <f>IF(MAX(X807:AA807)&gt;0.9,"CRITICAL ALERT",
 IF(AK807&gt;0.8,"CRITICAL ALERT",
 IF(AK807&gt;0.6,"ALERT",
 IF(AK807&gt;=0.4,"REVIEW","NO ACTION"))))</f>
        <v>NO ACTION</v>
      </c>
      <c r="AN807" t="str">
        <f>IF(AM807="NO ACTION","",
 IF(_xlfn.TEXTJOIN(", ", TRUE,
  IF(X807&gt;0.7,"Login anomaly",""),
  IF(Y807&gt;0.7,"File anomaly",""),
  IF(Z807&gt;0.7,"Network anomaly",""),
  IF(AA807&gt;0.7,"USB anomaly","")
 )="",
 "General anomaly detected",
 _xlfn.TEXTJOIN(", ", TRUE,
  IF(X807&gt;0.7,"Login anomaly",""),
  IF(Y807&gt;0.7,"File anomaly",""),
  IF(Z807&gt;0.7,"Network anomaly",""),
  IF(AA807&gt;0.7,"USB anomaly","")
 )))</f>
        <v/>
      </c>
    </row>
    <row r="808" spans="1:40" x14ac:dyDescent="0.3">
      <c r="A808" t="s">
        <v>831</v>
      </c>
      <c r="B808">
        <v>0.12892249527410199</v>
      </c>
      <c r="C808">
        <v>0.36953165208440503</v>
      </c>
      <c r="D808">
        <v>0</v>
      </c>
      <c r="E808">
        <v>0</v>
      </c>
      <c r="F808">
        <v>0</v>
      </c>
      <c r="G808">
        <v>0.99366719341468401</v>
      </c>
      <c r="H808">
        <v>8</v>
      </c>
      <c r="I808">
        <v>8</v>
      </c>
      <c r="J808">
        <v>8.1675492581460798E-2</v>
      </c>
      <c r="K808">
        <v>8.1566068515497494E-3</v>
      </c>
      <c r="L808">
        <v>2.54348900777512E-2</v>
      </c>
      <c r="M808">
        <v>2.59740259740259E-3</v>
      </c>
      <c r="N808">
        <v>1.9162084275654401E-2</v>
      </c>
      <c r="O808">
        <v>831</v>
      </c>
      <c r="P808">
        <v>6.4814814814814797E-2</v>
      </c>
      <c r="Q808">
        <v>6.4974227707843807E-2</v>
      </c>
      <c r="R808">
        <v>0</v>
      </c>
      <c r="S808">
        <v>0</v>
      </c>
      <c r="T808" t="s">
        <v>49</v>
      </c>
      <c r="U808">
        <v>1.6981132075471601E-2</v>
      </c>
      <c r="V808">
        <v>0</v>
      </c>
      <c r="W808">
        <v>0</v>
      </c>
      <c r="X808">
        <v>0</v>
      </c>
      <c r="Y808">
        <v>3.4801168837864098E-2</v>
      </c>
      <c r="Z808">
        <v>4.6553722599150603E-2</v>
      </c>
      <c r="AA808">
        <v>0</v>
      </c>
      <c r="AB808">
        <v>2.466999925673008E-2</v>
      </c>
      <c r="AC808">
        <v>2.8300000121816987E-4</v>
      </c>
      <c r="AD808">
        <v>5.1730000413954258E-3</v>
      </c>
      <c r="AE808">
        <v>1.8459999701008201E-3</v>
      </c>
      <c r="AF808">
        <f>0.16*X808 + 0.28*Y808 + 0.28*Z808 + 0.28*AA808</f>
        <v>2.2779369602364118E-2</v>
      </c>
      <c r="AG808">
        <f t="shared" si="36"/>
        <v>5.9917598846368492E-3</v>
      </c>
      <c r="AH808">
        <f>IF(T808="IT_Admin", 0.25, IF(AND(T808="HR", AA808&gt;0.6), 0.25, IF(AND(T808="General", Z808&gt;0.7), 0.2, 0.1)))</f>
        <v>0.1</v>
      </c>
      <c r="AI808">
        <f>IF(V808&gt;0.7, 0.1,
 IF(F808&gt;0.5, 0.08,
 IF(E808&gt;0.5, 0.05,
 0)))</f>
        <v>0</v>
      </c>
      <c r="AJ808">
        <f t="shared" si="37"/>
        <v>1.1028042799955028E-2</v>
      </c>
      <c r="AK808">
        <f t="shared" si="38"/>
        <v>1.2130847079950531E-2</v>
      </c>
      <c r="AL808" t="str">
        <f>IF(MAX(X808, Y808, Z808, AA808)&gt;0.9,
 "Critical",
 IF(AK808&lt;=0.2,"Very Low",
 IF(AK808&lt;=0.4,"Low",
 IF(AK808&lt;=0.6,"Medium",
 IF(AK808&lt;=0.8,"High","Critical")))))</f>
        <v>Very Low</v>
      </c>
      <c r="AM808" t="str">
        <f>IF(MAX(X808:AA808)&gt;0.9,"CRITICAL ALERT",
 IF(AK808&gt;0.8,"CRITICAL ALERT",
 IF(AK808&gt;0.6,"ALERT",
 IF(AK808&gt;=0.4,"REVIEW","NO ACTION"))))</f>
        <v>NO ACTION</v>
      </c>
      <c r="AN808" t="str">
        <f>IF(AM808="NO ACTION","",
 IF(_xlfn.TEXTJOIN(", ", TRUE,
  IF(X808&gt;0.7,"Login anomaly",""),
  IF(Y808&gt;0.7,"File anomaly",""),
  IF(Z808&gt;0.7,"Network anomaly",""),
  IF(AA808&gt;0.7,"USB anomaly","")
 )="",
 "General anomaly detected",
 _xlfn.TEXTJOIN(", ", TRUE,
  IF(X808&gt;0.7,"Login anomaly",""),
  IF(Y808&gt;0.7,"File anomaly",""),
  IF(Z808&gt;0.7,"Network anomaly",""),
  IF(AA808&gt;0.7,"USB anomaly","")
 )))</f>
        <v/>
      </c>
    </row>
    <row r="809" spans="1:40" x14ac:dyDescent="0.3">
      <c r="A809" t="s">
        <v>832</v>
      </c>
      <c r="B809">
        <v>0.12892249527410199</v>
      </c>
      <c r="C809">
        <v>0.27098987819523002</v>
      </c>
      <c r="D809">
        <v>7.4965657310309297E-2</v>
      </c>
      <c r="E809">
        <v>0</v>
      </c>
      <c r="F809">
        <v>0</v>
      </c>
      <c r="G809">
        <v>0.99368116354347402</v>
      </c>
      <c r="H809">
        <v>7</v>
      </c>
      <c r="I809">
        <v>8</v>
      </c>
      <c r="J809">
        <v>9.6369448022517998E-2</v>
      </c>
      <c r="K809">
        <v>1.4681892332789499E-2</v>
      </c>
      <c r="L809">
        <v>3.8819294456443401E-2</v>
      </c>
      <c r="M809">
        <v>2.8860028860028799E-3</v>
      </c>
      <c r="N809">
        <v>1.8052838793579499E-2</v>
      </c>
      <c r="O809">
        <v>880</v>
      </c>
      <c r="P809">
        <v>7.8563411896745206E-2</v>
      </c>
      <c r="Q809">
        <v>7.8719450191100604E-2</v>
      </c>
      <c r="R809">
        <v>0</v>
      </c>
      <c r="S809">
        <v>0</v>
      </c>
      <c r="T809" t="s">
        <v>24</v>
      </c>
      <c r="U809">
        <v>2.7787307032590001E-2</v>
      </c>
      <c r="V809">
        <v>0</v>
      </c>
      <c r="W809">
        <v>0</v>
      </c>
      <c r="X809">
        <v>2.2489697193092802E-2</v>
      </c>
      <c r="Y809">
        <v>4.4099388470799201E-2</v>
      </c>
      <c r="Z809">
        <v>5.4359182655478899E-2</v>
      </c>
      <c r="AA809">
        <v>0</v>
      </c>
      <c r="AB809">
        <v>1.8812000751495361E-2</v>
      </c>
      <c r="AC809">
        <v>2.9000000722589899E-5</v>
      </c>
      <c r="AD809">
        <v>3.5550000611692671E-3</v>
      </c>
      <c r="AE809">
        <v>1.7679999582469459E-3</v>
      </c>
      <c r="AF809">
        <f>0.16*X809 + 0.28*Y809 + 0.28*Z809 + 0.28*AA809</f>
        <v>3.116675146625272E-2</v>
      </c>
      <c r="AG809">
        <f t="shared" si="36"/>
        <v>4.5084801258781226E-3</v>
      </c>
      <c r="AH809">
        <f>IF(T809="IT_Admin", 0.25, IF(AND(T809="HR", AA809&gt;0.6), 0.25, IF(AND(T809="General", Z809&gt;0.7), 0.2, 0.1)))</f>
        <v>0.25</v>
      </c>
      <c r="AI809">
        <f>IF(V809&gt;0.7, 0.1,
 IF(F809&gt;0.5, 0.08,
 IF(E809&gt;0.5, 0.05,
 0)))</f>
        <v>0</v>
      </c>
      <c r="AJ809">
        <f t="shared" si="37"/>
        <v>1.2505961527990501E-2</v>
      </c>
      <c r="AK809">
        <f t="shared" si="38"/>
        <v>1.5632451909988125E-2</v>
      </c>
      <c r="AL809" t="str">
        <f>IF(MAX(X809, Y809, Z809, AA809)&gt;0.9,
 "Critical",
 IF(AK809&lt;=0.2,"Very Low",
 IF(AK809&lt;=0.4,"Low",
 IF(AK809&lt;=0.6,"Medium",
 IF(AK809&lt;=0.8,"High","Critical")))))</f>
        <v>Very Low</v>
      </c>
      <c r="AM809" t="str">
        <f>IF(MAX(X809:AA809)&gt;0.9,"CRITICAL ALERT",
 IF(AK809&gt;0.8,"CRITICAL ALERT",
 IF(AK809&gt;0.6,"ALERT",
 IF(AK809&gt;=0.4,"REVIEW","NO ACTION"))))</f>
        <v>NO ACTION</v>
      </c>
      <c r="AN809" t="str">
        <f>IF(AM809="NO ACTION","",
 IF(_xlfn.TEXTJOIN(", ", TRUE,
  IF(X809&gt;0.7,"Login anomaly",""),
  IF(Y809&gt;0.7,"File anomaly",""),
  IF(Z809&gt;0.7,"Network anomaly",""),
  IF(AA809&gt;0.7,"USB anomaly","")
 )="",
 "General anomaly detected",
 _xlfn.TEXTJOIN(", ", TRUE,
  IF(X809&gt;0.7,"Login anomaly",""),
  IF(Y809&gt;0.7,"File anomaly",""),
  IF(Z809&gt;0.7,"Network anomaly",""),
  IF(AA809&gt;0.7,"USB anomaly","")
 )))</f>
        <v/>
      </c>
    </row>
    <row r="810" spans="1:40" x14ac:dyDescent="0.3">
      <c r="A810" t="s">
        <v>833</v>
      </c>
      <c r="B810">
        <v>0.26238185255198399</v>
      </c>
      <c r="C810">
        <v>0.722916147451655</v>
      </c>
      <c r="D810">
        <v>0.39399418612777298</v>
      </c>
      <c r="E810">
        <v>0</v>
      </c>
      <c r="F810">
        <v>0</v>
      </c>
      <c r="G810">
        <v>0.41545104279337502</v>
      </c>
      <c r="H810">
        <v>7</v>
      </c>
      <c r="I810">
        <v>17</v>
      </c>
      <c r="J810">
        <v>8.0530509040599205E-2</v>
      </c>
      <c r="K810">
        <v>5.7096247960848204E-3</v>
      </c>
      <c r="L810">
        <v>1.8056818892173199E-2</v>
      </c>
      <c r="M810">
        <v>2.3088023088023001E-3</v>
      </c>
      <c r="N810">
        <v>1.72744234173649E-2</v>
      </c>
      <c r="O810">
        <v>661</v>
      </c>
      <c r="P810">
        <v>6.2780583613916904E-2</v>
      </c>
      <c r="Q810">
        <v>6.2940495809810995E-2</v>
      </c>
      <c r="R810">
        <v>0.76401179941002895</v>
      </c>
      <c r="S810">
        <v>1</v>
      </c>
      <c r="T810" t="s">
        <v>49</v>
      </c>
      <c r="U810">
        <v>1.32075471698113E-2</v>
      </c>
      <c r="V810">
        <v>0</v>
      </c>
      <c r="W810">
        <v>0</v>
      </c>
      <c r="X810">
        <v>0.118198255838332</v>
      </c>
      <c r="Y810">
        <v>3.0316838279415899E-2</v>
      </c>
      <c r="Z810">
        <v>4.4578119535296098E-2</v>
      </c>
      <c r="AA810">
        <v>0.76401179941002895</v>
      </c>
      <c r="AB810">
        <v>4.7768000513315201E-2</v>
      </c>
      <c r="AC810">
        <v>4.4199998956173658E-4</v>
      </c>
      <c r="AD810">
        <v>4.6330001205205917E-3</v>
      </c>
      <c r="AE810">
        <v>0.57792502641677856</v>
      </c>
      <c r="AF810">
        <f>0.16*X810 + 0.28*Y810 + 0.28*Z810 + 0.28*AA810</f>
        <v>0.25380561295706061</v>
      </c>
      <c r="AG810">
        <f t="shared" si="36"/>
        <v>0.1708828875096515</v>
      </c>
      <c r="AH810">
        <f>IF(T810="IT_Admin", 0.25, IF(AND(T810="HR", AA810&gt;0.6), 0.25, IF(AND(T810="General", Z810&gt;0.7), 0.2, 0.1)))</f>
        <v>0.1</v>
      </c>
      <c r="AI810">
        <f>IF(V810&gt;0.7, 0.1,
 IF(F810&gt;0.5, 0.08,
 IF(E810&gt;0.5, 0.05,
 0)))</f>
        <v>0</v>
      </c>
      <c r="AJ810">
        <f t="shared" si="37"/>
        <v>0.19575970514387422</v>
      </c>
      <c r="AK810">
        <f t="shared" si="38"/>
        <v>0.21533567565826167</v>
      </c>
      <c r="AL810" t="str">
        <f>IF(MAX(X810, Y810, Z810, AA810)&gt;0.9,
 "Critical",
 IF(AK810&lt;=0.2,"Very Low",
 IF(AK810&lt;=0.4,"Low",
 IF(AK810&lt;=0.6,"Medium",
 IF(AK810&lt;=0.8,"High","Critical")))))</f>
        <v>Low</v>
      </c>
      <c r="AM810" t="str">
        <f>IF(MAX(X810:AA810)&gt;0.9,"CRITICAL ALERT",
 IF(AK810&gt;0.8,"CRITICAL ALERT",
 IF(AK810&gt;0.6,"ALERT",
 IF(AK810&gt;=0.4,"REVIEW","NO ACTION"))))</f>
        <v>NO ACTION</v>
      </c>
      <c r="AN810" t="str">
        <f>IF(AM810="NO ACTION","",
 IF(_xlfn.TEXTJOIN(", ", TRUE,
  IF(X810&gt;0.7,"Login anomaly",""),
  IF(Y810&gt;0.7,"File anomaly",""),
  IF(Z810&gt;0.7,"Network anomaly",""),
  IF(AA810&gt;0.7,"USB anomaly","")
 )="",
 "General anomaly detected",
 _xlfn.TEXTJOIN(", ", TRUE,
  IF(X810&gt;0.7,"Login anomaly",""),
  IF(Y810&gt;0.7,"File anomaly",""),
  IF(Z810&gt;0.7,"Network anomaly",""),
  IF(AA810&gt;0.7,"USB anomaly","")
 )))</f>
        <v/>
      </c>
    </row>
    <row r="811" spans="1:40" x14ac:dyDescent="0.3">
      <c r="A811" t="s">
        <v>834</v>
      </c>
      <c r="B811">
        <v>0.12892249527410199</v>
      </c>
      <c r="C811">
        <v>0.18476582604220201</v>
      </c>
      <c r="D811">
        <v>0</v>
      </c>
      <c r="E811">
        <v>0</v>
      </c>
      <c r="F811">
        <v>0</v>
      </c>
      <c r="G811">
        <v>0.99367064580283404</v>
      </c>
      <c r="H811">
        <v>7</v>
      </c>
      <c r="I811">
        <v>7</v>
      </c>
      <c r="J811">
        <v>8.1103000811030002E-2</v>
      </c>
      <c r="K811">
        <v>7.34094616639478E-3</v>
      </c>
      <c r="L811">
        <v>2.30525135701753E-2</v>
      </c>
      <c r="M811">
        <v>2.0202020202020202E-3</v>
      </c>
      <c r="N811">
        <v>1.50087384104979E-2</v>
      </c>
      <c r="O811">
        <v>432</v>
      </c>
      <c r="P811">
        <v>6.3762626262626201E-2</v>
      </c>
      <c r="Q811">
        <v>6.3922297415757903E-2</v>
      </c>
      <c r="R811">
        <v>0</v>
      </c>
      <c r="S811">
        <v>0</v>
      </c>
      <c r="T811" t="s">
        <v>49</v>
      </c>
      <c r="U811">
        <v>1.9103773584905601E-2</v>
      </c>
      <c r="V811">
        <v>0</v>
      </c>
      <c r="W811">
        <v>0</v>
      </c>
      <c r="X811">
        <v>0</v>
      </c>
      <c r="Y811">
        <v>3.2249478470443002E-2</v>
      </c>
      <c r="Z811">
        <v>4.4261071121774902E-2</v>
      </c>
      <c r="AA811">
        <v>0</v>
      </c>
      <c r="AB811">
        <v>3.6984000355005257E-2</v>
      </c>
      <c r="AC811">
        <v>3.1599999056197697E-4</v>
      </c>
      <c r="AD811">
        <v>5.3690001368522644E-3</v>
      </c>
      <c r="AE811">
        <v>2.4190000258386139E-3</v>
      </c>
      <c r="AF811">
        <f>0.16*X811 + 0.28*Y811 + 0.28*Z811 + 0.28*AA811</f>
        <v>2.1422953885821015E-2</v>
      </c>
      <c r="AG811">
        <f t="shared" si="36"/>
        <v>8.1865600997116407E-3</v>
      </c>
      <c r="AH811">
        <f>IF(T811="IT_Admin", 0.25, IF(AND(T811="HR", AA811&gt;0.6), 0.25, IF(AND(T811="General", Z811&gt;0.7), 0.2, 0.1)))</f>
        <v>0.1</v>
      </c>
      <c r="AI811">
        <f>IF(V811&gt;0.7, 0.1,
 IF(F811&gt;0.5, 0.08,
 IF(E811&gt;0.5, 0.05,
 0)))</f>
        <v>0</v>
      </c>
      <c r="AJ811">
        <f t="shared" si="37"/>
        <v>1.2157478235544451E-2</v>
      </c>
      <c r="AK811">
        <f t="shared" si="38"/>
        <v>1.3373226059098898E-2</v>
      </c>
      <c r="AL811" t="str">
        <f>IF(MAX(X811, Y811, Z811, AA811)&gt;0.9,
 "Critical",
 IF(AK811&lt;=0.2,"Very Low",
 IF(AK811&lt;=0.4,"Low",
 IF(AK811&lt;=0.6,"Medium",
 IF(AK811&lt;=0.8,"High","Critical")))))</f>
        <v>Very Low</v>
      </c>
      <c r="AM811" t="str">
        <f>IF(MAX(X811:AA811)&gt;0.9,"CRITICAL ALERT",
 IF(AK811&gt;0.8,"CRITICAL ALERT",
 IF(AK811&gt;0.6,"ALERT",
 IF(AK811&gt;=0.4,"REVIEW","NO ACTION"))))</f>
        <v>NO ACTION</v>
      </c>
      <c r="AN811" t="str">
        <f>IF(AM811="NO ACTION","",
 IF(_xlfn.TEXTJOIN(", ", TRUE,
  IF(X811&gt;0.7,"Login anomaly",""),
  IF(Y811&gt;0.7,"File anomaly",""),
  IF(Z811&gt;0.7,"Network anomaly",""),
  IF(AA811&gt;0.7,"USB anomaly","")
 )="",
 "General anomaly detected",
 _xlfn.TEXTJOIN(", ", TRUE,
  IF(X811&gt;0.7,"Login anomaly",""),
  IF(Y811&gt;0.7,"File anomaly",""),
  IF(Z811&gt;0.7,"Network anomaly",""),
  IF(AA811&gt;0.7,"USB anomaly","")
 )))</f>
        <v/>
      </c>
    </row>
    <row r="812" spans="1:40" x14ac:dyDescent="0.3">
      <c r="A812" t="s">
        <v>835</v>
      </c>
      <c r="B812">
        <v>0.12892249527410199</v>
      </c>
      <c r="C812">
        <v>0.18476582604220201</v>
      </c>
      <c r="D812">
        <v>0</v>
      </c>
      <c r="E812">
        <v>0</v>
      </c>
      <c r="F812">
        <v>0</v>
      </c>
      <c r="G812">
        <v>0.99368841623485704</v>
      </c>
      <c r="H812">
        <v>7</v>
      </c>
      <c r="I812">
        <v>7</v>
      </c>
      <c r="J812">
        <v>5.6533562330041497E-2</v>
      </c>
      <c r="K812">
        <v>1.1419249592169599E-2</v>
      </c>
      <c r="L812">
        <v>5.1378477957057501E-2</v>
      </c>
      <c r="M812">
        <v>8.6580086580086504E-4</v>
      </c>
      <c r="N812">
        <v>9.2160500563861908E-3</v>
      </c>
      <c r="O812">
        <v>620</v>
      </c>
      <c r="P812">
        <v>4.68925364758698E-2</v>
      </c>
      <c r="Q812">
        <v>4.7056348399312699E-2</v>
      </c>
      <c r="R812">
        <v>0</v>
      </c>
      <c r="S812">
        <v>0</v>
      </c>
      <c r="T812" t="s">
        <v>49</v>
      </c>
      <c r="U812">
        <v>5.9433962264150902E-2</v>
      </c>
      <c r="V812">
        <v>0</v>
      </c>
      <c r="W812">
        <v>0</v>
      </c>
      <c r="X812">
        <v>0</v>
      </c>
      <c r="Y812">
        <v>3.97607664614529E-2</v>
      </c>
      <c r="Z812">
        <v>3.1821941908076301E-2</v>
      </c>
      <c r="AA812">
        <v>0</v>
      </c>
      <c r="AB812">
        <v>3.6678999662399292E-2</v>
      </c>
      <c r="AC812">
        <v>2.5599999935366208E-4</v>
      </c>
      <c r="AD812">
        <v>8.1259999424219131E-3</v>
      </c>
      <c r="AE812">
        <v>1.7330000409856441E-3</v>
      </c>
      <c r="AF812">
        <f>0.16*X812 + 0.28*Y812 + 0.28*Z812 + 0.28*AA812</f>
        <v>2.0043158343468179E-2</v>
      </c>
      <c r="AG812">
        <f t="shared" si="36"/>
        <v>8.7008399411570292E-3</v>
      </c>
      <c r="AH812">
        <f>IF(T812="IT_Admin", 0.25, IF(AND(T812="HR", AA812&gt;0.6), 0.25, IF(AND(T812="General", Z812&gt;0.7), 0.2, 0.1)))</f>
        <v>0.1</v>
      </c>
      <c r="AI812">
        <f>IF(V812&gt;0.7, 0.1,
 IF(F812&gt;0.5, 0.08,
 IF(E812&gt;0.5, 0.05,
 0)))</f>
        <v>0</v>
      </c>
      <c r="AJ812">
        <f t="shared" si="37"/>
        <v>1.2103535461850373E-2</v>
      </c>
      <c r="AK812">
        <f t="shared" si="38"/>
        <v>1.3313889008035412E-2</v>
      </c>
      <c r="AL812" t="str">
        <f>IF(MAX(X812, Y812, Z812, AA812)&gt;0.9,
 "Critical",
 IF(AK812&lt;=0.2,"Very Low",
 IF(AK812&lt;=0.4,"Low",
 IF(AK812&lt;=0.6,"Medium",
 IF(AK812&lt;=0.8,"High","Critical")))))</f>
        <v>Very Low</v>
      </c>
      <c r="AM812" t="str">
        <f>IF(MAX(X812:AA812)&gt;0.9,"CRITICAL ALERT",
 IF(AK812&gt;0.8,"CRITICAL ALERT",
 IF(AK812&gt;0.6,"ALERT",
 IF(AK812&gt;=0.4,"REVIEW","NO ACTION"))))</f>
        <v>NO ACTION</v>
      </c>
      <c r="AN812" t="str">
        <f>IF(AM812="NO ACTION","",
 IF(_xlfn.TEXTJOIN(", ", TRUE,
  IF(X812&gt;0.7,"Login anomaly",""),
  IF(Y812&gt;0.7,"File anomaly",""),
  IF(Z812&gt;0.7,"Network anomaly",""),
  IF(AA812&gt;0.7,"USB anomaly","")
 )="",
 "General anomaly detected",
 _xlfn.TEXTJOIN(", ", TRUE,
  IF(X812&gt;0.7,"Login anomaly",""),
  IF(Y812&gt;0.7,"File anomaly",""),
  IF(Z812&gt;0.7,"Network anomaly",""),
  IF(AA812&gt;0.7,"USB anomaly","")
 )))</f>
        <v/>
      </c>
    </row>
    <row r="813" spans="1:40" x14ac:dyDescent="0.3">
      <c r="A813" t="s">
        <v>836</v>
      </c>
      <c r="B813">
        <v>0.242722117202268</v>
      </c>
      <c r="C813">
        <v>0.60406412476955396</v>
      </c>
      <c r="D813">
        <v>0.439475809747013</v>
      </c>
      <c r="E813">
        <v>7.0519435844513201E-2</v>
      </c>
      <c r="F813">
        <v>2.4767801857585099E-2</v>
      </c>
      <c r="G813">
        <v>0.46086716004038902</v>
      </c>
      <c r="H813">
        <v>0</v>
      </c>
      <c r="I813">
        <v>23</v>
      </c>
      <c r="J813">
        <v>8.2247984351891595E-2</v>
      </c>
      <c r="K813">
        <v>6.3621533442088096E-2</v>
      </c>
      <c r="L813">
        <v>0.19701521622630999</v>
      </c>
      <c r="M813">
        <v>1.5873015873015799E-2</v>
      </c>
      <c r="N813">
        <v>0.11628889072498</v>
      </c>
      <c r="O813">
        <v>384</v>
      </c>
      <c r="P813">
        <v>9.5538720538720506E-2</v>
      </c>
      <c r="Q813">
        <v>9.5690592236754399E-2</v>
      </c>
      <c r="R813">
        <v>0.17994100294985199</v>
      </c>
      <c r="S813">
        <v>1</v>
      </c>
      <c r="T813" t="s">
        <v>49</v>
      </c>
      <c r="U813">
        <v>2.3652291105121199E-2</v>
      </c>
      <c r="V813">
        <v>0</v>
      </c>
      <c r="W813">
        <v>0.159239777128837</v>
      </c>
      <c r="X813">
        <v>0.16290569442049199</v>
      </c>
      <c r="Y813">
        <v>0.14984387220102799</v>
      </c>
      <c r="Z813">
        <v>0.103838788613224</v>
      </c>
      <c r="AA813">
        <v>0.17994100294985199</v>
      </c>
      <c r="AB813">
        <v>0.1332529932260513</v>
      </c>
      <c r="AC813">
        <v>1.371600013226271E-2</v>
      </c>
      <c r="AD813">
        <v>8.9500000467523932E-4</v>
      </c>
      <c r="AE813">
        <v>5.916300043463707E-2</v>
      </c>
      <c r="AF813">
        <f>0.16*X813 + 0.28*Y813 + 0.28*Z813 + 0.28*AA813</f>
        <v>0.14747953696122784</v>
      </c>
      <c r="AG813">
        <f t="shared" si="36"/>
        <v>4.1977199076209212E-2</v>
      </c>
      <c r="AH813">
        <f>IF(T813="IT_Admin", 0.25, IF(AND(T813="HR", AA813&gt;0.6), 0.25, IF(AND(T813="General", Z813&gt;0.7), 0.2, 0.1)))</f>
        <v>0.1</v>
      </c>
      <c r="AI813">
        <f>IF(V813&gt;0.7, 0.1,
 IF(F813&gt;0.5, 0.08,
 IF(E813&gt;0.5, 0.05,
 0)))</f>
        <v>0</v>
      </c>
      <c r="AJ813">
        <f t="shared" si="37"/>
        <v>7.36279004417148E-2</v>
      </c>
      <c r="AK813">
        <f t="shared" si="38"/>
        <v>8.099069048588628E-2</v>
      </c>
      <c r="AL813" t="str">
        <f>IF(MAX(X813, Y813, Z813, AA813)&gt;0.9,
 "Critical",
 IF(AK813&lt;=0.2,"Very Low",
 IF(AK813&lt;=0.4,"Low",
 IF(AK813&lt;=0.6,"Medium",
 IF(AK813&lt;=0.8,"High","Critical")))))</f>
        <v>Very Low</v>
      </c>
      <c r="AM813" t="str">
        <f>IF(MAX(X813:AA813)&gt;0.9,"CRITICAL ALERT",
 IF(AK813&gt;0.8,"CRITICAL ALERT",
 IF(AK813&gt;0.6,"ALERT",
 IF(AK813&gt;=0.4,"REVIEW","NO ACTION"))))</f>
        <v>NO ACTION</v>
      </c>
      <c r="AN813" t="str">
        <f>IF(AM813="NO ACTION","",
 IF(_xlfn.TEXTJOIN(", ", TRUE,
  IF(X813&gt;0.7,"Login anomaly",""),
  IF(Y813&gt;0.7,"File anomaly",""),
  IF(Z813&gt;0.7,"Network anomaly",""),
  IF(AA813&gt;0.7,"USB anomaly","")
 )="",
 "General anomaly detected",
 _xlfn.TEXTJOIN(", ", TRUE,
  IF(X813&gt;0.7,"Login anomaly",""),
  IF(Y813&gt;0.7,"File anomaly",""),
  IF(Z813&gt;0.7,"Network anomaly",""),
  IF(AA813&gt;0.7,"USB anomaly","")
 )))</f>
        <v/>
      </c>
    </row>
    <row r="814" spans="1:40" x14ac:dyDescent="0.3">
      <c r="A814" t="s">
        <v>837</v>
      </c>
      <c r="B814">
        <v>0.12892249527410199</v>
      </c>
      <c r="C814">
        <v>0.46700231973565398</v>
      </c>
      <c r="D814">
        <v>7.5018780494472401E-2</v>
      </c>
      <c r="E814">
        <v>0</v>
      </c>
      <c r="F814">
        <v>0</v>
      </c>
      <c r="G814">
        <v>0.99367262624254704</v>
      </c>
      <c r="H814">
        <v>8</v>
      </c>
      <c r="I814">
        <v>9</v>
      </c>
      <c r="J814">
        <v>8.3583798482896807E-2</v>
      </c>
      <c r="K814">
        <v>8.9722675367047301E-3</v>
      </c>
      <c r="L814">
        <v>2.7341421109760199E-2</v>
      </c>
      <c r="M814">
        <v>2.0202020202020202E-3</v>
      </c>
      <c r="N814">
        <v>1.45645412577683E-2</v>
      </c>
      <c r="O814">
        <v>884</v>
      </c>
      <c r="P814">
        <v>6.6287878787878798E-2</v>
      </c>
      <c r="Q814">
        <v>6.6446930116764197E-2</v>
      </c>
      <c r="R814">
        <v>0</v>
      </c>
      <c r="S814">
        <v>0</v>
      </c>
      <c r="T814" t="s">
        <v>49</v>
      </c>
      <c r="U814">
        <v>2.33490566037735E-2</v>
      </c>
      <c r="V814">
        <v>0</v>
      </c>
      <c r="W814">
        <v>0</v>
      </c>
      <c r="X814">
        <v>2.25056341483417E-2</v>
      </c>
      <c r="Y814">
        <v>3.4756832628790001E-2</v>
      </c>
      <c r="Z814">
        <v>4.5598543775834603E-2</v>
      </c>
      <c r="AA814">
        <v>0</v>
      </c>
      <c r="AB814">
        <v>1.3415000401437281E-2</v>
      </c>
      <c r="AC814">
        <v>1.9999999494757501E-4</v>
      </c>
      <c r="AD814">
        <v>5.0559998489916316E-3</v>
      </c>
      <c r="AE814">
        <v>2.3990001063793902E-3</v>
      </c>
      <c r="AF814">
        <f>0.16*X814 + 0.28*Y814 + 0.28*Z814 + 0.28*AA814</f>
        <v>2.6100406857029565E-2</v>
      </c>
      <c r="AG814">
        <f t="shared" si="36"/>
        <v>4.2898000503191723E-3</v>
      </c>
      <c r="AH814">
        <f>IF(T814="IT_Admin", 0.25, IF(AND(T814="HR", AA814&gt;0.6), 0.25, IF(AND(T814="General", Z814&gt;0.7), 0.2, 0.1)))</f>
        <v>0.1</v>
      </c>
      <c r="AI814">
        <f>IF(V814&gt;0.7, 0.1,
 IF(F814&gt;0.5, 0.08,
 IF(E814&gt;0.5, 0.05,
 0)))</f>
        <v>0</v>
      </c>
      <c r="AJ814">
        <f t="shared" si="37"/>
        <v>1.0832982092332291E-2</v>
      </c>
      <c r="AK814">
        <f t="shared" si="38"/>
        <v>1.191628030156552E-2</v>
      </c>
      <c r="AL814" t="str">
        <f>IF(MAX(X814, Y814, Z814, AA814)&gt;0.9,
 "Critical",
 IF(AK814&lt;=0.2,"Very Low",
 IF(AK814&lt;=0.4,"Low",
 IF(AK814&lt;=0.6,"Medium",
 IF(AK814&lt;=0.8,"High","Critical")))))</f>
        <v>Very Low</v>
      </c>
      <c r="AM814" t="str">
        <f>IF(MAX(X814:AA814)&gt;0.9,"CRITICAL ALERT",
 IF(AK814&gt;0.8,"CRITICAL ALERT",
 IF(AK814&gt;0.6,"ALERT",
 IF(AK814&gt;=0.4,"REVIEW","NO ACTION"))))</f>
        <v>NO ACTION</v>
      </c>
      <c r="AN814" t="str">
        <f>IF(AM814="NO ACTION","",
 IF(_xlfn.TEXTJOIN(", ", TRUE,
  IF(X814&gt;0.7,"Login anomaly",""),
  IF(Y814&gt;0.7,"File anomaly",""),
  IF(Z814&gt;0.7,"Network anomaly",""),
  IF(AA814&gt;0.7,"USB anomaly","")
 )="",
 "General anomaly detected",
 _xlfn.TEXTJOIN(", ", TRUE,
  IF(X814&gt;0.7,"Login anomaly",""),
  IF(Y814&gt;0.7,"File anomaly",""),
  IF(Z814&gt;0.7,"Network anomaly",""),
  IF(AA814&gt;0.7,"USB anomaly","")
 )))</f>
        <v/>
      </c>
    </row>
    <row r="815" spans="1:40" x14ac:dyDescent="0.3">
      <c r="A815" t="s">
        <v>838</v>
      </c>
      <c r="B815">
        <v>0.229489603024574</v>
      </c>
      <c r="C815">
        <v>0.65499636531491101</v>
      </c>
      <c r="D815">
        <v>0.36469294167323801</v>
      </c>
      <c r="E815">
        <v>0</v>
      </c>
      <c r="F815">
        <v>0</v>
      </c>
      <c r="G815">
        <v>0.49577079375621602</v>
      </c>
      <c r="H815">
        <v>7</v>
      </c>
      <c r="I815">
        <v>14</v>
      </c>
      <c r="J815">
        <v>7.9671771384953002E-2</v>
      </c>
      <c r="K815">
        <v>6.4437194127242997E-2</v>
      </c>
      <c r="L815">
        <v>0.205974017600979</v>
      </c>
      <c r="M815">
        <v>3.7518037518037501E-3</v>
      </c>
      <c r="N815">
        <v>2.83725958949839E-2</v>
      </c>
      <c r="O815">
        <v>388</v>
      </c>
      <c r="P815">
        <v>8.8103254769921396E-2</v>
      </c>
      <c r="Q815">
        <v>8.8256951506013495E-2</v>
      </c>
      <c r="R815">
        <v>0</v>
      </c>
      <c r="S815">
        <v>0</v>
      </c>
      <c r="T815" t="s">
        <v>49</v>
      </c>
      <c r="U815">
        <v>9.5822102425875993E-2</v>
      </c>
      <c r="V815">
        <v>0</v>
      </c>
      <c r="W815">
        <v>0</v>
      </c>
      <c r="X815">
        <v>0.109407882501971</v>
      </c>
      <c r="Y815">
        <v>0.12743314184597501</v>
      </c>
      <c r="Z815">
        <v>6.4210991219946403E-2</v>
      </c>
      <c r="AA815">
        <v>0</v>
      </c>
      <c r="AB815">
        <v>2.2654000669717789E-2</v>
      </c>
      <c r="AC815">
        <v>1.1041999794542789E-2</v>
      </c>
      <c r="AD815">
        <v>2.2869999520480628E-3</v>
      </c>
      <c r="AE815">
        <v>5.0119999796152106E-3</v>
      </c>
      <c r="AF815">
        <f>0.16*X815 + 0.28*Y815 + 0.28*Z815 + 0.28*AA815</f>
        <v>7.1165618458773366E-2</v>
      </c>
      <c r="AG815">
        <f t="shared" si="36"/>
        <v>8.760120030492544E-3</v>
      </c>
      <c r="AH815">
        <f>IF(T815="IT_Admin", 0.25, IF(AND(T815="HR", AA815&gt;0.6), 0.25, IF(AND(T815="General", Z815&gt;0.7), 0.2, 0.1)))</f>
        <v>0.1</v>
      </c>
      <c r="AI815">
        <f>IF(V815&gt;0.7, 0.1,
 IF(F815&gt;0.5, 0.08,
 IF(E815&gt;0.5, 0.05,
 0)))</f>
        <v>0</v>
      </c>
      <c r="AJ815">
        <f t="shared" si="37"/>
        <v>2.7481769558976788E-2</v>
      </c>
      <c r="AK815">
        <f t="shared" si="38"/>
        <v>3.022994651487447E-2</v>
      </c>
      <c r="AL815" t="str">
        <f>IF(MAX(X815, Y815, Z815, AA815)&gt;0.9,
 "Critical",
 IF(AK815&lt;=0.2,"Very Low",
 IF(AK815&lt;=0.4,"Low",
 IF(AK815&lt;=0.6,"Medium",
 IF(AK815&lt;=0.8,"High","Critical")))))</f>
        <v>Very Low</v>
      </c>
      <c r="AM815" t="str">
        <f>IF(MAX(X815:AA815)&gt;0.9,"CRITICAL ALERT",
 IF(AK815&gt;0.8,"CRITICAL ALERT",
 IF(AK815&gt;0.6,"ALERT",
 IF(AK815&gt;=0.4,"REVIEW","NO ACTION"))))</f>
        <v>NO ACTION</v>
      </c>
      <c r="AN815" t="str">
        <f>IF(AM815="NO ACTION","",
 IF(_xlfn.TEXTJOIN(", ", TRUE,
  IF(X815&gt;0.7,"Login anomaly",""),
  IF(Y815&gt;0.7,"File anomaly",""),
  IF(Z815&gt;0.7,"Network anomaly",""),
  IF(AA815&gt;0.7,"USB anomaly","")
 )="",
 "General anomaly detected",
 _xlfn.TEXTJOIN(", ", TRUE,
  IF(X815&gt;0.7,"Login anomaly",""),
  IF(Y815&gt;0.7,"File anomaly",""),
  IF(Z815&gt;0.7,"Network anomaly",""),
  IF(AA815&gt;0.7,"USB anomaly","")
 )))</f>
        <v/>
      </c>
    </row>
    <row r="816" spans="1:40" x14ac:dyDescent="0.3">
      <c r="A816" t="s">
        <v>839</v>
      </c>
      <c r="B816">
        <v>0.12892249527410199</v>
      </c>
      <c r="C816">
        <v>0.36953165208440503</v>
      </c>
      <c r="D816">
        <v>0</v>
      </c>
      <c r="E816">
        <v>0</v>
      </c>
      <c r="F816">
        <v>0</v>
      </c>
      <c r="G816">
        <v>0.993689647319003</v>
      </c>
      <c r="H816">
        <v>8</v>
      </c>
      <c r="I816">
        <v>8</v>
      </c>
      <c r="J816">
        <v>7.6379943704975903E-2</v>
      </c>
      <c r="K816">
        <v>9.7879282218597003E-3</v>
      </c>
      <c r="L816">
        <v>3.2631411902987899E-2</v>
      </c>
      <c r="M816">
        <v>1.7316017316017301E-3</v>
      </c>
      <c r="N816">
        <v>1.36576582404726E-2</v>
      </c>
      <c r="O816">
        <v>834</v>
      </c>
      <c r="P816">
        <v>6.1202300785634101E-2</v>
      </c>
      <c r="Q816">
        <v>6.1362600371682001E-2</v>
      </c>
      <c r="R816">
        <v>0</v>
      </c>
      <c r="S816">
        <v>0</v>
      </c>
      <c r="T816" t="s">
        <v>49</v>
      </c>
      <c r="U816">
        <v>2.9110512129380001E-2</v>
      </c>
      <c r="V816">
        <v>0</v>
      </c>
      <c r="W816">
        <v>0</v>
      </c>
      <c r="X816">
        <v>0</v>
      </c>
      <c r="Y816">
        <v>3.5688992164630902E-2</v>
      </c>
      <c r="Z816">
        <v>4.2184443767569503E-2</v>
      </c>
      <c r="AA816">
        <v>0</v>
      </c>
      <c r="AB816">
        <v>2.4661000818014141E-2</v>
      </c>
      <c r="AC816">
        <v>1.219999976456165E-4</v>
      </c>
      <c r="AD816">
        <v>5.814999807626009E-3</v>
      </c>
      <c r="AE816">
        <v>1.79699994623661E-3</v>
      </c>
      <c r="AF816">
        <f>0.16*X816 + 0.28*Y816 + 0.28*Z816 + 0.28*AA816</f>
        <v>2.1804562061016115E-2</v>
      </c>
      <c r="AG816">
        <f t="shared" si="36"/>
        <v>6.1112800613045684E-3</v>
      </c>
      <c r="AH816">
        <f>IF(T816="IT_Admin", 0.25, IF(AND(T816="HR", AA816&gt;0.6), 0.25, IF(AND(T816="General", Z816&gt;0.7), 0.2, 0.1)))</f>
        <v>0.1</v>
      </c>
      <c r="AI816">
        <f>IF(V816&gt;0.7, 0.1,
 IF(F816&gt;0.5, 0.08,
 IF(E816&gt;0.5, 0.05,
 0)))</f>
        <v>0</v>
      </c>
      <c r="AJ816">
        <f t="shared" si="37"/>
        <v>1.0819264661218032E-2</v>
      </c>
      <c r="AK816">
        <f t="shared" si="38"/>
        <v>1.1901191127339837E-2</v>
      </c>
      <c r="AL816" t="str">
        <f>IF(MAX(X816, Y816, Z816, AA816)&gt;0.9,
 "Critical",
 IF(AK816&lt;=0.2,"Very Low",
 IF(AK816&lt;=0.4,"Low",
 IF(AK816&lt;=0.6,"Medium",
 IF(AK816&lt;=0.8,"High","Critical")))))</f>
        <v>Very Low</v>
      </c>
      <c r="AM816" t="str">
        <f>IF(MAX(X816:AA816)&gt;0.9,"CRITICAL ALERT",
 IF(AK816&gt;0.8,"CRITICAL ALERT",
 IF(AK816&gt;0.6,"ALERT",
 IF(AK816&gt;=0.4,"REVIEW","NO ACTION"))))</f>
        <v>NO ACTION</v>
      </c>
      <c r="AN816" t="str">
        <f>IF(AM816="NO ACTION","",
 IF(_xlfn.TEXTJOIN(", ", TRUE,
  IF(X816&gt;0.7,"Login anomaly",""),
  IF(Y816&gt;0.7,"File anomaly",""),
  IF(Z816&gt;0.7,"Network anomaly",""),
  IF(AA816&gt;0.7,"USB anomaly","")
 )="",
 "General anomaly detected",
 _xlfn.TEXTJOIN(", ", TRUE,
  IF(X816&gt;0.7,"Login anomaly",""),
  IF(Y816&gt;0.7,"File anomaly",""),
  IF(Z816&gt;0.7,"Network anomaly",""),
  IF(AA816&gt;0.7,"USB anomaly","")
 )))</f>
        <v/>
      </c>
    </row>
    <row r="817" spans="1:40" x14ac:dyDescent="0.3">
      <c r="A817" t="s">
        <v>840</v>
      </c>
      <c r="B817">
        <v>0.12892249527410199</v>
      </c>
      <c r="C817">
        <v>0.28170094057448802</v>
      </c>
      <c r="D817">
        <v>7.5041536061111899E-2</v>
      </c>
      <c r="E817">
        <v>0</v>
      </c>
      <c r="F817">
        <v>0</v>
      </c>
      <c r="G817">
        <v>0.99365975338441004</v>
      </c>
      <c r="H817">
        <v>7</v>
      </c>
      <c r="I817">
        <v>8</v>
      </c>
      <c r="J817">
        <v>7.8765326081770906E-2</v>
      </c>
      <c r="K817">
        <v>1.2234910277324601E-2</v>
      </c>
      <c r="L817">
        <v>3.9557704948821402E-2</v>
      </c>
      <c r="M817">
        <v>1.7316017316017301E-3</v>
      </c>
      <c r="N817">
        <v>1.3245289332245801E-2</v>
      </c>
      <c r="O817">
        <v>638</v>
      </c>
      <c r="P817">
        <v>6.4008136924803602E-2</v>
      </c>
      <c r="Q817">
        <v>6.4167747817244603E-2</v>
      </c>
      <c r="R817">
        <v>0</v>
      </c>
      <c r="S817">
        <v>0</v>
      </c>
      <c r="T817" t="s">
        <v>49</v>
      </c>
      <c r="U817">
        <v>3.6388140161725001E-2</v>
      </c>
      <c r="V817">
        <v>0</v>
      </c>
      <c r="W817">
        <v>0</v>
      </c>
      <c r="X817">
        <v>2.25124608183335E-2</v>
      </c>
      <c r="Y817">
        <v>3.9505504490438603E-2</v>
      </c>
      <c r="Z817">
        <v>4.3702997887780398E-2</v>
      </c>
      <c r="AA817">
        <v>0</v>
      </c>
      <c r="AB817">
        <v>1.827600039541721E-2</v>
      </c>
      <c r="AC817">
        <v>4.1999999666586518E-5</v>
      </c>
      <c r="AD817">
        <v>5.3869998082518578E-3</v>
      </c>
      <c r="AE817">
        <v>2.4510000366717581E-3</v>
      </c>
      <c r="AF817">
        <f>0.16*X817 + 0.28*Y817 + 0.28*Z817 + 0.28*AA817</f>
        <v>2.6900374396834681E-2</v>
      </c>
      <c r="AG817">
        <f t="shared" si="36"/>
        <v>5.1305600197520101E-3</v>
      </c>
      <c r="AH817">
        <f>IF(T817="IT_Admin", 0.25, IF(AND(T817="HR", AA817&gt;0.6), 0.25, IF(AND(T817="General", Z817&gt;0.7), 0.2, 0.1)))</f>
        <v>0.1</v>
      </c>
      <c r="AI817">
        <f>IF(V817&gt;0.7, 0.1,
 IF(F817&gt;0.5, 0.08,
 IF(E817&gt;0.5, 0.05,
 0)))</f>
        <v>0</v>
      </c>
      <c r="AJ817">
        <f t="shared" si="37"/>
        <v>1.1661504332876809E-2</v>
      </c>
      <c r="AK817">
        <f t="shared" si="38"/>
        <v>1.282765476616449E-2</v>
      </c>
      <c r="AL817" t="str">
        <f>IF(MAX(X817, Y817, Z817, AA817)&gt;0.9,
 "Critical",
 IF(AK817&lt;=0.2,"Very Low",
 IF(AK817&lt;=0.4,"Low",
 IF(AK817&lt;=0.6,"Medium",
 IF(AK817&lt;=0.8,"High","Critical")))))</f>
        <v>Very Low</v>
      </c>
      <c r="AM817" t="str">
        <f>IF(MAX(X817:AA817)&gt;0.9,"CRITICAL ALERT",
 IF(AK817&gt;0.8,"CRITICAL ALERT",
 IF(AK817&gt;0.6,"ALERT",
 IF(AK817&gt;=0.4,"REVIEW","NO ACTION"))))</f>
        <v>NO ACTION</v>
      </c>
      <c r="AN817" t="str">
        <f>IF(AM817="NO ACTION","",
 IF(_xlfn.TEXTJOIN(", ", TRUE,
  IF(X817&gt;0.7,"Login anomaly",""),
  IF(Y817&gt;0.7,"File anomaly",""),
  IF(Z817&gt;0.7,"Network anomaly",""),
  IF(AA817&gt;0.7,"USB anomaly","")
 )="",
 "General anomaly detected",
 _xlfn.TEXTJOIN(", ", TRUE,
  IF(X817&gt;0.7,"Login anomaly",""),
  IF(Y817&gt;0.7,"File anomaly",""),
  IF(Z817&gt;0.7,"Network anomaly",""),
  IF(AA817&gt;0.7,"USB anomaly","")
 )))</f>
        <v/>
      </c>
    </row>
    <row r="818" spans="1:40" x14ac:dyDescent="0.3">
      <c r="A818" t="s">
        <v>841</v>
      </c>
      <c r="B818">
        <v>1.51228733459357E-2</v>
      </c>
      <c r="C818">
        <v>0.36953165208440503</v>
      </c>
      <c r="D818">
        <v>0</v>
      </c>
      <c r="E818">
        <v>0</v>
      </c>
      <c r="F818">
        <v>0</v>
      </c>
      <c r="G818">
        <v>0.94293887246046804</v>
      </c>
      <c r="H818">
        <v>8</v>
      </c>
      <c r="I818">
        <v>8</v>
      </c>
      <c r="J818">
        <v>1.7174753112924001E-3</v>
      </c>
      <c r="K818">
        <v>8.1566068515497503E-4</v>
      </c>
      <c r="L818">
        <v>0.106516356740241</v>
      </c>
      <c r="M818">
        <v>2.88600288600288E-4</v>
      </c>
      <c r="N818">
        <v>8.9163411114630595E-2</v>
      </c>
      <c r="O818">
        <v>37</v>
      </c>
      <c r="P818">
        <v>1.7536475869809199E-3</v>
      </c>
      <c r="Q818">
        <v>1.9285388688242899E-3</v>
      </c>
      <c r="R818">
        <v>0</v>
      </c>
      <c r="S818">
        <v>0</v>
      </c>
      <c r="T818" t="s">
        <v>49</v>
      </c>
      <c r="U818">
        <v>8.4905660377358402E-3</v>
      </c>
      <c r="V818">
        <v>0</v>
      </c>
      <c r="W818">
        <v>0</v>
      </c>
      <c r="X818">
        <v>0</v>
      </c>
      <c r="Y818">
        <v>8.0350696766768204E-2</v>
      </c>
      <c r="Z818">
        <v>3.6717552998040803E-2</v>
      </c>
      <c r="AA818">
        <v>0</v>
      </c>
      <c r="AB818">
        <v>4.4323999434709549E-2</v>
      </c>
      <c r="AC818">
        <v>3.1359998974949121E-3</v>
      </c>
      <c r="AD818">
        <v>1.383899990469217E-2</v>
      </c>
      <c r="AE818">
        <v>2.536999993026257E-3</v>
      </c>
      <c r="AF818">
        <f>0.16*X818 + 0.28*Y818 + 0.28*Z818 + 0.28*AA818</f>
        <v>3.2779109934146525E-2</v>
      </c>
      <c r="AG818">
        <f t="shared" si="36"/>
        <v>1.2555199852213263E-2</v>
      </c>
      <c r="AH818">
        <f>IF(T818="IT_Admin", 0.25, IF(AND(T818="HR", AA818&gt;0.6), 0.25, IF(AND(T818="General", Z818&gt;0.7), 0.2, 0.1)))</f>
        <v>0.1</v>
      </c>
      <c r="AI818">
        <f>IF(V818&gt;0.7, 0.1,
 IF(F818&gt;0.5, 0.08,
 IF(E818&gt;0.5, 0.05,
 0)))</f>
        <v>0</v>
      </c>
      <c r="AJ818">
        <f t="shared" si="37"/>
        <v>1.862237287679324E-2</v>
      </c>
      <c r="AK818">
        <f t="shared" si="38"/>
        <v>2.0484610164472564E-2</v>
      </c>
      <c r="AL818" t="str">
        <f>IF(MAX(X818, Y818, Z818, AA818)&gt;0.9,
 "Critical",
 IF(AK818&lt;=0.2,"Very Low",
 IF(AK818&lt;=0.4,"Low",
 IF(AK818&lt;=0.6,"Medium",
 IF(AK818&lt;=0.8,"High","Critical")))))</f>
        <v>Very Low</v>
      </c>
      <c r="AM818" t="str">
        <f>IF(MAX(X818:AA818)&gt;0.9,"CRITICAL ALERT",
 IF(AK818&gt;0.8,"CRITICAL ALERT",
 IF(AK818&gt;0.6,"ALERT",
 IF(AK818&gt;=0.4,"REVIEW","NO ACTION"))))</f>
        <v>NO ACTION</v>
      </c>
      <c r="AN818" t="str">
        <f>IF(AM818="NO ACTION","",
 IF(_xlfn.TEXTJOIN(", ", TRUE,
  IF(X818&gt;0.7,"Login anomaly",""),
  IF(Y818&gt;0.7,"File anomaly",""),
  IF(Z818&gt;0.7,"Network anomaly",""),
  IF(AA818&gt;0.7,"USB anomaly","")
 )="",
 "General anomaly detected",
 _xlfn.TEXTJOIN(", ", TRUE,
  IF(X818&gt;0.7,"Login anomaly",""),
  IF(Y818&gt;0.7,"File anomaly",""),
  IF(Z818&gt;0.7,"Network anomaly",""),
  IF(AA818&gt;0.7,"USB anomaly","")
 )))</f>
        <v/>
      </c>
    </row>
    <row r="819" spans="1:40" x14ac:dyDescent="0.3">
      <c r="A819" t="s">
        <v>842</v>
      </c>
      <c r="B819">
        <v>0.12892249527410199</v>
      </c>
      <c r="C819">
        <v>0.18476582604220201</v>
      </c>
      <c r="D819">
        <v>0</v>
      </c>
      <c r="E819">
        <v>0</v>
      </c>
      <c r="F819">
        <v>0</v>
      </c>
      <c r="G819">
        <v>0.99366143943443597</v>
      </c>
      <c r="H819">
        <v>7</v>
      </c>
      <c r="I819">
        <v>7</v>
      </c>
      <c r="J819">
        <v>8.5015027908973806E-2</v>
      </c>
      <c r="K819">
        <v>1.1419249592169599E-2</v>
      </c>
      <c r="L819">
        <v>3.4213983642360599E-2</v>
      </c>
      <c r="M819">
        <v>1.44300144300144E-3</v>
      </c>
      <c r="N819">
        <v>1.02285950075541E-2</v>
      </c>
      <c r="O819">
        <v>888</v>
      </c>
      <c r="P819">
        <v>6.8111672278338906E-2</v>
      </c>
      <c r="Q819">
        <v>6.8270275956379897E-2</v>
      </c>
      <c r="R819">
        <v>0</v>
      </c>
      <c r="S819">
        <v>0</v>
      </c>
      <c r="T819" t="s">
        <v>49</v>
      </c>
      <c r="U819">
        <v>3.9622641509433898E-2</v>
      </c>
      <c r="V819">
        <v>0</v>
      </c>
      <c r="W819">
        <v>0</v>
      </c>
      <c r="X819">
        <v>0</v>
      </c>
      <c r="Y819">
        <v>3.7178575905241297E-2</v>
      </c>
      <c r="Z819">
        <v>4.4958441370024999E-2</v>
      </c>
      <c r="AA819">
        <v>0</v>
      </c>
      <c r="AB819">
        <v>3.663099929690361E-2</v>
      </c>
      <c r="AC819">
        <v>9.0000001364387572E-5</v>
      </c>
      <c r="AD819">
        <v>4.9910000525414944E-3</v>
      </c>
      <c r="AE819">
        <v>1.582999946549535E-3</v>
      </c>
      <c r="AF819">
        <f>0.16*X819 + 0.28*Y819 + 0.28*Z819 + 0.28*AA819</f>
        <v>2.2998364837074566E-2</v>
      </c>
      <c r="AG819">
        <f t="shared" si="36"/>
        <v>7.7268798876320944E-3</v>
      </c>
      <c r="AH819">
        <f>IF(T819="IT_Admin", 0.25, IF(AND(T819="HR", AA819&gt;0.6), 0.25, IF(AND(T819="General", Z819&gt;0.7), 0.2, 0.1)))</f>
        <v>0.1</v>
      </c>
      <c r="AI819">
        <f>IF(V819&gt;0.7, 0.1,
 IF(F819&gt;0.5, 0.08,
 IF(E819&gt;0.5, 0.05,
 0)))</f>
        <v>0</v>
      </c>
      <c r="AJ819">
        <f t="shared" si="37"/>
        <v>1.2308325372464835E-2</v>
      </c>
      <c r="AK819">
        <f t="shared" si="38"/>
        <v>1.353915790971132E-2</v>
      </c>
      <c r="AL819" t="str">
        <f>IF(MAX(X819, Y819, Z819, AA819)&gt;0.9,
 "Critical",
 IF(AK819&lt;=0.2,"Very Low",
 IF(AK819&lt;=0.4,"Low",
 IF(AK819&lt;=0.6,"Medium",
 IF(AK819&lt;=0.8,"High","Critical")))))</f>
        <v>Very Low</v>
      </c>
      <c r="AM819" t="str">
        <f>IF(MAX(X819:AA819)&gt;0.9,"CRITICAL ALERT",
 IF(AK819&gt;0.8,"CRITICAL ALERT",
 IF(AK819&gt;0.6,"ALERT",
 IF(AK819&gt;=0.4,"REVIEW","NO ACTION"))))</f>
        <v>NO ACTION</v>
      </c>
      <c r="AN819" t="str">
        <f>IF(AM819="NO ACTION","",
 IF(_xlfn.TEXTJOIN(", ", TRUE,
  IF(X819&gt;0.7,"Login anomaly",""),
  IF(Y819&gt;0.7,"File anomaly",""),
  IF(Z819&gt;0.7,"Network anomaly",""),
  IF(AA819&gt;0.7,"USB anomaly","")
 )="",
 "General anomaly detected",
 _xlfn.TEXTJOIN(", ", TRUE,
  IF(X819&gt;0.7,"Login anomaly",""),
  IF(Y819&gt;0.7,"File anomaly",""),
  IF(Z819&gt;0.7,"Network anomaly",""),
  IF(AA819&gt;0.7,"USB anomaly","")
 )))</f>
        <v/>
      </c>
    </row>
    <row r="820" spans="1:40" x14ac:dyDescent="0.3">
      <c r="A820" t="s">
        <v>843</v>
      </c>
      <c r="B820">
        <v>0.28052930056710701</v>
      </c>
      <c r="C820">
        <v>0.72866093862755998</v>
      </c>
      <c r="D820">
        <v>0.38940424904770299</v>
      </c>
      <c r="E820">
        <v>0</v>
      </c>
      <c r="F820">
        <v>0</v>
      </c>
      <c r="G820">
        <v>0.379030446532995</v>
      </c>
      <c r="H820">
        <v>7</v>
      </c>
      <c r="I820">
        <v>17</v>
      </c>
      <c r="J820">
        <v>8.28681837698583E-2</v>
      </c>
      <c r="K820">
        <v>3.2626427406199001E-3</v>
      </c>
      <c r="L820">
        <v>1.00279463291616E-2</v>
      </c>
      <c r="M820">
        <v>2.88600288600288E-4</v>
      </c>
      <c r="N820">
        <v>2.0985647851319402E-3</v>
      </c>
      <c r="O820">
        <v>371</v>
      </c>
      <c r="P820">
        <v>6.2464927048260302E-2</v>
      </c>
      <c r="Q820">
        <v>6.2624916722185203E-2</v>
      </c>
      <c r="R820">
        <v>0.58997050147492602</v>
      </c>
      <c r="S820">
        <v>1</v>
      </c>
      <c r="T820" t="s">
        <v>49</v>
      </c>
      <c r="U820">
        <v>3.3962264150943298E-2</v>
      </c>
      <c r="V820">
        <v>0</v>
      </c>
      <c r="W820">
        <v>0</v>
      </c>
      <c r="X820">
        <v>0.11682127471431</v>
      </c>
      <c r="Y820">
        <v>2.2217179354091999E-2</v>
      </c>
      <c r="Z820">
        <v>3.8318382143008999E-2</v>
      </c>
      <c r="AA820">
        <v>0.58997050147492602</v>
      </c>
      <c r="AB820">
        <v>5.4559998214244843E-2</v>
      </c>
      <c r="AC820">
        <v>5.7500001275911927E-4</v>
      </c>
      <c r="AD820">
        <v>5.1489998586475849E-3</v>
      </c>
      <c r="AE820">
        <v>0.33517900109291082</v>
      </c>
      <c r="AF820">
        <f>0.16*X820 + 0.28*Y820 + 0.28*Z820 + 0.28*AA820</f>
        <v>0.20083310158645717</v>
      </c>
      <c r="AG820">
        <f t="shared" si="36"/>
        <v>0.1041824399842881</v>
      </c>
      <c r="AH820">
        <f>IF(T820="IT_Admin", 0.25, IF(AND(T820="HR", AA820&gt;0.6), 0.25, IF(AND(T820="General", Z820&gt;0.7), 0.2, 0.1)))</f>
        <v>0.1</v>
      </c>
      <c r="AI820">
        <f>IF(V820&gt;0.7, 0.1,
 IF(F820&gt;0.5, 0.08,
 IF(E820&gt;0.5, 0.05,
 0)))</f>
        <v>0</v>
      </c>
      <c r="AJ820">
        <f t="shared" si="37"/>
        <v>0.13317763846493882</v>
      </c>
      <c r="AK820">
        <f t="shared" si="38"/>
        <v>0.14649540231143271</v>
      </c>
      <c r="AL820" t="str">
        <f>IF(MAX(X820, Y820, Z820, AA820)&gt;0.9,
 "Critical",
 IF(AK820&lt;=0.2,"Very Low",
 IF(AK820&lt;=0.4,"Low",
 IF(AK820&lt;=0.6,"Medium",
 IF(AK820&lt;=0.8,"High","Critical")))))</f>
        <v>Very Low</v>
      </c>
      <c r="AM820" t="str">
        <f>IF(MAX(X820:AA820)&gt;0.9,"CRITICAL ALERT",
 IF(AK820&gt;0.8,"CRITICAL ALERT",
 IF(AK820&gt;0.6,"ALERT",
 IF(AK820&gt;=0.4,"REVIEW","NO ACTION"))))</f>
        <v>NO ACTION</v>
      </c>
      <c r="AN820" t="str">
        <f>IF(AM820="NO ACTION","",
 IF(_xlfn.TEXTJOIN(", ", TRUE,
  IF(X820&gt;0.7,"Login anomaly",""),
  IF(Y820&gt;0.7,"File anomaly",""),
  IF(Z820&gt;0.7,"Network anomaly",""),
  IF(AA820&gt;0.7,"USB anomaly","")
 )="",
 "General anomaly detected",
 _xlfn.TEXTJOIN(", ", TRUE,
  IF(X820&gt;0.7,"Login anomaly",""),
  IF(Y820&gt;0.7,"File anomaly",""),
  IF(Z820&gt;0.7,"Network anomaly",""),
  IF(AA820&gt;0.7,"USB anomaly","")
 )))</f>
        <v/>
      </c>
    </row>
    <row r="821" spans="1:40" x14ac:dyDescent="0.3">
      <c r="A821" t="s">
        <v>844</v>
      </c>
      <c r="B821">
        <v>0.12892249527410199</v>
      </c>
      <c r="C821">
        <v>8.8366264628879601E-2</v>
      </c>
      <c r="D821">
        <v>7.5061757440099602E-2</v>
      </c>
      <c r="E821">
        <v>0</v>
      </c>
      <c r="F821">
        <v>0.52173913043478204</v>
      </c>
      <c r="G821">
        <v>0.99366157324793003</v>
      </c>
      <c r="H821">
        <v>6</v>
      </c>
      <c r="I821">
        <v>7</v>
      </c>
      <c r="J821">
        <v>8.8163732646343196E-2</v>
      </c>
      <c r="K821">
        <v>4.8939641109298502E-3</v>
      </c>
      <c r="L821">
        <v>1.41408654927681E-2</v>
      </c>
      <c r="M821">
        <v>1.1544011544011501E-3</v>
      </c>
      <c r="N821">
        <v>7.8914190085264003E-3</v>
      </c>
      <c r="O821">
        <v>893</v>
      </c>
      <c r="P821">
        <v>6.7480359147025798E-2</v>
      </c>
      <c r="Q821">
        <v>6.76391177811283E-2</v>
      </c>
      <c r="R821">
        <v>0</v>
      </c>
      <c r="S821">
        <v>0</v>
      </c>
      <c r="T821" t="s">
        <v>49</v>
      </c>
      <c r="U821">
        <v>2.0377358490565999E-2</v>
      </c>
      <c r="V821">
        <v>0</v>
      </c>
      <c r="W821">
        <v>0</v>
      </c>
      <c r="X821">
        <v>0.23121417940594199</v>
      </c>
      <c r="Y821">
        <v>2.7070604978210601E-2</v>
      </c>
      <c r="Z821">
        <v>4.3644783091625998E-2</v>
      </c>
      <c r="AA821">
        <v>0</v>
      </c>
      <c r="AB821">
        <v>4.7465000301599503E-2</v>
      </c>
      <c r="AC821">
        <v>5.300000193528831E-4</v>
      </c>
      <c r="AD821">
        <v>5.1679997704923153E-3</v>
      </c>
      <c r="AE821">
        <v>6.9600000279024243E-4</v>
      </c>
      <c r="AF821">
        <f>0.16*X821 + 0.28*Y821 + 0.28*Z821 + 0.28*AA821</f>
        <v>5.6794577364504967E-2</v>
      </c>
      <c r="AG821">
        <f t="shared" si="36"/>
        <v>9.3847199901938433E-3</v>
      </c>
      <c r="AH821">
        <f>IF(T821="IT_Admin", 0.25, IF(AND(T821="HR", AA821&gt;0.6), 0.25, IF(AND(T821="General", Z821&gt;0.7), 0.2, 0.1)))</f>
        <v>0.1</v>
      </c>
      <c r="AI821">
        <f>IF(V821&gt;0.7, 0.1,
 IF(F821&gt;0.5, 0.08,
 IF(E821&gt;0.5, 0.05,
 0)))</f>
        <v>0.08</v>
      </c>
      <c r="AJ821">
        <f t="shared" si="37"/>
        <v>2.360767720248718E-2</v>
      </c>
      <c r="AK821">
        <f t="shared" si="38"/>
        <v>2.7857059098934878E-2</v>
      </c>
      <c r="AL821" t="str">
        <f>IF(MAX(X821, Y821, Z821, AA821)&gt;0.9,
 "Critical",
 IF(AK821&lt;=0.2,"Very Low",
 IF(AK821&lt;=0.4,"Low",
 IF(AK821&lt;=0.6,"Medium",
 IF(AK821&lt;=0.8,"High","Critical")))))</f>
        <v>Very Low</v>
      </c>
      <c r="AM821" t="str">
        <f>IF(MAX(X821:AA821)&gt;0.9,"CRITICAL ALERT",
 IF(AK821&gt;0.8,"CRITICAL ALERT",
 IF(AK821&gt;0.6,"ALERT",
 IF(AK821&gt;=0.4,"REVIEW","NO ACTION"))))</f>
        <v>NO ACTION</v>
      </c>
      <c r="AN821" t="str">
        <f>IF(AM821="NO ACTION","",
 IF(_xlfn.TEXTJOIN(", ", TRUE,
  IF(X821&gt;0.7,"Login anomaly",""),
  IF(Y821&gt;0.7,"File anomaly",""),
  IF(Z821&gt;0.7,"Network anomaly",""),
  IF(AA821&gt;0.7,"USB anomaly","")
 )="",
 "General anomaly detected",
 _xlfn.TEXTJOIN(", ", TRUE,
  IF(X821&gt;0.7,"Login anomaly",""),
  IF(Y821&gt;0.7,"File anomaly",""),
  IF(Z821&gt;0.7,"Network anomaly",""),
  IF(AA821&gt;0.7,"USB anomaly","")
 )))</f>
        <v/>
      </c>
    </row>
    <row r="822" spans="1:40" x14ac:dyDescent="0.3">
      <c r="A822" t="s">
        <v>845</v>
      </c>
      <c r="B822">
        <v>0.24196597353497101</v>
      </c>
      <c r="C822">
        <v>0.67479692989326201</v>
      </c>
      <c r="D822">
        <v>0.36601695544842999</v>
      </c>
      <c r="E822">
        <v>0</v>
      </c>
      <c r="F822">
        <v>0</v>
      </c>
      <c r="G822">
        <v>0.46252256146281701</v>
      </c>
      <c r="H822">
        <v>7</v>
      </c>
      <c r="I822">
        <v>16</v>
      </c>
      <c r="J822">
        <v>8.1580077286388997E-2</v>
      </c>
      <c r="K822">
        <v>1.7944535073409401E-2</v>
      </c>
      <c r="L822">
        <v>5.60220138657129E-2</v>
      </c>
      <c r="M822">
        <v>3.1746031746031698E-3</v>
      </c>
      <c r="N822">
        <v>2.3447637558424699E-2</v>
      </c>
      <c r="O822">
        <v>923</v>
      </c>
      <c r="P822">
        <v>6.9234006734006703E-2</v>
      </c>
      <c r="Q822">
        <v>6.9392334934605004E-2</v>
      </c>
      <c r="R822">
        <v>0.17551622418879001</v>
      </c>
      <c r="S822">
        <v>1</v>
      </c>
      <c r="T822" t="s">
        <v>49</v>
      </c>
      <c r="U822">
        <v>3.1132075471698099E-2</v>
      </c>
      <c r="V822">
        <v>0</v>
      </c>
      <c r="W822">
        <v>0</v>
      </c>
      <c r="X822">
        <v>0.10980508663452899</v>
      </c>
      <c r="Y822">
        <v>5.1361313657661598E-2</v>
      </c>
      <c r="Z822">
        <v>5.0919459063773903E-2</v>
      </c>
      <c r="AA822">
        <v>0.17551622418879001</v>
      </c>
      <c r="AB822">
        <v>3.1642001122236252E-2</v>
      </c>
      <c r="AC822">
        <v>1.209999973070808E-4</v>
      </c>
      <c r="AD822">
        <v>3.9650001563131809E-3</v>
      </c>
      <c r="AE822">
        <v>6.4364999532699585E-2</v>
      </c>
      <c r="AF822">
        <f>0.16*X822 + 0.28*Y822 + 0.28*Z822 + 0.28*AA822</f>
        <v>9.5351972996387785E-2</v>
      </c>
      <c r="AG822">
        <f t="shared" si="36"/>
        <v>2.4229000091727359E-2</v>
      </c>
      <c r="AH822">
        <f>IF(T822="IT_Admin", 0.25, IF(AND(T822="HR", AA822&gt;0.6), 0.25, IF(AND(T822="General", Z822&gt;0.7), 0.2, 0.1)))</f>
        <v>0.1</v>
      </c>
      <c r="AI822">
        <f>IF(V822&gt;0.7, 0.1,
 IF(F822&gt;0.5, 0.08,
 IF(E822&gt;0.5, 0.05,
 0)))</f>
        <v>0</v>
      </c>
      <c r="AJ822">
        <f t="shared" si="37"/>
        <v>4.5565891963125479E-2</v>
      </c>
      <c r="AK822">
        <f t="shared" si="38"/>
        <v>5.0122481159438029E-2</v>
      </c>
      <c r="AL822" t="str">
        <f>IF(MAX(X822, Y822, Z822, AA822)&gt;0.9,
 "Critical",
 IF(AK822&lt;=0.2,"Very Low",
 IF(AK822&lt;=0.4,"Low",
 IF(AK822&lt;=0.6,"Medium",
 IF(AK822&lt;=0.8,"High","Critical")))))</f>
        <v>Very Low</v>
      </c>
      <c r="AM822" t="str">
        <f>IF(MAX(X822:AA822)&gt;0.9,"CRITICAL ALERT",
 IF(AK822&gt;0.8,"CRITICAL ALERT",
 IF(AK822&gt;0.6,"ALERT",
 IF(AK822&gt;=0.4,"REVIEW","NO ACTION"))))</f>
        <v>NO ACTION</v>
      </c>
      <c r="AN822" t="str">
        <f>IF(AM822="NO ACTION","",
 IF(_xlfn.TEXTJOIN(", ", TRUE,
  IF(X822&gt;0.7,"Login anomaly",""),
  IF(Y822&gt;0.7,"File anomaly",""),
  IF(Z822&gt;0.7,"Network anomaly",""),
  IF(AA822&gt;0.7,"USB anomaly","")
 )="",
 "General anomaly detected",
 _xlfn.TEXTJOIN(", ", TRUE,
  IF(X822&gt;0.7,"Login anomaly",""),
  IF(Y822&gt;0.7,"File anomaly",""),
  IF(Z822&gt;0.7,"Network anomaly",""),
  IF(AA822&gt;0.7,"USB anomaly","")
 )))</f>
        <v/>
      </c>
    </row>
    <row r="823" spans="1:40" x14ac:dyDescent="0.3">
      <c r="A823" t="s">
        <v>846</v>
      </c>
      <c r="B823">
        <v>0.21398865784498999</v>
      </c>
      <c r="C823">
        <v>0.85024695036613596</v>
      </c>
      <c r="D823">
        <v>0.36171278118294897</v>
      </c>
      <c r="E823">
        <v>0</v>
      </c>
      <c r="F823">
        <v>0</v>
      </c>
      <c r="G823">
        <v>0.48210660801678701</v>
      </c>
      <c r="H823">
        <v>8</v>
      </c>
      <c r="I823">
        <v>15</v>
      </c>
      <c r="J823">
        <v>3.2250369734268397E-2</v>
      </c>
      <c r="K823">
        <v>2.6916802610114102E-2</v>
      </c>
      <c r="L823">
        <v>0.21162500832532499</v>
      </c>
      <c r="M823">
        <v>1.44300144300144E-3</v>
      </c>
      <c r="N823">
        <v>2.6840674417766899E-2</v>
      </c>
      <c r="O823">
        <v>206</v>
      </c>
      <c r="P823">
        <v>3.5984848484848397E-2</v>
      </c>
      <c r="Q823">
        <v>3.6151337704688098E-2</v>
      </c>
      <c r="R823">
        <v>0</v>
      </c>
      <c r="S823">
        <v>0</v>
      </c>
      <c r="T823" t="s">
        <v>49</v>
      </c>
      <c r="U823">
        <v>9.3396226415094305E-2</v>
      </c>
      <c r="V823">
        <v>0</v>
      </c>
      <c r="W823">
        <v>0</v>
      </c>
      <c r="X823">
        <v>0.108513834354884</v>
      </c>
      <c r="Y823">
        <v>0.120314780434846</v>
      </c>
      <c r="Z823">
        <v>3.2327178858015802E-2</v>
      </c>
      <c r="AA823">
        <v>0</v>
      </c>
      <c r="AB823">
        <v>4.8243001103401177E-2</v>
      </c>
      <c r="AC823">
        <v>9.8130004480481148E-3</v>
      </c>
      <c r="AD823">
        <v>9.1850003227591515E-3</v>
      </c>
      <c r="AE823">
        <v>4.201000090688467E-3</v>
      </c>
      <c r="AF823">
        <f>0.16*X823 + 0.28*Y823 + 0.28*Z823 + 0.28*AA823</f>
        <v>6.0101962098782755E-2</v>
      </c>
      <c r="AG823">
        <f t="shared" si="36"/>
        <v>1.4214600417762993E-2</v>
      </c>
      <c r="AH823">
        <f>IF(T823="IT_Admin", 0.25, IF(AND(T823="HR", AA823&gt;0.6), 0.25, IF(AND(T823="General", Z823&gt;0.7), 0.2, 0.1)))</f>
        <v>0.1</v>
      </c>
      <c r="AI823">
        <f>IF(V823&gt;0.7, 0.1,
 IF(F823&gt;0.5, 0.08,
 IF(E823&gt;0.5, 0.05,
 0)))</f>
        <v>0</v>
      </c>
      <c r="AJ823">
        <f t="shared" si="37"/>
        <v>2.7980808922068924E-2</v>
      </c>
      <c r="AK823">
        <f t="shared" si="38"/>
        <v>3.0778889814275821E-2</v>
      </c>
      <c r="AL823" t="str">
        <f>IF(MAX(X823, Y823, Z823, AA823)&gt;0.9,
 "Critical",
 IF(AK823&lt;=0.2,"Very Low",
 IF(AK823&lt;=0.4,"Low",
 IF(AK823&lt;=0.6,"Medium",
 IF(AK823&lt;=0.8,"High","Critical")))))</f>
        <v>Very Low</v>
      </c>
      <c r="AM823" t="str">
        <f>IF(MAX(X823:AA823)&gt;0.9,"CRITICAL ALERT",
 IF(AK823&gt;0.8,"CRITICAL ALERT",
 IF(AK823&gt;0.6,"ALERT",
 IF(AK823&gt;=0.4,"REVIEW","NO ACTION"))))</f>
        <v>NO ACTION</v>
      </c>
      <c r="AN823" t="str">
        <f>IF(AM823="NO ACTION","",
 IF(_xlfn.TEXTJOIN(", ", TRUE,
  IF(X823&gt;0.7,"Login anomaly",""),
  IF(Y823&gt;0.7,"File anomaly",""),
  IF(Z823&gt;0.7,"Network anomaly",""),
  IF(AA823&gt;0.7,"USB anomaly","")
 )="",
 "General anomaly detected",
 _xlfn.TEXTJOIN(", ", TRUE,
  IF(X823&gt;0.7,"Login anomaly",""),
  IF(Y823&gt;0.7,"File anomaly",""),
  IF(Z823&gt;0.7,"Network anomaly",""),
  IF(AA823&gt;0.7,"USB anomaly","")
 )))</f>
        <v/>
      </c>
    </row>
    <row r="824" spans="1:40" x14ac:dyDescent="0.3">
      <c r="A824" t="s">
        <v>847</v>
      </c>
      <c r="B824">
        <v>0.23137996219281601</v>
      </c>
      <c r="C824">
        <v>0.59149059895328504</v>
      </c>
      <c r="D824">
        <v>0.38147177450599501</v>
      </c>
      <c r="E824">
        <v>0</v>
      </c>
      <c r="F824">
        <v>0</v>
      </c>
      <c r="G824">
        <v>0.490632276842975</v>
      </c>
      <c r="H824">
        <v>7</v>
      </c>
      <c r="I824">
        <v>13</v>
      </c>
      <c r="J824">
        <v>9.7752969801059103E-2</v>
      </c>
      <c r="K824">
        <v>1.4681892332789499E-2</v>
      </c>
      <c r="L824">
        <v>3.8271212889142099E-2</v>
      </c>
      <c r="M824">
        <v>8.6580086580086504E-4</v>
      </c>
      <c r="N824">
        <v>5.3393863520445704E-3</v>
      </c>
      <c r="O824">
        <v>1119</v>
      </c>
      <c r="P824">
        <v>7.8598484848484806E-2</v>
      </c>
      <c r="Q824">
        <v>7.8754514534170206E-2</v>
      </c>
      <c r="R824">
        <v>0</v>
      </c>
      <c r="S824">
        <v>0</v>
      </c>
      <c r="T824" t="s">
        <v>24</v>
      </c>
      <c r="U824">
        <v>7.6415094339622597E-2</v>
      </c>
      <c r="V824">
        <v>0</v>
      </c>
      <c r="W824">
        <v>0</v>
      </c>
      <c r="X824">
        <v>0.11444153235179801</v>
      </c>
      <c r="Y824">
        <v>4.0288016310396198E-2</v>
      </c>
      <c r="Z824">
        <v>4.9294845449908697E-2</v>
      </c>
      <c r="AA824">
        <v>0</v>
      </c>
      <c r="AB824">
        <v>1.8879000097513199E-2</v>
      </c>
      <c r="AC824">
        <v>5.6600000243633986E-4</v>
      </c>
      <c r="AD824">
        <v>3.6309999413788319E-3</v>
      </c>
      <c r="AE824">
        <v>6.6960002295672894E-3</v>
      </c>
      <c r="AF824">
        <f>0.16*X824 + 0.28*Y824 + 0.28*Z824 + 0.28*AA824</f>
        <v>4.3393846469173061E-2</v>
      </c>
      <c r="AG824">
        <f t="shared" si="36"/>
        <v>6.0706800641492017E-3</v>
      </c>
      <c r="AH824">
        <f>IF(T824="IT_Admin", 0.25, IF(AND(T824="HR", AA824&gt;0.6), 0.25, IF(AND(T824="General", Z824&gt;0.7), 0.2, 0.1)))</f>
        <v>0.25</v>
      </c>
      <c r="AI824">
        <f>IF(V824&gt;0.7, 0.1,
 IF(F824&gt;0.5, 0.08,
 IF(E824&gt;0.5, 0.05,
 0)))</f>
        <v>0</v>
      </c>
      <c r="AJ824">
        <f t="shared" si="37"/>
        <v>1.7267629985656358E-2</v>
      </c>
      <c r="AK824">
        <f t="shared" si="38"/>
        <v>2.1584537482070447E-2</v>
      </c>
      <c r="AL824" t="str">
        <f>IF(MAX(X824, Y824, Z824, AA824)&gt;0.9,
 "Critical",
 IF(AK824&lt;=0.2,"Very Low",
 IF(AK824&lt;=0.4,"Low",
 IF(AK824&lt;=0.6,"Medium",
 IF(AK824&lt;=0.8,"High","Critical")))))</f>
        <v>Very Low</v>
      </c>
      <c r="AM824" t="str">
        <f>IF(MAX(X824:AA824)&gt;0.9,"CRITICAL ALERT",
 IF(AK824&gt;0.8,"CRITICAL ALERT",
 IF(AK824&gt;0.6,"ALERT",
 IF(AK824&gt;=0.4,"REVIEW","NO ACTION"))))</f>
        <v>NO ACTION</v>
      </c>
      <c r="AN824" t="str">
        <f>IF(AM824="NO ACTION","",
 IF(_xlfn.TEXTJOIN(", ", TRUE,
  IF(X824&gt;0.7,"Login anomaly",""),
  IF(Y824&gt;0.7,"File anomaly",""),
  IF(Z824&gt;0.7,"Network anomaly",""),
  IF(AA824&gt;0.7,"USB anomaly","")
 )="",
 "General anomaly detected",
 _xlfn.TEXTJOIN(", ", TRUE,
  IF(X824&gt;0.7,"Login anomaly",""),
  IF(Y824&gt;0.7,"File anomaly",""),
  IF(Z824&gt;0.7,"Network anomaly",""),
  IF(AA824&gt;0.7,"USB anomaly","")
 )))</f>
        <v/>
      </c>
    </row>
    <row r="825" spans="1:40" x14ac:dyDescent="0.3">
      <c r="A825" t="s">
        <v>848</v>
      </c>
      <c r="B825">
        <v>3.1758034026465001E-2</v>
      </c>
      <c r="C825">
        <v>0.18476582604220201</v>
      </c>
      <c r="D825">
        <v>0</v>
      </c>
      <c r="E825">
        <v>0</v>
      </c>
      <c r="F825">
        <v>0</v>
      </c>
      <c r="G825">
        <v>0.96681771391912197</v>
      </c>
      <c r="H825">
        <v>7</v>
      </c>
      <c r="I825">
        <v>7</v>
      </c>
      <c r="J825">
        <v>8.6350842039978996E-3</v>
      </c>
      <c r="K825">
        <v>0</v>
      </c>
      <c r="L825">
        <v>0</v>
      </c>
      <c r="M825">
        <v>0</v>
      </c>
      <c r="N825">
        <v>0</v>
      </c>
      <c r="O825">
        <v>145</v>
      </c>
      <c r="P825">
        <v>6.3482042648709304E-3</v>
      </c>
      <c r="Q825">
        <v>6.5219678109330603E-3</v>
      </c>
      <c r="R825">
        <v>0</v>
      </c>
      <c r="S825">
        <v>0</v>
      </c>
      <c r="T825" t="s">
        <v>49</v>
      </c>
      <c r="U825">
        <v>0</v>
      </c>
      <c r="V825">
        <v>0</v>
      </c>
      <c r="W825">
        <v>0</v>
      </c>
      <c r="X825">
        <v>0</v>
      </c>
      <c r="Y825">
        <v>1.72701684079958E-3</v>
      </c>
      <c r="Z825">
        <v>3.8089225589225499E-3</v>
      </c>
      <c r="AA825">
        <v>0</v>
      </c>
      <c r="AB825">
        <v>5.2838001400232322E-2</v>
      </c>
      <c r="AC825">
        <v>1.9189999438822269E-3</v>
      </c>
      <c r="AD825">
        <v>1.6532000154256821E-2</v>
      </c>
      <c r="AE825">
        <v>2.188999904319644E-3</v>
      </c>
      <c r="AF825">
        <f>0.16*X825 + 0.28*Y825 + 0.28*Z825 + 0.28*AA825</f>
        <v>1.5500630319221964E-3</v>
      </c>
      <c r="AG825">
        <f t="shared" si="36"/>
        <v>1.4233280224725605E-2</v>
      </c>
      <c r="AH825">
        <f>IF(T825="IT_Admin", 0.25, IF(AND(T825="HR", AA825&gt;0.6), 0.25, IF(AND(T825="General", Z825&gt;0.7), 0.2, 0.1)))</f>
        <v>0.1</v>
      </c>
      <c r="AI825">
        <f>IF(V825&gt;0.7, 0.1,
 IF(F825&gt;0.5, 0.08,
 IF(E825&gt;0.5, 0.05,
 0)))</f>
        <v>0</v>
      </c>
      <c r="AJ825">
        <f t="shared" si="37"/>
        <v>1.0428315066884582E-2</v>
      </c>
      <c r="AK825">
        <f t="shared" si="38"/>
        <v>1.1471146573573041E-2</v>
      </c>
      <c r="AL825" t="str">
        <f>IF(MAX(X825, Y825, Z825, AA825)&gt;0.9,
 "Critical",
 IF(AK825&lt;=0.2,"Very Low",
 IF(AK825&lt;=0.4,"Low",
 IF(AK825&lt;=0.6,"Medium",
 IF(AK825&lt;=0.8,"High","Critical")))))</f>
        <v>Very Low</v>
      </c>
      <c r="AM825" t="str">
        <f>IF(MAX(X825:AA825)&gt;0.9,"CRITICAL ALERT",
 IF(AK825&gt;0.8,"CRITICAL ALERT",
 IF(AK825&gt;0.6,"ALERT",
 IF(AK825&gt;=0.4,"REVIEW","NO ACTION"))))</f>
        <v>NO ACTION</v>
      </c>
      <c r="AN825" t="str">
        <f>IF(AM825="NO ACTION","",
 IF(_xlfn.TEXTJOIN(", ", TRUE,
  IF(X825&gt;0.7,"Login anomaly",""),
  IF(Y825&gt;0.7,"File anomaly",""),
  IF(Z825&gt;0.7,"Network anomaly",""),
  IF(AA825&gt;0.7,"USB anomaly","")
 )="",
 "General anomaly detected",
 _xlfn.TEXTJOIN(", ", TRUE,
  IF(X825&gt;0.7,"Login anomaly",""),
  IF(Y825&gt;0.7,"File anomaly",""),
  IF(Z825&gt;0.7,"Network anomaly",""),
  IF(AA825&gt;0.7,"USB anomaly","")
 )))</f>
        <v/>
      </c>
    </row>
    <row r="826" spans="1:40" x14ac:dyDescent="0.3">
      <c r="A826" t="s">
        <v>849</v>
      </c>
      <c r="B826">
        <v>0.25330812854442297</v>
      </c>
      <c r="C826">
        <v>0.82157741935976403</v>
      </c>
      <c r="D826">
        <v>0.54579353997142799</v>
      </c>
      <c r="E826">
        <v>0.33794922518958098</v>
      </c>
      <c r="F826">
        <v>6.9732937685459906E-2</v>
      </c>
      <c r="G826">
        <v>0.43552483428028499</v>
      </c>
      <c r="H826">
        <v>0</v>
      </c>
      <c r="I826">
        <v>23</v>
      </c>
      <c r="J826">
        <v>7.25633319021039E-2</v>
      </c>
      <c r="K826">
        <v>1.0603588907014599E-2</v>
      </c>
      <c r="L826">
        <v>3.72039437369256E-2</v>
      </c>
      <c r="M826">
        <v>1.1544011544011501E-3</v>
      </c>
      <c r="N826">
        <v>9.5824373674963399E-3</v>
      </c>
      <c r="O826">
        <v>802</v>
      </c>
      <c r="P826">
        <v>5.8466610549943801E-2</v>
      </c>
      <c r="Q826">
        <v>5.8627581612258402E-2</v>
      </c>
      <c r="R826">
        <v>0.63716814159292001</v>
      </c>
      <c r="S826">
        <v>1</v>
      </c>
      <c r="T826" t="s">
        <v>49</v>
      </c>
      <c r="U826">
        <v>4.4150943396226397E-2</v>
      </c>
      <c r="V826">
        <v>0</v>
      </c>
      <c r="W826">
        <v>8.4662534791950697E-2</v>
      </c>
      <c r="X826">
        <v>0.293016004622487</v>
      </c>
      <c r="Y826">
        <v>3.5989369459132503E-2</v>
      </c>
      <c r="Z826">
        <v>3.8912941276964798E-2</v>
      </c>
      <c r="AA826">
        <v>0.63716814159292001</v>
      </c>
      <c r="AB826">
        <v>0.2425969988107681</v>
      </c>
      <c r="AC826">
        <v>1.270000066142529E-4</v>
      </c>
      <c r="AD826">
        <v>5.061000119894743E-3</v>
      </c>
      <c r="AE826">
        <v>0.37501698732376099</v>
      </c>
      <c r="AF826">
        <f>0.16*X826 + 0.28*Y826 + 0.28*Z826 + 0.28*AA826</f>
        <v>0.24626228739172279</v>
      </c>
      <c r="AG826">
        <f t="shared" si="36"/>
        <v>0.1452729162957985</v>
      </c>
      <c r="AH826">
        <f>IF(T826="IT_Admin", 0.25, IF(AND(T826="HR", AA826&gt;0.6), 0.25, IF(AND(T826="General", Z826&gt;0.7), 0.2, 0.1)))</f>
        <v>0.1</v>
      </c>
      <c r="AI826">
        <f>IF(V826&gt;0.7, 0.1,
 IF(F826&gt;0.5, 0.08,
 IF(E826&gt;0.5, 0.05,
 0)))</f>
        <v>0</v>
      </c>
      <c r="AJ826">
        <f t="shared" si="37"/>
        <v>0.17556972762457579</v>
      </c>
      <c r="AK826">
        <f t="shared" si="38"/>
        <v>0.19312670038703339</v>
      </c>
      <c r="AL826" t="str">
        <f>IF(MAX(X826, Y826, Z826, AA826)&gt;0.9,
 "Critical",
 IF(AK826&lt;=0.2,"Very Low",
 IF(AK826&lt;=0.4,"Low",
 IF(AK826&lt;=0.6,"Medium",
 IF(AK826&lt;=0.8,"High","Critical")))))</f>
        <v>Very Low</v>
      </c>
      <c r="AM826" t="str">
        <f>IF(MAX(X826:AA826)&gt;0.9,"CRITICAL ALERT",
 IF(AK826&gt;0.8,"CRITICAL ALERT",
 IF(AK826&gt;0.6,"ALERT",
 IF(AK826&gt;=0.4,"REVIEW","NO ACTION"))))</f>
        <v>NO ACTION</v>
      </c>
      <c r="AN826" t="str">
        <f>IF(AM826="NO ACTION","",
 IF(_xlfn.TEXTJOIN(", ", TRUE,
  IF(X826&gt;0.7,"Login anomaly",""),
  IF(Y826&gt;0.7,"File anomaly",""),
  IF(Z826&gt;0.7,"Network anomaly",""),
  IF(AA826&gt;0.7,"USB anomaly","")
 )="",
 "General anomaly detected",
 _xlfn.TEXTJOIN(", ", TRUE,
  IF(X826&gt;0.7,"Login anomaly",""),
  IF(Y826&gt;0.7,"File anomaly",""),
  IF(Z826&gt;0.7,"Network anomaly",""),
  IF(AA826&gt;0.7,"USB anomaly","")
 )))</f>
        <v/>
      </c>
    </row>
    <row r="827" spans="1:40" x14ac:dyDescent="0.3">
      <c r="A827" t="s">
        <v>850</v>
      </c>
      <c r="B827">
        <v>0.17088846880907299</v>
      </c>
      <c r="C827">
        <v>0.51702016234616299</v>
      </c>
      <c r="D827">
        <v>0.25955093850722299</v>
      </c>
      <c r="E827">
        <v>0</v>
      </c>
      <c r="F827">
        <v>0</v>
      </c>
      <c r="G827">
        <v>0.71502665448244995</v>
      </c>
      <c r="H827">
        <v>8</v>
      </c>
      <c r="I827">
        <v>15</v>
      </c>
      <c r="J827">
        <v>5.9491436477267297E-2</v>
      </c>
      <c r="K827">
        <v>1.0603588907014599E-2</v>
      </c>
      <c r="L827">
        <v>4.5346020880629799E-2</v>
      </c>
      <c r="M827">
        <v>8.6580086580086504E-4</v>
      </c>
      <c r="N827">
        <v>8.7596641909740893E-3</v>
      </c>
      <c r="O827">
        <v>671</v>
      </c>
      <c r="P827">
        <v>4.8716329966329901E-2</v>
      </c>
      <c r="Q827">
        <v>4.8879694238928399E-2</v>
      </c>
      <c r="R827">
        <v>0</v>
      </c>
      <c r="S827">
        <v>0</v>
      </c>
      <c r="T827" t="s">
        <v>49</v>
      </c>
      <c r="U827">
        <v>5.5188679245283E-2</v>
      </c>
      <c r="V827">
        <v>0</v>
      </c>
      <c r="W827">
        <v>0</v>
      </c>
      <c r="X827">
        <v>7.7865281552167098E-2</v>
      </c>
      <c r="Y827">
        <v>3.7199196993060603E-2</v>
      </c>
      <c r="Z827">
        <v>3.27336636561876E-2</v>
      </c>
      <c r="AA827">
        <v>0</v>
      </c>
      <c r="AB827">
        <v>4.7989999875426292E-3</v>
      </c>
      <c r="AC827">
        <v>1.9900000188499689E-4</v>
      </c>
      <c r="AD827">
        <v>7.6330001465976238E-3</v>
      </c>
      <c r="AE827">
        <v>4.9470001831650734E-3</v>
      </c>
      <c r="AF827">
        <f>0.16*X827 + 0.28*Y827 + 0.28*Z827 + 0.28*AA827</f>
        <v>3.2039646030136239E-2</v>
      </c>
      <c r="AG827">
        <f t="shared" si="36"/>
        <v>4.3459600908681752E-3</v>
      </c>
      <c r="AH827">
        <f>IF(T827="IT_Admin", 0.25, IF(AND(T827="HR", AA827&gt;0.6), 0.25, IF(AND(T827="General", Z827&gt;0.7), 0.2, 0.1)))</f>
        <v>0.1</v>
      </c>
      <c r="AI827">
        <f>IF(V827&gt;0.7, 0.1,
 IF(F827&gt;0.5, 0.08,
 IF(E827&gt;0.5, 0.05,
 0)))</f>
        <v>0</v>
      </c>
      <c r="AJ827">
        <f t="shared" si="37"/>
        <v>1.2654065872648593E-2</v>
      </c>
      <c r="AK827">
        <f t="shared" si="38"/>
        <v>1.3919472459913453E-2</v>
      </c>
      <c r="AL827" t="str">
        <f>IF(MAX(X827, Y827, Z827, AA827)&gt;0.9,
 "Critical",
 IF(AK827&lt;=0.2,"Very Low",
 IF(AK827&lt;=0.4,"Low",
 IF(AK827&lt;=0.6,"Medium",
 IF(AK827&lt;=0.8,"High","Critical")))))</f>
        <v>Very Low</v>
      </c>
      <c r="AM827" t="str">
        <f>IF(MAX(X827:AA827)&gt;0.9,"CRITICAL ALERT",
 IF(AK827&gt;0.8,"CRITICAL ALERT",
 IF(AK827&gt;0.6,"ALERT",
 IF(AK827&gt;=0.4,"REVIEW","NO ACTION"))))</f>
        <v>NO ACTION</v>
      </c>
      <c r="AN827" t="str">
        <f>IF(AM827="NO ACTION","",
 IF(_xlfn.TEXTJOIN(", ", TRUE,
  IF(X827&gt;0.7,"Login anomaly",""),
  IF(Y827&gt;0.7,"File anomaly",""),
  IF(Z827&gt;0.7,"Network anomaly",""),
  IF(AA827&gt;0.7,"USB anomaly","")
 )="",
 "General anomaly detected",
 _xlfn.TEXTJOIN(", ", TRUE,
  IF(X827&gt;0.7,"Login anomaly",""),
  IF(Y827&gt;0.7,"File anomaly",""),
  IF(Z827&gt;0.7,"Network anomaly",""),
  IF(AA827&gt;0.7,"USB anomaly","")
 )))</f>
        <v/>
      </c>
    </row>
    <row r="828" spans="1:40" x14ac:dyDescent="0.3">
      <c r="A828" t="s">
        <v>851</v>
      </c>
      <c r="B828">
        <v>0.12892249527410199</v>
      </c>
      <c r="C828">
        <v>0.36953165208440503</v>
      </c>
      <c r="D828">
        <v>0</v>
      </c>
      <c r="E828">
        <v>0</v>
      </c>
      <c r="F828">
        <v>0</v>
      </c>
      <c r="G828">
        <v>0.99367929015455603</v>
      </c>
      <c r="H828">
        <v>8</v>
      </c>
      <c r="I828">
        <v>8</v>
      </c>
      <c r="J828">
        <v>8.0864462573350504E-2</v>
      </c>
      <c r="K828">
        <v>5.7096247960848204E-3</v>
      </c>
      <c r="L828">
        <v>1.7982467284970102E-2</v>
      </c>
      <c r="M828">
        <v>1.44300144300144E-3</v>
      </c>
      <c r="N828">
        <v>1.0752058399117199E-2</v>
      </c>
      <c r="O828">
        <v>757</v>
      </c>
      <c r="P828">
        <v>6.2605218855218803E-2</v>
      </c>
      <c r="Q828">
        <v>6.2765174094463305E-2</v>
      </c>
      <c r="R828">
        <v>0</v>
      </c>
      <c r="S828">
        <v>0</v>
      </c>
      <c r="T828" t="s">
        <v>49</v>
      </c>
      <c r="U828">
        <v>1.98113207547169E-2</v>
      </c>
      <c r="V828">
        <v>0</v>
      </c>
      <c r="W828">
        <v>0</v>
      </c>
      <c r="X828">
        <v>0</v>
      </c>
      <c r="Y828">
        <v>2.8389743676890299E-2</v>
      </c>
      <c r="Z828">
        <v>4.1863954672778203E-2</v>
      </c>
      <c r="AA828">
        <v>0</v>
      </c>
      <c r="AB828">
        <v>2.4684000760316849E-2</v>
      </c>
      <c r="AC828">
        <v>4.4599999091587961E-4</v>
      </c>
      <c r="AD828">
        <v>5.7040001265704632E-3</v>
      </c>
      <c r="AE828">
        <v>1.8820000113919379E-3</v>
      </c>
      <c r="AF828">
        <f>0.16*X828 + 0.28*Y828 + 0.28*Z828 + 0.28*AA828</f>
        <v>1.9671035537907181E-2</v>
      </c>
      <c r="AG828">
        <f t="shared" si="36"/>
        <v>6.1984001577366143E-3</v>
      </c>
      <c r="AH828">
        <f>IF(T828="IT_Admin", 0.25, IF(AND(T828="HR", AA828&gt;0.6), 0.25, IF(AND(T828="General", Z828&gt;0.7), 0.2, 0.1)))</f>
        <v>0.1</v>
      </c>
      <c r="AI828">
        <f>IF(V828&gt;0.7, 0.1,
 IF(F828&gt;0.5, 0.08,
 IF(E828&gt;0.5, 0.05,
 0)))</f>
        <v>0</v>
      </c>
      <c r="AJ828">
        <f t="shared" si="37"/>
        <v>1.0240190771787783E-2</v>
      </c>
      <c r="AK828">
        <f t="shared" si="38"/>
        <v>1.1264209848966563E-2</v>
      </c>
      <c r="AL828" t="str">
        <f>IF(MAX(X828, Y828, Z828, AA828)&gt;0.9,
 "Critical",
 IF(AK828&lt;=0.2,"Very Low",
 IF(AK828&lt;=0.4,"Low",
 IF(AK828&lt;=0.6,"Medium",
 IF(AK828&lt;=0.8,"High","Critical")))))</f>
        <v>Very Low</v>
      </c>
      <c r="AM828" t="str">
        <f>IF(MAX(X828:AA828)&gt;0.9,"CRITICAL ALERT",
 IF(AK828&gt;0.8,"CRITICAL ALERT",
 IF(AK828&gt;0.6,"ALERT",
 IF(AK828&gt;=0.4,"REVIEW","NO ACTION"))))</f>
        <v>NO ACTION</v>
      </c>
      <c r="AN828" t="str">
        <f>IF(AM828="NO ACTION","",
 IF(_xlfn.TEXTJOIN(", ", TRUE,
  IF(X828&gt;0.7,"Login anomaly",""),
  IF(Y828&gt;0.7,"File anomaly",""),
  IF(Z828&gt;0.7,"Network anomaly",""),
  IF(AA828&gt;0.7,"USB anomaly","")
 )="",
 "General anomaly detected",
 _xlfn.TEXTJOIN(", ", TRUE,
  IF(X828&gt;0.7,"Login anomaly",""),
  IF(Y828&gt;0.7,"File anomaly",""),
  IF(Z828&gt;0.7,"Network anomaly",""),
  IF(AA828&gt;0.7,"USB anomaly","")
 )))</f>
        <v/>
      </c>
    </row>
    <row r="829" spans="1:40" x14ac:dyDescent="0.3">
      <c r="A829" t="s">
        <v>852</v>
      </c>
      <c r="B829">
        <v>0.24688090737240001</v>
      </c>
      <c r="C829">
        <v>0.69012988905260997</v>
      </c>
      <c r="D829">
        <v>0.480741106293744</v>
      </c>
      <c r="E829">
        <v>0.20801623541349501</v>
      </c>
      <c r="F829">
        <v>4.5662100456621002E-2</v>
      </c>
      <c r="G829">
        <v>0.45066443768860798</v>
      </c>
      <c r="H829">
        <v>0</v>
      </c>
      <c r="I829">
        <v>23</v>
      </c>
      <c r="J829">
        <v>8.1198416106101803E-2</v>
      </c>
      <c r="K829">
        <v>4.0783034257748704E-3</v>
      </c>
      <c r="L829">
        <v>1.27919467672814E-2</v>
      </c>
      <c r="M829">
        <v>2.59740259740259E-3</v>
      </c>
      <c r="N829">
        <v>1.92743401882241E-2</v>
      </c>
      <c r="O829">
        <v>714</v>
      </c>
      <c r="P829">
        <v>6.2710437710437703E-2</v>
      </c>
      <c r="Q829">
        <v>6.2870367123671902E-2</v>
      </c>
      <c r="R829">
        <v>2.0648967551622401E-2</v>
      </c>
      <c r="S829">
        <v>1</v>
      </c>
      <c r="T829" t="s">
        <v>49</v>
      </c>
      <c r="U829">
        <v>8.4905660377358402E-3</v>
      </c>
      <c r="V829">
        <v>0</v>
      </c>
      <c r="W829">
        <v>1.90614904295438E-2</v>
      </c>
      <c r="X829">
        <v>0.22489204269481999</v>
      </c>
      <c r="Y829">
        <v>2.8417958661328301E-2</v>
      </c>
      <c r="Z829">
        <v>4.5335998701552298E-2</v>
      </c>
      <c r="AA829">
        <v>2.0648967551622401E-2</v>
      </c>
      <c r="AB829">
        <v>0.16926400363445279</v>
      </c>
      <c r="AC829">
        <v>6.1300001107156277E-4</v>
      </c>
      <c r="AD829">
        <v>4.5730001293122768E-3</v>
      </c>
      <c r="AE829">
        <v>6.8181000649929047E-2</v>
      </c>
      <c r="AF829">
        <f>0.16*X829 + 0.28*Y829 + 0.28*Z829 + 0.28*AA829</f>
        <v>6.2415545807232041E-2</v>
      </c>
      <c r="AG829">
        <f t="shared" si="36"/>
        <v>4.7625000802800056E-2</v>
      </c>
      <c r="AH829">
        <f>IF(T829="IT_Admin", 0.25, IF(AND(T829="HR", AA829&gt;0.6), 0.25, IF(AND(T829="General", Z829&gt;0.7), 0.2, 0.1)))</f>
        <v>0.1</v>
      </c>
      <c r="AI829">
        <f>IF(V829&gt;0.7, 0.1,
 IF(F829&gt;0.5, 0.08,
 IF(E829&gt;0.5, 0.05,
 0)))</f>
        <v>0</v>
      </c>
      <c r="AJ829">
        <f t="shared" si="37"/>
        <v>5.2062164304129653E-2</v>
      </c>
      <c r="AK829">
        <f t="shared" si="38"/>
        <v>5.7268380734542622E-2</v>
      </c>
      <c r="AL829" t="str">
        <f>IF(MAX(X829, Y829, Z829, AA829)&gt;0.9,
 "Critical",
 IF(AK829&lt;=0.2,"Very Low",
 IF(AK829&lt;=0.4,"Low",
 IF(AK829&lt;=0.6,"Medium",
 IF(AK829&lt;=0.8,"High","Critical")))))</f>
        <v>Very Low</v>
      </c>
      <c r="AM829" t="str">
        <f>IF(MAX(X829:AA829)&gt;0.9,"CRITICAL ALERT",
 IF(AK829&gt;0.8,"CRITICAL ALERT",
 IF(AK829&gt;0.6,"ALERT",
 IF(AK829&gt;=0.4,"REVIEW","NO ACTION"))))</f>
        <v>NO ACTION</v>
      </c>
      <c r="AN829" t="str">
        <f>IF(AM829="NO ACTION","",
 IF(_xlfn.TEXTJOIN(", ", TRUE,
  IF(X829&gt;0.7,"Login anomaly",""),
  IF(Y829&gt;0.7,"File anomaly",""),
  IF(Z829&gt;0.7,"Network anomaly",""),
  IF(AA829&gt;0.7,"USB anomaly","")
 )="",
 "General anomaly detected",
 _xlfn.TEXTJOIN(", ", TRUE,
  IF(X829&gt;0.7,"Login anomaly",""),
  IF(Y829&gt;0.7,"File anomaly",""),
  IF(Z829&gt;0.7,"Network anomaly",""),
  IF(AA829&gt;0.7,"USB anomaly","")
 )))</f>
        <v/>
      </c>
    </row>
    <row r="830" spans="1:40" x14ac:dyDescent="0.3">
      <c r="A830" t="s">
        <v>853</v>
      </c>
      <c r="B830">
        <v>0.12892249527410199</v>
      </c>
      <c r="C830">
        <v>0.36953165208440503</v>
      </c>
      <c r="D830">
        <v>0</v>
      </c>
      <c r="E830">
        <v>0</v>
      </c>
      <c r="F830">
        <v>0</v>
      </c>
      <c r="G830">
        <v>0.99368496384670701</v>
      </c>
      <c r="H830">
        <v>8</v>
      </c>
      <c r="I830">
        <v>8</v>
      </c>
      <c r="J830">
        <v>5.8346452936405703E-2</v>
      </c>
      <c r="K830">
        <v>8.1566068515497494E-3</v>
      </c>
      <c r="L830">
        <v>3.5563278716204301E-2</v>
      </c>
      <c r="M830">
        <v>1.7316017316017301E-3</v>
      </c>
      <c r="N830">
        <v>1.78617256793152E-2</v>
      </c>
      <c r="O830">
        <v>642</v>
      </c>
      <c r="P830">
        <v>4.7243265993265997E-2</v>
      </c>
      <c r="Q830">
        <v>4.7406991830008002E-2</v>
      </c>
      <c r="R830">
        <v>0</v>
      </c>
      <c r="S830">
        <v>0</v>
      </c>
      <c r="T830" t="s">
        <v>49</v>
      </c>
      <c r="U830">
        <v>2.4258760107816701E-2</v>
      </c>
      <c r="V830">
        <v>0</v>
      </c>
      <c r="W830">
        <v>0</v>
      </c>
      <c r="X830">
        <v>0</v>
      </c>
      <c r="Y830">
        <v>3.4809447649177802E-2</v>
      </c>
      <c r="Z830">
        <v>3.54906498676857E-2</v>
      </c>
      <c r="AA830">
        <v>0</v>
      </c>
      <c r="AB830">
        <v>2.4717999622225761E-2</v>
      </c>
      <c r="AC830">
        <v>1.570000022184104E-4</v>
      </c>
      <c r="AD830">
        <v>7.7650002203881741E-3</v>
      </c>
      <c r="AE830">
        <v>1.9950000569224362E-3</v>
      </c>
      <c r="AF830">
        <f>0.16*X830 + 0.28*Y830 + 0.28*Z830 + 0.28*AA830</f>
        <v>1.9684027304721782E-2</v>
      </c>
      <c r="AG830">
        <f t="shared" si="36"/>
        <v>6.7316400178242478E-3</v>
      </c>
      <c r="AH830">
        <f>IF(T830="IT_Admin", 0.25, IF(AND(T830="HR", AA830&gt;0.6), 0.25, IF(AND(T830="General", Z830&gt;0.7), 0.2, 0.1)))</f>
        <v>0.1</v>
      </c>
      <c r="AI830">
        <f>IF(V830&gt;0.7, 0.1,
 IF(F830&gt;0.5, 0.08,
 IF(E830&gt;0.5, 0.05,
 0)))</f>
        <v>0</v>
      </c>
      <c r="AJ830">
        <f t="shared" si="37"/>
        <v>1.0617356203893508E-2</v>
      </c>
      <c r="AK830">
        <f t="shared" si="38"/>
        <v>1.167909182428286E-2</v>
      </c>
      <c r="AL830" t="str">
        <f>IF(MAX(X830, Y830, Z830, AA830)&gt;0.9,
 "Critical",
 IF(AK830&lt;=0.2,"Very Low",
 IF(AK830&lt;=0.4,"Low",
 IF(AK830&lt;=0.6,"Medium",
 IF(AK830&lt;=0.8,"High","Critical")))))</f>
        <v>Very Low</v>
      </c>
      <c r="AM830" t="str">
        <f>IF(MAX(X830:AA830)&gt;0.9,"CRITICAL ALERT",
 IF(AK830&gt;0.8,"CRITICAL ALERT",
 IF(AK830&gt;0.6,"ALERT",
 IF(AK830&gt;=0.4,"REVIEW","NO ACTION"))))</f>
        <v>NO ACTION</v>
      </c>
      <c r="AN830" t="str">
        <f>IF(AM830="NO ACTION","",
 IF(_xlfn.TEXTJOIN(", ", TRUE,
  IF(X830&gt;0.7,"Login anomaly",""),
  IF(Y830&gt;0.7,"File anomaly",""),
  IF(Z830&gt;0.7,"Network anomaly",""),
  IF(AA830&gt;0.7,"USB anomaly","")
 )="",
 "General anomaly detected",
 _xlfn.TEXTJOIN(", ", TRUE,
  IF(X830&gt;0.7,"Login anomaly",""),
  IF(Y830&gt;0.7,"File anomaly",""),
  IF(Z830&gt;0.7,"Network anomaly",""),
  IF(AA830&gt;0.7,"USB anomaly","")
 )))</f>
        <v/>
      </c>
    </row>
    <row r="831" spans="1:40" x14ac:dyDescent="0.3">
      <c r="A831" t="s">
        <v>854</v>
      </c>
      <c r="B831">
        <v>0.12892249527410199</v>
      </c>
      <c r="C831">
        <v>0.284378706169303</v>
      </c>
      <c r="D831">
        <v>7.4902366299490403E-2</v>
      </c>
      <c r="E831">
        <v>0</v>
      </c>
      <c r="F831">
        <v>0</v>
      </c>
      <c r="G831">
        <v>0.99369722116277204</v>
      </c>
      <c r="H831">
        <v>7</v>
      </c>
      <c r="I831">
        <v>8</v>
      </c>
      <c r="J831">
        <v>9.5987786842230804E-2</v>
      </c>
      <c r="K831">
        <v>1.0603588907014599E-2</v>
      </c>
      <c r="L831">
        <v>2.81473565406785E-2</v>
      </c>
      <c r="M831">
        <v>2.0202020202020202E-3</v>
      </c>
      <c r="N831">
        <v>1.26871090678725E-2</v>
      </c>
      <c r="O831">
        <v>944</v>
      </c>
      <c r="P831">
        <v>7.6108305274971894E-2</v>
      </c>
      <c r="Q831">
        <v>7.6264946176233306E-2</v>
      </c>
      <c r="R831">
        <v>0</v>
      </c>
      <c r="S831">
        <v>0</v>
      </c>
      <c r="T831" t="s">
        <v>24</v>
      </c>
      <c r="U831">
        <v>2.75943396226415E-2</v>
      </c>
      <c r="V831">
        <v>0</v>
      </c>
      <c r="W831">
        <v>0</v>
      </c>
      <c r="X831">
        <v>2.2470709889847101E-2</v>
      </c>
      <c r="Y831">
        <v>3.7077368359147198E-2</v>
      </c>
      <c r="Z831">
        <v>5.0739826792132098E-2</v>
      </c>
      <c r="AA831">
        <v>0</v>
      </c>
      <c r="AB831">
        <v>1.789700053632259E-2</v>
      </c>
      <c r="AC831">
        <v>1.3899999612476679E-4</v>
      </c>
      <c r="AD831">
        <v>3.9550000801682472E-3</v>
      </c>
      <c r="AE831">
        <v>1.6789999790489669E-3</v>
      </c>
      <c r="AF831">
        <f>0.16*X831 + 0.28*Y831 + 0.28*Z831 + 0.28*AA831</f>
        <v>2.8184128224733741E-2</v>
      </c>
      <c r="AG831">
        <f t="shared" si="36"/>
        <v>4.4799601013073695E-3</v>
      </c>
      <c r="AH831">
        <f>IF(T831="IT_Admin", 0.25, IF(AND(T831="HR", AA831&gt;0.6), 0.25, IF(AND(T831="General", Z831&gt;0.7), 0.2, 0.1)))</f>
        <v>0.25</v>
      </c>
      <c r="AI831">
        <f>IF(V831&gt;0.7, 0.1,
 IF(F831&gt;0.5, 0.08,
 IF(E831&gt;0.5, 0.05,
 0)))</f>
        <v>0</v>
      </c>
      <c r="AJ831">
        <f t="shared" si="37"/>
        <v>1.159121053833528E-2</v>
      </c>
      <c r="AK831">
        <f t="shared" si="38"/>
        <v>1.4489013172919101E-2</v>
      </c>
      <c r="AL831" t="str">
        <f>IF(MAX(X831, Y831, Z831, AA831)&gt;0.9,
 "Critical",
 IF(AK831&lt;=0.2,"Very Low",
 IF(AK831&lt;=0.4,"Low",
 IF(AK831&lt;=0.6,"Medium",
 IF(AK831&lt;=0.8,"High","Critical")))))</f>
        <v>Very Low</v>
      </c>
      <c r="AM831" t="str">
        <f>IF(MAX(X831:AA831)&gt;0.9,"CRITICAL ALERT",
 IF(AK831&gt;0.8,"CRITICAL ALERT",
 IF(AK831&gt;0.6,"ALERT",
 IF(AK831&gt;=0.4,"REVIEW","NO ACTION"))))</f>
        <v>NO ACTION</v>
      </c>
      <c r="AN831" t="str">
        <f>IF(AM831="NO ACTION","",
 IF(_xlfn.TEXTJOIN(", ", TRUE,
  IF(X831&gt;0.7,"Login anomaly",""),
  IF(Y831&gt;0.7,"File anomaly",""),
  IF(Z831&gt;0.7,"Network anomaly",""),
  IF(AA831&gt;0.7,"USB anomaly","")
 )="",
 "General anomaly detected",
 _xlfn.TEXTJOIN(", ", TRUE,
  IF(X831&gt;0.7,"Login anomaly",""),
  IF(Y831&gt;0.7,"File anomaly",""),
  IF(Z831&gt;0.7,"Network anomaly",""),
  IF(AA831&gt;0.7,"USB anomaly","")
 )))</f>
        <v/>
      </c>
    </row>
    <row r="832" spans="1:40" x14ac:dyDescent="0.3">
      <c r="A832" t="s">
        <v>855</v>
      </c>
      <c r="B832">
        <v>0.12892249527410199</v>
      </c>
      <c r="C832">
        <v>0.55429747812660801</v>
      </c>
      <c r="D832">
        <v>0</v>
      </c>
      <c r="E832">
        <v>0</v>
      </c>
      <c r="F832">
        <v>0</v>
      </c>
      <c r="G832">
        <v>0.99370383154938302</v>
      </c>
      <c r="H832">
        <v>9</v>
      </c>
      <c r="I832">
        <v>9</v>
      </c>
      <c r="J832">
        <v>8.7304994990696994E-2</v>
      </c>
      <c r="K832">
        <v>8.1566068515497494E-3</v>
      </c>
      <c r="L832">
        <v>2.3799294966484402E-2</v>
      </c>
      <c r="M832">
        <v>5.7720057720057698E-4</v>
      </c>
      <c r="N832">
        <v>3.98441401166196E-3</v>
      </c>
      <c r="O832">
        <v>940</v>
      </c>
      <c r="P832">
        <v>6.7971380471380405E-2</v>
      </c>
      <c r="Q832">
        <v>6.8130018584101795E-2</v>
      </c>
      <c r="R832">
        <v>0</v>
      </c>
      <c r="S832">
        <v>0</v>
      </c>
      <c r="T832" t="s">
        <v>49</v>
      </c>
      <c r="U832">
        <v>5.6603773584905599E-2</v>
      </c>
      <c r="V832">
        <v>0</v>
      </c>
      <c r="W832">
        <v>0</v>
      </c>
      <c r="X832">
        <v>0</v>
      </c>
      <c r="Y832">
        <v>3.0555970684880199E-2</v>
      </c>
      <c r="Z832">
        <v>4.2376593887493E-2</v>
      </c>
      <c r="AA832">
        <v>0</v>
      </c>
      <c r="AB832">
        <v>2.8912000358104709E-2</v>
      </c>
      <c r="AC832">
        <v>4.0399999124929309E-4</v>
      </c>
      <c r="AD832">
        <v>5.1819998770952216E-3</v>
      </c>
      <c r="AE832">
        <v>1.8119999440386889E-3</v>
      </c>
      <c r="AF832">
        <f>0.16*X832 + 0.28*Y832 + 0.28*Z832 + 0.28*AA832</f>
        <v>2.0421118080264498E-2</v>
      </c>
      <c r="AG832">
        <f t="shared" si="36"/>
        <v>6.6973600047640514E-3</v>
      </c>
      <c r="AH832">
        <f>IF(T832="IT_Admin", 0.25, IF(AND(T832="HR", AA832&gt;0.6), 0.25, IF(AND(T832="General", Z832&gt;0.7), 0.2, 0.1)))</f>
        <v>0.1</v>
      </c>
      <c r="AI832">
        <f>IF(V832&gt;0.7, 0.1,
 IF(F832&gt;0.5, 0.08,
 IF(E832&gt;0.5, 0.05,
 0)))</f>
        <v>0</v>
      </c>
      <c r="AJ832">
        <f t="shared" si="37"/>
        <v>1.0814487427414185E-2</v>
      </c>
      <c r="AK832">
        <f t="shared" si="38"/>
        <v>1.1895936170155604E-2</v>
      </c>
      <c r="AL832" t="str">
        <f>IF(MAX(X832, Y832, Z832, AA832)&gt;0.9,
 "Critical",
 IF(AK832&lt;=0.2,"Very Low",
 IF(AK832&lt;=0.4,"Low",
 IF(AK832&lt;=0.6,"Medium",
 IF(AK832&lt;=0.8,"High","Critical")))))</f>
        <v>Very Low</v>
      </c>
      <c r="AM832" t="str">
        <f>IF(MAX(X832:AA832)&gt;0.9,"CRITICAL ALERT",
 IF(AK832&gt;0.8,"CRITICAL ALERT",
 IF(AK832&gt;0.6,"ALERT",
 IF(AK832&gt;=0.4,"REVIEW","NO ACTION"))))</f>
        <v>NO ACTION</v>
      </c>
      <c r="AN832" t="str">
        <f>IF(AM832="NO ACTION","",
 IF(_xlfn.TEXTJOIN(", ", TRUE,
  IF(X832&gt;0.7,"Login anomaly",""),
  IF(Y832&gt;0.7,"File anomaly",""),
  IF(Z832&gt;0.7,"Network anomaly",""),
  IF(AA832&gt;0.7,"USB anomaly","")
 )="",
 "General anomaly detected",
 _xlfn.TEXTJOIN(", ", TRUE,
  IF(X832&gt;0.7,"Login anomaly",""),
  IF(Y832&gt;0.7,"File anomaly",""),
  IF(Z832&gt;0.7,"Network anomaly",""),
  IF(AA832&gt;0.7,"USB anomaly","")
 )))</f>
        <v/>
      </c>
    </row>
    <row r="833" spans="1:40" x14ac:dyDescent="0.3">
      <c r="A833" t="s">
        <v>856</v>
      </c>
      <c r="B833">
        <v>0.12892249527410199</v>
      </c>
      <c r="C833">
        <v>0.36953165208440503</v>
      </c>
      <c r="D833">
        <v>0</v>
      </c>
      <c r="E833">
        <v>0</v>
      </c>
      <c r="F833">
        <v>0</v>
      </c>
      <c r="G833">
        <v>0.99365490933592204</v>
      </c>
      <c r="H833">
        <v>8</v>
      </c>
      <c r="I833">
        <v>8</v>
      </c>
      <c r="J833">
        <v>7.3708315442965494E-2</v>
      </c>
      <c r="K833">
        <v>1.2234910277324601E-2</v>
      </c>
      <c r="L833">
        <v>4.2262941545321502E-2</v>
      </c>
      <c r="M833">
        <v>3.7518037518037501E-3</v>
      </c>
      <c r="N833">
        <v>3.066070846716E-2</v>
      </c>
      <c r="O833">
        <v>838</v>
      </c>
      <c r="P833">
        <v>6.1272446689113302E-2</v>
      </c>
      <c r="Q833">
        <v>6.14327290578211E-2</v>
      </c>
      <c r="R833">
        <v>0</v>
      </c>
      <c r="S833">
        <v>0</v>
      </c>
      <c r="T833" t="s">
        <v>49</v>
      </c>
      <c r="U833">
        <v>1.81940700808625E-2</v>
      </c>
      <c r="V833">
        <v>0</v>
      </c>
      <c r="W833">
        <v>0</v>
      </c>
      <c r="X833">
        <v>0</v>
      </c>
      <c r="Y833">
        <v>4.5071346401401799E-2</v>
      </c>
      <c r="Z833">
        <v>4.9027751400331998E-2</v>
      </c>
      <c r="AA833">
        <v>0</v>
      </c>
      <c r="AB833">
        <v>2.4669000878930088E-2</v>
      </c>
      <c r="AC833">
        <v>1.489999995101243E-4</v>
      </c>
      <c r="AD833">
        <v>5.34099992364645E-3</v>
      </c>
      <c r="AE833">
        <v>1.847999985329807E-3</v>
      </c>
      <c r="AF833">
        <f>0.16*X833 + 0.28*Y833 + 0.28*Z833 + 0.28*AA833</f>
        <v>2.6347747384485466E-2</v>
      </c>
      <c r="AG833">
        <f t="shared" si="36"/>
        <v>6.0016801150050009E-3</v>
      </c>
      <c r="AH833">
        <f>IF(T833="IT_Admin", 0.25, IF(AND(T833="HR", AA833&gt;0.6), 0.25, IF(AND(T833="General", Z833&gt;0.7), 0.2, 0.1)))</f>
        <v>0.1</v>
      </c>
      <c r="AI833">
        <f>IF(V833&gt;0.7, 0.1,
 IF(F833&gt;0.5, 0.08,
 IF(E833&gt;0.5, 0.05,
 0)))</f>
        <v>0</v>
      </c>
      <c r="AJ833">
        <f t="shared" si="37"/>
        <v>1.210550029584914E-2</v>
      </c>
      <c r="AK833">
        <f t="shared" si="38"/>
        <v>1.3316050325434056E-2</v>
      </c>
      <c r="AL833" t="str">
        <f>IF(MAX(X833, Y833, Z833, AA833)&gt;0.9,
 "Critical",
 IF(AK833&lt;=0.2,"Very Low",
 IF(AK833&lt;=0.4,"Low",
 IF(AK833&lt;=0.6,"Medium",
 IF(AK833&lt;=0.8,"High","Critical")))))</f>
        <v>Very Low</v>
      </c>
      <c r="AM833" t="str">
        <f>IF(MAX(X833:AA833)&gt;0.9,"CRITICAL ALERT",
 IF(AK833&gt;0.8,"CRITICAL ALERT",
 IF(AK833&gt;0.6,"ALERT",
 IF(AK833&gt;=0.4,"REVIEW","NO ACTION"))))</f>
        <v>NO ACTION</v>
      </c>
      <c r="AN833" t="str">
        <f>IF(AM833="NO ACTION","",
 IF(_xlfn.TEXTJOIN(", ", TRUE,
  IF(X833&gt;0.7,"Login anomaly",""),
  IF(Y833&gt;0.7,"File anomaly",""),
  IF(Z833&gt;0.7,"Network anomaly",""),
  IF(AA833&gt;0.7,"USB anomaly","")
 )="",
 "General anomaly detected",
 _xlfn.TEXTJOIN(", ", TRUE,
  IF(X833&gt;0.7,"Login anomaly",""),
  IF(Y833&gt;0.7,"File anomaly",""),
  IF(Z833&gt;0.7,"Network anomaly",""),
  IF(AA833&gt;0.7,"USB anomaly","")
 )))</f>
        <v/>
      </c>
    </row>
    <row r="834" spans="1:40" x14ac:dyDescent="0.3">
      <c r="A834" t="s">
        <v>857</v>
      </c>
      <c r="B834">
        <v>0.25482041587901699</v>
      </c>
      <c r="C834">
        <v>0.491891321543032</v>
      </c>
      <c r="D834">
        <v>0.362238330987182</v>
      </c>
      <c r="E834">
        <v>0</v>
      </c>
      <c r="F834">
        <v>0.26991150442477801</v>
      </c>
      <c r="G834">
        <v>0.43182010075774402</v>
      </c>
      <c r="H834">
        <v>6</v>
      </c>
      <c r="I834">
        <v>13</v>
      </c>
      <c r="J834">
        <v>6.2497018272028998E-2</v>
      </c>
      <c r="K834">
        <v>6.5252854812398002E-3</v>
      </c>
      <c r="L834">
        <v>2.6568338411254E-2</v>
      </c>
      <c r="M834">
        <v>2.0202020202020202E-3</v>
      </c>
      <c r="N834">
        <v>1.9459999231862299E-2</v>
      </c>
      <c r="O834">
        <v>694</v>
      </c>
      <c r="P834">
        <v>4.9733445566778903E-2</v>
      </c>
      <c r="Q834">
        <v>4.9896560187944798E-2</v>
      </c>
      <c r="R834">
        <v>0</v>
      </c>
      <c r="S834">
        <v>0</v>
      </c>
      <c r="T834" t="s">
        <v>49</v>
      </c>
      <c r="U834">
        <v>1.6981132075471601E-2</v>
      </c>
      <c r="V834">
        <v>0</v>
      </c>
      <c r="W834">
        <v>0</v>
      </c>
      <c r="X834">
        <v>0.21663610106606601</v>
      </c>
      <c r="Y834">
        <v>3.1621572629591498E-2</v>
      </c>
      <c r="Z834">
        <v>3.7624067032812201E-2</v>
      </c>
      <c r="AA834">
        <v>0</v>
      </c>
      <c r="AB834">
        <v>3.2170001417398453E-2</v>
      </c>
      <c r="AC834">
        <v>3.1999999191612011E-4</v>
      </c>
      <c r="AD834">
        <v>7.0179998874664307E-3</v>
      </c>
      <c r="AE834">
        <v>6.2330001965165138E-3</v>
      </c>
      <c r="AF834">
        <f>0.16*X834 + 0.28*Y834 + 0.28*Z834 + 0.28*AA834</f>
        <v>5.4050555276043598E-2</v>
      </c>
      <c r="AG834">
        <f t="shared" si="36"/>
        <v>8.9470802480354911E-3</v>
      </c>
      <c r="AH834">
        <f>IF(T834="IT_Admin", 0.25, IF(AND(T834="HR", AA834&gt;0.6), 0.25, IF(AND(T834="General", Z834&gt;0.7), 0.2, 0.1)))</f>
        <v>0.1</v>
      </c>
      <c r="AI834">
        <f>IF(V834&gt;0.7, 0.1,
 IF(F834&gt;0.5, 0.08,
 IF(E834&gt;0.5, 0.05,
 0)))</f>
        <v>0</v>
      </c>
      <c r="AJ834">
        <f t="shared" si="37"/>
        <v>2.2478122756437922E-2</v>
      </c>
      <c r="AK834">
        <f t="shared" si="38"/>
        <v>2.4725935032081717E-2</v>
      </c>
      <c r="AL834" t="str">
        <f>IF(MAX(X834, Y834, Z834, AA834)&gt;0.9,
 "Critical",
 IF(AK834&lt;=0.2,"Very Low",
 IF(AK834&lt;=0.4,"Low",
 IF(AK834&lt;=0.6,"Medium",
 IF(AK834&lt;=0.8,"High","Critical")))))</f>
        <v>Very Low</v>
      </c>
      <c r="AM834" t="str">
        <f>IF(MAX(X834:AA834)&gt;0.9,"CRITICAL ALERT",
 IF(AK834&gt;0.8,"CRITICAL ALERT",
 IF(AK834&gt;0.6,"ALERT",
 IF(AK834&gt;=0.4,"REVIEW","NO ACTION"))))</f>
        <v>NO ACTION</v>
      </c>
      <c r="AN834" t="str">
        <f>IF(AM834="NO ACTION","",
 IF(_xlfn.TEXTJOIN(", ", TRUE,
  IF(X834&gt;0.7,"Login anomaly",""),
  IF(Y834&gt;0.7,"File anomaly",""),
  IF(Z834&gt;0.7,"Network anomaly",""),
  IF(AA834&gt;0.7,"USB anomaly","")
 )="",
 "General anomaly detected",
 _xlfn.TEXTJOIN(", ", TRUE,
  IF(X834&gt;0.7,"Login anomaly",""),
  IF(Y834&gt;0.7,"File anomaly",""),
  IF(Z834&gt;0.7,"Network anomaly",""),
  IF(AA834&gt;0.7,"USB anomaly","")
 )))</f>
        <v/>
      </c>
    </row>
    <row r="835" spans="1:40" x14ac:dyDescent="0.3">
      <c r="A835" t="s">
        <v>858</v>
      </c>
      <c r="B835">
        <v>0.12892249527410199</v>
      </c>
      <c r="C835">
        <v>0.36953165208440503</v>
      </c>
      <c r="D835">
        <v>0</v>
      </c>
      <c r="E835">
        <v>0</v>
      </c>
      <c r="F835">
        <v>0</v>
      </c>
      <c r="G835">
        <v>0.993687613353892</v>
      </c>
      <c r="H835">
        <v>8</v>
      </c>
      <c r="I835">
        <v>8</v>
      </c>
      <c r="J835">
        <v>6.8889843041839594E-2</v>
      </c>
      <c r="K835">
        <v>1.0603588907014599E-2</v>
      </c>
      <c r="L835">
        <v>3.9180964901689798E-2</v>
      </c>
      <c r="M835">
        <v>8.6580086580086504E-4</v>
      </c>
      <c r="N835">
        <v>7.5687367612833397E-3</v>
      </c>
      <c r="O835">
        <v>760</v>
      </c>
      <c r="P835">
        <v>5.5625701459034699E-2</v>
      </c>
      <c r="Q835">
        <v>5.5787369823626302E-2</v>
      </c>
      <c r="R835">
        <v>0</v>
      </c>
      <c r="S835">
        <v>0</v>
      </c>
      <c r="T835" t="s">
        <v>49</v>
      </c>
      <c r="U835">
        <v>5.5188679245283E-2</v>
      </c>
      <c r="V835">
        <v>0</v>
      </c>
      <c r="W835">
        <v>0</v>
      </c>
      <c r="X835">
        <v>0</v>
      </c>
      <c r="Y835">
        <v>3.5639072087597798E-2</v>
      </c>
      <c r="Z835">
        <v>3.6402915579934199E-2</v>
      </c>
      <c r="AA835">
        <v>0</v>
      </c>
      <c r="AB835">
        <v>2.465100027620792E-2</v>
      </c>
      <c r="AC835">
        <v>2.200000017182902E-4</v>
      </c>
      <c r="AD835">
        <v>6.8100001662969589E-3</v>
      </c>
      <c r="AE835">
        <v>1.747000031173229E-3</v>
      </c>
      <c r="AF835">
        <f>0.16*X835 + 0.28*Y835 + 0.28*Z835 + 0.28*AA835</f>
        <v>2.0171756546908962E-2</v>
      </c>
      <c r="AG835">
        <f t="shared" ref="AG835:AG898" si="39">0.16*AB835 + 0.28*AC835 + 0.28*AD835 + 0.28*AE835</f>
        <v>6.4017200999660412E-3</v>
      </c>
      <c r="AH835">
        <f>IF(T835="IT_Admin", 0.25, IF(AND(T835="HR", AA835&gt;0.6), 0.25, IF(AND(T835="General", Z835&gt;0.7), 0.2, 0.1)))</f>
        <v>0.1</v>
      </c>
      <c r="AI835">
        <f>IF(V835&gt;0.7, 0.1,
 IF(F835&gt;0.5, 0.08,
 IF(E835&gt;0.5, 0.05,
 0)))</f>
        <v>0</v>
      </c>
      <c r="AJ835">
        <f t="shared" ref="AJ835:AJ898" si="40">0.3*AF835+0.7*AG835</f>
        <v>1.0532731034048917E-2</v>
      </c>
      <c r="AK835">
        <f t="shared" ref="AK835:AK898" si="41">MIN(1,AJ835*(1+AH835+AI835))</f>
        <v>1.1586004137453809E-2</v>
      </c>
      <c r="AL835" t="str">
        <f>IF(MAX(X835, Y835, Z835, AA835)&gt;0.9,
 "Critical",
 IF(AK835&lt;=0.2,"Very Low",
 IF(AK835&lt;=0.4,"Low",
 IF(AK835&lt;=0.6,"Medium",
 IF(AK835&lt;=0.8,"High","Critical")))))</f>
        <v>Very Low</v>
      </c>
      <c r="AM835" t="str">
        <f>IF(MAX(X835:AA835)&gt;0.9,"CRITICAL ALERT",
 IF(AK835&gt;0.8,"CRITICAL ALERT",
 IF(AK835&gt;0.6,"ALERT",
 IF(AK835&gt;=0.4,"REVIEW","NO ACTION"))))</f>
        <v>NO ACTION</v>
      </c>
      <c r="AN835" t="str">
        <f>IF(AM835="NO ACTION","",
 IF(_xlfn.TEXTJOIN(", ", TRUE,
  IF(X835&gt;0.7,"Login anomaly",""),
  IF(Y835&gt;0.7,"File anomaly",""),
  IF(Z835&gt;0.7,"Network anomaly",""),
  IF(AA835&gt;0.7,"USB anomaly","")
 )="",
 "General anomaly detected",
 _xlfn.TEXTJOIN(", ", TRUE,
  IF(X835&gt;0.7,"Login anomaly",""),
  IF(Y835&gt;0.7,"File anomaly",""),
  IF(Z835&gt;0.7,"Network anomaly",""),
  IF(AA835&gt;0.7,"USB anomaly","")
 )))</f>
        <v/>
      </c>
    </row>
    <row r="836" spans="1:40" x14ac:dyDescent="0.3">
      <c r="A836" t="s">
        <v>859</v>
      </c>
      <c r="B836">
        <v>0.12892249527410199</v>
      </c>
      <c r="C836">
        <v>0.18476582604220201</v>
      </c>
      <c r="D836">
        <v>0</v>
      </c>
      <c r="E836">
        <v>0</v>
      </c>
      <c r="F836">
        <v>0</v>
      </c>
      <c r="G836">
        <v>0.99367077961632799</v>
      </c>
      <c r="H836">
        <v>7</v>
      </c>
      <c r="I836">
        <v>7</v>
      </c>
      <c r="J836">
        <v>8.6732503220266197E-2</v>
      </c>
      <c r="K836">
        <v>1.2234910277324601E-2</v>
      </c>
      <c r="L836">
        <v>3.59339327456107E-2</v>
      </c>
      <c r="M836">
        <v>1.1544011544011501E-3</v>
      </c>
      <c r="N836">
        <v>8.0212832818427893E-3</v>
      </c>
      <c r="O836">
        <v>944</v>
      </c>
      <c r="P836">
        <v>6.9584736251402907E-2</v>
      </c>
      <c r="Q836">
        <v>6.9742978365300301E-2</v>
      </c>
      <c r="R836">
        <v>0</v>
      </c>
      <c r="S836">
        <v>0</v>
      </c>
      <c r="T836" t="s">
        <v>49</v>
      </c>
      <c r="U836">
        <v>5.0943396226415097E-2</v>
      </c>
      <c r="V836">
        <v>0</v>
      </c>
      <c r="W836">
        <v>0</v>
      </c>
      <c r="X836">
        <v>0</v>
      </c>
      <c r="Y836">
        <v>3.7719852001411397E-2</v>
      </c>
      <c r="Z836">
        <v>4.4959355063578801E-2</v>
      </c>
      <c r="AA836">
        <v>0</v>
      </c>
      <c r="AB836">
        <v>3.6612998694181442E-2</v>
      </c>
      <c r="AC836">
        <v>1.530000008642673E-4</v>
      </c>
      <c r="AD836">
        <v>4.8650000244379044E-3</v>
      </c>
      <c r="AE836">
        <v>1.521000056527555E-3</v>
      </c>
      <c r="AF836">
        <f>0.16*X836 + 0.28*Y836 + 0.28*Z836 + 0.28*AA836</f>
        <v>2.315017797819726E-2</v>
      </c>
      <c r="AG836">
        <f t="shared" si="39"/>
        <v>7.6889998139813547E-3</v>
      </c>
      <c r="AH836">
        <f>IF(T836="IT_Admin", 0.25, IF(AND(T836="HR", AA836&gt;0.6), 0.25, IF(AND(T836="General", Z836&gt;0.7), 0.2, 0.1)))</f>
        <v>0.1</v>
      </c>
      <c r="AI836">
        <f>IF(V836&gt;0.7, 0.1,
 IF(F836&gt;0.5, 0.08,
 IF(E836&gt;0.5, 0.05,
 0)))</f>
        <v>0</v>
      </c>
      <c r="AJ836">
        <f t="shared" si="40"/>
        <v>1.2327353263246126E-2</v>
      </c>
      <c r="AK836">
        <f t="shared" si="41"/>
        <v>1.3560088589570739E-2</v>
      </c>
      <c r="AL836" t="str">
        <f>IF(MAX(X836, Y836, Z836, AA836)&gt;0.9,
 "Critical",
 IF(AK836&lt;=0.2,"Very Low",
 IF(AK836&lt;=0.4,"Low",
 IF(AK836&lt;=0.6,"Medium",
 IF(AK836&lt;=0.8,"High","Critical")))))</f>
        <v>Very Low</v>
      </c>
      <c r="AM836" t="str">
        <f>IF(MAX(X836:AA836)&gt;0.9,"CRITICAL ALERT",
 IF(AK836&gt;0.8,"CRITICAL ALERT",
 IF(AK836&gt;0.6,"ALERT",
 IF(AK836&gt;=0.4,"REVIEW","NO ACTION"))))</f>
        <v>NO ACTION</v>
      </c>
      <c r="AN836" t="str">
        <f>IF(AM836="NO ACTION","",
 IF(_xlfn.TEXTJOIN(", ", TRUE,
  IF(X836&gt;0.7,"Login anomaly",""),
  IF(Y836&gt;0.7,"File anomaly",""),
  IF(Z836&gt;0.7,"Network anomaly",""),
  IF(AA836&gt;0.7,"USB anomaly","")
 )="",
 "General anomaly detected",
 _xlfn.TEXTJOIN(", ", TRUE,
  IF(X836&gt;0.7,"Login anomaly",""),
  IF(Y836&gt;0.7,"File anomaly",""),
  IF(Z836&gt;0.7,"Network anomaly",""),
  IF(AA836&gt;0.7,"USB anomaly","")
 )))</f>
        <v/>
      </c>
    </row>
    <row r="837" spans="1:40" x14ac:dyDescent="0.3">
      <c r="A837" t="s">
        <v>860</v>
      </c>
      <c r="B837">
        <v>0.12892249527410199</v>
      </c>
      <c r="C837">
        <v>0.18476582604220201</v>
      </c>
      <c r="D837">
        <v>0</v>
      </c>
      <c r="E837">
        <v>0</v>
      </c>
      <c r="F837">
        <v>0</v>
      </c>
      <c r="G837">
        <v>0.99367356293700604</v>
      </c>
      <c r="H837">
        <v>7</v>
      </c>
      <c r="I837">
        <v>7</v>
      </c>
      <c r="J837">
        <v>9.2218882686894696E-2</v>
      </c>
      <c r="K837">
        <v>1.1419249592169599E-2</v>
      </c>
      <c r="L837">
        <v>3.15481882192458E-2</v>
      </c>
      <c r="M837">
        <v>2.59740259740259E-3</v>
      </c>
      <c r="N837">
        <v>1.6976934314395599E-2</v>
      </c>
      <c r="O837">
        <v>641</v>
      </c>
      <c r="P837">
        <v>7.3968855218855198E-2</v>
      </c>
      <c r="Q837">
        <v>7.4126021248991897E-2</v>
      </c>
      <c r="R837">
        <v>0</v>
      </c>
      <c r="S837">
        <v>0</v>
      </c>
      <c r="T837" t="s">
        <v>49</v>
      </c>
      <c r="U837">
        <v>2.3773584905660301E-2</v>
      </c>
      <c r="V837">
        <v>0</v>
      </c>
      <c r="W837">
        <v>0</v>
      </c>
      <c r="X837">
        <v>0</v>
      </c>
      <c r="Y837">
        <v>3.9310950941320498E-2</v>
      </c>
      <c r="Z837">
        <v>5.1172086857071301E-2</v>
      </c>
      <c r="AA837">
        <v>0</v>
      </c>
      <c r="AB837">
        <v>3.6770999431610107E-2</v>
      </c>
      <c r="AC837">
        <v>1.150000025518239E-4</v>
      </c>
      <c r="AD837">
        <v>4.081999883055687E-3</v>
      </c>
      <c r="AE837">
        <v>1.9580000080168252E-3</v>
      </c>
      <c r="AF837">
        <f>0.16*X837 + 0.28*Y837 + 0.28*Z837 + 0.28*AA837</f>
        <v>2.5335250583549705E-2</v>
      </c>
      <c r="AG837">
        <f t="shared" si="39"/>
        <v>7.606759879272432E-3</v>
      </c>
      <c r="AH837">
        <f>IF(T837="IT_Admin", 0.25, IF(AND(T837="HR", AA837&gt;0.6), 0.25, IF(AND(T837="General", Z837&gt;0.7), 0.2, 0.1)))</f>
        <v>0.1</v>
      </c>
      <c r="AI837">
        <f>IF(V837&gt;0.7, 0.1,
 IF(F837&gt;0.5, 0.08,
 IF(E837&gt;0.5, 0.05,
 0)))</f>
        <v>0</v>
      </c>
      <c r="AJ837">
        <f t="shared" si="40"/>
        <v>1.2925307090555614E-2</v>
      </c>
      <c r="AK837">
        <f t="shared" si="41"/>
        <v>1.4217837799611176E-2</v>
      </c>
      <c r="AL837" t="str">
        <f>IF(MAX(X837, Y837, Z837, AA837)&gt;0.9,
 "Critical",
 IF(AK837&lt;=0.2,"Very Low",
 IF(AK837&lt;=0.4,"Low",
 IF(AK837&lt;=0.6,"Medium",
 IF(AK837&lt;=0.8,"High","Critical")))))</f>
        <v>Very Low</v>
      </c>
      <c r="AM837" t="str">
        <f>IF(MAX(X837:AA837)&gt;0.9,"CRITICAL ALERT",
 IF(AK837&gt;0.8,"CRITICAL ALERT",
 IF(AK837&gt;0.6,"ALERT",
 IF(AK837&gt;=0.4,"REVIEW","NO ACTION"))))</f>
        <v>NO ACTION</v>
      </c>
      <c r="AN837" t="str">
        <f>IF(AM837="NO ACTION","",
 IF(_xlfn.TEXTJOIN(", ", TRUE,
  IF(X837&gt;0.7,"Login anomaly",""),
  IF(Y837&gt;0.7,"File anomaly",""),
  IF(Z837&gt;0.7,"Network anomaly",""),
  IF(AA837&gt;0.7,"USB anomaly","")
 )="",
 "General anomaly detected",
 _xlfn.TEXTJOIN(", ", TRUE,
  IF(X837&gt;0.7,"Login anomaly",""),
  IF(Y837&gt;0.7,"File anomaly",""),
  IF(Z837&gt;0.7,"Network anomaly",""),
  IF(AA837&gt;0.7,"USB anomaly","")
 )))</f>
        <v/>
      </c>
    </row>
    <row r="838" spans="1:40" x14ac:dyDescent="0.3">
      <c r="A838" t="s">
        <v>861</v>
      </c>
      <c r="B838">
        <v>0.23440453686200299</v>
      </c>
      <c r="C838">
        <v>0.60019283555696301</v>
      </c>
      <c r="D838">
        <v>0.383067159190357</v>
      </c>
      <c r="E838">
        <v>0</v>
      </c>
      <c r="F838">
        <v>0</v>
      </c>
      <c r="G838">
        <v>0.482381769865459</v>
      </c>
      <c r="H838">
        <v>7</v>
      </c>
      <c r="I838">
        <v>13</v>
      </c>
      <c r="J838">
        <v>7.5759744287009198E-2</v>
      </c>
      <c r="K838">
        <v>8.1566068515497494E-3</v>
      </c>
      <c r="L838">
        <v>2.7414755972064601E-2</v>
      </c>
      <c r="M838">
        <v>2.59740259740259E-3</v>
      </c>
      <c r="N838">
        <v>2.0653671501129098E-2</v>
      </c>
      <c r="O838">
        <v>827</v>
      </c>
      <c r="P838">
        <v>6.04657687991021E-2</v>
      </c>
      <c r="Q838">
        <v>6.0626249167221799E-2</v>
      </c>
      <c r="R838">
        <v>0</v>
      </c>
      <c r="S838">
        <v>0</v>
      </c>
      <c r="T838" t="s">
        <v>49</v>
      </c>
      <c r="U838">
        <v>1.6981132075471601E-2</v>
      </c>
      <c r="V838">
        <v>0</v>
      </c>
      <c r="W838">
        <v>0</v>
      </c>
      <c r="X838">
        <v>0.114920147757107</v>
      </c>
      <c r="Y838">
        <v>3.5055428293772797E-2</v>
      </c>
      <c r="Z838">
        <v>4.4540929879912899E-2</v>
      </c>
      <c r="AA838">
        <v>0</v>
      </c>
      <c r="AB838">
        <v>2.0338999107480049E-2</v>
      </c>
      <c r="AC838">
        <v>2.6199998683296139E-4</v>
      </c>
      <c r="AD838">
        <v>5.4290001280605793E-3</v>
      </c>
      <c r="AE838">
        <v>6.6370000131428242E-3</v>
      </c>
      <c r="AF838">
        <f>0.16*X838 + 0.28*Y838 + 0.28*Z838 + 0.28*AA838</f>
        <v>4.0674203929769115E-2</v>
      </c>
      <c r="AG838">
        <f t="shared" si="39"/>
        <v>6.7060798930469907E-3</v>
      </c>
      <c r="AH838">
        <f>IF(T838="IT_Admin", 0.25, IF(AND(T838="HR", AA838&gt;0.6), 0.25, IF(AND(T838="General", Z838&gt;0.7), 0.2, 0.1)))</f>
        <v>0.1</v>
      </c>
      <c r="AI838">
        <f>IF(V838&gt;0.7, 0.1,
 IF(F838&gt;0.5, 0.08,
 IF(E838&gt;0.5, 0.05,
 0)))</f>
        <v>0</v>
      </c>
      <c r="AJ838">
        <f t="shared" si="40"/>
        <v>1.6896517104063626E-2</v>
      </c>
      <c r="AK838">
        <f t="shared" si="41"/>
        <v>1.8586168814469988E-2</v>
      </c>
      <c r="AL838" t="str">
        <f>IF(MAX(X838, Y838, Z838, AA838)&gt;0.9,
 "Critical",
 IF(AK838&lt;=0.2,"Very Low",
 IF(AK838&lt;=0.4,"Low",
 IF(AK838&lt;=0.6,"Medium",
 IF(AK838&lt;=0.8,"High","Critical")))))</f>
        <v>Very Low</v>
      </c>
      <c r="AM838" t="str">
        <f>IF(MAX(X838:AA838)&gt;0.9,"CRITICAL ALERT",
 IF(AK838&gt;0.8,"CRITICAL ALERT",
 IF(AK838&gt;0.6,"ALERT",
 IF(AK838&gt;=0.4,"REVIEW","NO ACTION"))))</f>
        <v>NO ACTION</v>
      </c>
      <c r="AN838" t="str">
        <f>IF(AM838="NO ACTION","",
 IF(_xlfn.TEXTJOIN(", ", TRUE,
  IF(X838&gt;0.7,"Login anomaly",""),
  IF(Y838&gt;0.7,"File anomaly",""),
  IF(Z838&gt;0.7,"Network anomaly",""),
  IF(AA838&gt;0.7,"USB anomaly","")
 )="",
 "General anomaly detected",
 _xlfn.TEXTJOIN(", ", TRUE,
  IF(X838&gt;0.7,"Login anomaly",""),
  IF(Y838&gt;0.7,"File anomaly",""),
  IF(Z838&gt;0.7,"Network anomaly",""),
  IF(AA838&gt;0.7,"USB anomaly","")
 )))</f>
        <v/>
      </c>
    </row>
    <row r="839" spans="1:40" x14ac:dyDescent="0.3">
      <c r="A839" t="s">
        <v>862</v>
      </c>
      <c r="B839">
        <v>0.12892249527410199</v>
      </c>
      <c r="C839">
        <v>0.282236493693451</v>
      </c>
      <c r="D839">
        <v>7.5018780494472401E-2</v>
      </c>
      <c r="E839">
        <v>0</v>
      </c>
      <c r="F839">
        <v>0</v>
      </c>
      <c r="G839">
        <v>0.99368094944188301</v>
      </c>
      <c r="H839">
        <v>7</v>
      </c>
      <c r="I839">
        <v>8</v>
      </c>
      <c r="J839">
        <v>6.6027384189685595E-2</v>
      </c>
      <c r="K839">
        <v>1.2234910277324601E-2</v>
      </c>
      <c r="L839">
        <v>4.7161669830992299E-2</v>
      </c>
      <c r="M839">
        <v>2.3088023088023001E-3</v>
      </c>
      <c r="N839">
        <v>2.1055146757090599E-2</v>
      </c>
      <c r="O839">
        <v>722</v>
      </c>
      <c r="P839">
        <v>5.4924242424242403E-2</v>
      </c>
      <c r="Q839">
        <v>5.5086082962235702E-2</v>
      </c>
      <c r="R839">
        <v>0</v>
      </c>
      <c r="S839">
        <v>0</v>
      </c>
      <c r="T839" t="s">
        <v>49</v>
      </c>
      <c r="U839">
        <v>2.83018867924528E-2</v>
      </c>
      <c r="V839">
        <v>0</v>
      </c>
      <c r="W839">
        <v>0</v>
      </c>
      <c r="X839">
        <v>2.25056341483417E-2</v>
      </c>
      <c r="Y839">
        <v>4.3102855780560403E-2</v>
      </c>
      <c r="Z839">
        <v>4.1376604157381598E-2</v>
      </c>
      <c r="AA839">
        <v>0</v>
      </c>
      <c r="AB839">
        <v>1.818200014531612E-2</v>
      </c>
      <c r="AC839">
        <v>4.5000000682193793E-5</v>
      </c>
      <c r="AD839">
        <v>6.4480002038180828E-3</v>
      </c>
      <c r="AE839">
        <v>2.2700000554323201E-3</v>
      </c>
      <c r="AF839">
        <f>0.16*X839 + 0.28*Y839 + 0.28*Z839 + 0.28*AA839</f>
        <v>2.7255150246358432E-2</v>
      </c>
      <c r="AG839">
        <f t="shared" si="39"/>
        <v>5.3627600960317063E-3</v>
      </c>
      <c r="AH839">
        <f>IF(T839="IT_Admin", 0.25, IF(AND(T839="HR", AA839&gt;0.6), 0.25, IF(AND(T839="General", Z839&gt;0.7), 0.2, 0.1)))</f>
        <v>0.1</v>
      </c>
      <c r="AI839">
        <f>IF(V839&gt;0.7, 0.1,
 IF(F839&gt;0.5, 0.08,
 IF(E839&gt;0.5, 0.05,
 0)))</f>
        <v>0</v>
      </c>
      <c r="AJ839">
        <f t="shared" si="40"/>
        <v>1.1930477141129724E-2</v>
      </c>
      <c r="AK839">
        <f t="shared" si="41"/>
        <v>1.3123524855242697E-2</v>
      </c>
      <c r="AL839" t="str">
        <f>IF(MAX(X839, Y839, Z839, AA839)&gt;0.9,
 "Critical",
 IF(AK839&lt;=0.2,"Very Low",
 IF(AK839&lt;=0.4,"Low",
 IF(AK839&lt;=0.6,"Medium",
 IF(AK839&lt;=0.8,"High","Critical")))))</f>
        <v>Very Low</v>
      </c>
      <c r="AM839" t="str">
        <f>IF(MAX(X839:AA839)&gt;0.9,"CRITICAL ALERT",
 IF(AK839&gt;0.8,"CRITICAL ALERT",
 IF(AK839&gt;0.6,"ALERT",
 IF(AK839&gt;=0.4,"REVIEW","NO ACTION"))))</f>
        <v>NO ACTION</v>
      </c>
      <c r="AN839" t="str">
        <f>IF(AM839="NO ACTION","",
 IF(_xlfn.TEXTJOIN(", ", TRUE,
  IF(X839&gt;0.7,"Login anomaly",""),
  IF(Y839&gt;0.7,"File anomaly",""),
  IF(Z839&gt;0.7,"Network anomaly",""),
  IF(AA839&gt;0.7,"USB anomaly","")
 )="",
 "General anomaly detected",
 _xlfn.TEXTJOIN(", ", TRUE,
  IF(X839&gt;0.7,"Login anomaly",""),
  IF(Y839&gt;0.7,"File anomaly",""),
  IF(Z839&gt;0.7,"Network anomaly",""),
  IF(AA839&gt;0.7,"USB anomaly","")
 )))</f>
        <v/>
      </c>
    </row>
    <row r="840" spans="1:40" x14ac:dyDescent="0.3">
      <c r="A840" t="s">
        <v>863</v>
      </c>
      <c r="B840">
        <v>0.27069943289224901</v>
      </c>
      <c r="C840">
        <v>0.71340138388517105</v>
      </c>
      <c r="D840">
        <v>0.371527610025497</v>
      </c>
      <c r="E840">
        <v>0</v>
      </c>
      <c r="F840">
        <v>0</v>
      </c>
      <c r="G840">
        <v>0.39810019059963703</v>
      </c>
      <c r="H840">
        <v>7</v>
      </c>
      <c r="I840">
        <v>15</v>
      </c>
      <c r="J840">
        <v>6.3403463575211094E-2</v>
      </c>
      <c r="K840">
        <v>1.2234910277324601E-2</v>
      </c>
      <c r="L840">
        <v>4.9106116488192103E-2</v>
      </c>
      <c r="M840">
        <v>8.6580086580086504E-4</v>
      </c>
      <c r="N840">
        <v>8.2212140682905201E-3</v>
      </c>
      <c r="O840">
        <v>578</v>
      </c>
      <c r="P840">
        <v>5.2293771043770997E-2</v>
      </c>
      <c r="Q840">
        <v>5.24562572320207E-2</v>
      </c>
      <c r="R840">
        <v>0.75958702064896699</v>
      </c>
      <c r="S840">
        <v>1</v>
      </c>
      <c r="T840" t="s">
        <v>49</v>
      </c>
      <c r="U840">
        <v>6.3679245283018798E-2</v>
      </c>
      <c r="V840">
        <v>0</v>
      </c>
      <c r="W840">
        <v>0</v>
      </c>
      <c r="X840">
        <v>0.111458283007649</v>
      </c>
      <c r="Y840">
        <v>3.9700115179625399E-2</v>
      </c>
      <c r="Z840">
        <v>3.4664748253578799E-2</v>
      </c>
      <c r="AA840">
        <v>0.75958702064896699</v>
      </c>
      <c r="AB840">
        <v>4.1997000575065613E-2</v>
      </c>
      <c r="AC840">
        <v>3.3700000494718552E-4</v>
      </c>
      <c r="AD840">
        <v>6.3319997861981392E-3</v>
      </c>
      <c r="AE840">
        <v>0.57151401042938232</v>
      </c>
      <c r="AF840">
        <f>0.16*X840 + 0.28*Y840 + 0.28*Z840 + 0.28*AA840</f>
        <v>0.25133985282423177</v>
      </c>
      <c r="AG840">
        <f t="shared" si="39"/>
        <v>0.16861076295375826</v>
      </c>
      <c r="AH840">
        <f>IF(T840="IT_Admin", 0.25, IF(AND(T840="HR", AA840&gt;0.6), 0.25, IF(AND(T840="General", Z840&gt;0.7), 0.2, 0.1)))</f>
        <v>0.1</v>
      </c>
      <c r="AI840">
        <f>IF(V840&gt;0.7, 0.1,
 IF(F840&gt;0.5, 0.08,
 IF(E840&gt;0.5, 0.05,
 0)))</f>
        <v>0</v>
      </c>
      <c r="AJ840">
        <f t="shared" si="40"/>
        <v>0.1934294899149003</v>
      </c>
      <c r="AK840">
        <f t="shared" si="41"/>
        <v>0.21277243890639036</v>
      </c>
      <c r="AL840" t="str">
        <f>IF(MAX(X840, Y840, Z840, AA840)&gt;0.9,
 "Critical",
 IF(AK840&lt;=0.2,"Very Low",
 IF(AK840&lt;=0.4,"Low",
 IF(AK840&lt;=0.6,"Medium",
 IF(AK840&lt;=0.8,"High","Critical")))))</f>
        <v>Low</v>
      </c>
      <c r="AM840" t="str">
        <f>IF(MAX(X840:AA840)&gt;0.9,"CRITICAL ALERT",
 IF(AK840&gt;0.8,"CRITICAL ALERT",
 IF(AK840&gt;0.6,"ALERT",
 IF(AK840&gt;=0.4,"REVIEW","NO ACTION"))))</f>
        <v>NO ACTION</v>
      </c>
      <c r="AN840" t="str">
        <f>IF(AM840="NO ACTION","",
 IF(_xlfn.TEXTJOIN(", ", TRUE,
  IF(X840&gt;0.7,"Login anomaly",""),
  IF(Y840&gt;0.7,"File anomaly",""),
  IF(Z840&gt;0.7,"Network anomaly",""),
  IF(AA840&gt;0.7,"USB anomaly","")
 )="",
 "General anomaly detected",
 _xlfn.TEXTJOIN(", ", TRUE,
  IF(X840&gt;0.7,"Login anomaly",""),
  IF(Y840&gt;0.7,"File anomaly",""),
  IF(Z840&gt;0.7,"Network anomaly",""),
  IF(AA840&gt;0.7,"USB anomaly","")
 )))</f>
        <v/>
      </c>
    </row>
    <row r="841" spans="1:40" x14ac:dyDescent="0.3">
      <c r="A841" t="s">
        <v>864</v>
      </c>
      <c r="B841">
        <v>0.26238185255198399</v>
      </c>
      <c r="C841">
        <v>0.71523963032382698</v>
      </c>
      <c r="D841">
        <v>0.556642574421781</v>
      </c>
      <c r="E841">
        <v>0.32632919452403603</v>
      </c>
      <c r="F841">
        <v>7.3065902578796499E-2</v>
      </c>
      <c r="G841">
        <v>0.41604371101431398</v>
      </c>
      <c r="H841">
        <v>0</v>
      </c>
      <c r="I841">
        <v>23</v>
      </c>
      <c r="J841">
        <v>7.9576356089881201E-2</v>
      </c>
      <c r="K841">
        <v>4.0783034257748704E-3</v>
      </c>
      <c r="L841">
        <v>1.30519146035561E-2</v>
      </c>
      <c r="M841">
        <v>1.44300144300144E-3</v>
      </c>
      <c r="N841">
        <v>1.0925582354153701E-2</v>
      </c>
      <c r="O841">
        <v>667</v>
      </c>
      <c r="P841">
        <v>6.09567901234567E-2</v>
      </c>
      <c r="Q841">
        <v>6.1117149970195302E-2</v>
      </c>
      <c r="R841">
        <v>0.58702064896755102</v>
      </c>
      <c r="S841">
        <v>1</v>
      </c>
      <c r="T841" t="s">
        <v>49</v>
      </c>
      <c r="U841">
        <v>1.41509433962264E-2</v>
      </c>
      <c r="V841">
        <v>0</v>
      </c>
      <c r="W841">
        <v>3.1120982821649899E-2</v>
      </c>
      <c r="X841">
        <v>0.29411789171526398</v>
      </c>
      <c r="Y841">
        <v>2.57189032260004E-2</v>
      </c>
      <c r="Z841">
        <v>4.0944307015735502E-2</v>
      </c>
      <c r="AA841">
        <v>0.58702064896755102</v>
      </c>
      <c r="AB841">
        <v>0.23189400136470789</v>
      </c>
      <c r="AC841">
        <v>5.8200000785291195E-4</v>
      </c>
      <c r="AD841">
        <v>4.7129997983574867E-3</v>
      </c>
      <c r="AE841">
        <v>0.31512999534606928</v>
      </c>
      <c r="AF841">
        <f>0.16*X841 + 0.28*Y841 + 0.28*Z841 + 0.28*AA841</f>
        <v>0.23009034325304259</v>
      </c>
      <c r="AG841">
        <f t="shared" si="39"/>
        <v>0.12682203886099158</v>
      </c>
      <c r="AH841">
        <f>IF(T841="IT_Admin", 0.25, IF(AND(T841="HR", AA841&gt;0.6), 0.25, IF(AND(T841="General", Z841&gt;0.7), 0.2, 0.1)))</f>
        <v>0.1</v>
      </c>
      <c r="AI841">
        <f>IF(V841&gt;0.7, 0.1,
 IF(F841&gt;0.5, 0.08,
 IF(E841&gt;0.5, 0.05,
 0)))</f>
        <v>0</v>
      </c>
      <c r="AJ841">
        <f t="shared" si="40"/>
        <v>0.15780253017860688</v>
      </c>
      <c r="AK841">
        <f t="shared" si="41"/>
        <v>0.17358278319646758</v>
      </c>
      <c r="AL841" t="str">
        <f>IF(MAX(X841, Y841, Z841, AA841)&gt;0.9,
 "Critical",
 IF(AK841&lt;=0.2,"Very Low",
 IF(AK841&lt;=0.4,"Low",
 IF(AK841&lt;=0.6,"Medium",
 IF(AK841&lt;=0.8,"High","Critical")))))</f>
        <v>Very Low</v>
      </c>
      <c r="AM841" t="str">
        <f>IF(MAX(X841:AA841)&gt;0.9,"CRITICAL ALERT",
 IF(AK841&gt;0.8,"CRITICAL ALERT",
 IF(AK841&gt;0.6,"ALERT",
 IF(AK841&gt;=0.4,"REVIEW","NO ACTION"))))</f>
        <v>NO ACTION</v>
      </c>
      <c r="AN841" t="str">
        <f>IF(AM841="NO ACTION","",
 IF(_xlfn.TEXTJOIN(", ", TRUE,
  IF(X841&gt;0.7,"Login anomaly",""),
  IF(Y841&gt;0.7,"File anomaly",""),
  IF(Z841&gt;0.7,"Network anomaly",""),
  IF(AA841&gt;0.7,"USB anomaly","")
 )="",
 "General anomaly detected",
 _xlfn.TEXTJOIN(", ", TRUE,
  IF(X841&gt;0.7,"Login anomaly",""),
  IF(Y841&gt;0.7,"File anomaly",""),
  IF(Z841&gt;0.7,"Network anomaly",""),
  IF(AA841&gt;0.7,"USB anomaly","")
 )))</f>
        <v/>
      </c>
    </row>
    <row r="842" spans="1:40" x14ac:dyDescent="0.3">
      <c r="A842" t="s">
        <v>865</v>
      </c>
      <c r="B842">
        <v>0.12892249527410199</v>
      </c>
      <c r="C842">
        <v>0.460040129189136</v>
      </c>
      <c r="D842">
        <v>7.51173381640724E-2</v>
      </c>
      <c r="E842">
        <v>0</v>
      </c>
      <c r="F842">
        <v>0</v>
      </c>
      <c r="G842">
        <v>0.99367155573459398</v>
      </c>
      <c r="H842">
        <v>8</v>
      </c>
      <c r="I842">
        <v>9</v>
      </c>
      <c r="J842">
        <v>8.5635227326940497E-2</v>
      </c>
      <c r="K842">
        <v>4.1598694942903698E-2</v>
      </c>
      <c r="L842">
        <v>0.12373650107991301</v>
      </c>
      <c r="M842">
        <v>1.0389610389610299E-2</v>
      </c>
      <c r="N842">
        <v>7.3113997113997103E-2</v>
      </c>
      <c r="O842">
        <v>716</v>
      </c>
      <c r="P842">
        <v>8.5893658810325402E-2</v>
      </c>
      <c r="Q842">
        <v>8.6047897892632896E-2</v>
      </c>
      <c r="R842">
        <v>0</v>
      </c>
      <c r="S842">
        <v>0</v>
      </c>
      <c r="T842" t="s">
        <v>49</v>
      </c>
      <c r="U842">
        <v>2.3406425293217702E-2</v>
      </c>
      <c r="V842">
        <v>0</v>
      </c>
      <c r="W842">
        <v>0</v>
      </c>
      <c r="X842">
        <v>2.2535201449221699E-2</v>
      </c>
      <c r="Y842">
        <v>0.100929495139544</v>
      </c>
      <c r="Z842">
        <v>8.0781794131794094E-2</v>
      </c>
      <c r="AA842">
        <v>0</v>
      </c>
      <c r="AB842">
        <v>1.3228000141680241E-2</v>
      </c>
      <c r="AC842">
        <v>3.7940000183880329E-3</v>
      </c>
      <c r="AD842">
        <v>2.069999929517508E-3</v>
      </c>
      <c r="AE842">
        <v>2.1639999467879529E-3</v>
      </c>
      <c r="AF842">
        <f>0.16*X842 + 0.28*Y842 + 0.28*Z842 + 0.28*AA842</f>
        <v>5.4484793227850145E-2</v>
      </c>
      <c r="AG842">
        <f t="shared" si="39"/>
        <v>4.3643199931830169E-3</v>
      </c>
      <c r="AH842">
        <f>IF(T842="IT_Admin", 0.25, IF(AND(T842="HR", AA842&gt;0.6), 0.25, IF(AND(T842="General", Z842&gt;0.7), 0.2, 0.1)))</f>
        <v>0.1</v>
      </c>
      <c r="AI842">
        <f>IF(V842&gt;0.7, 0.1,
 IF(F842&gt;0.5, 0.08,
 IF(E842&gt;0.5, 0.05,
 0)))</f>
        <v>0</v>
      </c>
      <c r="AJ842">
        <f t="shared" si="40"/>
        <v>1.9400461963583155E-2</v>
      </c>
      <c r="AK842">
        <f t="shared" si="41"/>
        <v>2.1340508159941471E-2</v>
      </c>
      <c r="AL842" t="str">
        <f>IF(MAX(X842, Y842, Z842, AA842)&gt;0.9,
 "Critical",
 IF(AK842&lt;=0.2,"Very Low",
 IF(AK842&lt;=0.4,"Low",
 IF(AK842&lt;=0.6,"Medium",
 IF(AK842&lt;=0.8,"High","Critical")))))</f>
        <v>Very Low</v>
      </c>
      <c r="AM842" t="str">
        <f>IF(MAX(X842:AA842)&gt;0.9,"CRITICAL ALERT",
 IF(AK842&gt;0.8,"CRITICAL ALERT",
 IF(AK842&gt;0.6,"ALERT",
 IF(AK842&gt;=0.4,"REVIEW","NO ACTION"))))</f>
        <v>NO ACTION</v>
      </c>
      <c r="AN842" t="str">
        <f>IF(AM842="NO ACTION","",
 IF(_xlfn.TEXTJOIN(", ", TRUE,
  IF(X842&gt;0.7,"Login anomaly",""),
  IF(Y842&gt;0.7,"File anomaly",""),
  IF(Z842&gt;0.7,"Network anomaly",""),
  IF(AA842&gt;0.7,"USB anomaly","")
 )="",
 "General anomaly detected",
 _xlfn.TEXTJOIN(", ", TRUE,
  IF(X842&gt;0.7,"Login anomaly",""),
  IF(Y842&gt;0.7,"File anomaly",""),
  IF(Z842&gt;0.7,"Network anomaly",""),
  IF(AA842&gt;0.7,"USB anomaly","")
 )))</f>
        <v/>
      </c>
    </row>
    <row r="843" spans="1:40" x14ac:dyDescent="0.3">
      <c r="A843" t="s">
        <v>866</v>
      </c>
      <c r="B843">
        <v>0.12892249527410199</v>
      </c>
      <c r="C843">
        <v>0.36953165208440503</v>
      </c>
      <c r="D843">
        <v>0</v>
      </c>
      <c r="E843">
        <v>0</v>
      </c>
      <c r="F843">
        <v>0</v>
      </c>
      <c r="G843">
        <v>0.99366411570431901</v>
      </c>
      <c r="H843">
        <v>8</v>
      </c>
      <c r="I843">
        <v>8</v>
      </c>
      <c r="J843">
        <v>7.5282667811650203E-2</v>
      </c>
      <c r="K843">
        <v>1.2234910277324601E-2</v>
      </c>
      <c r="L843">
        <v>4.1381907388028001E-2</v>
      </c>
      <c r="M843">
        <v>1.0966810966810899E-2</v>
      </c>
      <c r="N843">
        <v>8.7755271330760901E-2</v>
      </c>
      <c r="O843">
        <v>654</v>
      </c>
      <c r="P843">
        <v>6.5937149270482595E-2</v>
      </c>
      <c r="Q843">
        <v>6.60962866860689E-2</v>
      </c>
      <c r="R843">
        <v>0</v>
      </c>
      <c r="S843">
        <v>0</v>
      </c>
      <c r="T843" t="s">
        <v>49</v>
      </c>
      <c r="U843">
        <v>6.5312046444121899E-3</v>
      </c>
      <c r="V843">
        <v>0</v>
      </c>
      <c r="W843">
        <v>0</v>
      </c>
      <c r="X843">
        <v>0</v>
      </c>
      <c r="Y843">
        <v>6.2074068655572301E-2</v>
      </c>
      <c r="Z843">
        <v>7.4664398094593895E-2</v>
      </c>
      <c r="AA843">
        <v>0</v>
      </c>
      <c r="AB843">
        <v>2.5062000378966331E-2</v>
      </c>
      <c r="AC843">
        <v>1.6990000149235129E-3</v>
      </c>
      <c r="AD843">
        <v>3.696999978274107E-3</v>
      </c>
      <c r="AE843">
        <v>2.648999914526939E-3</v>
      </c>
      <c r="AF843">
        <f>0.16*X843 + 0.28*Y843 + 0.28*Z843 + 0.28*AA843</f>
        <v>3.8286770690046538E-2</v>
      </c>
      <c r="AG843">
        <f t="shared" si="39"/>
        <v>6.2625200347974893E-3</v>
      </c>
      <c r="AH843">
        <f>IF(T843="IT_Admin", 0.25, IF(AND(T843="HR", AA843&gt;0.6), 0.25, IF(AND(T843="General", Z843&gt;0.7), 0.2, 0.1)))</f>
        <v>0.1</v>
      </c>
      <c r="AI843">
        <f>IF(V843&gt;0.7, 0.1,
 IF(F843&gt;0.5, 0.08,
 IF(E843&gt;0.5, 0.05,
 0)))</f>
        <v>0</v>
      </c>
      <c r="AJ843">
        <f t="shared" si="40"/>
        <v>1.5869795231372202E-2</v>
      </c>
      <c r="AK843">
        <f t="shared" si="41"/>
        <v>1.7456774754509425E-2</v>
      </c>
      <c r="AL843" t="str">
        <f>IF(MAX(X843, Y843, Z843, AA843)&gt;0.9,
 "Critical",
 IF(AK843&lt;=0.2,"Very Low",
 IF(AK843&lt;=0.4,"Low",
 IF(AK843&lt;=0.6,"Medium",
 IF(AK843&lt;=0.8,"High","Critical")))))</f>
        <v>Very Low</v>
      </c>
      <c r="AM843" t="str">
        <f>IF(MAX(X843:AA843)&gt;0.9,"CRITICAL ALERT",
 IF(AK843&gt;0.8,"CRITICAL ALERT",
 IF(AK843&gt;0.6,"ALERT",
 IF(AK843&gt;=0.4,"REVIEW","NO ACTION"))))</f>
        <v>NO ACTION</v>
      </c>
      <c r="AN843" t="str">
        <f>IF(AM843="NO ACTION","",
 IF(_xlfn.TEXTJOIN(", ", TRUE,
  IF(X843&gt;0.7,"Login anomaly",""),
  IF(Y843&gt;0.7,"File anomaly",""),
  IF(Z843&gt;0.7,"Network anomaly",""),
  IF(AA843&gt;0.7,"USB anomaly","")
 )="",
 "General anomaly detected",
 _xlfn.TEXTJOIN(", ", TRUE,
  IF(X843&gt;0.7,"Login anomaly",""),
  IF(Y843&gt;0.7,"File anomaly",""),
  IF(Z843&gt;0.7,"Network anomaly",""),
  IF(AA843&gt;0.7,"USB anomaly","")
 )))</f>
        <v/>
      </c>
    </row>
    <row r="844" spans="1:40" x14ac:dyDescent="0.3">
      <c r="A844" t="s">
        <v>867</v>
      </c>
      <c r="B844">
        <v>0.12892249527410199</v>
      </c>
      <c r="C844">
        <v>0.27955872809863702</v>
      </c>
      <c r="D844">
        <v>7.5107235637207503E-2</v>
      </c>
      <c r="E844">
        <v>0</v>
      </c>
      <c r="F844">
        <v>0</v>
      </c>
      <c r="G844">
        <v>0.99365937870662602</v>
      </c>
      <c r="H844">
        <v>7</v>
      </c>
      <c r="I844">
        <v>8</v>
      </c>
      <c r="J844">
        <v>7.7334096655693907E-2</v>
      </c>
      <c r="K844">
        <v>2.2838499184339299E-2</v>
      </c>
      <c r="L844">
        <v>7.5203430220047301E-2</v>
      </c>
      <c r="M844">
        <v>2.8860028860028799E-3</v>
      </c>
      <c r="N844">
        <v>2.2482778940343499E-2</v>
      </c>
      <c r="O844">
        <v>622</v>
      </c>
      <c r="P844">
        <v>6.8076599326599305E-2</v>
      </c>
      <c r="Q844">
        <v>6.8235211613310406E-2</v>
      </c>
      <c r="R844">
        <v>0</v>
      </c>
      <c r="S844">
        <v>0</v>
      </c>
      <c r="T844" t="s">
        <v>49</v>
      </c>
      <c r="U844">
        <v>4.3224699828473399E-2</v>
      </c>
      <c r="V844">
        <v>0</v>
      </c>
      <c r="W844">
        <v>0</v>
      </c>
      <c r="X844">
        <v>2.2532170691162201E-2</v>
      </c>
      <c r="Y844">
        <v>5.9813368123265501E-2</v>
      </c>
      <c r="Z844">
        <v>4.9839071172097002E-2</v>
      </c>
      <c r="AA844">
        <v>0</v>
      </c>
      <c r="AB844">
        <v>1.8425000831484791E-2</v>
      </c>
      <c r="AC844">
        <v>3.5300001036375761E-4</v>
      </c>
      <c r="AD844">
        <v>4.6169999986886978E-3</v>
      </c>
      <c r="AE844">
        <v>2.5690000038594012E-3</v>
      </c>
      <c r="AF844">
        <f>0.16*X844 + 0.28*Y844 + 0.28*Z844 + 0.28*AA844</f>
        <v>3.4307830313287456E-2</v>
      </c>
      <c r="AG844">
        <f t="shared" si="39"/>
        <v>5.0589201366528867E-3</v>
      </c>
      <c r="AH844">
        <f>IF(T844="IT_Admin", 0.25, IF(AND(T844="HR", AA844&gt;0.6), 0.25, IF(AND(T844="General", Z844&gt;0.7), 0.2, 0.1)))</f>
        <v>0.1</v>
      </c>
      <c r="AI844">
        <f>IF(V844&gt;0.7, 0.1,
 IF(F844&gt;0.5, 0.08,
 IF(E844&gt;0.5, 0.05,
 0)))</f>
        <v>0</v>
      </c>
      <c r="AJ844">
        <f t="shared" si="40"/>
        <v>1.3833593189643258E-2</v>
      </c>
      <c r="AK844">
        <f t="shared" si="41"/>
        <v>1.5216952508607585E-2</v>
      </c>
      <c r="AL844" t="str">
        <f>IF(MAX(X844, Y844, Z844, AA844)&gt;0.9,
 "Critical",
 IF(AK844&lt;=0.2,"Very Low",
 IF(AK844&lt;=0.4,"Low",
 IF(AK844&lt;=0.6,"Medium",
 IF(AK844&lt;=0.8,"High","Critical")))))</f>
        <v>Very Low</v>
      </c>
      <c r="AM844" t="str">
        <f>IF(MAX(X844:AA844)&gt;0.9,"CRITICAL ALERT",
 IF(AK844&gt;0.8,"CRITICAL ALERT",
 IF(AK844&gt;0.6,"ALERT",
 IF(AK844&gt;=0.4,"REVIEW","NO ACTION"))))</f>
        <v>NO ACTION</v>
      </c>
      <c r="AN844" t="str">
        <f>IF(AM844="NO ACTION","",
 IF(_xlfn.TEXTJOIN(", ", TRUE,
  IF(X844&gt;0.7,"Login anomaly",""),
  IF(Y844&gt;0.7,"File anomaly",""),
  IF(Z844&gt;0.7,"Network anomaly",""),
  IF(AA844&gt;0.7,"USB anomaly","")
 )="",
 "General anomaly detected",
 _xlfn.TEXTJOIN(", ", TRUE,
  IF(X844&gt;0.7,"Login anomaly",""),
  IF(Y844&gt;0.7,"File anomaly",""),
  IF(Z844&gt;0.7,"Network anomaly",""),
  IF(AA844&gt;0.7,"USB anomaly","")
 )))</f>
        <v/>
      </c>
    </row>
    <row r="845" spans="1:40" x14ac:dyDescent="0.3">
      <c r="A845" t="s">
        <v>868</v>
      </c>
      <c r="B845">
        <v>0.18185255198487699</v>
      </c>
      <c r="C845">
        <v>0.57563126422632604</v>
      </c>
      <c r="D845">
        <v>0.38699299251576302</v>
      </c>
      <c r="E845">
        <v>0</v>
      </c>
      <c r="F845">
        <v>8.2474226804123696E-3</v>
      </c>
      <c r="G845">
        <v>0.47795680680671598</v>
      </c>
      <c r="H845">
        <v>4</v>
      </c>
      <c r="I845">
        <v>23</v>
      </c>
      <c r="J845">
        <v>2.4998807308811599E-2</v>
      </c>
      <c r="K845">
        <v>7.34094616639478E-3</v>
      </c>
      <c r="L845">
        <v>7.4299689295177704E-2</v>
      </c>
      <c r="M845">
        <v>1.1544011544011501E-3</v>
      </c>
      <c r="N845">
        <v>2.7642342954252198E-2</v>
      </c>
      <c r="O845">
        <v>325</v>
      </c>
      <c r="P845">
        <v>2.2095959595959599E-2</v>
      </c>
      <c r="Q845">
        <v>2.2265857849153099E-2</v>
      </c>
      <c r="R845">
        <v>0.37168141592920301</v>
      </c>
      <c r="S845">
        <v>1</v>
      </c>
      <c r="T845" t="s">
        <v>49</v>
      </c>
      <c r="U845">
        <v>3.0566037735849001E-2</v>
      </c>
      <c r="V845">
        <v>0</v>
      </c>
      <c r="W845">
        <v>1.9997217817154699E-2</v>
      </c>
      <c r="X845">
        <v>0.119396866826893</v>
      </c>
      <c r="Y845">
        <v>5.0442308995626801E-2</v>
      </c>
      <c r="Z845">
        <v>2.4314512939276601E-2</v>
      </c>
      <c r="AA845">
        <v>0.37168141592920301</v>
      </c>
      <c r="AB845">
        <v>6.7422002553939819E-2</v>
      </c>
      <c r="AC845">
        <v>4.0300001273863018E-4</v>
      </c>
      <c r="AD845">
        <v>1.0691000148653981E-2</v>
      </c>
      <c r="AE845">
        <v>0.13678200542926791</v>
      </c>
      <c r="AF845">
        <f>0.16*X845 + 0.28*Y845 + 0.28*Z845 + 0.28*AA845</f>
        <v>0.14410620529425269</v>
      </c>
      <c r="AG845">
        <f t="shared" si="39"/>
        <v>5.2192801974015324E-2</v>
      </c>
      <c r="AH845">
        <f>IF(T845="IT_Admin", 0.25, IF(AND(T845="HR", AA845&gt;0.6), 0.25, IF(AND(T845="General", Z845&gt;0.7), 0.2, 0.1)))</f>
        <v>0.1</v>
      </c>
      <c r="AI845">
        <f>IF(V845&gt;0.7, 0.1,
 IF(F845&gt;0.5, 0.08,
 IF(E845&gt;0.5, 0.05,
 0)))</f>
        <v>0</v>
      </c>
      <c r="AJ845">
        <f t="shared" si="40"/>
        <v>7.9766822970086526E-2</v>
      </c>
      <c r="AK845">
        <f t="shared" si="41"/>
        <v>8.7743505267095193E-2</v>
      </c>
      <c r="AL845" t="str">
        <f>IF(MAX(X845, Y845, Z845, AA845)&gt;0.9,
 "Critical",
 IF(AK845&lt;=0.2,"Very Low",
 IF(AK845&lt;=0.4,"Low",
 IF(AK845&lt;=0.6,"Medium",
 IF(AK845&lt;=0.8,"High","Critical")))))</f>
        <v>Very Low</v>
      </c>
      <c r="AM845" t="str">
        <f>IF(MAX(X845:AA845)&gt;0.9,"CRITICAL ALERT",
 IF(AK845&gt;0.8,"CRITICAL ALERT",
 IF(AK845&gt;0.6,"ALERT",
 IF(AK845&gt;=0.4,"REVIEW","NO ACTION"))))</f>
        <v>NO ACTION</v>
      </c>
      <c r="AN845" t="str">
        <f>IF(AM845="NO ACTION","",
 IF(_xlfn.TEXTJOIN(", ", TRUE,
  IF(X845&gt;0.7,"Login anomaly",""),
  IF(Y845&gt;0.7,"File anomaly",""),
  IF(Z845&gt;0.7,"Network anomaly",""),
  IF(AA845&gt;0.7,"USB anomaly","")
 )="",
 "General anomaly detected",
 _xlfn.TEXTJOIN(", ", TRUE,
  IF(X845&gt;0.7,"Login anomaly",""),
  IF(Y845&gt;0.7,"File anomaly",""),
  IF(Z845&gt;0.7,"Network anomaly",""),
  IF(AA845&gt;0.7,"USB anomaly","")
 )))</f>
        <v/>
      </c>
    </row>
    <row r="846" spans="1:40" x14ac:dyDescent="0.3">
      <c r="A846" t="s">
        <v>869</v>
      </c>
      <c r="B846">
        <v>0.12892249527410199</v>
      </c>
      <c r="C846">
        <v>0.36953165208440503</v>
      </c>
      <c r="D846">
        <v>0</v>
      </c>
      <c r="E846">
        <v>0</v>
      </c>
      <c r="F846">
        <v>0</v>
      </c>
      <c r="G846">
        <v>0.99364832571201001</v>
      </c>
      <c r="H846">
        <v>8</v>
      </c>
      <c r="I846">
        <v>8</v>
      </c>
      <c r="J846">
        <v>8.1627784933924905E-2</v>
      </c>
      <c r="K846">
        <v>2.0391517128874301E-2</v>
      </c>
      <c r="L846">
        <v>6.3624280686915599E-2</v>
      </c>
      <c r="M846">
        <v>1.7316017316017301E-3</v>
      </c>
      <c r="N846">
        <v>1.27821673276218E-2</v>
      </c>
      <c r="O846">
        <v>818</v>
      </c>
      <c r="P846">
        <v>6.9619809203142494E-2</v>
      </c>
      <c r="Q846">
        <v>6.9778042708369806E-2</v>
      </c>
      <c r="R846">
        <v>0</v>
      </c>
      <c r="S846">
        <v>0</v>
      </c>
      <c r="T846" t="s">
        <v>49</v>
      </c>
      <c r="U846">
        <v>6.0646900269541698E-2</v>
      </c>
      <c r="V846">
        <v>0</v>
      </c>
      <c r="W846">
        <v>0</v>
      </c>
      <c r="X846">
        <v>0</v>
      </c>
      <c r="Y846">
        <v>5.1972347528529299E-2</v>
      </c>
      <c r="Z846">
        <v>4.6884752452934199E-2</v>
      </c>
      <c r="AA846">
        <v>0</v>
      </c>
      <c r="AB846">
        <v>2.4660000577569011E-2</v>
      </c>
      <c r="AC846">
        <v>3.2500000088475639E-4</v>
      </c>
      <c r="AD846">
        <v>4.7240001149475566E-3</v>
      </c>
      <c r="AE846">
        <v>1.753999968059361E-3</v>
      </c>
      <c r="AF846">
        <f>0.16*X846 + 0.28*Y846 + 0.28*Z846 + 0.28*AA846</f>
        <v>2.7679987994809783E-2</v>
      </c>
      <c r="AG846">
        <f t="shared" si="39"/>
        <v>5.8504401159007102E-3</v>
      </c>
      <c r="AH846">
        <f>IF(T846="IT_Admin", 0.25, IF(AND(T846="HR", AA846&gt;0.6), 0.25, IF(AND(T846="General", Z846&gt;0.7), 0.2, 0.1)))</f>
        <v>0.1</v>
      </c>
      <c r="AI846">
        <f>IF(V846&gt;0.7, 0.1,
 IF(F846&gt;0.5, 0.08,
 IF(E846&gt;0.5, 0.05,
 0)))</f>
        <v>0</v>
      </c>
      <c r="AJ846">
        <f t="shared" si="40"/>
        <v>1.2399304479573431E-2</v>
      </c>
      <c r="AK846">
        <f t="shared" si="41"/>
        <v>1.3639234927530776E-2</v>
      </c>
      <c r="AL846" t="str">
        <f>IF(MAX(X846, Y846, Z846, AA846)&gt;0.9,
 "Critical",
 IF(AK846&lt;=0.2,"Very Low",
 IF(AK846&lt;=0.4,"Low",
 IF(AK846&lt;=0.6,"Medium",
 IF(AK846&lt;=0.8,"High","Critical")))))</f>
        <v>Very Low</v>
      </c>
      <c r="AM846" t="str">
        <f>IF(MAX(X846:AA846)&gt;0.9,"CRITICAL ALERT",
 IF(AK846&gt;0.8,"CRITICAL ALERT",
 IF(AK846&gt;0.6,"ALERT",
 IF(AK846&gt;=0.4,"REVIEW","NO ACTION"))))</f>
        <v>NO ACTION</v>
      </c>
      <c r="AN846" t="str">
        <f>IF(AM846="NO ACTION","",
 IF(_xlfn.TEXTJOIN(", ", TRUE,
  IF(X846&gt;0.7,"Login anomaly",""),
  IF(Y846&gt;0.7,"File anomaly",""),
  IF(Z846&gt;0.7,"Network anomaly",""),
  IF(AA846&gt;0.7,"USB anomaly","")
 )="",
 "General anomaly detected",
 _xlfn.TEXTJOIN(", ", TRUE,
  IF(X846&gt;0.7,"Login anomaly",""),
  IF(Y846&gt;0.7,"File anomaly",""),
  IF(Z846&gt;0.7,"Network anomaly",""),
  IF(AA846&gt;0.7,"USB anomaly","")
 )))</f>
        <v/>
      </c>
    </row>
    <row r="847" spans="1:40" x14ac:dyDescent="0.3">
      <c r="A847" t="s">
        <v>870</v>
      </c>
      <c r="B847">
        <v>5.6710775047258896E-3</v>
      </c>
      <c r="C847">
        <v>0.36953165208440503</v>
      </c>
      <c r="D847">
        <v>0</v>
      </c>
      <c r="E847">
        <v>0</v>
      </c>
      <c r="F847">
        <v>0</v>
      </c>
      <c r="G847">
        <v>0.91192796986915103</v>
      </c>
      <c r="H847">
        <v>8</v>
      </c>
      <c r="I847">
        <v>8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5</v>
      </c>
      <c r="P847">
        <v>0</v>
      </c>
      <c r="Q847">
        <v>1.75321715347662E-4</v>
      </c>
      <c r="R847">
        <v>0</v>
      </c>
      <c r="S847">
        <v>0</v>
      </c>
      <c r="T847" t="s">
        <v>49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4.6337999403476722E-2</v>
      </c>
      <c r="AC847">
        <v>1.9759999122470622E-3</v>
      </c>
      <c r="AD847">
        <v>1.7991999164223671E-2</v>
      </c>
      <c r="AE847">
        <v>2.8609998989850278E-3</v>
      </c>
      <c r="AF847">
        <f>0.16*X847 + 0.28*Y847 + 0.28*Z847 + 0.28*AA847</f>
        <v>0</v>
      </c>
      <c r="AG847">
        <f t="shared" si="39"/>
        <v>1.3806199617683888E-2</v>
      </c>
      <c r="AH847">
        <f>IF(T847="IT_Admin", 0.25, IF(AND(T847="HR", AA847&gt;0.6), 0.25, IF(AND(T847="General", Z847&gt;0.7), 0.2, 0.1)))</f>
        <v>0.1</v>
      </c>
      <c r="AI847">
        <f>IF(V847&gt;0.7, 0.1,
 IF(F847&gt;0.5, 0.08,
 IF(E847&gt;0.5, 0.05,
 0)))</f>
        <v>0</v>
      </c>
      <c r="AJ847">
        <f t="shared" si="40"/>
        <v>9.6643397323787211E-3</v>
      </c>
      <c r="AK847">
        <f t="shared" si="41"/>
        <v>1.0630773705616594E-2</v>
      </c>
      <c r="AL847" t="str">
        <f>IF(MAX(X847, Y847, Z847, AA847)&gt;0.9,
 "Critical",
 IF(AK847&lt;=0.2,"Very Low",
 IF(AK847&lt;=0.4,"Low",
 IF(AK847&lt;=0.6,"Medium",
 IF(AK847&lt;=0.8,"High","Critical")))))</f>
        <v>Very Low</v>
      </c>
      <c r="AM847" t="str">
        <f>IF(MAX(X847:AA847)&gt;0.9,"CRITICAL ALERT",
 IF(AK847&gt;0.8,"CRITICAL ALERT",
 IF(AK847&gt;0.6,"ALERT",
 IF(AK847&gt;=0.4,"REVIEW","NO ACTION"))))</f>
        <v>NO ACTION</v>
      </c>
      <c r="AN847" t="str">
        <f>IF(AM847="NO ACTION","",
 IF(_xlfn.TEXTJOIN(", ", TRUE,
  IF(X847&gt;0.7,"Login anomaly",""),
  IF(Y847&gt;0.7,"File anomaly",""),
  IF(Z847&gt;0.7,"Network anomaly",""),
  IF(AA847&gt;0.7,"USB anomaly","")
 )="",
 "General anomaly detected",
 _xlfn.TEXTJOIN(", ", TRUE,
  IF(X847&gt;0.7,"Login anomaly",""),
  IF(Y847&gt;0.7,"File anomaly",""),
  IF(Z847&gt;0.7,"Network anomaly",""),
  IF(AA847&gt;0.7,"USB anomaly","")
 )))</f>
        <v/>
      </c>
    </row>
    <row r="848" spans="1:40" x14ac:dyDescent="0.3">
      <c r="A848" t="s">
        <v>871</v>
      </c>
      <c r="B848">
        <v>0.12892249527410199</v>
      </c>
      <c r="C848">
        <v>0.36953165208440503</v>
      </c>
      <c r="D848">
        <v>0</v>
      </c>
      <c r="E848">
        <v>0</v>
      </c>
      <c r="F848">
        <v>0</v>
      </c>
      <c r="G848">
        <v>0.99366518621227196</v>
      </c>
      <c r="H848">
        <v>8</v>
      </c>
      <c r="I848">
        <v>8</v>
      </c>
      <c r="J848">
        <v>9.6751109202805205E-2</v>
      </c>
      <c r="K848">
        <v>9.7879282218597003E-3</v>
      </c>
      <c r="L848">
        <v>2.5777691842694801E-2</v>
      </c>
      <c r="M848">
        <v>5.7720057720057698E-4</v>
      </c>
      <c r="N848">
        <v>3.5963599170682199E-3</v>
      </c>
      <c r="O848">
        <v>857</v>
      </c>
      <c r="P848">
        <v>7.5617283950617301E-2</v>
      </c>
      <c r="Q848">
        <v>7.5774045373259893E-2</v>
      </c>
      <c r="R848">
        <v>0</v>
      </c>
      <c r="S848">
        <v>0</v>
      </c>
      <c r="T848" t="s">
        <v>24</v>
      </c>
      <c r="U848">
        <v>6.7924528301886694E-2</v>
      </c>
      <c r="V848">
        <v>0</v>
      </c>
      <c r="W848">
        <v>0</v>
      </c>
      <c r="X848">
        <v>0</v>
      </c>
      <c r="Y848">
        <v>3.3317975737028903E-2</v>
      </c>
      <c r="Z848">
        <v>4.6808914337197603E-2</v>
      </c>
      <c r="AA848">
        <v>0</v>
      </c>
      <c r="AB848">
        <v>2.4714000523090359E-2</v>
      </c>
      <c r="AC848">
        <v>5.4799998179078102E-4</v>
      </c>
      <c r="AD848">
        <v>4.2340001091361046E-3</v>
      </c>
      <c r="AE848">
        <v>1.39999995008111E-3</v>
      </c>
      <c r="AF848">
        <f>0.16*X848 + 0.28*Y848 + 0.28*Z848 + 0.28*AA848</f>
        <v>2.2435529220783422E-2</v>
      </c>
      <c r="AG848">
        <f t="shared" si="39"/>
        <v>5.6852000951766969E-3</v>
      </c>
      <c r="AH848">
        <f>IF(T848="IT_Admin", 0.25, IF(AND(T848="HR", AA848&gt;0.6), 0.25, IF(AND(T848="General", Z848&gt;0.7), 0.2, 0.1)))</f>
        <v>0.25</v>
      </c>
      <c r="AI848">
        <f>IF(V848&gt;0.7, 0.1,
 IF(F848&gt;0.5, 0.08,
 IF(E848&gt;0.5, 0.05,
 0)))</f>
        <v>0</v>
      </c>
      <c r="AJ848">
        <f t="shared" si="40"/>
        <v>1.0710298832858714E-2</v>
      </c>
      <c r="AK848">
        <f t="shared" si="41"/>
        <v>1.3387873541073392E-2</v>
      </c>
      <c r="AL848" t="str">
        <f>IF(MAX(X848, Y848, Z848, AA848)&gt;0.9,
 "Critical",
 IF(AK848&lt;=0.2,"Very Low",
 IF(AK848&lt;=0.4,"Low",
 IF(AK848&lt;=0.6,"Medium",
 IF(AK848&lt;=0.8,"High","Critical")))))</f>
        <v>Very Low</v>
      </c>
      <c r="AM848" t="str">
        <f>IF(MAX(X848:AA848)&gt;0.9,"CRITICAL ALERT",
 IF(AK848&gt;0.8,"CRITICAL ALERT",
 IF(AK848&gt;0.6,"ALERT",
 IF(AK848&gt;=0.4,"REVIEW","NO ACTION"))))</f>
        <v>NO ACTION</v>
      </c>
      <c r="AN848" t="str">
        <f>IF(AM848="NO ACTION","",
 IF(_xlfn.TEXTJOIN(", ", TRUE,
  IF(X848&gt;0.7,"Login anomaly",""),
  IF(Y848&gt;0.7,"File anomaly",""),
  IF(Z848&gt;0.7,"Network anomaly",""),
  IF(AA848&gt;0.7,"USB anomaly","")
 )="",
 "General anomaly detected",
 _xlfn.TEXTJOIN(", ", TRUE,
  IF(X848&gt;0.7,"Login anomaly",""),
  IF(Y848&gt;0.7,"File anomaly",""),
  IF(Z848&gt;0.7,"Network anomaly",""),
  IF(AA848&gt;0.7,"USB anomaly","")
 )))</f>
        <v/>
      </c>
    </row>
    <row r="849" spans="1:40" x14ac:dyDescent="0.3">
      <c r="A849" t="s">
        <v>872</v>
      </c>
      <c r="B849">
        <v>0.12892249527410199</v>
      </c>
      <c r="C849">
        <v>0.36953165208440503</v>
      </c>
      <c r="D849">
        <v>0</v>
      </c>
      <c r="E849">
        <v>0</v>
      </c>
      <c r="F849">
        <v>0</v>
      </c>
      <c r="G849">
        <v>0.99364661289928502</v>
      </c>
      <c r="H849">
        <v>8</v>
      </c>
      <c r="I849">
        <v>8</v>
      </c>
      <c r="J849">
        <v>6.7601736558370304E-2</v>
      </c>
      <c r="K849">
        <v>4.8939641109298502E-3</v>
      </c>
      <c r="L849">
        <v>1.84268802799573E-2</v>
      </c>
      <c r="M849">
        <v>2.0202020202020202E-3</v>
      </c>
      <c r="N849">
        <v>1.79957095568909E-2</v>
      </c>
      <c r="O849">
        <v>756</v>
      </c>
      <c r="P849">
        <v>5.2784792368125701E-2</v>
      </c>
      <c r="Q849">
        <v>5.2947158034994203E-2</v>
      </c>
      <c r="R849">
        <v>0</v>
      </c>
      <c r="S849">
        <v>0</v>
      </c>
      <c r="T849" t="s">
        <v>49</v>
      </c>
      <c r="U849">
        <v>1.27358490566037E-2</v>
      </c>
      <c r="V849">
        <v>0</v>
      </c>
      <c r="W849">
        <v>0</v>
      </c>
      <c r="X849">
        <v>0</v>
      </c>
      <c r="Y849">
        <v>2.813250031872E-2</v>
      </c>
      <c r="Z849">
        <v>3.8869159243631803E-2</v>
      </c>
      <c r="AA849">
        <v>0</v>
      </c>
      <c r="AB849">
        <v>2.4684000760316849E-2</v>
      </c>
      <c r="AC849">
        <v>5.2599998889490962E-4</v>
      </c>
      <c r="AD849">
        <v>6.9010001607239246E-3</v>
      </c>
      <c r="AE849">
        <v>1.872999942861497E-3</v>
      </c>
      <c r="AF849">
        <f>0.16*X849 + 0.28*Y849 + 0.28*Z849 + 0.28*AA849</f>
        <v>1.8760464677458503E-2</v>
      </c>
      <c r="AG849">
        <f t="shared" si="39"/>
        <v>6.5534401475451885E-3</v>
      </c>
      <c r="AH849">
        <f>IF(T849="IT_Admin", 0.25, IF(AND(T849="HR", AA849&gt;0.6), 0.25, IF(AND(T849="General", Z849&gt;0.7), 0.2, 0.1)))</f>
        <v>0.1</v>
      </c>
      <c r="AI849">
        <f>IF(V849&gt;0.7, 0.1,
 IF(F849&gt;0.5, 0.08,
 IF(E849&gt;0.5, 0.05,
 0)))</f>
        <v>0</v>
      </c>
      <c r="AJ849">
        <f t="shared" si="40"/>
        <v>1.0215547506519183E-2</v>
      </c>
      <c r="AK849">
        <f t="shared" si="41"/>
        <v>1.1237102257171103E-2</v>
      </c>
      <c r="AL849" t="str">
        <f>IF(MAX(X849, Y849, Z849, AA849)&gt;0.9,
 "Critical",
 IF(AK849&lt;=0.2,"Very Low",
 IF(AK849&lt;=0.4,"Low",
 IF(AK849&lt;=0.6,"Medium",
 IF(AK849&lt;=0.8,"High","Critical")))))</f>
        <v>Very Low</v>
      </c>
      <c r="AM849" t="str">
        <f>IF(MAX(X849:AA849)&gt;0.9,"CRITICAL ALERT",
 IF(AK849&gt;0.8,"CRITICAL ALERT",
 IF(AK849&gt;0.6,"ALERT",
 IF(AK849&gt;=0.4,"REVIEW","NO ACTION"))))</f>
        <v>NO ACTION</v>
      </c>
      <c r="AN849" t="str">
        <f>IF(AM849="NO ACTION","",
 IF(_xlfn.TEXTJOIN(", ", TRUE,
  IF(X849&gt;0.7,"Login anomaly",""),
  IF(Y849&gt;0.7,"File anomaly",""),
  IF(Z849&gt;0.7,"Network anomaly",""),
  IF(AA849&gt;0.7,"USB anomaly","")
 )="",
 "General anomaly detected",
 _xlfn.TEXTJOIN(", ", TRUE,
  IF(X849&gt;0.7,"Login anomaly",""),
  IF(Y849&gt;0.7,"File anomaly",""),
  IF(Z849&gt;0.7,"Network anomaly",""),
  IF(AA849&gt;0.7,"USB anomaly","")
 )))</f>
        <v/>
      </c>
    </row>
    <row r="850" spans="1:40" x14ac:dyDescent="0.3">
      <c r="A850" t="s">
        <v>873</v>
      </c>
      <c r="B850">
        <v>0.23213610586011299</v>
      </c>
      <c r="C850">
        <v>0.92412810403956003</v>
      </c>
      <c r="D850">
        <v>0.34748412466642198</v>
      </c>
      <c r="E850">
        <v>0</v>
      </c>
      <c r="F850">
        <v>0</v>
      </c>
      <c r="G850">
        <v>0.48848299518090399</v>
      </c>
      <c r="H850">
        <v>9</v>
      </c>
      <c r="I850">
        <v>15</v>
      </c>
      <c r="J850">
        <v>9.8086923333810402E-2</v>
      </c>
      <c r="K850">
        <v>2.5285481239804199E-2</v>
      </c>
      <c r="L850">
        <v>6.5687670750532098E-2</v>
      </c>
      <c r="M850">
        <v>2.3088023088023001E-3</v>
      </c>
      <c r="N850">
        <v>1.4190004291896499E-2</v>
      </c>
      <c r="O850">
        <v>1031</v>
      </c>
      <c r="P850">
        <v>8.4104938271604895E-2</v>
      </c>
      <c r="Q850">
        <v>8.4259616396086798E-2</v>
      </c>
      <c r="R850">
        <v>0</v>
      </c>
      <c r="S850">
        <v>0</v>
      </c>
      <c r="T850" t="s">
        <v>24</v>
      </c>
      <c r="U850">
        <v>5.8490566037735801E-2</v>
      </c>
      <c r="V850">
        <v>0</v>
      </c>
      <c r="W850">
        <v>0</v>
      </c>
      <c r="X850">
        <v>0.104245237399926</v>
      </c>
      <c r="Y850">
        <v>5.6718221329597099E-2</v>
      </c>
      <c r="Z850">
        <v>5.6138964679721598E-2</v>
      </c>
      <c r="AA850">
        <v>0</v>
      </c>
      <c r="AB850">
        <v>6.5292999148368835E-2</v>
      </c>
      <c r="AC850">
        <v>3.8300000596791511E-4</v>
      </c>
      <c r="AD850">
        <v>2.8979999478906389E-3</v>
      </c>
      <c r="AE850">
        <v>5.6250002235174179E-3</v>
      </c>
      <c r="AF850">
        <f>0.16*X850 + 0.28*Y850 + 0.28*Z850 + 0.28*AA850</f>
        <v>4.8279250066597404E-2</v>
      </c>
      <c r="AG850">
        <f t="shared" si="39"/>
        <v>1.2940559913404285E-2</v>
      </c>
      <c r="AH850">
        <f>IF(T850="IT_Admin", 0.25, IF(AND(T850="HR", AA850&gt;0.6), 0.25, IF(AND(T850="General", Z850&gt;0.7), 0.2, 0.1)))</f>
        <v>0.25</v>
      </c>
      <c r="AI850">
        <f>IF(V850&gt;0.7, 0.1,
 IF(F850&gt;0.5, 0.08,
 IF(E850&gt;0.5, 0.05,
 0)))</f>
        <v>0</v>
      </c>
      <c r="AJ850">
        <f t="shared" si="40"/>
        <v>2.3542166959362218E-2</v>
      </c>
      <c r="AK850">
        <f t="shared" si="41"/>
        <v>2.9427708699202772E-2</v>
      </c>
      <c r="AL850" t="str">
        <f>IF(MAX(X850, Y850, Z850, AA850)&gt;0.9,
 "Critical",
 IF(AK850&lt;=0.2,"Very Low",
 IF(AK850&lt;=0.4,"Low",
 IF(AK850&lt;=0.6,"Medium",
 IF(AK850&lt;=0.8,"High","Critical")))))</f>
        <v>Very Low</v>
      </c>
      <c r="AM850" t="str">
        <f>IF(MAX(X850:AA850)&gt;0.9,"CRITICAL ALERT",
 IF(AK850&gt;0.8,"CRITICAL ALERT",
 IF(AK850&gt;0.6,"ALERT",
 IF(AK850&gt;=0.4,"REVIEW","NO ACTION"))))</f>
        <v>NO ACTION</v>
      </c>
      <c r="AN850" t="str">
        <f>IF(AM850="NO ACTION","",
 IF(_xlfn.TEXTJOIN(", ", TRUE,
  IF(X850&gt;0.7,"Login anomaly",""),
  IF(Y850&gt;0.7,"File anomaly",""),
  IF(Z850&gt;0.7,"Network anomaly",""),
  IF(AA850&gt;0.7,"USB anomaly","")
 )="",
 "General anomaly detected",
 _xlfn.TEXTJOIN(", ", TRUE,
  IF(X850&gt;0.7,"Login anomaly",""),
  IF(Y850&gt;0.7,"File anomaly",""),
  IF(Z850&gt;0.7,"Network anomaly",""),
  IF(AA850&gt;0.7,"USB anomaly","")
 )))</f>
        <v/>
      </c>
    </row>
    <row r="851" spans="1:40" x14ac:dyDescent="0.3">
      <c r="A851" t="s">
        <v>874</v>
      </c>
      <c r="B851">
        <v>0.12892249527410199</v>
      </c>
      <c r="C851">
        <v>9.1044030223694103E-2</v>
      </c>
      <c r="D851">
        <v>7.5124914167671697E-2</v>
      </c>
      <c r="E851">
        <v>0</v>
      </c>
      <c r="F851">
        <v>0.50724637681159401</v>
      </c>
      <c r="G851">
        <v>0.99366799629564995</v>
      </c>
      <c r="H851">
        <v>6</v>
      </c>
      <c r="I851">
        <v>7</v>
      </c>
      <c r="J851">
        <v>8.58260579170841E-2</v>
      </c>
      <c r="K851">
        <v>1.0603588907014599E-2</v>
      </c>
      <c r="L851">
        <v>3.1470741764162098E-2</v>
      </c>
      <c r="M851">
        <v>2.88600288600288E-4</v>
      </c>
      <c r="N851">
        <v>2.0264411616961499E-3</v>
      </c>
      <c r="O851">
        <v>691</v>
      </c>
      <c r="P851">
        <v>6.7796015712682303E-2</v>
      </c>
      <c r="Q851">
        <v>6.7954696868754105E-2</v>
      </c>
      <c r="R851">
        <v>0</v>
      </c>
      <c r="S851">
        <v>0</v>
      </c>
      <c r="T851" t="s">
        <v>49</v>
      </c>
      <c r="U851">
        <v>0.110377358490566</v>
      </c>
      <c r="V851">
        <v>0</v>
      </c>
      <c r="W851">
        <v>0</v>
      </c>
      <c r="X851">
        <v>0.225436024974939</v>
      </c>
      <c r="Y851">
        <v>3.3508514814006699E-2</v>
      </c>
      <c r="Z851">
        <v>4.1488185892287803E-2</v>
      </c>
      <c r="AA851">
        <v>0</v>
      </c>
      <c r="AB851">
        <v>4.6073999255895608E-2</v>
      </c>
      <c r="AC851">
        <v>2.0530000329017639E-3</v>
      </c>
      <c r="AD851">
        <v>5.2999998442828664E-3</v>
      </c>
      <c r="AE851">
        <v>7.0799997774884105E-4</v>
      </c>
      <c r="AF851">
        <f>0.16*X851 + 0.28*Y851 + 0.28*Z851 + 0.28*AA851</f>
        <v>5.7068840193752704E-2</v>
      </c>
      <c r="AG851">
        <f t="shared" si="39"/>
        <v>9.6289198403246689E-3</v>
      </c>
      <c r="AH851">
        <f>IF(T851="IT_Admin", 0.25, IF(AND(T851="HR", AA851&gt;0.6), 0.25, IF(AND(T851="General", Z851&gt;0.7), 0.2, 0.1)))</f>
        <v>0.1</v>
      </c>
      <c r="AI851">
        <f>IF(V851&gt;0.7, 0.1,
 IF(F851&gt;0.5, 0.08,
 IF(E851&gt;0.5, 0.05,
 0)))</f>
        <v>0.08</v>
      </c>
      <c r="AJ851">
        <f t="shared" si="40"/>
        <v>2.3860895946353079E-2</v>
      </c>
      <c r="AK851">
        <f t="shared" si="41"/>
        <v>2.8155857216696636E-2</v>
      </c>
      <c r="AL851" t="str">
        <f>IF(MAX(X851, Y851, Z851, AA851)&gt;0.9,
 "Critical",
 IF(AK851&lt;=0.2,"Very Low",
 IF(AK851&lt;=0.4,"Low",
 IF(AK851&lt;=0.6,"Medium",
 IF(AK851&lt;=0.8,"High","Critical")))))</f>
        <v>Very Low</v>
      </c>
      <c r="AM851" t="str">
        <f>IF(MAX(X851:AA851)&gt;0.9,"CRITICAL ALERT",
 IF(AK851&gt;0.8,"CRITICAL ALERT",
 IF(AK851&gt;0.6,"ALERT",
 IF(AK851&gt;=0.4,"REVIEW","NO ACTION"))))</f>
        <v>NO ACTION</v>
      </c>
      <c r="AN851" t="str">
        <f>IF(AM851="NO ACTION","",
 IF(_xlfn.TEXTJOIN(", ", TRUE,
  IF(X851&gt;0.7,"Login anomaly",""),
  IF(Y851&gt;0.7,"File anomaly",""),
  IF(Z851&gt;0.7,"Network anomaly",""),
  IF(AA851&gt;0.7,"USB anomaly","")
 )="",
 "General anomaly detected",
 _xlfn.TEXTJOIN(", ", TRUE,
  IF(X851&gt;0.7,"Login anomaly",""),
  IF(Y851&gt;0.7,"File anomaly",""),
  IF(Z851&gt;0.7,"Network anomaly",""),
  IF(AA851&gt;0.7,"USB anomaly","")
 )))</f>
        <v/>
      </c>
    </row>
    <row r="852" spans="1:40" x14ac:dyDescent="0.3">
      <c r="A852" t="s">
        <v>875</v>
      </c>
      <c r="B852">
        <v>0.27826086956521701</v>
      </c>
      <c r="C852">
        <v>0.70360824025260404</v>
      </c>
      <c r="D852">
        <v>0.46759623246048898</v>
      </c>
      <c r="E852">
        <v>0.30780780780780698</v>
      </c>
      <c r="F852">
        <v>4.1891891891891797E-2</v>
      </c>
      <c r="G852">
        <v>0.383374725539251</v>
      </c>
      <c r="H852">
        <v>0</v>
      </c>
      <c r="I852">
        <v>23</v>
      </c>
      <c r="J852">
        <v>7.2658747197175702E-2</v>
      </c>
      <c r="K852">
        <v>8.9722675367047301E-3</v>
      </c>
      <c r="L852">
        <v>3.1439055556183697E-2</v>
      </c>
      <c r="M852">
        <v>3.1746031746031698E-3</v>
      </c>
      <c r="N852">
        <v>2.6317211003074801E-2</v>
      </c>
      <c r="O852">
        <v>373</v>
      </c>
      <c r="P852">
        <v>5.8817340067339997E-2</v>
      </c>
      <c r="Q852">
        <v>5.8978225042953802E-2</v>
      </c>
      <c r="R852">
        <v>0.51622418879055998</v>
      </c>
      <c r="S852">
        <v>1</v>
      </c>
      <c r="T852" t="s">
        <v>49</v>
      </c>
      <c r="U852">
        <v>1.5566037735848999E-2</v>
      </c>
      <c r="V852">
        <v>0</v>
      </c>
      <c r="W852">
        <v>4.2979740797827001E-2</v>
      </c>
      <c r="X852">
        <v>0.249377968837246</v>
      </c>
      <c r="Y852">
        <v>3.8146440518449398E-2</v>
      </c>
      <c r="Z852">
        <v>4.5817288441633901E-2</v>
      </c>
      <c r="AA852">
        <v>0.51622418879055998</v>
      </c>
      <c r="AB852">
        <v>0.20738799870014191</v>
      </c>
      <c r="AC852">
        <v>2.0700000459328291E-4</v>
      </c>
      <c r="AD852">
        <v>4.5260000042617321E-3</v>
      </c>
      <c r="AE852">
        <v>0.24052600562572479</v>
      </c>
      <c r="AF852">
        <f>0.16*X852 + 0.28*Y852 + 0.28*Z852 + 0.28*AA852</f>
        <v>0.2079530919841395</v>
      </c>
      <c r="AG852">
        <f t="shared" si="39"/>
        <v>0.10185460136970506</v>
      </c>
      <c r="AH852">
        <f>IF(T852="IT_Admin", 0.25, IF(AND(T852="HR", AA852&gt;0.6), 0.25, IF(AND(T852="General", Z852&gt;0.7), 0.2, 0.1)))</f>
        <v>0.1</v>
      </c>
      <c r="AI852">
        <f>IF(V852&gt;0.7, 0.1,
 IF(F852&gt;0.5, 0.08,
 IF(E852&gt;0.5, 0.05,
 0)))</f>
        <v>0</v>
      </c>
      <c r="AJ852">
        <f t="shared" si="40"/>
        <v>0.13368414855403538</v>
      </c>
      <c r="AK852">
        <f t="shared" si="41"/>
        <v>0.14705256340943892</v>
      </c>
      <c r="AL852" t="str">
        <f>IF(MAX(X852, Y852, Z852, AA852)&gt;0.9,
 "Critical",
 IF(AK852&lt;=0.2,"Very Low",
 IF(AK852&lt;=0.4,"Low",
 IF(AK852&lt;=0.6,"Medium",
 IF(AK852&lt;=0.8,"High","Critical")))))</f>
        <v>Very Low</v>
      </c>
      <c r="AM852" t="str">
        <f>IF(MAX(X852:AA852)&gt;0.9,"CRITICAL ALERT",
 IF(AK852&gt;0.8,"CRITICAL ALERT",
 IF(AK852&gt;0.6,"ALERT",
 IF(AK852&gt;=0.4,"REVIEW","NO ACTION"))))</f>
        <v>NO ACTION</v>
      </c>
      <c r="AN852" t="str">
        <f>IF(AM852="NO ACTION","",
 IF(_xlfn.TEXTJOIN(", ", TRUE,
  IF(X852&gt;0.7,"Login anomaly",""),
  IF(Y852&gt;0.7,"File anomaly",""),
  IF(Z852&gt;0.7,"Network anomaly",""),
  IF(AA852&gt;0.7,"USB anomaly","")
 )="",
 "General anomaly detected",
 _xlfn.TEXTJOIN(", ", TRUE,
  IF(X852&gt;0.7,"Login anomaly",""),
  IF(Y852&gt;0.7,"File anomaly",""),
  IF(Z852&gt;0.7,"Network anomaly",""),
  IF(AA852&gt;0.7,"USB anomaly","")
 )))</f>
        <v/>
      </c>
    </row>
    <row r="853" spans="1:40" x14ac:dyDescent="0.3">
      <c r="A853" t="s">
        <v>876</v>
      </c>
      <c r="B853">
        <v>0.12892249527410199</v>
      </c>
      <c r="C853">
        <v>0.18476582604220201</v>
      </c>
      <c r="D853">
        <v>0</v>
      </c>
      <c r="E853">
        <v>0</v>
      </c>
      <c r="F853">
        <v>0</v>
      </c>
      <c r="G853">
        <v>0.99367969159503799</v>
      </c>
      <c r="H853">
        <v>7</v>
      </c>
      <c r="I853">
        <v>7</v>
      </c>
      <c r="J853">
        <v>5.7583130575831303E-2</v>
      </c>
      <c r="K853">
        <v>1.1419249592169599E-2</v>
      </c>
      <c r="L853">
        <v>5.04458653208733E-2</v>
      </c>
      <c r="M853">
        <v>1.7316017316017301E-3</v>
      </c>
      <c r="N853">
        <v>1.8097524038117999E-2</v>
      </c>
      <c r="O853">
        <v>659</v>
      </c>
      <c r="P853">
        <v>4.80850168350168E-2</v>
      </c>
      <c r="Q853">
        <v>4.8248536063676802E-2</v>
      </c>
      <c r="R853">
        <v>0</v>
      </c>
      <c r="S853">
        <v>0</v>
      </c>
      <c r="T853" t="s">
        <v>49</v>
      </c>
      <c r="U853">
        <v>3.3962264150943298E-2</v>
      </c>
      <c r="V853">
        <v>0</v>
      </c>
      <c r="W853">
        <v>0</v>
      </c>
      <c r="X853">
        <v>0</v>
      </c>
      <c r="Y853">
        <v>4.2168815987038297E-2</v>
      </c>
      <c r="Z853">
        <v>3.6090019716257297E-2</v>
      </c>
      <c r="AA853">
        <v>0</v>
      </c>
      <c r="AB853">
        <v>3.6687001585960388E-2</v>
      </c>
      <c r="AC853">
        <v>4.3000000005122267E-5</v>
      </c>
      <c r="AD853">
        <v>7.6310001313686371E-3</v>
      </c>
      <c r="AE853">
        <v>1.761000021360815E-3</v>
      </c>
      <c r="AF853">
        <f>0.16*X853 + 0.28*Y853 + 0.28*Z853 + 0.28*AA853</f>
        <v>2.1912473996922768E-2</v>
      </c>
      <c r="AG853">
        <f t="shared" si="39"/>
        <v>8.5117202965193425E-3</v>
      </c>
      <c r="AH853">
        <f>IF(T853="IT_Admin", 0.25, IF(AND(T853="HR", AA853&gt;0.6), 0.25, IF(AND(T853="General", Z853&gt;0.7), 0.2, 0.1)))</f>
        <v>0.1</v>
      </c>
      <c r="AI853">
        <f>IF(V853&gt;0.7, 0.1,
 IF(F853&gt;0.5, 0.08,
 IF(E853&gt;0.5, 0.05,
 0)))</f>
        <v>0</v>
      </c>
      <c r="AJ853">
        <f t="shared" si="40"/>
        <v>1.2531946406640369E-2</v>
      </c>
      <c r="AK853">
        <f t="shared" si="41"/>
        <v>1.3785141047304408E-2</v>
      </c>
      <c r="AL853" t="str">
        <f>IF(MAX(X853, Y853, Z853, AA853)&gt;0.9,
 "Critical",
 IF(AK853&lt;=0.2,"Very Low",
 IF(AK853&lt;=0.4,"Low",
 IF(AK853&lt;=0.6,"Medium",
 IF(AK853&lt;=0.8,"High","Critical")))))</f>
        <v>Very Low</v>
      </c>
      <c r="AM853" t="str">
        <f>IF(MAX(X853:AA853)&gt;0.9,"CRITICAL ALERT",
 IF(AK853&gt;0.8,"CRITICAL ALERT",
 IF(AK853&gt;0.6,"ALERT",
 IF(AK853&gt;=0.4,"REVIEW","NO ACTION"))))</f>
        <v>NO ACTION</v>
      </c>
      <c r="AN853" t="str">
        <f>IF(AM853="NO ACTION","",
 IF(_xlfn.TEXTJOIN(", ", TRUE,
  IF(X853&gt;0.7,"Login anomaly",""),
  IF(Y853&gt;0.7,"File anomaly",""),
  IF(Z853&gt;0.7,"Network anomaly",""),
  IF(AA853&gt;0.7,"USB anomaly","")
 )="",
 "General anomaly detected",
 _xlfn.TEXTJOIN(", ", TRUE,
  IF(X853&gt;0.7,"Login anomaly",""),
  IF(Y853&gt;0.7,"File anomaly",""),
  IF(Z853&gt;0.7,"Network anomaly",""),
  IF(AA853&gt;0.7,"USB anomaly","")
 )))</f>
        <v/>
      </c>
    </row>
    <row r="854" spans="1:40" x14ac:dyDescent="0.3">
      <c r="A854" t="s">
        <v>877</v>
      </c>
      <c r="B854">
        <v>0.12892249527410199</v>
      </c>
      <c r="C854">
        <v>0.18476582604220201</v>
      </c>
      <c r="D854">
        <v>0</v>
      </c>
      <c r="E854">
        <v>0</v>
      </c>
      <c r="F854">
        <v>0</v>
      </c>
      <c r="G854">
        <v>0.99366242965429297</v>
      </c>
      <c r="H854">
        <v>7</v>
      </c>
      <c r="I854">
        <v>7</v>
      </c>
      <c r="J854">
        <v>8.6971041457945694E-2</v>
      </c>
      <c r="K854">
        <v>1.5497553017944501E-2</v>
      </c>
      <c r="L854">
        <v>4.5391817232301901E-2</v>
      </c>
      <c r="M854">
        <v>1.44300144300144E-3</v>
      </c>
      <c r="N854">
        <v>9.9991790363781596E-3</v>
      </c>
      <c r="O854">
        <v>949</v>
      </c>
      <c r="P854">
        <v>7.1303310886644197E-2</v>
      </c>
      <c r="Q854">
        <v>7.1461131175707404E-2</v>
      </c>
      <c r="R854">
        <v>0</v>
      </c>
      <c r="S854">
        <v>0</v>
      </c>
      <c r="T854" t="s">
        <v>49</v>
      </c>
      <c r="U854">
        <v>5.3773584905660303E-2</v>
      </c>
      <c r="V854">
        <v>0</v>
      </c>
      <c r="W854">
        <v>0</v>
      </c>
      <c r="X854">
        <v>0</v>
      </c>
      <c r="Y854">
        <v>4.3089870618653499E-2</v>
      </c>
      <c r="Z854">
        <v>4.67816581465378E-2</v>
      </c>
      <c r="AA854">
        <v>0</v>
      </c>
      <c r="AB854">
        <v>3.6609001457691193E-2</v>
      </c>
      <c r="AC854">
        <v>1.2899999273940921E-4</v>
      </c>
      <c r="AD854">
        <v>4.5920000411570072E-3</v>
      </c>
      <c r="AE854">
        <v>1.501000020653009E-3</v>
      </c>
      <c r="AF854">
        <f>0.16*X854 + 0.28*Y854 + 0.28*Z854 + 0.28*AA854</f>
        <v>2.5164028054253565E-2</v>
      </c>
      <c r="AG854">
        <f t="shared" si="39"/>
        <v>7.5996002485044303E-3</v>
      </c>
      <c r="AH854">
        <f>IF(T854="IT_Admin", 0.25, IF(AND(T854="HR", AA854&gt;0.6), 0.25, IF(AND(T854="General", Z854&gt;0.7), 0.2, 0.1)))</f>
        <v>0.1</v>
      </c>
      <c r="AI854">
        <f>IF(V854&gt;0.7, 0.1,
 IF(F854&gt;0.5, 0.08,
 IF(E854&gt;0.5, 0.05,
 0)))</f>
        <v>0</v>
      </c>
      <c r="AJ854">
        <f t="shared" si="40"/>
        <v>1.2868928590229169E-2</v>
      </c>
      <c r="AK854">
        <f t="shared" si="41"/>
        <v>1.4155821449252088E-2</v>
      </c>
      <c r="AL854" t="str">
        <f>IF(MAX(X854, Y854, Z854, AA854)&gt;0.9,
 "Critical",
 IF(AK854&lt;=0.2,"Very Low",
 IF(AK854&lt;=0.4,"Low",
 IF(AK854&lt;=0.6,"Medium",
 IF(AK854&lt;=0.8,"High","Critical")))))</f>
        <v>Very Low</v>
      </c>
      <c r="AM854" t="str">
        <f>IF(MAX(X854:AA854)&gt;0.9,"CRITICAL ALERT",
 IF(AK854&gt;0.8,"CRITICAL ALERT",
 IF(AK854&gt;0.6,"ALERT",
 IF(AK854&gt;=0.4,"REVIEW","NO ACTION"))))</f>
        <v>NO ACTION</v>
      </c>
      <c r="AN854" t="str">
        <f>IF(AM854="NO ACTION","",
 IF(_xlfn.TEXTJOIN(", ", TRUE,
  IF(X854&gt;0.7,"Login anomaly",""),
  IF(Y854&gt;0.7,"File anomaly",""),
  IF(Z854&gt;0.7,"Network anomaly",""),
  IF(AA854&gt;0.7,"USB anomaly","")
 )="",
 "General anomaly detected",
 _xlfn.TEXTJOIN(", ", TRUE,
  IF(X854&gt;0.7,"Login anomaly",""),
  IF(Y854&gt;0.7,"File anomaly",""),
  IF(Z854&gt;0.7,"Network anomaly",""),
  IF(AA854&gt;0.7,"USB anomaly","")
 )))</f>
        <v/>
      </c>
    </row>
    <row r="855" spans="1:40" x14ac:dyDescent="0.3">
      <c r="A855" t="s">
        <v>878</v>
      </c>
      <c r="B855">
        <v>0.12892249527410199</v>
      </c>
      <c r="C855">
        <v>0.46271789478395098</v>
      </c>
      <c r="D855">
        <v>7.5129964412319103E-2</v>
      </c>
      <c r="E855">
        <v>0</v>
      </c>
      <c r="F855">
        <v>0</v>
      </c>
      <c r="G855">
        <v>0.99366481153448905</v>
      </c>
      <c r="H855">
        <v>8</v>
      </c>
      <c r="I855">
        <v>9</v>
      </c>
      <c r="J855">
        <v>7.2420208959496205E-2</v>
      </c>
      <c r="K855">
        <v>8.9722675367047301E-3</v>
      </c>
      <c r="L855">
        <v>3.15422697897891E-2</v>
      </c>
      <c r="M855">
        <v>4.6176046176046098E-3</v>
      </c>
      <c r="N855">
        <v>3.8405251274588097E-2</v>
      </c>
      <c r="O855">
        <v>637</v>
      </c>
      <c r="P855">
        <v>5.9343434343434302E-2</v>
      </c>
      <c r="Q855">
        <v>5.9504190188996803E-2</v>
      </c>
      <c r="R855">
        <v>0</v>
      </c>
      <c r="S855">
        <v>0</v>
      </c>
      <c r="T855" t="s">
        <v>49</v>
      </c>
      <c r="U855">
        <v>1.09877913429522E-2</v>
      </c>
      <c r="V855">
        <v>0</v>
      </c>
      <c r="W855">
        <v>0</v>
      </c>
      <c r="X855">
        <v>2.2538989323695701E-2</v>
      </c>
      <c r="Y855">
        <v>4.1776752069170198E-2</v>
      </c>
      <c r="Z855">
        <v>5.0968161115895798E-2</v>
      </c>
      <c r="AA855">
        <v>0</v>
      </c>
      <c r="AB855">
        <v>1.367499958723783E-2</v>
      </c>
      <c r="AC855">
        <v>3.6599999293684959E-4</v>
      </c>
      <c r="AD855">
        <v>5.303999874740839E-3</v>
      </c>
      <c r="AE855">
        <v>3.203999949619174E-3</v>
      </c>
      <c r="AF855">
        <f>0.16*X855 + 0.28*Y855 + 0.28*Z855 + 0.28*AA855</f>
        <v>2.9574813983609793E-2</v>
      </c>
      <c r="AG855">
        <f t="shared" si="39"/>
        <v>4.6727198828011747E-3</v>
      </c>
      <c r="AH855">
        <f>IF(T855="IT_Admin", 0.25, IF(AND(T855="HR", AA855&gt;0.6), 0.25, IF(AND(T855="General", Z855&gt;0.7), 0.2, 0.1)))</f>
        <v>0.1</v>
      </c>
      <c r="AI855">
        <f>IF(V855&gt;0.7, 0.1,
 IF(F855&gt;0.5, 0.08,
 IF(E855&gt;0.5, 0.05,
 0)))</f>
        <v>0</v>
      </c>
      <c r="AJ855">
        <f t="shared" si="40"/>
        <v>1.214334811304376E-2</v>
      </c>
      <c r="AK855">
        <f t="shared" si="41"/>
        <v>1.3357682924348137E-2</v>
      </c>
      <c r="AL855" t="str">
        <f>IF(MAX(X855, Y855, Z855, AA855)&gt;0.9,
 "Critical",
 IF(AK855&lt;=0.2,"Very Low",
 IF(AK855&lt;=0.4,"Low",
 IF(AK855&lt;=0.6,"Medium",
 IF(AK855&lt;=0.8,"High","Critical")))))</f>
        <v>Very Low</v>
      </c>
      <c r="AM855" t="str">
        <f>IF(MAX(X855:AA855)&gt;0.9,"CRITICAL ALERT",
 IF(AK855&gt;0.8,"CRITICAL ALERT",
 IF(AK855&gt;0.6,"ALERT",
 IF(AK855&gt;=0.4,"REVIEW","NO ACTION"))))</f>
        <v>NO ACTION</v>
      </c>
      <c r="AN855" t="str">
        <f>IF(AM855="NO ACTION","",
 IF(_xlfn.TEXTJOIN(", ", TRUE,
  IF(X855&gt;0.7,"Login anomaly",""),
  IF(Y855&gt;0.7,"File anomaly",""),
  IF(Z855&gt;0.7,"Network anomaly",""),
  IF(AA855&gt;0.7,"USB anomaly","")
 )="",
 "General anomaly detected",
 _xlfn.TEXTJOIN(", ", TRUE,
  IF(X855&gt;0.7,"Login anomaly",""),
  IF(Y855&gt;0.7,"File anomaly",""),
  IF(Z855&gt;0.7,"Network anomaly",""),
  IF(AA855&gt;0.7,"USB anomaly","")
 )))</f>
        <v/>
      </c>
    </row>
    <row r="856" spans="1:40" x14ac:dyDescent="0.3">
      <c r="A856" t="s">
        <v>879</v>
      </c>
      <c r="B856">
        <v>0.12892249527410199</v>
      </c>
      <c r="C856">
        <v>0.27473875002797099</v>
      </c>
      <c r="D856">
        <v>7.5107235637207503E-2</v>
      </c>
      <c r="E856">
        <v>0</v>
      </c>
      <c r="F856">
        <v>0</v>
      </c>
      <c r="G856">
        <v>0.99369585626513202</v>
      </c>
      <c r="H856">
        <v>7</v>
      </c>
      <c r="I856">
        <v>8</v>
      </c>
      <c r="J856">
        <v>6.6695291255188194E-2</v>
      </c>
      <c r="K856">
        <v>1.30505709624796E-2</v>
      </c>
      <c r="L856">
        <v>4.9803799017532603E-2</v>
      </c>
      <c r="M856">
        <v>1.1544011544011501E-3</v>
      </c>
      <c r="N856">
        <v>1.04225227532426E-2</v>
      </c>
      <c r="O856">
        <v>661</v>
      </c>
      <c r="P856">
        <v>5.5204826038159301E-2</v>
      </c>
      <c r="Q856">
        <v>5.5366597706791899E-2</v>
      </c>
      <c r="R856">
        <v>0</v>
      </c>
      <c r="S856">
        <v>0</v>
      </c>
      <c r="T856" t="s">
        <v>49</v>
      </c>
      <c r="U856">
        <v>5.4339622641509398E-2</v>
      </c>
      <c r="V856">
        <v>0</v>
      </c>
      <c r="W856">
        <v>0</v>
      </c>
      <c r="X856">
        <v>2.2532170691162201E-2</v>
      </c>
      <c r="Y856">
        <v>4.1367714585776698E-2</v>
      </c>
      <c r="Z856">
        <v>3.7291904724192602E-2</v>
      </c>
      <c r="AA856">
        <v>0</v>
      </c>
      <c r="AB856">
        <v>1.8612999469041821E-2</v>
      </c>
      <c r="AC856">
        <v>1.5799999528098849E-4</v>
      </c>
      <c r="AD856">
        <v>6.7610000260174266E-3</v>
      </c>
      <c r="AE856">
        <v>2.1019999403506522E-3</v>
      </c>
      <c r="AF856">
        <f>0.16*X856 + 0.28*Y856 + 0.28*Z856 + 0.28*AA856</f>
        <v>2.562984071737736E-2</v>
      </c>
      <c r="AG856">
        <f t="shared" si="39"/>
        <v>5.5039599043084312E-3</v>
      </c>
      <c r="AH856">
        <f>IF(T856="IT_Admin", 0.25, IF(AND(T856="HR", AA856&gt;0.6), 0.25, IF(AND(T856="General", Z856&gt;0.7), 0.2, 0.1)))</f>
        <v>0.1</v>
      </c>
      <c r="AI856">
        <f>IF(V856&gt;0.7, 0.1,
 IF(F856&gt;0.5, 0.08,
 IF(E856&gt;0.5, 0.05,
 0)))</f>
        <v>0</v>
      </c>
      <c r="AJ856">
        <f t="shared" si="40"/>
        <v>1.1541724148229109E-2</v>
      </c>
      <c r="AK856">
        <f t="shared" si="41"/>
        <v>1.2695896563052022E-2</v>
      </c>
      <c r="AL856" t="str">
        <f>IF(MAX(X856, Y856, Z856, AA856)&gt;0.9,
 "Critical",
 IF(AK856&lt;=0.2,"Very Low",
 IF(AK856&lt;=0.4,"Low",
 IF(AK856&lt;=0.6,"Medium",
 IF(AK856&lt;=0.8,"High","Critical")))))</f>
        <v>Very Low</v>
      </c>
      <c r="AM856" t="str">
        <f>IF(MAX(X856:AA856)&gt;0.9,"CRITICAL ALERT",
 IF(AK856&gt;0.8,"CRITICAL ALERT",
 IF(AK856&gt;0.6,"ALERT",
 IF(AK856&gt;=0.4,"REVIEW","NO ACTION"))))</f>
        <v>NO ACTION</v>
      </c>
      <c r="AN856" t="str">
        <f>IF(AM856="NO ACTION","",
 IF(_xlfn.TEXTJOIN(", ", TRUE,
  IF(X856&gt;0.7,"Login anomaly",""),
  IF(Y856&gt;0.7,"File anomaly",""),
  IF(Z856&gt;0.7,"Network anomaly",""),
  IF(AA856&gt;0.7,"USB anomaly","")
 )="",
 "General anomaly detected",
 _xlfn.TEXTJOIN(", ", TRUE,
  IF(X856&gt;0.7,"Login anomaly",""),
  IF(Y856&gt;0.7,"File anomaly",""),
  IF(Z856&gt;0.7,"Network anomaly",""),
  IF(AA856&gt;0.7,"USB anomaly","")
 )))</f>
        <v/>
      </c>
    </row>
    <row r="857" spans="1:40" x14ac:dyDescent="0.3">
      <c r="A857" t="s">
        <v>880</v>
      </c>
      <c r="B857">
        <v>0.24196597353497101</v>
      </c>
      <c r="C857">
        <v>0.60364487265961797</v>
      </c>
      <c r="D857">
        <v>0.38018668054454902</v>
      </c>
      <c r="E857">
        <v>0</v>
      </c>
      <c r="F857">
        <v>0</v>
      </c>
      <c r="G857">
        <v>0.46276536332173501</v>
      </c>
      <c r="H857">
        <v>7</v>
      </c>
      <c r="I857">
        <v>13</v>
      </c>
      <c r="J857">
        <v>5.8060207051190298E-2</v>
      </c>
      <c r="K857">
        <v>5.7096247960848204E-3</v>
      </c>
      <c r="L857">
        <v>2.5016525682855301E-2</v>
      </c>
      <c r="M857">
        <v>1.44300144300144E-3</v>
      </c>
      <c r="N857">
        <v>1.49578553833872E-2</v>
      </c>
      <c r="O857">
        <v>567</v>
      </c>
      <c r="P857">
        <v>4.5840347923681198E-2</v>
      </c>
      <c r="Q857">
        <v>4.6004418107226698E-2</v>
      </c>
      <c r="R857">
        <v>0.38053097345132703</v>
      </c>
      <c r="S857">
        <v>1</v>
      </c>
      <c r="T857" t="s">
        <v>49</v>
      </c>
      <c r="U857">
        <v>1.98113207547169E-2</v>
      </c>
      <c r="V857">
        <v>0</v>
      </c>
      <c r="W857">
        <v>0</v>
      </c>
      <c r="X857">
        <v>0.11405600416336401</v>
      </c>
      <c r="Y857">
        <v>2.86076608666819E-2</v>
      </c>
      <c r="Z857">
        <v>3.34873509075636E-2</v>
      </c>
      <c r="AA857">
        <v>0.38053097345132703</v>
      </c>
      <c r="AB857">
        <v>2.1811999380588531E-2</v>
      </c>
      <c r="AC857">
        <v>3.4599998616613448E-4</v>
      </c>
      <c r="AD857">
        <v>7.2530000470578671E-3</v>
      </c>
      <c r="AE857">
        <v>0.146819993853569</v>
      </c>
      <c r="AF857">
        <f>0.16*X857 + 0.28*Y857 + 0.28*Z857 + 0.28*AA857</f>
        <v>0.14218423652929857</v>
      </c>
      <c r="AG857">
        <f t="shared" si="39"/>
        <v>4.6727238189196212E-2</v>
      </c>
      <c r="AH857">
        <f>IF(T857="IT_Admin", 0.25, IF(AND(T857="HR", AA857&gt;0.6), 0.25, IF(AND(T857="General", Z857&gt;0.7), 0.2, 0.1)))</f>
        <v>0.1</v>
      </c>
      <c r="AI857">
        <f>IF(V857&gt;0.7, 0.1,
 IF(F857&gt;0.5, 0.08,
 IF(E857&gt;0.5, 0.05,
 0)))</f>
        <v>0</v>
      </c>
      <c r="AJ857">
        <f t="shared" si="40"/>
        <v>7.5364337691226913E-2</v>
      </c>
      <c r="AK857">
        <f t="shared" si="41"/>
        <v>8.2900771460349604E-2</v>
      </c>
      <c r="AL857" t="str">
        <f>IF(MAX(X857, Y857, Z857, AA857)&gt;0.9,
 "Critical",
 IF(AK857&lt;=0.2,"Very Low",
 IF(AK857&lt;=0.4,"Low",
 IF(AK857&lt;=0.6,"Medium",
 IF(AK857&lt;=0.8,"High","Critical")))))</f>
        <v>Very Low</v>
      </c>
      <c r="AM857" t="str">
        <f>IF(MAX(X857:AA857)&gt;0.9,"CRITICAL ALERT",
 IF(AK857&gt;0.8,"CRITICAL ALERT",
 IF(AK857&gt;0.6,"ALERT",
 IF(AK857&gt;=0.4,"REVIEW","NO ACTION"))))</f>
        <v>NO ACTION</v>
      </c>
      <c r="AN857" t="str">
        <f>IF(AM857="NO ACTION","",
 IF(_xlfn.TEXTJOIN(", ", TRUE,
  IF(X857&gt;0.7,"Login anomaly",""),
  IF(Y857&gt;0.7,"File anomaly",""),
  IF(Z857&gt;0.7,"Network anomaly",""),
  IF(AA857&gt;0.7,"USB anomaly","")
 )="",
 "General anomaly detected",
 _xlfn.TEXTJOIN(", ", TRUE,
  IF(X857&gt;0.7,"Login anomaly",""),
  IF(Y857&gt;0.7,"File anomaly",""),
  IF(Z857&gt;0.7,"Network anomaly",""),
  IF(AA857&gt;0.7,"USB anomaly","")
 )))</f>
        <v/>
      </c>
    </row>
    <row r="858" spans="1:40" x14ac:dyDescent="0.3">
      <c r="A858" t="s">
        <v>881</v>
      </c>
      <c r="B858">
        <v>0.12892249527410199</v>
      </c>
      <c r="C858">
        <v>0.18476582604220201</v>
      </c>
      <c r="D858">
        <v>0</v>
      </c>
      <c r="E858">
        <v>0</v>
      </c>
      <c r="F858">
        <v>0</v>
      </c>
      <c r="G858">
        <v>0.99367570395291305</v>
      </c>
      <c r="H858">
        <v>7</v>
      </c>
      <c r="I858">
        <v>7</v>
      </c>
      <c r="J858">
        <v>8.5205858499117396E-2</v>
      </c>
      <c r="K858">
        <v>1.6313213703099499E-2</v>
      </c>
      <c r="L858">
        <v>4.8767957859853599E-2</v>
      </c>
      <c r="M858">
        <v>1.7316017316017301E-3</v>
      </c>
      <c r="N858">
        <v>1.22469006891117E-2</v>
      </c>
      <c r="O858">
        <v>860</v>
      </c>
      <c r="P858">
        <v>7.0496632996633002E-2</v>
      </c>
      <c r="Q858">
        <v>7.0654651285108103E-2</v>
      </c>
      <c r="R858">
        <v>0</v>
      </c>
      <c r="S858">
        <v>0</v>
      </c>
      <c r="T858" t="s">
        <v>49</v>
      </c>
      <c r="U858">
        <v>4.8517520215633402E-2</v>
      </c>
      <c r="V858">
        <v>0</v>
      </c>
      <c r="W858">
        <v>0</v>
      </c>
      <c r="X858">
        <v>0</v>
      </c>
      <c r="Y858">
        <v>4.5099220836483801E-2</v>
      </c>
      <c r="Z858">
        <v>4.7196740073624399E-2</v>
      </c>
      <c r="AA858">
        <v>0</v>
      </c>
      <c r="AB858">
        <v>3.6646999418735497E-2</v>
      </c>
      <c r="AC858">
        <v>7.1000002208165824E-5</v>
      </c>
      <c r="AD858">
        <v>4.6350001357495776E-3</v>
      </c>
      <c r="AE858">
        <v>1.631999970413744E-3</v>
      </c>
      <c r="AF858">
        <f>0.16*X858 + 0.28*Y858 + 0.28*Z858 + 0.28*AA858</f>
        <v>2.5842869054830298E-2</v>
      </c>
      <c r="AG858">
        <f t="shared" si="39"/>
        <v>7.6381599373416958E-3</v>
      </c>
      <c r="AH858">
        <f>IF(T858="IT_Admin", 0.25, IF(AND(T858="HR", AA858&gt;0.6), 0.25, IF(AND(T858="General", Z858&gt;0.7), 0.2, 0.1)))</f>
        <v>0.1</v>
      </c>
      <c r="AI858">
        <f>IF(V858&gt;0.7, 0.1,
 IF(F858&gt;0.5, 0.08,
 IF(E858&gt;0.5, 0.05,
 0)))</f>
        <v>0</v>
      </c>
      <c r="AJ858">
        <f t="shared" si="40"/>
        <v>1.3099572672588275E-2</v>
      </c>
      <c r="AK858">
        <f t="shared" si="41"/>
        <v>1.4409529939847104E-2</v>
      </c>
      <c r="AL858" t="str">
        <f>IF(MAX(X858, Y858, Z858, AA858)&gt;0.9,
 "Critical",
 IF(AK858&lt;=0.2,"Very Low",
 IF(AK858&lt;=0.4,"Low",
 IF(AK858&lt;=0.6,"Medium",
 IF(AK858&lt;=0.8,"High","Critical")))))</f>
        <v>Very Low</v>
      </c>
      <c r="AM858" t="str">
        <f>IF(MAX(X858:AA858)&gt;0.9,"CRITICAL ALERT",
 IF(AK858&gt;0.8,"CRITICAL ALERT",
 IF(AK858&gt;0.6,"ALERT",
 IF(AK858&gt;=0.4,"REVIEW","NO ACTION"))))</f>
        <v>NO ACTION</v>
      </c>
      <c r="AN858" t="str">
        <f>IF(AM858="NO ACTION","",
 IF(_xlfn.TEXTJOIN(", ", TRUE,
  IF(X858&gt;0.7,"Login anomaly",""),
  IF(Y858&gt;0.7,"File anomaly",""),
  IF(Z858&gt;0.7,"Network anomaly",""),
  IF(AA858&gt;0.7,"USB anomaly","")
 )="",
 "General anomaly detected",
 _xlfn.TEXTJOIN(", ", TRUE,
  IF(X858&gt;0.7,"Login anomaly",""),
  IF(Y858&gt;0.7,"File anomaly",""),
  IF(Z858&gt;0.7,"Network anomaly",""),
  IF(AA858&gt;0.7,"USB anomaly","")
 )))</f>
        <v/>
      </c>
    </row>
    <row r="859" spans="1:40" x14ac:dyDescent="0.3">
      <c r="A859" t="s">
        <v>882</v>
      </c>
      <c r="B859">
        <v>0.166729678638941</v>
      </c>
      <c r="C859">
        <v>0.391537469568083</v>
      </c>
      <c r="D859">
        <v>0.36592855772414901</v>
      </c>
      <c r="E859">
        <v>0</v>
      </c>
      <c r="F859">
        <v>0</v>
      </c>
      <c r="G859">
        <v>0.73640057337172604</v>
      </c>
      <c r="H859">
        <v>7</v>
      </c>
      <c r="I859">
        <v>17</v>
      </c>
      <c r="J859">
        <v>7.8288249606411897E-2</v>
      </c>
      <c r="K859">
        <v>8.1566068515497494E-3</v>
      </c>
      <c r="L859">
        <v>2.65320208162204E-2</v>
      </c>
      <c r="M859">
        <v>3.1746031746031698E-3</v>
      </c>
      <c r="N859">
        <v>2.4430557966402401E-2</v>
      </c>
      <c r="O859">
        <v>784</v>
      </c>
      <c r="P859">
        <v>6.2605218855218803E-2</v>
      </c>
      <c r="Q859">
        <v>6.2765174094463305E-2</v>
      </c>
      <c r="R859">
        <v>0</v>
      </c>
      <c r="S859">
        <v>0</v>
      </c>
      <c r="T859" t="s">
        <v>49</v>
      </c>
      <c r="U859">
        <v>1.41509433962264E-2</v>
      </c>
      <c r="V859">
        <v>0</v>
      </c>
      <c r="W859">
        <v>0</v>
      </c>
      <c r="X859">
        <v>0.109778567317244</v>
      </c>
      <c r="Y859">
        <v>3.6252827719313298E-2</v>
      </c>
      <c r="Z859">
        <v>4.73353544996922E-2</v>
      </c>
      <c r="AA859">
        <v>0</v>
      </c>
      <c r="AB859">
        <v>1.340499985963106E-2</v>
      </c>
      <c r="AC859">
        <v>3.0000001424923539E-4</v>
      </c>
      <c r="AD859">
        <v>5.0829998217523098E-3</v>
      </c>
      <c r="AE859">
        <v>5.8900001458823681E-3</v>
      </c>
      <c r="AF859">
        <f>0.16*X859 + 0.28*Y859 + 0.28*Z859 + 0.28*AA859</f>
        <v>4.0969261792080582E-2</v>
      </c>
      <c r="AG859">
        <f t="shared" si="39"/>
        <v>5.3012399724684661E-3</v>
      </c>
      <c r="AH859">
        <f>IF(T859="IT_Admin", 0.25, IF(AND(T859="HR", AA859&gt;0.6), 0.25, IF(AND(T859="General", Z859&gt;0.7), 0.2, 0.1)))</f>
        <v>0.1</v>
      </c>
      <c r="AI859">
        <f>IF(V859&gt;0.7, 0.1,
 IF(F859&gt;0.5, 0.08,
 IF(E859&gt;0.5, 0.05,
 0)))</f>
        <v>0</v>
      </c>
      <c r="AJ859">
        <f t="shared" si="40"/>
        <v>1.6001646518352102E-2</v>
      </c>
      <c r="AK859">
        <f t="shared" si="41"/>
        <v>1.7601811170187314E-2</v>
      </c>
      <c r="AL859" t="str">
        <f>IF(MAX(X859, Y859, Z859, AA859)&gt;0.9,
 "Critical",
 IF(AK859&lt;=0.2,"Very Low",
 IF(AK859&lt;=0.4,"Low",
 IF(AK859&lt;=0.6,"Medium",
 IF(AK859&lt;=0.8,"High","Critical")))))</f>
        <v>Very Low</v>
      </c>
      <c r="AM859" t="str">
        <f>IF(MAX(X859:AA859)&gt;0.9,"CRITICAL ALERT",
 IF(AK859&gt;0.8,"CRITICAL ALERT",
 IF(AK859&gt;0.6,"ALERT",
 IF(AK859&gt;=0.4,"REVIEW","NO ACTION"))))</f>
        <v>NO ACTION</v>
      </c>
      <c r="AN859" t="str">
        <f>IF(AM859="NO ACTION","",
 IF(_xlfn.TEXTJOIN(", ", TRUE,
  IF(X859&gt;0.7,"Login anomaly",""),
  IF(Y859&gt;0.7,"File anomaly",""),
  IF(Z859&gt;0.7,"Network anomaly",""),
  IF(AA859&gt;0.7,"USB anomaly","")
 )="",
 "General anomaly detected",
 _xlfn.TEXTJOIN(", ", TRUE,
  IF(X859&gt;0.7,"Login anomaly",""),
  IF(Y859&gt;0.7,"File anomaly",""),
  IF(Z859&gt;0.7,"Network anomaly",""),
  IF(AA859&gt;0.7,"USB anomaly","")
 )))</f>
        <v/>
      </c>
    </row>
    <row r="860" spans="1:40" x14ac:dyDescent="0.3">
      <c r="A860" t="s">
        <v>883</v>
      </c>
      <c r="B860">
        <v>0.12892249527410199</v>
      </c>
      <c r="C860">
        <v>0.18476582604220201</v>
      </c>
      <c r="D860">
        <v>0</v>
      </c>
      <c r="E860">
        <v>0</v>
      </c>
      <c r="F860">
        <v>0</v>
      </c>
      <c r="G860">
        <v>0.99367021759965202</v>
      </c>
      <c r="H860">
        <v>7</v>
      </c>
      <c r="I860">
        <v>7</v>
      </c>
      <c r="J860">
        <v>8.2247984351891595E-2</v>
      </c>
      <c r="K860">
        <v>7.34094616639478E-3</v>
      </c>
      <c r="L860">
        <v>2.27325249491897E-2</v>
      </c>
      <c r="M860">
        <v>1.1544011544011501E-3</v>
      </c>
      <c r="N860">
        <v>8.4573738709077008E-3</v>
      </c>
      <c r="O860">
        <v>570</v>
      </c>
      <c r="P860">
        <v>6.4183501683501606E-2</v>
      </c>
      <c r="Q860">
        <v>6.4343069532592306E-2</v>
      </c>
      <c r="R860">
        <v>0</v>
      </c>
      <c r="S860">
        <v>0</v>
      </c>
      <c r="T860" t="s">
        <v>49</v>
      </c>
      <c r="U860">
        <v>3.0566037735849001E-2</v>
      </c>
      <c r="V860">
        <v>0</v>
      </c>
      <c r="W860">
        <v>0</v>
      </c>
      <c r="X860">
        <v>0</v>
      </c>
      <c r="Y860">
        <v>3.0353071506245399E-2</v>
      </c>
      <c r="Z860">
        <v>4.1893050558463998E-2</v>
      </c>
      <c r="AA860">
        <v>0</v>
      </c>
      <c r="AB860">
        <v>3.6745000630617142E-2</v>
      </c>
      <c r="AC860">
        <v>2.8199999360367661E-4</v>
      </c>
      <c r="AD860">
        <v>5.5470000952482224E-3</v>
      </c>
      <c r="AE860">
        <v>1.897000009194016E-3</v>
      </c>
      <c r="AF860">
        <f>0.16*X860 + 0.28*Y860 + 0.28*Z860 + 0.28*AA860</f>
        <v>2.0228914178118632E-2</v>
      </c>
      <c r="AG860">
        <f t="shared" si="39"/>
        <v>8.0424801283515979E-3</v>
      </c>
      <c r="AH860">
        <f>IF(T860="IT_Admin", 0.25, IF(AND(T860="HR", AA860&gt;0.6), 0.25, IF(AND(T860="General", Z860&gt;0.7), 0.2, 0.1)))</f>
        <v>0.1</v>
      </c>
      <c r="AI860">
        <f>IF(V860&gt;0.7, 0.1,
 IF(F860&gt;0.5, 0.08,
 IF(E860&gt;0.5, 0.05,
 0)))</f>
        <v>0</v>
      </c>
      <c r="AJ860">
        <f t="shared" si="40"/>
        <v>1.1698410343281708E-2</v>
      </c>
      <c r="AK860">
        <f t="shared" si="41"/>
        <v>1.286825137760988E-2</v>
      </c>
      <c r="AL860" t="str">
        <f>IF(MAX(X860, Y860, Z860, AA860)&gt;0.9,
 "Critical",
 IF(AK860&lt;=0.2,"Very Low",
 IF(AK860&lt;=0.4,"Low",
 IF(AK860&lt;=0.6,"Medium",
 IF(AK860&lt;=0.8,"High","Critical")))))</f>
        <v>Very Low</v>
      </c>
      <c r="AM860" t="str">
        <f>IF(MAX(X860:AA860)&gt;0.9,"CRITICAL ALERT",
 IF(AK860&gt;0.8,"CRITICAL ALERT",
 IF(AK860&gt;0.6,"ALERT",
 IF(AK860&gt;=0.4,"REVIEW","NO ACTION"))))</f>
        <v>NO ACTION</v>
      </c>
      <c r="AN860" t="str">
        <f>IF(AM860="NO ACTION","",
 IF(_xlfn.TEXTJOIN(", ", TRUE,
  IF(X860&gt;0.7,"Login anomaly",""),
  IF(Y860&gt;0.7,"File anomaly",""),
  IF(Z860&gt;0.7,"Network anomaly",""),
  IF(AA860&gt;0.7,"USB anomaly","")
 )="",
 "General anomaly detected",
 _xlfn.TEXTJOIN(", ", TRUE,
  IF(X860&gt;0.7,"Login anomaly",""),
  IF(Y860&gt;0.7,"File anomaly",""),
  IF(Z860&gt;0.7,"Network anomaly",""),
  IF(AA860&gt;0.7,"USB anomaly","")
 )))</f>
        <v/>
      </c>
    </row>
    <row r="861" spans="1:40" x14ac:dyDescent="0.3">
      <c r="A861" t="s">
        <v>884</v>
      </c>
      <c r="B861">
        <v>0.262759924385633</v>
      </c>
      <c r="C861">
        <v>0.76840380014976095</v>
      </c>
      <c r="D861">
        <v>0.52494796340607297</v>
      </c>
      <c r="E861">
        <v>0.26068987442378</v>
      </c>
      <c r="F861">
        <v>7.43919885550786E-2</v>
      </c>
      <c r="G861">
        <v>0.414539988936381</v>
      </c>
      <c r="H861">
        <v>0</v>
      </c>
      <c r="I861">
        <v>23</v>
      </c>
      <c r="J861">
        <v>0.104002671628262</v>
      </c>
      <c r="K861">
        <v>2.6916802610114102E-2</v>
      </c>
      <c r="L861">
        <v>6.59572680409823E-2</v>
      </c>
      <c r="M861">
        <v>2.1067821067820999E-2</v>
      </c>
      <c r="N861">
        <v>0.12213551005313</v>
      </c>
      <c r="O861">
        <v>561</v>
      </c>
      <c r="P861">
        <v>9.8274410774410695E-2</v>
      </c>
      <c r="Q861">
        <v>9.8425610996177901E-2</v>
      </c>
      <c r="R861">
        <v>0.89823008849557495</v>
      </c>
      <c r="S861">
        <v>1</v>
      </c>
      <c r="T861" t="s">
        <v>24</v>
      </c>
      <c r="U861">
        <v>7.57266700662927E-3</v>
      </c>
      <c r="V861">
        <v>0</v>
      </c>
      <c r="W861">
        <v>0.16012279175414301</v>
      </c>
      <c r="X861">
        <v>0.26544814677098699</v>
      </c>
      <c r="Y861">
        <v>9.0419821362082597E-2</v>
      </c>
      <c r="Z861">
        <v>0.107818850485898</v>
      </c>
      <c r="AA861">
        <v>0.89823008849557495</v>
      </c>
      <c r="AB861">
        <v>0.2036429941654205</v>
      </c>
      <c r="AC861">
        <v>4.201000090688467E-3</v>
      </c>
      <c r="AD861">
        <v>5.3499999921768904E-4</v>
      </c>
      <c r="AE861">
        <v>0.78793197870254517</v>
      </c>
      <c r="AF861">
        <f>0.16*X861 + 0.28*Y861 + 0.28*Z861 + 0.28*AA861</f>
        <v>0.34948295637955351</v>
      </c>
      <c r="AG861">
        <f t="shared" si="39"/>
        <v>0.25452991312835366</v>
      </c>
      <c r="AH861">
        <f>IF(T861="IT_Admin", 0.25, IF(AND(T861="HR", AA861&gt;0.6), 0.25, IF(AND(T861="General", Z861&gt;0.7), 0.2, 0.1)))</f>
        <v>0.25</v>
      </c>
      <c r="AI861">
        <f>IF(V861&gt;0.7, 0.1,
 IF(F861&gt;0.5, 0.08,
 IF(E861&gt;0.5, 0.05,
 0)))</f>
        <v>0</v>
      </c>
      <c r="AJ861">
        <f t="shared" si="40"/>
        <v>0.28301582610371362</v>
      </c>
      <c r="AK861">
        <f t="shared" si="41"/>
        <v>0.35376978262964204</v>
      </c>
      <c r="AL861" t="str">
        <f>IF(MAX(X861, Y861, Z861, AA861)&gt;0.9,
 "Critical",
 IF(AK861&lt;=0.2,"Very Low",
 IF(AK861&lt;=0.4,"Low",
 IF(AK861&lt;=0.6,"Medium",
 IF(AK861&lt;=0.8,"High","Critical")))))</f>
        <v>Low</v>
      </c>
      <c r="AM861" t="str">
        <f>IF(MAX(X861:AA861)&gt;0.9,"CRITICAL ALERT",
 IF(AK861&gt;0.8,"CRITICAL ALERT",
 IF(AK861&gt;0.6,"ALERT",
 IF(AK861&gt;=0.4,"REVIEW","NO ACTION"))))</f>
        <v>NO ACTION</v>
      </c>
      <c r="AN861" t="str">
        <f>IF(AM861="NO ACTION","",
 IF(_xlfn.TEXTJOIN(", ", TRUE,
  IF(X861&gt;0.7,"Login anomaly",""),
  IF(Y861&gt;0.7,"File anomaly",""),
  IF(Z861&gt;0.7,"Network anomaly",""),
  IF(AA861&gt;0.7,"USB anomaly","")
 )="",
 "General anomaly detected",
 _xlfn.TEXTJOIN(", ", TRUE,
  IF(X861&gt;0.7,"Login anomaly",""),
  IF(Y861&gt;0.7,"File anomaly",""),
  IF(Z861&gt;0.7,"Network anomaly",""),
  IF(AA861&gt;0.7,"USB anomaly","")
 )))</f>
        <v/>
      </c>
    </row>
    <row r="862" spans="1:40" x14ac:dyDescent="0.3">
      <c r="A862" t="s">
        <v>885</v>
      </c>
      <c r="B862">
        <v>0.12892249527410199</v>
      </c>
      <c r="C862">
        <v>0</v>
      </c>
      <c r="D862">
        <v>0</v>
      </c>
      <c r="E862">
        <v>0</v>
      </c>
      <c r="F862">
        <v>1</v>
      </c>
      <c r="G862">
        <v>0.99367155573459398</v>
      </c>
      <c r="H862">
        <v>6</v>
      </c>
      <c r="I862">
        <v>6</v>
      </c>
      <c r="J862">
        <v>7.3135823672534697E-2</v>
      </c>
      <c r="K862">
        <v>7.34094616639478E-3</v>
      </c>
      <c r="L862">
        <v>2.5555614848601398E-2</v>
      </c>
      <c r="M862">
        <v>8.6580086580086504E-4</v>
      </c>
      <c r="N862">
        <v>7.1307539447981504E-3</v>
      </c>
      <c r="O862">
        <v>739</v>
      </c>
      <c r="P862">
        <v>5.7344276094276003E-2</v>
      </c>
      <c r="Q862">
        <v>5.7505522634033399E-2</v>
      </c>
      <c r="R862">
        <v>0</v>
      </c>
      <c r="S862">
        <v>0</v>
      </c>
      <c r="T862" t="s">
        <v>49</v>
      </c>
      <c r="U862">
        <v>3.8207547169811298E-2</v>
      </c>
      <c r="V862">
        <v>0</v>
      </c>
      <c r="W862">
        <v>0</v>
      </c>
      <c r="X862">
        <v>0.4</v>
      </c>
      <c r="Y862">
        <v>2.9544198342247099E-2</v>
      </c>
      <c r="Z862">
        <v>3.7258867234484898E-2</v>
      </c>
      <c r="AA862">
        <v>0</v>
      </c>
      <c r="AB862">
        <v>0.119098000228405</v>
      </c>
      <c r="AC862">
        <v>2.8199999360367661E-4</v>
      </c>
      <c r="AD862">
        <v>6.6550001502037048E-3</v>
      </c>
      <c r="AE862">
        <v>3.0999999580672011E-5</v>
      </c>
      <c r="AF862">
        <f>0.16*X862 + 0.28*Y862 + 0.28*Z862 + 0.28*AA862</f>
        <v>8.2704858361484959E-2</v>
      </c>
      <c r="AG862">
        <f t="shared" si="39"/>
        <v>2.1006720076693453E-2</v>
      </c>
      <c r="AH862">
        <f>IF(T862="IT_Admin", 0.25, IF(AND(T862="HR", AA862&gt;0.6), 0.25, IF(AND(T862="General", Z862&gt;0.7), 0.2, 0.1)))</f>
        <v>0.1</v>
      </c>
      <c r="AI862">
        <f>IF(V862&gt;0.7, 0.1,
 IF(F862&gt;0.5, 0.08,
 IF(E862&gt;0.5, 0.05,
 0)))</f>
        <v>0.08</v>
      </c>
      <c r="AJ862">
        <f t="shared" si="40"/>
        <v>3.9516161562130905E-2</v>
      </c>
      <c r="AK862">
        <f t="shared" si="41"/>
        <v>4.6629070643314473E-2</v>
      </c>
      <c r="AL862" t="str">
        <f>IF(MAX(X862, Y862, Z862, AA862)&gt;0.9,
 "Critical",
 IF(AK862&lt;=0.2,"Very Low",
 IF(AK862&lt;=0.4,"Low",
 IF(AK862&lt;=0.6,"Medium",
 IF(AK862&lt;=0.8,"High","Critical")))))</f>
        <v>Very Low</v>
      </c>
      <c r="AM862" t="str">
        <f>IF(MAX(X862:AA862)&gt;0.9,"CRITICAL ALERT",
 IF(AK862&gt;0.8,"CRITICAL ALERT",
 IF(AK862&gt;0.6,"ALERT",
 IF(AK862&gt;=0.4,"REVIEW","NO ACTION"))))</f>
        <v>NO ACTION</v>
      </c>
      <c r="AN862" t="str">
        <f>IF(AM862="NO ACTION","",
 IF(_xlfn.TEXTJOIN(", ", TRUE,
  IF(X862&gt;0.7,"Login anomaly",""),
  IF(Y862&gt;0.7,"File anomaly",""),
  IF(Z862&gt;0.7,"Network anomaly",""),
  IF(AA862&gt;0.7,"USB anomaly","")
 )="",
 "General anomaly detected",
 _xlfn.TEXTJOIN(", ", TRUE,
  IF(X862&gt;0.7,"Login anomaly",""),
  IF(Y862&gt;0.7,"File anomaly",""),
  IF(Z862&gt;0.7,"Network anomaly",""),
  IF(AA862&gt;0.7,"USB anomaly","")
 )))</f>
        <v/>
      </c>
    </row>
    <row r="863" spans="1:40" x14ac:dyDescent="0.3">
      <c r="A863" t="s">
        <v>886</v>
      </c>
      <c r="B863">
        <v>0.12892249527410199</v>
      </c>
      <c r="C863">
        <v>0.36953165208440503</v>
      </c>
      <c r="D863">
        <v>0</v>
      </c>
      <c r="E863">
        <v>0</v>
      </c>
      <c r="F863">
        <v>0</v>
      </c>
      <c r="G863">
        <v>0.99367557013941799</v>
      </c>
      <c r="H863">
        <v>8</v>
      </c>
      <c r="I863">
        <v>8</v>
      </c>
      <c r="J863">
        <v>7.5855159582081E-2</v>
      </c>
      <c r="K863">
        <v>1.38662316476345E-2</v>
      </c>
      <c r="L863">
        <v>4.6546646174262102E-2</v>
      </c>
      <c r="M863">
        <v>1.44300144300144E-3</v>
      </c>
      <c r="N863">
        <v>1.14598741557989E-2</v>
      </c>
      <c r="O863">
        <v>842</v>
      </c>
      <c r="P863">
        <v>6.2429854096520701E-2</v>
      </c>
      <c r="Q863">
        <v>6.2589852379115601E-2</v>
      </c>
      <c r="R863">
        <v>0</v>
      </c>
      <c r="S863">
        <v>0</v>
      </c>
      <c r="T863" t="s">
        <v>49</v>
      </c>
      <c r="U863">
        <v>4.8113207547169801E-2</v>
      </c>
      <c r="V863">
        <v>0</v>
      </c>
      <c r="W863">
        <v>0</v>
      </c>
      <c r="X863">
        <v>0</v>
      </c>
      <c r="Y863">
        <v>4.1882317250286898E-2</v>
      </c>
      <c r="Z863">
        <v>4.2041862120231997E-2</v>
      </c>
      <c r="AA863">
        <v>0</v>
      </c>
      <c r="AB863">
        <v>2.4646999314427379E-2</v>
      </c>
      <c r="AC863">
        <v>7.8999997640494257E-5</v>
      </c>
      <c r="AD863">
        <v>5.7100001722574234E-3</v>
      </c>
      <c r="AE863">
        <v>1.728000002913177E-3</v>
      </c>
      <c r="AF863">
        <f>0.16*X863 + 0.28*Y863 + 0.28*Z863 + 0.28*AA863</f>
        <v>2.3498770223745295E-2</v>
      </c>
      <c r="AG863">
        <f t="shared" si="39"/>
        <v>6.0482799386954869E-3</v>
      </c>
      <c r="AH863">
        <f>IF(T863="IT_Admin", 0.25, IF(AND(T863="HR", AA863&gt;0.6), 0.25, IF(AND(T863="General", Z863&gt;0.7), 0.2, 0.1)))</f>
        <v>0.1</v>
      </c>
      <c r="AI863">
        <f>IF(V863&gt;0.7, 0.1,
 IF(F863&gt;0.5, 0.08,
 IF(E863&gt;0.5, 0.05,
 0)))</f>
        <v>0</v>
      </c>
      <c r="AJ863">
        <f t="shared" si="40"/>
        <v>1.1283427024210429E-2</v>
      </c>
      <c r="AK863">
        <f t="shared" si="41"/>
        <v>1.2411769726631473E-2</v>
      </c>
      <c r="AL863" t="str">
        <f>IF(MAX(X863, Y863, Z863, AA863)&gt;0.9,
 "Critical",
 IF(AK863&lt;=0.2,"Very Low",
 IF(AK863&lt;=0.4,"Low",
 IF(AK863&lt;=0.6,"Medium",
 IF(AK863&lt;=0.8,"High","Critical")))))</f>
        <v>Very Low</v>
      </c>
      <c r="AM863" t="str">
        <f>IF(MAX(X863:AA863)&gt;0.9,"CRITICAL ALERT",
 IF(AK863&gt;0.8,"CRITICAL ALERT",
 IF(AK863&gt;0.6,"ALERT",
 IF(AK863&gt;=0.4,"REVIEW","NO ACTION"))))</f>
        <v>NO ACTION</v>
      </c>
      <c r="AN863" t="str">
        <f>IF(AM863="NO ACTION","",
 IF(_xlfn.TEXTJOIN(", ", TRUE,
  IF(X863&gt;0.7,"Login anomaly",""),
  IF(Y863&gt;0.7,"File anomaly",""),
  IF(Z863&gt;0.7,"Network anomaly",""),
  IF(AA863&gt;0.7,"USB anomaly","")
 )="",
 "General anomaly detected",
 _xlfn.TEXTJOIN(", ", TRUE,
  IF(X863&gt;0.7,"Login anomaly",""),
  IF(Y863&gt;0.7,"File anomaly",""),
  IF(Z863&gt;0.7,"Network anomaly",""),
  IF(AA863&gt;0.7,"USB anomaly","")
 )))</f>
        <v/>
      </c>
    </row>
    <row r="864" spans="1:40" x14ac:dyDescent="0.3">
      <c r="A864" t="s">
        <v>887</v>
      </c>
      <c r="B864">
        <v>0.241209829867674</v>
      </c>
      <c r="C864">
        <v>0.61214472272860598</v>
      </c>
      <c r="D864">
        <v>0.38481692873427098</v>
      </c>
      <c r="E864">
        <v>0</v>
      </c>
      <c r="F864">
        <v>0</v>
      </c>
      <c r="G864">
        <v>0.46442073585222599</v>
      </c>
      <c r="H864">
        <v>7</v>
      </c>
      <c r="I864">
        <v>13</v>
      </c>
      <c r="J864">
        <v>5.6438147034969702E-2</v>
      </c>
      <c r="K864">
        <v>1.9575856443719401E-2</v>
      </c>
      <c r="L864">
        <v>8.8225669219189701E-2</v>
      </c>
      <c r="M864">
        <v>8.6580086580086504E-4</v>
      </c>
      <c r="N864">
        <v>9.2315652921713502E-3</v>
      </c>
      <c r="O864">
        <v>581</v>
      </c>
      <c r="P864">
        <v>5.0329685746352402E-2</v>
      </c>
      <c r="Q864">
        <v>5.0492654020126898E-2</v>
      </c>
      <c r="R864">
        <v>0.182890855457227</v>
      </c>
      <c r="S864">
        <v>1</v>
      </c>
      <c r="T864" t="s">
        <v>49</v>
      </c>
      <c r="U864">
        <v>0.10188679245283</v>
      </c>
      <c r="V864">
        <v>0</v>
      </c>
      <c r="W864">
        <v>0</v>
      </c>
      <c r="X864">
        <v>0.115445078620281</v>
      </c>
      <c r="Y864">
        <v>5.81699336042402E-2</v>
      </c>
      <c r="Z864">
        <v>3.3890437564679902E-2</v>
      </c>
      <c r="AA864">
        <v>0.182890855457227</v>
      </c>
      <c r="AB864">
        <v>2.248799987137318E-2</v>
      </c>
      <c r="AC864">
        <v>2.0429999567568302E-3</v>
      </c>
      <c r="AD864">
        <v>6.876000203192234E-3</v>
      </c>
      <c r="AE864">
        <v>6.5407998859882355E-2</v>
      </c>
      <c r="AF864">
        <f>0.16*X864 + 0.28*Y864 + 0.28*Z864 + 0.28*AA864</f>
        <v>9.5457556034566154E-2</v>
      </c>
      <c r="AG864">
        <f t="shared" si="39"/>
        <v>2.4409639704972508E-2</v>
      </c>
      <c r="AH864">
        <f>IF(T864="IT_Admin", 0.25, IF(AND(T864="HR", AA864&gt;0.6), 0.25, IF(AND(T864="General", Z864&gt;0.7), 0.2, 0.1)))</f>
        <v>0.1</v>
      </c>
      <c r="AI864">
        <f>IF(V864&gt;0.7, 0.1,
 IF(F864&gt;0.5, 0.08,
 IF(E864&gt;0.5, 0.05,
 0)))</f>
        <v>0</v>
      </c>
      <c r="AJ864">
        <f t="shared" si="40"/>
        <v>4.5724014603850602E-2</v>
      </c>
      <c r="AK864">
        <f t="shared" si="41"/>
        <v>5.0296416064235669E-2</v>
      </c>
      <c r="AL864" t="str">
        <f>IF(MAX(X864, Y864, Z864, AA864)&gt;0.9,
 "Critical",
 IF(AK864&lt;=0.2,"Very Low",
 IF(AK864&lt;=0.4,"Low",
 IF(AK864&lt;=0.6,"Medium",
 IF(AK864&lt;=0.8,"High","Critical")))))</f>
        <v>Very Low</v>
      </c>
      <c r="AM864" t="str">
        <f>IF(MAX(X864:AA864)&gt;0.9,"CRITICAL ALERT",
 IF(AK864&gt;0.8,"CRITICAL ALERT",
 IF(AK864&gt;0.6,"ALERT",
 IF(AK864&gt;=0.4,"REVIEW","NO ACTION"))))</f>
        <v>NO ACTION</v>
      </c>
      <c r="AN864" t="str">
        <f>IF(AM864="NO ACTION","",
 IF(_xlfn.TEXTJOIN(", ", TRUE,
  IF(X864&gt;0.7,"Login anomaly",""),
  IF(Y864&gt;0.7,"File anomaly",""),
  IF(Z864&gt;0.7,"Network anomaly",""),
  IF(AA864&gt;0.7,"USB anomaly","")
 )="",
 "General anomaly detected",
 _xlfn.TEXTJOIN(", ", TRUE,
  IF(X864&gt;0.7,"Login anomaly",""),
  IF(Y864&gt;0.7,"File anomaly",""),
  IF(Z864&gt;0.7,"Network anomaly",""),
  IF(AA864&gt;0.7,"USB anomaly","")
 )))</f>
        <v/>
      </c>
    </row>
    <row r="865" spans="1:40" x14ac:dyDescent="0.3">
      <c r="A865" t="s">
        <v>888</v>
      </c>
      <c r="B865">
        <v>0.23629489603024501</v>
      </c>
      <c r="C865">
        <v>0.92764781977945299</v>
      </c>
      <c r="D865">
        <v>0.34399690706868302</v>
      </c>
      <c r="E865">
        <v>0</v>
      </c>
      <c r="F865">
        <v>0</v>
      </c>
      <c r="G865">
        <v>0.47740129367983097</v>
      </c>
      <c r="H865">
        <v>9</v>
      </c>
      <c r="I865">
        <v>15</v>
      </c>
      <c r="J865">
        <v>0.104479748103621</v>
      </c>
      <c r="K865">
        <v>1.0603588907014599E-2</v>
      </c>
      <c r="L865">
        <v>2.58647918644868E-2</v>
      </c>
      <c r="M865">
        <v>0</v>
      </c>
      <c r="N865">
        <v>0</v>
      </c>
      <c r="O865">
        <v>450</v>
      </c>
      <c r="P865">
        <v>8.1369248035914707E-2</v>
      </c>
      <c r="Q865">
        <v>8.1524597636663199E-2</v>
      </c>
      <c r="R865">
        <v>0</v>
      </c>
      <c r="S865">
        <v>0</v>
      </c>
      <c r="T865" t="s">
        <v>24</v>
      </c>
      <c r="U865">
        <v>0.220754716981132</v>
      </c>
      <c r="V865">
        <v>0</v>
      </c>
      <c r="W865">
        <v>0</v>
      </c>
      <c r="X865">
        <v>0.103199072120605</v>
      </c>
      <c r="Y865">
        <v>3.3828345552967598E-2</v>
      </c>
      <c r="Z865">
        <v>4.8821548821548801E-2</v>
      </c>
      <c r="AA865">
        <v>0</v>
      </c>
      <c r="AB865">
        <v>6.6821999847888947E-2</v>
      </c>
      <c r="AC865">
        <v>1.1505000293254851E-2</v>
      </c>
      <c r="AD865">
        <v>3.5089999437332149E-3</v>
      </c>
      <c r="AE865">
        <v>5.8559998869895944E-3</v>
      </c>
      <c r="AF865">
        <f>0.16*X865 + 0.28*Y865 + 0.28*Z865 + 0.28*AA865</f>
        <v>3.9653821964161395E-2</v>
      </c>
      <c r="AG865">
        <f t="shared" si="39"/>
        <v>1.6535120010375978E-2</v>
      </c>
      <c r="AH865">
        <f>IF(T865="IT_Admin", 0.25, IF(AND(T865="HR", AA865&gt;0.6), 0.25, IF(AND(T865="General", Z865&gt;0.7), 0.2, 0.1)))</f>
        <v>0.25</v>
      </c>
      <c r="AI865">
        <f>IF(V865&gt;0.7, 0.1,
 IF(F865&gt;0.5, 0.08,
 IF(E865&gt;0.5, 0.05,
 0)))</f>
        <v>0</v>
      </c>
      <c r="AJ865">
        <f t="shared" si="40"/>
        <v>2.3470730596511603E-2</v>
      </c>
      <c r="AK865">
        <f t="shared" si="41"/>
        <v>2.9338413245639502E-2</v>
      </c>
      <c r="AL865" t="str">
        <f>IF(MAX(X865, Y865, Z865, AA865)&gt;0.9,
 "Critical",
 IF(AK865&lt;=0.2,"Very Low",
 IF(AK865&lt;=0.4,"Low",
 IF(AK865&lt;=0.6,"Medium",
 IF(AK865&lt;=0.8,"High","Critical")))))</f>
        <v>Very Low</v>
      </c>
      <c r="AM865" t="str">
        <f>IF(MAX(X865:AA865)&gt;0.9,"CRITICAL ALERT",
 IF(AK865&gt;0.8,"CRITICAL ALERT",
 IF(AK865&gt;0.6,"ALERT",
 IF(AK865&gt;=0.4,"REVIEW","NO ACTION"))))</f>
        <v>NO ACTION</v>
      </c>
      <c r="AN865" t="str">
        <f>IF(AM865="NO ACTION","",
 IF(_xlfn.TEXTJOIN(", ", TRUE,
  IF(X865&gt;0.7,"Login anomaly",""),
  IF(Y865&gt;0.7,"File anomaly",""),
  IF(Z865&gt;0.7,"Network anomaly",""),
  IF(AA865&gt;0.7,"USB anomaly","")
 )="",
 "General anomaly detected",
 _xlfn.TEXTJOIN(", ", TRUE,
  IF(X865&gt;0.7,"Login anomaly",""),
  IF(Y865&gt;0.7,"File anomaly",""),
  IF(Z865&gt;0.7,"Network anomaly",""),
  IF(AA865&gt;0.7,"USB anomaly","")
 )))</f>
        <v/>
      </c>
    </row>
    <row r="866" spans="1:40" x14ac:dyDescent="0.3">
      <c r="A866" t="s">
        <v>889</v>
      </c>
      <c r="B866">
        <v>0.12892249527410199</v>
      </c>
      <c r="C866">
        <v>0.18476582604220201</v>
      </c>
      <c r="D866">
        <v>0</v>
      </c>
      <c r="E866">
        <v>0</v>
      </c>
      <c r="F866">
        <v>0</v>
      </c>
      <c r="G866">
        <v>0.99367824640930102</v>
      </c>
      <c r="H866">
        <v>7</v>
      </c>
      <c r="I866">
        <v>7</v>
      </c>
      <c r="J866">
        <v>8.4681074376222507E-2</v>
      </c>
      <c r="K866">
        <v>8.9722675367047301E-3</v>
      </c>
      <c r="L866">
        <v>2.6988133084184698E-2</v>
      </c>
      <c r="M866">
        <v>2.8860028860028799E-3</v>
      </c>
      <c r="N866">
        <v>2.0537639638763198E-2</v>
      </c>
      <c r="O866">
        <v>942</v>
      </c>
      <c r="P866">
        <v>6.7515432098765399E-2</v>
      </c>
      <c r="Q866">
        <v>6.7674182124197901E-2</v>
      </c>
      <c r="R866">
        <v>0</v>
      </c>
      <c r="S866">
        <v>0</v>
      </c>
      <c r="T866" t="s">
        <v>49</v>
      </c>
      <c r="U866">
        <v>1.6981132075471601E-2</v>
      </c>
      <c r="V866">
        <v>0</v>
      </c>
      <c r="W866">
        <v>0</v>
      </c>
      <c r="X866">
        <v>0</v>
      </c>
      <c r="Y866">
        <v>3.65915733089658E-2</v>
      </c>
      <c r="Z866">
        <v>4.8724315114764501E-2</v>
      </c>
      <c r="AA866">
        <v>0</v>
      </c>
      <c r="AB866">
        <v>3.6628998816013343E-2</v>
      </c>
      <c r="AC866">
        <v>2.460000105202198E-4</v>
      </c>
      <c r="AD866">
        <v>4.7920001670718193E-3</v>
      </c>
      <c r="AE866">
        <v>1.57199997920543E-3</v>
      </c>
      <c r="AF866">
        <f>0.16*X866 + 0.28*Y866 + 0.28*Z866 + 0.28*AA866</f>
        <v>2.3888448758644487E-2</v>
      </c>
      <c r="AG866">
        <f t="shared" si="39"/>
        <v>7.711439854465426E-3</v>
      </c>
      <c r="AH866">
        <f>IF(T866="IT_Admin", 0.25, IF(AND(T866="HR", AA866&gt;0.6), 0.25, IF(AND(T866="General", Z866&gt;0.7), 0.2, 0.1)))</f>
        <v>0.1</v>
      </c>
      <c r="AI866">
        <f>IF(V866&gt;0.7, 0.1,
 IF(F866&gt;0.5, 0.08,
 IF(E866&gt;0.5, 0.05,
 0)))</f>
        <v>0</v>
      </c>
      <c r="AJ866">
        <f t="shared" si="40"/>
        <v>1.2564542525719143E-2</v>
      </c>
      <c r="AK866">
        <f t="shared" si="41"/>
        <v>1.3820996778291059E-2</v>
      </c>
      <c r="AL866" t="str">
        <f>IF(MAX(X866, Y866, Z866, AA866)&gt;0.9,
 "Critical",
 IF(AK866&lt;=0.2,"Very Low",
 IF(AK866&lt;=0.4,"Low",
 IF(AK866&lt;=0.6,"Medium",
 IF(AK866&lt;=0.8,"High","Critical")))))</f>
        <v>Very Low</v>
      </c>
      <c r="AM866" t="str">
        <f>IF(MAX(X866:AA866)&gt;0.9,"CRITICAL ALERT",
 IF(AK866&gt;0.8,"CRITICAL ALERT",
 IF(AK866&gt;0.6,"ALERT",
 IF(AK866&gt;=0.4,"REVIEW","NO ACTION"))))</f>
        <v>NO ACTION</v>
      </c>
      <c r="AN866" t="str">
        <f>IF(AM866="NO ACTION","",
 IF(_xlfn.TEXTJOIN(", ", TRUE,
  IF(X866&gt;0.7,"Login anomaly",""),
  IF(Y866&gt;0.7,"File anomaly",""),
  IF(Z866&gt;0.7,"Network anomaly",""),
  IF(AA866&gt;0.7,"USB anomaly","")
 )="",
 "General anomaly detected",
 _xlfn.TEXTJOIN(", ", TRUE,
  IF(X866&gt;0.7,"Login anomaly",""),
  IF(Y866&gt;0.7,"File anomaly",""),
  IF(Z866&gt;0.7,"Network anomaly",""),
  IF(AA866&gt;0.7,"USB anomaly","")
 )))</f>
        <v/>
      </c>
    </row>
    <row r="867" spans="1:40" x14ac:dyDescent="0.3">
      <c r="A867" t="s">
        <v>890</v>
      </c>
      <c r="B867">
        <v>0.235538752362948</v>
      </c>
      <c r="C867">
        <v>0.59820514651622203</v>
      </c>
      <c r="D867">
        <v>0.38002912375558401</v>
      </c>
      <c r="E867">
        <v>0</v>
      </c>
      <c r="F867">
        <v>0</v>
      </c>
      <c r="G867">
        <v>0.47938214858568001</v>
      </c>
      <c r="H867">
        <v>7</v>
      </c>
      <c r="I867">
        <v>13</v>
      </c>
      <c r="J867">
        <v>7.6904727827870806E-2</v>
      </c>
      <c r="K867">
        <v>9.7879282218597003E-3</v>
      </c>
      <c r="L867">
        <v>3.24094295090901E-2</v>
      </c>
      <c r="M867">
        <v>3.7518037518037501E-3</v>
      </c>
      <c r="N867">
        <v>2.9390289501606701E-2</v>
      </c>
      <c r="O867">
        <v>838</v>
      </c>
      <c r="P867">
        <v>6.2570145903479202E-2</v>
      </c>
      <c r="Q867">
        <v>6.2730109751393801E-2</v>
      </c>
      <c r="R867">
        <v>0.77876106194690198</v>
      </c>
      <c r="S867">
        <v>1</v>
      </c>
      <c r="T867" t="s">
        <v>49</v>
      </c>
      <c r="U867">
        <v>1.4555256064690001E-2</v>
      </c>
      <c r="V867">
        <v>0</v>
      </c>
      <c r="W867">
        <v>0</v>
      </c>
      <c r="X867">
        <v>0.114008737126675</v>
      </c>
      <c r="Y867">
        <v>4.0402747170601203E-2</v>
      </c>
      <c r="Z867">
        <v>4.9298203342730197E-2</v>
      </c>
      <c r="AA867">
        <v>0.77876106194690198</v>
      </c>
      <c r="AB867">
        <v>1.9480999559164051E-2</v>
      </c>
      <c r="AC867">
        <v>2.3999999393709001E-4</v>
      </c>
      <c r="AD867">
        <v>4.3970001861453056E-3</v>
      </c>
      <c r="AE867">
        <v>0.6062769889831543</v>
      </c>
      <c r="AF867">
        <f>0.16*X867 + 0.28*Y867 + 0.28*Z867 + 0.28*AA867</f>
        <v>0.26141076142913333</v>
      </c>
      <c r="AG867">
        <f t="shared" si="39"/>
        <v>0.17417287689517252</v>
      </c>
      <c r="AH867">
        <f>IF(T867="IT_Admin", 0.25, IF(AND(T867="HR", AA867&gt;0.6), 0.25, IF(AND(T867="General", Z867&gt;0.7), 0.2, 0.1)))</f>
        <v>0.1</v>
      </c>
      <c r="AI867">
        <f>IF(V867&gt;0.7, 0.1,
 IF(F867&gt;0.5, 0.08,
 IF(E867&gt;0.5, 0.05,
 0)))</f>
        <v>0</v>
      </c>
      <c r="AJ867">
        <f t="shared" si="40"/>
        <v>0.20034424225536074</v>
      </c>
      <c r="AK867">
        <f t="shared" si="41"/>
        <v>0.22037866648089682</v>
      </c>
      <c r="AL867" t="str">
        <f>IF(MAX(X867, Y867, Z867, AA867)&gt;0.9,
 "Critical",
 IF(AK867&lt;=0.2,"Very Low",
 IF(AK867&lt;=0.4,"Low",
 IF(AK867&lt;=0.6,"Medium",
 IF(AK867&lt;=0.8,"High","Critical")))))</f>
        <v>Low</v>
      </c>
      <c r="AM867" t="str">
        <f>IF(MAX(X867:AA867)&gt;0.9,"CRITICAL ALERT",
 IF(AK867&gt;0.8,"CRITICAL ALERT",
 IF(AK867&gt;0.6,"ALERT",
 IF(AK867&gt;=0.4,"REVIEW","NO ACTION"))))</f>
        <v>NO ACTION</v>
      </c>
      <c r="AN867" t="str">
        <f>IF(AM867="NO ACTION","",
 IF(_xlfn.TEXTJOIN(", ", TRUE,
  IF(X867&gt;0.7,"Login anomaly",""),
  IF(Y867&gt;0.7,"File anomaly",""),
  IF(Z867&gt;0.7,"Network anomaly",""),
  IF(AA867&gt;0.7,"USB anomaly","")
 )="",
 "General anomaly detected",
 _xlfn.TEXTJOIN(", ", TRUE,
  IF(X867&gt;0.7,"Login anomaly",""),
  IF(Y867&gt;0.7,"File anomaly",""),
  IF(Z867&gt;0.7,"Network anomaly",""),
  IF(AA867&gt;0.7,"USB anomaly","")
 )))</f>
        <v/>
      </c>
    </row>
    <row r="868" spans="1:40" x14ac:dyDescent="0.3">
      <c r="A868" t="s">
        <v>891</v>
      </c>
      <c r="B868">
        <v>0.23251417769376101</v>
      </c>
      <c r="C868">
        <v>0.57489334564989003</v>
      </c>
      <c r="D868">
        <v>0.36361934628977799</v>
      </c>
      <c r="E868">
        <v>0</v>
      </c>
      <c r="F868">
        <v>0</v>
      </c>
      <c r="G868">
        <v>0.487526989638359</v>
      </c>
      <c r="H868">
        <v>7</v>
      </c>
      <c r="I868">
        <v>13</v>
      </c>
      <c r="J868">
        <v>7.7334096655693907E-2</v>
      </c>
      <c r="K868">
        <v>1.0603588907014599E-2</v>
      </c>
      <c r="L868">
        <v>3.4915878316450502E-2</v>
      </c>
      <c r="M868">
        <v>5.7720057720057703E-3</v>
      </c>
      <c r="N868">
        <v>4.4965557880686999E-2</v>
      </c>
      <c r="O868">
        <v>583</v>
      </c>
      <c r="P868">
        <v>6.4218574635241304E-2</v>
      </c>
      <c r="Q868">
        <v>6.4378133875661797E-2</v>
      </c>
      <c r="R868">
        <v>0.96755162241887904</v>
      </c>
      <c r="S868">
        <v>1</v>
      </c>
      <c r="T868" t="s">
        <v>49</v>
      </c>
      <c r="U868">
        <v>1.05121293800539E-2</v>
      </c>
      <c r="V868">
        <v>0</v>
      </c>
      <c r="W868">
        <v>0</v>
      </c>
      <c r="X868">
        <v>0.10908580388693299</v>
      </c>
      <c r="Y868">
        <v>4.6414425853570099E-2</v>
      </c>
      <c r="Z868">
        <v>5.6517367933419597E-2</v>
      </c>
      <c r="AA868">
        <v>0.96755162241887904</v>
      </c>
      <c r="AB868">
        <v>1.635700091719627E-2</v>
      </c>
      <c r="AC868">
        <v>4.0799999260343611E-4</v>
      </c>
      <c r="AD868">
        <v>3.777999896556139E-3</v>
      </c>
      <c r="AE868">
        <v>0.95962202548980713</v>
      </c>
      <c r="AF868">
        <f>0.16*X868 + 0.28*Y868 + 0.28*Z868 + 0.28*AA868</f>
        <v>0.31718908515955258</v>
      </c>
      <c r="AG868">
        <f t="shared" si="39"/>
        <v>0.2724833672528621</v>
      </c>
      <c r="AH868">
        <f>IF(T868="IT_Admin", 0.25, IF(AND(T868="HR", AA868&gt;0.6), 0.25, IF(AND(T868="General", Z868&gt;0.7), 0.2, 0.1)))</f>
        <v>0.1</v>
      </c>
      <c r="AI868">
        <f>IF(V868&gt;0.7, 0.1,
 IF(F868&gt;0.5, 0.08,
 IF(E868&gt;0.5, 0.05,
 0)))</f>
        <v>0</v>
      </c>
      <c r="AJ868">
        <f t="shared" si="40"/>
        <v>0.28589508262486923</v>
      </c>
      <c r="AK868">
        <f t="shared" si="41"/>
        <v>0.3144845908873562</v>
      </c>
      <c r="AL868" t="str">
        <f>IF(MAX(X868, Y868, Z868, AA868)&gt;0.9,
 "Critical",
 IF(AK868&lt;=0.2,"Very Low",
 IF(AK868&lt;=0.4,"Low",
 IF(AK868&lt;=0.6,"Medium",
 IF(AK868&lt;=0.8,"High","Critical")))))</f>
        <v>Critical</v>
      </c>
      <c r="AM868" t="str">
        <f>IF(MAX(X868:AA868)&gt;0.9,"CRITICAL ALERT",
 IF(AK868&gt;0.8,"CRITICAL ALERT",
 IF(AK868&gt;0.6,"ALERT",
 IF(AK868&gt;=0.4,"REVIEW","NO ACTION"))))</f>
        <v>CRITICAL ALERT</v>
      </c>
      <c r="AN868" t="str">
        <f>IF(AM868="NO ACTION","",
 IF(_xlfn.TEXTJOIN(", ", TRUE,
  IF(X868&gt;0.7,"Login anomaly",""),
  IF(Y868&gt;0.7,"File anomaly",""),
  IF(Z868&gt;0.7,"Network anomaly",""),
  IF(AA868&gt;0.7,"USB anomaly","")
 )="",
 "General anomaly detected",
 _xlfn.TEXTJOIN(", ", TRUE,
  IF(X868&gt;0.7,"Login anomaly",""),
  IF(Y868&gt;0.7,"File anomaly",""),
  IF(Z868&gt;0.7,"Network anomaly",""),
  IF(AA868&gt;0.7,"USB anomaly","")
 )))</f>
        <v>USB anomaly</v>
      </c>
    </row>
    <row r="869" spans="1:40" x14ac:dyDescent="0.3">
      <c r="A869" t="s">
        <v>892</v>
      </c>
      <c r="B869">
        <v>0.12892249527410199</v>
      </c>
      <c r="C869">
        <v>0.27741651562278502</v>
      </c>
      <c r="D869">
        <v>7.5132489407342906E-2</v>
      </c>
      <c r="E869">
        <v>0</v>
      </c>
      <c r="F869">
        <v>0</v>
      </c>
      <c r="G869">
        <v>0.99367931691725497</v>
      </c>
      <c r="H869">
        <v>7</v>
      </c>
      <c r="I869">
        <v>8</v>
      </c>
      <c r="J869">
        <v>8.6064596154763598E-2</v>
      </c>
      <c r="K869">
        <v>1.0603588907014599E-2</v>
      </c>
      <c r="L869">
        <v>3.1383757956079901E-2</v>
      </c>
      <c r="M869">
        <v>5.7720057720057698E-4</v>
      </c>
      <c r="N869">
        <v>4.0416803269207897E-3</v>
      </c>
      <c r="O869">
        <v>359</v>
      </c>
      <c r="P869">
        <v>6.8111672278338906E-2</v>
      </c>
      <c r="Q869">
        <v>6.8270275956379897E-2</v>
      </c>
      <c r="R869">
        <v>0</v>
      </c>
      <c r="S869">
        <v>0</v>
      </c>
      <c r="T869" t="s">
        <v>49</v>
      </c>
      <c r="U869">
        <v>7.3584905660377301E-2</v>
      </c>
      <c r="V869">
        <v>0</v>
      </c>
      <c r="W869">
        <v>0</v>
      </c>
      <c r="X869">
        <v>2.2539746822202798E-2</v>
      </c>
      <c r="Y869">
        <v>3.41173023070689E-2</v>
      </c>
      <c r="Z869">
        <v>4.2483675497771697E-2</v>
      </c>
      <c r="AA869">
        <v>0</v>
      </c>
      <c r="AB869">
        <v>1.8724000081419941E-2</v>
      </c>
      <c r="AC869">
        <v>6.0400000074878335E-4</v>
      </c>
      <c r="AD869">
        <v>5.0809998065233231E-3</v>
      </c>
      <c r="AE869">
        <v>3.0519999563694E-3</v>
      </c>
      <c r="AF869">
        <f>0.16*X869 + 0.28*Y869 + 0.28*Z869 + 0.28*AA869</f>
        <v>2.5054633276907816E-2</v>
      </c>
      <c r="AG869">
        <f t="shared" si="39"/>
        <v>5.4421999468468119E-3</v>
      </c>
      <c r="AH869">
        <f>IF(T869="IT_Admin", 0.25, IF(AND(T869="HR", AA869&gt;0.6), 0.25, IF(AND(T869="General", Z869&gt;0.7), 0.2, 0.1)))</f>
        <v>0.1</v>
      </c>
      <c r="AI869">
        <f>IF(V869&gt;0.7, 0.1,
 IF(F869&gt;0.5, 0.08,
 IF(E869&gt;0.5, 0.05,
 0)))</f>
        <v>0</v>
      </c>
      <c r="AJ869">
        <f t="shared" si="40"/>
        <v>1.1325929945865112E-2</v>
      </c>
      <c r="AK869">
        <f t="shared" si="41"/>
        <v>1.2458522940451624E-2</v>
      </c>
      <c r="AL869" t="str">
        <f>IF(MAX(X869, Y869, Z869, AA869)&gt;0.9,
 "Critical",
 IF(AK869&lt;=0.2,"Very Low",
 IF(AK869&lt;=0.4,"Low",
 IF(AK869&lt;=0.6,"Medium",
 IF(AK869&lt;=0.8,"High","Critical")))))</f>
        <v>Very Low</v>
      </c>
      <c r="AM869" t="str">
        <f>IF(MAX(X869:AA869)&gt;0.9,"CRITICAL ALERT",
 IF(AK869&gt;0.8,"CRITICAL ALERT",
 IF(AK869&gt;0.6,"ALERT",
 IF(AK869&gt;=0.4,"REVIEW","NO ACTION"))))</f>
        <v>NO ACTION</v>
      </c>
      <c r="AN869" t="str">
        <f>IF(AM869="NO ACTION","",
 IF(_xlfn.TEXTJOIN(", ", TRUE,
  IF(X869&gt;0.7,"Login anomaly",""),
  IF(Y869&gt;0.7,"File anomaly",""),
  IF(Z869&gt;0.7,"Network anomaly",""),
  IF(AA869&gt;0.7,"USB anomaly","")
 )="",
 "General anomaly detected",
 _xlfn.TEXTJOIN(", ", TRUE,
  IF(X869&gt;0.7,"Login anomaly",""),
  IF(Y869&gt;0.7,"File anomaly",""),
  IF(Z869&gt;0.7,"Network anomaly",""),
  IF(AA869&gt;0.7,"USB anomaly","")
 )))</f>
        <v/>
      </c>
    </row>
    <row r="870" spans="1:40" x14ac:dyDescent="0.3">
      <c r="A870" t="s">
        <v>893</v>
      </c>
      <c r="B870">
        <v>0.12892249527410199</v>
      </c>
      <c r="C870">
        <v>0.27580985626589599</v>
      </c>
      <c r="D870">
        <v>7.5124914167671697E-2</v>
      </c>
      <c r="E870">
        <v>0</v>
      </c>
      <c r="F870">
        <v>0</v>
      </c>
      <c r="G870">
        <v>0.99368343837287398</v>
      </c>
      <c r="H870">
        <v>7</v>
      </c>
      <c r="I870">
        <v>8</v>
      </c>
      <c r="J870">
        <v>7.7858880778588796E-2</v>
      </c>
      <c r="K870">
        <v>4.8939641109298502E-3</v>
      </c>
      <c r="L870">
        <v>1.6006734122235401E-2</v>
      </c>
      <c r="M870">
        <v>2.88600288600288E-4</v>
      </c>
      <c r="N870">
        <v>2.2331703455710701E-3</v>
      </c>
      <c r="O870">
        <v>349</v>
      </c>
      <c r="P870">
        <v>5.9483726150392803E-2</v>
      </c>
      <c r="Q870">
        <v>5.9644447561274898E-2</v>
      </c>
      <c r="R870">
        <v>0</v>
      </c>
      <c r="S870">
        <v>0</v>
      </c>
      <c r="T870" t="s">
        <v>49</v>
      </c>
      <c r="U870">
        <v>5.0943396226415097E-2</v>
      </c>
      <c r="V870">
        <v>0</v>
      </c>
      <c r="W870">
        <v>0</v>
      </c>
      <c r="X870">
        <v>2.25374742503015E-2</v>
      </c>
      <c r="Y870">
        <v>2.4245094320506699E-2</v>
      </c>
      <c r="Z870">
        <v>3.6583503828464099E-2</v>
      </c>
      <c r="AA870">
        <v>0</v>
      </c>
      <c r="AB870">
        <v>1.8797000870108601E-2</v>
      </c>
      <c r="AC870">
        <v>5.5400002747774124E-4</v>
      </c>
      <c r="AD870">
        <v>6.3289999961853027E-3</v>
      </c>
      <c r="AE870">
        <v>2.8319999109953642E-3</v>
      </c>
      <c r="AF870">
        <f>0.16*X870 + 0.28*Y870 + 0.28*Z870 + 0.28*AA870</f>
        <v>2.0638003361760065E-2</v>
      </c>
      <c r="AG870">
        <f t="shared" si="39"/>
        <v>5.7277201209217305E-3</v>
      </c>
      <c r="AH870">
        <f>IF(T870="IT_Admin", 0.25, IF(AND(T870="HR", AA870&gt;0.6), 0.25, IF(AND(T870="General", Z870&gt;0.7), 0.2, 0.1)))</f>
        <v>0.1</v>
      </c>
      <c r="AI870">
        <f>IF(V870&gt;0.7, 0.1,
 IF(F870&gt;0.5, 0.08,
 IF(E870&gt;0.5, 0.05,
 0)))</f>
        <v>0</v>
      </c>
      <c r="AJ870">
        <f t="shared" si="40"/>
        <v>1.020080509317323E-2</v>
      </c>
      <c r="AK870">
        <f t="shared" si="41"/>
        <v>1.1220885602490554E-2</v>
      </c>
      <c r="AL870" t="str">
        <f>IF(MAX(X870, Y870, Z870, AA870)&gt;0.9,
 "Critical",
 IF(AK870&lt;=0.2,"Very Low",
 IF(AK870&lt;=0.4,"Low",
 IF(AK870&lt;=0.6,"Medium",
 IF(AK870&lt;=0.8,"High","Critical")))))</f>
        <v>Very Low</v>
      </c>
      <c r="AM870" t="str">
        <f>IF(MAX(X870:AA870)&gt;0.9,"CRITICAL ALERT",
 IF(AK870&gt;0.8,"CRITICAL ALERT",
 IF(AK870&gt;0.6,"ALERT",
 IF(AK870&gt;=0.4,"REVIEW","NO ACTION"))))</f>
        <v>NO ACTION</v>
      </c>
      <c r="AN870" t="str">
        <f>IF(AM870="NO ACTION","",
 IF(_xlfn.TEXTJOIN(", ", TRUE,
  IF(X870&gt;0.7,"Login anomaly",""),
  IF(Y870&gt;0.7,"File anomaly",""),
  IF(Z870&gt;0.7,"Network anomaly",""),
  IF(AA870&gt;0.7,"USB anomaly","")
 )="",
 "General anomaly detected",
 _xlfn.TEXTJOIN(", ", TRUE,
  IF(X870&gt;0.7,"Login anomaly",""),
  IF(Y870&gt;0.7,"File anomaly",""),
  IF(Z870&gt;0.7,"Network anomaly",""),
  IF(AA870&gt;0.7,"USB anomaly","")
 )))</f>
        <v/>
      </c>
    </row>
    <row r="871" spans="1:40" x14ac:dyDescent="0.3">
      <c r="A871" t="s">
        <v>894</v>
      </c>
      <c r="B871">
        <v>0.23591682419659701</v>
      </c>
      <c r="C871">
        <v>0.55812224841092095</v>
      </c>
      <c r="D871">
        <v>0.34489633624923699</v>
      </c>
      <c r="E871">
        <v>0</v>
      </c>
      <c r="F871">
        <v>0</v>
      </c>
      <c r="G871">
        <v>0.47828430497508101</v>
      </c>
      <c r="H871">
        <v>7</v>
      </c>
      <c r="I871">
        <v>13</v>
      </c>
      <c r="J871">
        <v>9.0692237965745895E-2</v>
      </c>
      <c r="K871">
        <v>1.6313213703099501E-3</v>
      </c>
      <c r="L871">
        <v>4.5825504998424802E-3</v>
      </c>
      <c r="M871">
        <v>8.6580086580086504E-4</v>
      </c>
      <c r="N871">
        <v>5.75398718105958E-3</v>
      </c>
      <c r="O871">
        <v>588</v>
      </c>
      <c r="P871">
        <v>6.7796015712682303E-2</v>
      </c>
      <c r="Q871">
        <v>6.7954696868754105E-2</v>
      </c>
      <c r="R871">
        <v>0</v>
      </c>
      <c r="S871">
        <v>0</v>
      </c>
      <c r="T871" t="s">
        <v>49</v>
      </c>
      <c r="U871">
        <v>8.4905660377358402E-3</v>
      </c>
      <c r="V871">
        <v>0</v>
      </c>
      <c r="W871">
        <v>0</v>
      </c>
      <c r="X871">
        <v>0.10346890087477099</v>
      </c>
      <c r="Y871">
        <v>2.2155918997388301E-2</v>
      </c>
      <c r="Z871">
        <v>4.29792043000332E-2</v>
      </c>
      <c r="AA871">
        <v>0</v>
      </c>
      <c r="AB871">
        <v>1.6187999397516251E-2</v>
      </c>
      <c r="AC871">
        <v>9.7599998116493225E-4</v>
      </c>
      <c r="AD871">
        <v>4.8710000701248646E-3</v>
      </c>
      <c r="AE871">
        <v>7.1089998818933964E-3</v>
      </c>
      <c r="AF871">
        <f>0.16*X871 + 0.28*Y871 + 0.28*Z871 + 0.28*AA871</f>
        <v>3.4792858663241381E-2</v>
      </c>
      <c r="AG871">
        <f t="shared" si="39"/>
        <v>6.2177598848938949E-3</v>
      </c>
      <c r="AH871">
        <f>IF(T871="IT_Admin", 0.25, IF(AND(T871="HR", AA871&gt;0.6), 0.25, IF(AND(T871="General", Z871&gt;0.7), 0.2, 0.1)))</f>
        <v>0.1</v>
      </c>
      <c r="AI871">
        <f>IF(V871&gt;0.7, 0.1,
 IF(F871&gt;0.5, 0.08,
 IF(E871&gt;0.5, 0.05,
 0)))</f>
        <v>0</v>
      </c>
      <c r="AJ871">
        <f t="shared" si="40"/>
        <v>1.4790289518398139E-2</v>
      </c>
      <c r="AK871">
        <f t="shared" si="41"/>
        <v>1.6269318470237954E-2</v>
      </c>
      <c r="AL871" t="str">
        <f>IF(MAX(X871, Y871, Z871, AA871)&gt;0.9,
 "Critical",
 IF(AK871&lt;=0.2,"Very Low",
 IF(AK871&lt;=0.4,"Low",
 IF(AK871&lt;=0.6,"Medium",
 IF(AK871&lt;=0.8,"High","Critical")))))</f>
        <v>Very Low</v>
      </c>
      <c r="AM871" t="str">
        <f>IF(MAX(X871:AA871)&gt;0.9,"CRITICAL ALERT",
 IF(AK871&gt;0.8,"CRITICAL ALERT",
 IF(AK871&gt;0.6,"ALERT",
 IF(AK871&gt;=0.4,"REVIEW","NO ACTION"))))</f>
        <v>NO ACTION</v>
      </c>
      <c r="AN871" t="str">
        <f>IF(AM871="NO ACTION","",
 IF(_xlfn.TEXTJOIN(", ", TRUE,
  IF(X871&gt;0.7,"Login anomaly",""),
  IF(Y871&gt;0.7,"File anomaly",""),
  IF(Z871&gt;0.7,"Network anomaly",""),
  IF(AA871&gt;0.7,"USB anomaly","")
 )="",
 "General anomaly detected",
 _xlfn.TEXTJOIN(", ", TRUE,
  IF(X871&gt;0.7,"Login anomaly",""),
  IF(Y871&gt;0.7,"File anomaly",""),
  IF(Z871&gt;0.7,"Network anomaly",""),
  IF(AA871&gt;0.7,"USB anomaly","")
 )))</f>
        <v/>
      </c>
    </row>
    <row r="872" spans="1:40" x14ac:dyDescent="0.3">
      <c r="A872" t="s">
        <v>895</v>
      </c>
      <c r="B872">
        <v>0.170510396975425</v>
      </c>
      <c r="C872">
        <v>0.471863494200087</v>
      </c>
      <c r="D872">
        <v>0.34458985595424102</v>
      </c>
      <c r="E872">
        <v>0</v>
      </c>
      <c r="F872">
        <v>0</v>
      </c>
      <c r="G872">
        <v>0.71755529282075303</v>
      </c>
      <c r="H872">
        <v>7</v>
      </c>
      <c r="I872">
        <v>16</v>
      </c>
      <c r="J872">
        <v>7.4614760746147604E-2</v>
      </c>
      <c r="K872">
        <v>1.6313213703099499E-2</v>
      </c>
      <c r="L872">
        <v>5.5668204287442798E-2</v>
      </c>
      <c r="M872">
        <v>5.4834054834054799E-3</v>
      </c>
      <c r="N872">
        <v>4.4269150578902003E-2</v>
      </c>
      <c r="O872">
        <v>793</v>
      </c>
      <c r="P872">
        <v>6.4534231200897796E-2</v>
      </c>
      <c r="Q872">
        <v>6.4693712963287603E-2</v>
      </c>
      <c r="R872">
        <v>0</v>
      </c>
      <c r="S872">
        <v>0</v>
      </c>
      <c r="T872" t="s">
        <v>49</v>
      </c>
      <c r="U872">
        <v>1.6981132075471601E-2</v>
      </c>
      <c r="V872">
        <v>0</v>
      </c>
      <c r="W872">
        <v>0</v>
      </c>
      <c r="X872">
        <v>0.103376956786272</v>
      </c>
      <c r="Y872">
        <v>5.6037799466621498E-2</v>
      </c>
      <c r="Z872">
        <v>5.6428198952099502E-2</v>
      </c>
      <c r="AA872">
        <v>0</v>
      </c>
      <c r="AB872">
        <v>7.4220001697540283E-3</v>
      </c>
      <c r="AC872">
        <v>3.800000122282654E-4</v>
      </c>
      <c r="AD872">
        <v>4.3669999577105054E-3</v>
      </c>
      <c r="AE872">
        <v>6.0189999639987954E-3</v>
      </c>
      <c r="AF872">
        <f>0.16*X872 + 0.28*Y872 + 0.28*Z872 + 0.28*AA872</f>
        <v>4.8030792643045411E-2</v>
      </c>
      <c r="AG872">
        <f t="shared" si="39"/>
        <v>4.2020000086631631E-3</v>
      </c>
      <c r="AH872">
        <f>IF(T872="IT_Admin", 0.25, IF(AND(T872="HR", AA872&gt;0.6), 0.25, IF(AND(T872="General", Z872&gt;0.7), 0.2, 0.1)))</f>
        <v>0.1</v>
      </c>
      <c r="AI872">
        <f>IF(V872&gt;0.7, 0.1,
 IF(F872&gt;0.5, 0.08,
 IF(E872&gt;0.5, 0.05,
 0)))</f>
        <v>0</v>
      </c>
      <c r="AJ872">
        <f t="shared" si="40"/>
        <v>1.7350637798977837E-2</v>
      </c>
      <c r="AK872">
        <f t="shared" si="41"/>
        <v>1.9085701578875621E-2</v>
      </c>
      <c r="AL872" t="str">
        <f>IF(MAX(X872, Y872, Z872, AA872)&gt;0.9,
 "Critical",
 IF(AK872&lt;=0.2,"Very Low",
 IF(AK872&lt;=0.4,"Low",
 IF(AK872&lt;=0.6,"Medium",
 IF(AK872&lt;=0.8,"High","Critical")))))</f>
        <v>Very Low</v>
      </c>
      <c r="AM872" t="str">
        <f>IF(MAX(X872:AA872)&gt;0.9,"CRITICAL ALERT",
 IF(AK872&gt;0.8,"CRITICAL ALERT",
 IF(AK872&gt;0.6,"ALERT",
 IF(AK872&gt;=0.4,"REVIEW","NO ACTION"))))</f>
        <v>NO ACTION</v>
      </c>
      <c r="AN872" t="str">
        <f>IF(AM872="NO ACTION","",
 IF(_xlfn.TEXTJOIN(", ", TRUE,
  IF(X872&gt;0.7,"Login anomaly",""),
  IF(Y872&gt;0.7,"File anomaly",""),
  IF(Z872&gt;0.7,"Network anomaly",""),
  IF(AA872&gt;0.7,"USB anomaly","")
 )="",
 "General anomaly detected",
 _xlfn.TEXTJOIN(", ", TRUE,
  IF(X872&gt;0.7,"Login anomaly",""),
  IF(Y872&gt;0.7,"File anomaly",""),
  IF(Z872&gt;0.7,"Network anomaly",""),
  IF(AA872&gt;0.7,"USB anomaly","")
 )))</f>
        <v/>
      </c>
    </row>
    <row r="873" spans="1:40" x14ac:dyDescent="0.3">
      <c r="A873" t="s">
        <v>896</v>
      </c>
      <c r="B873">
        <v>0.12892249527410199</v>
      </c>
      <c r="C873">
        <v>0.18476582604220201</v>
      </c>
      <c r="D873">
        <v>0</v>
      </c>
      <c r="E873">
        <v>0</v>
      </c>
      <c r="F873">
        <v>0</v>
      </c>
      <c r="G873">
        <v>0.99370471471844402</v>
      </c>
      <c r="H873">
        <v>7</v>
      </c>
      <c r="I873">
        <v>7</v>
      </c>
      <c r="J873">
        <v>6.7554028910834396E-2</v>
      </c>
      <c r="K873">
        <v>0.104404567699836</v>
      </c>
      <c r="L873">
        <v>0.393383420248266</v>
      </c>
      <c r="M873">
        <v>1.0678210678210599E-2</v>
      </c>
      <c r="N873">
        <v>9.5187117987962394E-2</v>
      </c>
      <c r="O873">
        <v>574</v>
      </c>
      <c r="P873">
        <v>9.9747474747474696E-2</v>
      </c>
      <c r="Q873">
        <v>9.9898313405098305E-2</v>
      </c>
      <c r="R873">
        <v>0</v>
      </c>
      <c r="S873">
        <v>0</v>
      </c>
      <c r="T873" t="s">
        <v>49</v>
      </c>
      <c r="U873">
        <v>5.71996027805362E-2</v>
      </c>
      <c r="V873">
        <v>0</v>
      </c>
      <c r="W873">
        <v>0</v>
      </c>
      <c r="X873">
        <v>0</v>
      </c>
      <c r="Y873">
        <v>0.238758651302688</v>
      </c>
      <c r="Z873">
        <v>9.7923332043669806E-2</v>
      </c>
      <c r="AA873">
        <v>0</v>
      </c>
      <c r="AB873">
        <v>3.7108000367879868E-2</v>
      </c>
      <c r="AC873">
        <v>4.7283999621868127E-2</v>
      </c>
      <c r="AD873">
        <v>1.108999946154654E-3</v>
      </c>
      <c r="AE873">
        <v>1.770999981090426E-3</v>
      </c>
      <c r="AF873">
        <f>0.16*X873 + 0.28*Y873 + 0.28*Z873 + 0.28*AA873</f>
        <v>9.4270955336980197E-2</v>
      </c>
      <c r="AG873">
        <f t="shared" si="39"/>
        <v>1.9983199932612477E-2</v>
      </c>
      <c r="AH873">
        <f>IF(T873="IT_Admin", 0.25, IF(AND(T873="HR", AA873&gt;0.6), 0.25, IF(AND(T873="General", Z873&gt;0.7), 0.2, 0.1)))</f>
        <v>0.1</v>
      </c>
      <c r="AI873">
        <f>IF(V873&gt;0.7, 0.1,
 IF(F873&gt;0.5, 0.08,
 IF(E873&gt;0.5, 0.05,
 0)))</f>
        <v>0</v>
      </c>
      <c r="AJ873">
        <f t="shared" si="40"/>
        <v>4.2269526553922791E-2</v>
      </c>
      <c r="AK873">
        <f t="shared" si="41"/>
        <v>4.6496479209315073E-2</v>
      </c>
      <c r="AL873" t="str">
        <f>IF(MAX(X873, Y873, Z873, AA873)&gt;0.9,
 "Critical",
 IF(AK873&lt;=0.2,"Very Low",
 IF(AK873&lt;=0.4,"Low",
 IF(AK873&lt;=0.6,"Medium",
 IF(AK873&lt;=0.8,"High","Critical")))))</f>
        <v>Very Low</v>
      </c>
      <c r="AM873" t="str">
        <f>IF(MAX(X873:AA873)&gt;0.9,"CRITICAL ALERT",
 IF(AK873&gt;0.8,"CRITICAL ALERT",
 IF(AK873&gt;0.6,"ALERT",
 IF(AK873&gt;=0.4,"REVIEW","NO ACTION"))))</f>
        <v>NO ACTION</v>
      </c>
      <c r="AN873" t="str">
        <f>IF(AM873="NO ACTION","",
 IF(_xlfn.TEXTJOIN(", ", TRUE,
  IF(X873&gt;0.7,"Login anomaly",""),
  IF(Y873&gt;0.7,"File anomaly",""),
  IF(Z873&gt;0.7,"Network anomaly",""),
  IF(AA873&gt;0.7,"USB anomaly","")
 )="",
 "General anomaly detected",
 _xlfn.TEXTJOIN(", ", TRUE,
  IF(X873&gt;0.7,"Login anomaly",""),
  IF(Y873&gt;0.7,"File anomaly",""),
  IF(Z873&gt;0.7,"Network anomaly",""),
  IF(AA873&gt;0.7,"USB anomaly","")
 )))</f>
        <v/>
      </c>
    </row>
    <row r="874" spans="1:40" x14ac:dyDescent="0.3">
      <c r="A874" t="s">
        <v>897</v>
      </c>
      <c r="B874">
        <v>0.226843100189035</v>
      </c>
      <c r="C874">
        <v>0.58580555773314202</v>
      </c>
      <c r="D874">
        <v>0.38381159144882698</v>
      </c>
      <c r="E874">
        <v>0</v>
      </c>
      <c r="F874">
        <v>0</v>
      </c>
      <c r="G874">
        <v>0.50329691141907296</v>
      </c>
      <c r="H874">
        <v>7</v>
      </c>
      <c r="I874">
        <v>13</v>
      </c>
      <c r="J874">
        <v>6.74109059682267E-2</v>
      </c>
      <c r="K874">
        <v>2.6101141924959201E-2</v>
      </c>
      <c r="L874">
        <v>9.8553921045977794E-2</v>
      </c>
      <c r="M874">
        <v>1.3852813852813801E-2</v>
      </c>
      <c r="N874">
        <v>0.123747244762759</v>
      </c>
      <c r="O874">
        <v>433</v>
      </c>
      <c r="P874">
        <v>6.7515432098765399E-2</v>
      </c>
      <c r="Q874">
        <v>6.7674182124197901E-2</v>
      </c>
      <c r="R874">
        <v>0</v>
      </c>
      <c r="S874">
        <v>0</v>
      </c>
      <c r="T874" t="s">
        <v>49</v>
      </c>
      <c r="U874">
        <v>1.10897189064304E-2</v>
      </c>
      <c r="V874">
        <v>0</v>
      </c>
      <c r="W874">
        <v>0</v>
      </c>
      <c r="X874">
        <v>0.11514347743464801</v>
      </c>
      <c r="Y874">
        <v>9.9883315145462101E-2</v>
      </c>
      <c r="Z874">
        <v>9.0008157164363098E-2</v>
      </c>
      <c r="AA874">
        <v>0</v>
      </c>
      <c r="AB874">
        <v>1.7554000020027161E-2</v>
      </c>
      <c r="AC874">
        <v>5.2080000750720501E-3</v>
      </c>
      <c r="AD874">
        <v>3.1540000345557928E-3</v>
      </c>
      <c r="AE874">
        <v>6.2870001420378676E-3</v>
      </c>
      <c r="AF874">
        <f>0.16*X874 + 0.28*Y874 + 0.28*Z874 + 0.28*AA874</f>
        <v>7.1592568636294748E-2</v>
      </c>
      <c r="AG874">
        <f t="shared" si="39"/>
        <v>6.9103600736707448E-3</v>
      </c>
      <c r="AH874">
        <f>IF(T874="IT_Admin", 0.25, IF(AND(T874="HR", AA874&gt;0.6), 0.25, IF(AND(T874="General", Z874&gt;0.7), 0.2, 0.1)))</f>
        <v>0.1</v>
      </c>
      <c r="AI874">
        <f>IF(V874&gt;0.7, 0.1,
 IF(F874&gt;0.5, 0.08,
 IF(E874&gt;0.5, 0.05,
 0)))</f>
        <v>0</v>
      </c>
      <c r="AJ874">
        <f t="shared" si="40"/>
        <v>2.6315022642457948E-2</v>
      </c>
      <c r="AK874">
        <f t="shared" si="41"/>
        <v>2.8946524906703745E-2</v>
      </c>
      <c r="AL874" t="str">
        <f>IF(MAX(X874, Y874, Z874, AA874)&gt;0.9,
 "Critical",
 IF(AK874&lt;=0.2,"Very Low",
 IF(AK874&lt;=0.4,"Low",
 IF(AK874&lt;=0.6,"Medium",
 IF(AK874&lt;=0.8,"High","Critical")))))</f>
        <v>Very Low</v>
      </c>
      <c r="AM874" t="str">
        <f>IF(MAX(X874:AA874)&gt;0.9,"CRITICAL ALERT",
 IF(AK874&gt;0.8,"CRITICAL ALERT",
 IF(AK874&gt;0.6,"ALERT",
 IF(AK874&gt;=0.4,"REVIEW","NO ACTION"))))</f>
        <v>NO ACTION</v>
      </c>
      <c r="AN874" t="str">
        <f>IF(AM874="NO ACTION","",
 IF(_xlfn.TEXTJOIN(", ", TRUE,
  IF(X874&gt;0.7,"Login anomaly",""),
  IF(Y874&gt;0.7,"File anomaly",""),
  IF(Z874&gt;0.7,"Network anomaly",""),
  IF(AA874&gt;0.7,"USB anomaly","")
 )="",
 "General anomaly detected",
 _xlfn.TEXTJOIN(", ", TRUE,
  IF(X874&gt;0.7,"Login anomaly",""),
  IF(Y874&gt;0.7,"File anomaly",""),
  IF(Z874&gt;0.7,"Network anomaly",""),
  IF(AA874&gt;0.7,"USB anomaly","")
 )))</f>
        <v/>
      </c>
    </row>
    <row r="875" spans="1:40" x14ac:dyDescent="0.3">
      <c r="A875" t="s">
        <v>898</v>
      </c>
      <c r="B875">
        <v>0.22986767485822299</v>
      </c>
      <c r="C875">
        <v>0.73091187066694796</v>
      </c>
      <c r="D875">
        <v>0.34283961206111402</v>
      </c>
      <c r="E875">
        <v>0</v>
      </c>
      <c r="F875">
        <v>0</v>
      </c>
      <c r="G875">
        <v>0.49483242501767699</v>
      </c>
      <c r="H875">
        <v>8</v>
      </c>
      <c r="I875">
        <v>14</v>
      </c>
      <c r="J875">
        <v>8.2820476122322406E-2</v>
      </c>
      <c r="K875">
        <v>8.9722675367047301E-3</v>
      </c>
      <c r="L875">
        <v>2.75926920676903E-2</v>
      </c>
      <c r="M875">
        <v>2.0202020202020202E-3</v>
      </c>
      <c r="N875">
        <v>1.4698391148707E-2</v>
      </c>
      <c r="O875">
        <v>896</v>
      </c>
      <c r="P875">
        <v>6.5726711560044906E-2</v>
      </c>
      <c r="Q875">
        <v>6.5885900627651706E-2</v>
      </c>
      <c r="R875">
        <v>0</v>
      </c>
      <c r="S875">
        <v>0</v>
      </c>
      <c r="T875" t="s">
        <v>49</v>
      </c>
      <c r="U875">
        <v>2.33490566037735E-2</v>
      </c>
      <c r="V875">
        <v>0</v>
      </c>
      <c r="W875">
        <v>0</v>
      </c>
      <c r="X875">
        <v>0.102851883618334</v>
      </c>
      <c r="Y875">
        <v>3.4769958602921702E-2</v>
      </c>
      <c r="Z875">
        <v>4.5315383395509702E-2</v>
      </c>
      <c r="AA875">
        <v>0</v>
      </c>
      <c r="AB875">
        <v>3.0282000079751011E-2</v>
      </c>
      <c r="AC875">
        <v>1.939999929163605E-4</v>
      </c>
      <c r="AD875">
        <v>4.9220002256333828E-3</v>
      </c>
      <c r="AE875">
        <v>6.3479999080300331E-3</v>
      </c>
      <c r="AF875">
        <f>0.16*X875 + 0.28*Y875 + 0.28*Z875 + 0.28*AA875</f>
        <v>3.8880197138494235E-2</v>
      </c>
      <c r="AG875">
        <f t="shared" si="39"/>
        <v>8.0550400482024987E-3</v>
      </c>
      <c r="AH875">
        <f>IF(T875="IT_Admin", 0.25, IF(AND(T875="HR", AA875&gt;0.6), 0.25, IF(AND(T875="General", Z875&gt;0.7), 0.2, 0.1)))</f>
        <v>0.1</v>
      </c>
      <c r="AI875">
        <f>IF(V875&gt;0.7, 0.1,
 IF(F875&gt;0.5, 0.08,
 IF(E875&gt;0.5, 0.05,
 0)))</f>
        <v>0</v>
      </c>
      <c r="AJ875">
        <f t="shared" si="40"/>
        <v>1.730258717529002E-2</v>
      </c>
      <c r="AK875">
        <f t="shared" si="41"/>
        <v>1.9032845892819023E-2</v>
      </c>
      <c r="AL875" t="str">
        <f>IF(MAX(X875, Y875, Z875, AA875)&gt;0.9,
 "Critical",
 IF(AK875&lt;=0.2,"Very Low",
 IF(AK875&lt;=0.4,"Low",
 IF(AK875&lt;=0.6,"Medium",
 IF(AK875&lt;=0.8,"High","Critical")))))</f>
        <v>Very Low</v>
      </c>
      <c r="AM875" t="str">
        <f>IF(MAX(X875:AA875)&gt;0.9,"CRITICAL ALERT",
 IF(AK875&gt;0.8,"CRITICAL ALERT",
 IF(AK875&gt;0.6,"ALERT",
 IF(AK875&gt;=0.4,"REVIEW","NO ACTION"))))</f>
        <v>NO ACTION</v>
      </c>
      <c r="AN875" t="str">
        <f>IF(AM875="NO ACTION","",
 IF(_xlfn.TEXTJOIN(", ", TRUE,
  IF(X875&gt;0.7,"Login anomaly",""),
  IF(Y875&gt;0.7,"File anomaly",""),
  IF(Z875&gt;0.7,"Network anomaly",""),
  IF(AA875&gt;0.7,"USB anomaly","")
 )="",
 "General anomaly detected",
 _xlfn.TEXTJOIN(", ", TRUE,
  IF(X875&gt;0.7,"Login anomaly",""),
  IF(Y875&gt;0.7,"File anomaly",""),
  IF(Z875&gt;0.7,"Network anomaly",""),
  IF(AA875&gt;0.7,"USB anomaly","")
 )))</f>
        <v/>
      </c>
    </row>
    <row r="876" spans="1:40" x14ac:dyDescent="0.3">
      <c r="A876" t="s">
        <v>899</v>
      </c>
      <c r="B876">
        <v>0.12892249527410199</v>
      </c>
      <c r="C876">
        <v>0.36953165208440503</v>
      </c>
      <c r="D876">
        <v>0</v>
      </c>
      <c r="E876">
        <v>0</v>
      </c>
      <c r="F876">
        <v>0</v>
      </c>
      <c r="G876">
        <v>0.99366309872176395</v>
      </c>
      <c r="H876">
        <v>8</v>
      </c>
      <c r="I876">
        <v>8</v>
      </c>
      <c r="J876">
        <v>6.9987118935165293E-2</v>
      </c>
      <c r="K876">
        <v>6.5252854812398002E-3</v>
      </c>
      <c r="L876">
        <v>2.3734622969292799E-2</v>
      </c>
      <c r="M876">
        <v>1.44300144300144E-3</v>
      </c>
      <c r="N876">
        <v>1.24174587489804E-2</v>
      </c>
      <c r="O876">
        <v>559</v>
      </c>
      <c r="P876">
        <v>5.4959315375981997E-2</v>
      </c>
      <c r="Q876">
        <v>5.51211473053052E-2</v>
      </c>
      <c r="R876">
        <v>0</v>
      </c>
      <c r="S876">
        <v>0</v>
      </c>
      <c r="T876" t="s">
        <v>49</v>
      </c>
      <c r="U876">
        <v>2.26415094339622E-2</v>
      </c>
      <c r="V876">
        <v>0</v>
      </c>
      <c r="W876">
        <v>0</v>
      </c>
      <c r="X876">
        <v>0</v>
      </c>
      <c r="Y876">
        <v>2.9589972896373599E-2</v>
      </c>
      <c r="Z876">
        <v>3.7942572725181402E-2</v>
      </c>
      <c r="AA876">
        <v>0</v>
      </c>
      <c r="AB876">
        <v>2.4870999157428741E-2</v>
      </c>
      <c r="AC876">
        <v>3.2600000849924982E-4</v>
      </c>
      <c r="AD876">
        <v>6.7099998705089092E-3</v>
      </c>
      <c r="AE876">
        <v>2.2690000478178258E-3</v>
      </c>
      <c r="AF876">
        <f>0.16*X876 + 0.28*Y876 + 0.28*Z876 + 0.28*AA876</f>
        <v>1.8909112774035404E-2</v>
      </c>
      <c r="AG876">
        <f t="shared" si="39"/>
        <v>6.5847598446998751E-3</v>
      </c>
      <c r="AH876">
        <f>IF(T876="IT_Admin", 0.25, IF(AND(T876="HR", AA876&gt;0.6), 0.25, IF(AND(T876="General", Z876&gt;0.7), 0.2, 0.1)))</f>
        <v>0.1</v>
      </c>
      <c r="AI876">
        <f>IF(V876&gt;0.7, 0.1,
 IF(F876&gt;0.5, 0.08,
 IF(E876&gt;0.5, 0.05,
 0)))</f>
        <v>0</v>
      </c>
      <c r="AJ876">
        <f t="shared" si="40"/>
        <v>1.0282065723500534E-2</v>
      </c>
      <c r="AK876">
        <f t="shared" si="41"/>
        <v>1.1310272295850589E-2</v>
      </c>
      <c r="AL876" t="str">
        <f>IF(MAX(X876, Y876, Z876, AA876)&gt;0.9,
 "Critical",
 IF(AK876&lt;=0.2,"Very Low",
 IF(AK876&lt;=0.4,"Low",
 IF(AK876&lt;=0.6,"Medium",
 IF(AK876&lt;=0.8,"High","Critical")))))</f>
        <v>Very Low</v>
      </c>
      <c r="AM876" t="str">
        <f>IF(MAX(X876:AA876)&gt;0.9,"CRITICAL ALERT",
 IF(AK876&gt;0.8,"CRITICAL ALERT",
 IF(AK876&gt;0.6,"ALERT",
 IF(AK876&gt;=0.4,"REVIEW","NO ACTION"))))</f>
        <v>NO ACTION</v>
      </c>
      <c r="AN876" t="str">
        <f>IF(AM876="NO ACTION","",
 IF(_xlfn.TEXTJOIN(", ", TRUE,
  IF(X876&gt;0.7,"Login anomaly",""),
  IF(Y876&gt;0.7,"File anomaly",""),
  IF(Z876&gt;0.7,"Network anomaly",""),
  IF(AA876&gt;0.7,"USB anomaly","")
 )="",
 "General anomaly detected",
 _xlfn.TEXTJOIN(", ", TRUE,
  IF(X876&gt;0.7,"Login anomaly",""),
  IF(Y876&gt;0.7,"File anomaly",""),
  IF(Z876&gt;0.7,"Network anomaly",""),
  IF(AA876&gt;0.7,"USB anomaly","")
 )))</f>
        <v/>
      </c>
    </row>
    <row r="877" spans="1:40" x14ac:dyDescent="0.3">
      <c r="A877" t="s">
        <v>900</v>
      </c>
      <c r="B877">
        <v>0.12892249527410199</v>
      </c>
      <c r="C877">
        <v>0.28277204681241402</v>
      </c>
      <c r="D877">
        <v>7.4993488433305694E-2</v>
      </c>
      <c r="E877">
        <v>0</v>
      </c>
      <c r="F877">
        <v>0</v>
      </c>
      <c r="G877">
        <v>0.99365664891134597</v>
      </c>
      <c r="H877">
        <v>7</v>
      </c>
      <c r="I877">
        <v>8</v>
      </c>
      <c r="J877">
        <v>9.6369448022517998E-2</v>
      </c>
      <c r="K877">
        <v>6.5252854812398002E-3</v>
      </c>
      <c r="L877">
        <v>1.7253019758419301E-2</v>
      </c>
      <c r="M877">
        <v>1.6450216450216399E-2</v>
      </c>
      <c r="N877">
        <v>0.102901181123403</v>
      </c>
      <c r="O877">
        <v>540</v>
      </c>
      <c r="P877">
        <v>8.1649831649831597E-2</v>
      </c>
      <c r="Q877">
        <v>8.18051123812195E-2</v>
      </c>
      <c r="R877">
        <v>0</v>
      </c>
      <c r="S877">
        <v>0</v>
      </c>
      <c r="T877" t="s">
        <v>24</v>
      </c>
      <c r="U877">
        <v>2.3422251138581602E-3</v>
      </c>
      <c r="V877">
        <v>0</v>
      </c>
      <c r="W877">
        <v>0</v>
      </c>
      <c r="X877">
        <v>2.2498046529991701E-2</v>
      </c>
      <c r="Y877">
        <v>5.8770753820734198E-2</v>
      </c>
      <c r="Z877">
        <v>9.0150371439260302E-2</v>
      </c>
      <c r="AA877">
        <v>0</v>
      </c>
      <c r="AB877">
        <v>1.8237000331282619E-2</v>
      </c>
      <c r="AC877">
        <v>2.6350000407546759E-3</v>
      </c>
      <c r="AD877">
        <v>2.2140000946819778E-3</v>
      </c>
      <c r="AE877">
        <v>2.4719999637454748E-3</v>
      </c>
      <c r="AF877">
        <f>0.16*X877 + 0.28*Y877 + 0.28*Z877 + 0.28*AA877</f>
        <v>4.5297602517597138E-2</v>
      </c>
      <c r="AG877">
        <f t="shared" si="39"/>
        <v>4.9678000807762152E-3</v>
      </c>
      <c r="AH877">
        <f>IF(T877="IT_Admin", 0.25, IF(AND(T877="HR", AA877&gt;0.6), 0.25, IF(AND(T877="General", Z877&gt;0.7), 0.2, 0.1)))</f>
        <v>0.25</v>
      </c>
      <c r="AI877">
        <f>IF(V877&gt;0.7, 0.1,
 IF(F877&gt;0.5, 0.08,
 IF(E877&gt;0.5, 0.05,
 0)))</f>
        <v>0</v>
      </c>
      <c r="AJ877">
        <f t="shared" si="40"/>
        <v>1.7066740811822492E-2</v>
      </c>
      <c r="AK877">
        <f t="shared" si="41"/>
        <v>2.1333426014778115E-2</v>
      </c>
      <c r="AL877" t="str">
        <f>IF(MAX(X877, Y877, Z877, AA877)&gt;0.9,
 "Critical",
 IF(AK877&lt;=0.2,"Very Low",
 IF(AK877&lt;=0.4,"Low",
 IF(AK877&lt;=0.6,"Medium",
 IF(AK877&lt;=0.8,"High","Critical")))))</f>
        <v>Very Low</v>
      </c>
      <c r="AM877" t="str">
        <f>IF(MAX(X877:AA877)&gt;0.9,"CRITICAL ALERT",
 IF(AK877&gt;0.8,"CRITICAL ALERT",
 IF(AK877&gt;0.6,"ALERT",
 IF(AK877&gt;=0.4,"REVIEW","NO ACTION"))))</f>
        <v>NO ACTION</v>
      </c>
      <c r="AN877" t="str">
        <f>IF(AM877="NO ACTION","",
 IF(_xlfn.TEXTJOIN(", ", TRUE,
  IF(X877&gt;0.7,"Login anomaly",""),
  IF(Y877&gt;0.7,"File anomaly",""),
  IF(Z877&gt;0.7,"Network anomaly",""),
  IF(AA877&gt;0.7,"USB anomaly","")
 )="",
 "General anomaly detected",
 _xlfn.TEXTJOIN(", ", TRUE,
  IF(X877&gt;0.7,"Login anomaly",""),
  IF(Y877&gt;0.7,"File anomaly",""),
  IF(Z877&gt;0.7,"Network anomaly",""),
  IF(AA877&gt;0.7,"USB anomaly","")
 )))</f>
        <v/>
      </c>
    </row>
    <row r="878" spans="1:40" x14ac:dyDescent="0.3">
      <c r="A878" t="s">
        <v>901</v>
      </c>
      <c r="B878">
        <v>0.12892249527410199</v>
      </c>
      <c r="C878">
        <v>0.28705647176411703</v>
      </c>
      <c r="D878">
        <v>7.4699474706394001E-2</v>
      </c>
      <c r="E878">
        <v>0</v>
      </c>
      <c r="F878">
        <v>0</v>
      </c>
      <c r="G878">
        <v>0.99368156498395599</v>
      </c>
      <c r="H878">
        <v>7</v>
      </c>
      <c r="I878">
        <v>8</v>
      </c>
      <c r="J878">
        <v>8.0625924335671006E-2</v>
      </c>
      <c r="K878">
        <v>1.1419249592169599E-2</v>
      </c>
      <c r="L878">
        <v>3.6071025822358903E-2</v>
      </c>
      <c r="M878">
        <v>2.3088023088023001E-3</v>
      </c>
      <c r="N878">
        <v>1.7254040616872399E-2</v>
      </c>
      <c r="O878">
        <v>852</v>
      </c>
      <c r="P878">
        <v>6.5305836139169404E-2</v>
      </c>
      <c r="Q878">
        <v>6.5465128510817303E-2</v>
      </c>
      <c r="R878">
        <v>0</v>
      </c>
      <c r="S878">
        <v>0</v>
      </c>
      <c r="T878" t="s">
        <v>49</v>
      </c>
      <c r="U878">
        <v>2.6415094339622601E-2</v>
      </c>
      <c r="V878">
        <v>0</v>
      </c>
      <c r="W878">
        <v>0</v>
      </c>
      <c r="X878">
        <v>2.24098424119182E-2</v>
      </c>
      <c r="Y878">
        <v>3.9336909963375397E-2</v>
      </c>
      <c r="Z878">
        <v>4.6085117930250601E-2</v>
      </c>
      <c r="AA878">
        <v>0</v>
      </c>
      <c r="AB878">
        <v>1.784499920904636E-2</v>
      </c>
      <c r="AC878">
        <v>7.8999997640494257E-5</v>
      </c>
      <c r="AD878">
        <v>5.133999977260828E-3</v>
      </c>
      <c r="AE878">
        <v>2.095999894663692E-3</v>
      </c>
      <c r="AF878">
        <f>0.16*X878 + 0.28*Y878 + 0.28*Z878 + 0.28*AA878</f>
        <v>2.7503742596122191E-2</v>
      </c>
      <c r="AG878">
        <f t="shared" si="39"/>
        <v>4.9017198369256222E-3</v>
      </c>
      <c r="AH878">
        <f>IF(T878="IT_Admin", 0.25, IF(AND(T878="HR", AA878&gt;0.6), 0.25, IF(AND(T878="General", Z878&gt;0.7), 0.2, 0.1)))</f>
        <v>0.1</v>
      </c>
      <c r="AI878">
        <f>IF(V878&gt;0.7, 0.1,
 IF(F878&gt;0.5, 0.08,
 IF(E878&gt;0.5, 0.05,
 0)))</f>
        <v>0</v>
      </c>
      <c r="AJ878">
        <f t="shared" si="40"/>
        <v>1.1682326664684592E-2</v>
      </c>
      <c r="AK878">
        <f t="shared" si="41"/>
        <v>1.2850559331153052E-2</v>
      </c>
      <c r="AL878" t="str">
        <f>IF(MAX(X878, Y878, Z878, AA878)&gt;0.9,
 "Critical",
 IF(AK878&lt;=0.2,"Very Low",
 IF(AK878&lt;=0.4,"Low",
 IF(AK878&lt;=0.6,"Medium",
 IF(AK878&lt;=0.8,"High","Critical")))))</f>
        <v>Very Low</v>
      </c>
      <c r="AM878" t="str">
        <f>IF(MAX(X878:AA878)&gt;0.9,"CRITICAL ALERT",
 IF(AK878&gt;0.8,"CRITICAL ALERT",
 IF(AK878&gt;0.6,"ALERT",
 IF(AK878&gt;=0.4,"REVIEW","NO ACTION"))))</f>
        <v>NO ACTION</v>
      </c>
      <c r="AN878" t="str">
        <f>IF(AM878="NO ACTION","",
 IF(_xlfn.TEXTJOIN(", ", TRUE,
  IF(X878&gt;0.7,"Login anomaly",""),
  IF(Y878&gt;0.7,"File anomaly",""),
  IF(Z878&gt;0.7,"Network anomaly",""),
  IF(AA878&gt;0.7,"USB anomaly","")
 )="",
 "General anomaly detected",
 _xlfn.TEXTJOIN(", ", TRUE,
  IF(X878&gt;0.7,"Login anomaly",""),
  IF(Y878&gt;0.7,"File anomaly",""),
  IF(Z878&gt;0.7,"Network anomaly",""),
  IF(AA878&gt;0.7,"USB anomaly","")
 )))</f>
        <v/>
      </c>
    </row>
    <row r="879" spans="1:40" x14ac:dyDescent="0.3">
      <c r="A879" t="s">
        <v>902</v>
      </c>
      <c r="B879">
        <v>0.16181474480151201</v>
      </c>
      <c r="C879">
        <v>0.47217933321896199</v>
      </c>
      <c r="D879">
        <v>0.20476619086525599</v>
      </c>
      <c r="E879">
        <v>0</v>
      </c>
      <c r="F879">
        <v>0</v>
      </c>
      <c r="G879">
        <v>0.76310591397887595</v>
      </c>
      <c r="H879">
        <v>8</v>
      </c>
      <c r="I879">
        <v>14</v>
      </c>
      <c r="J879">
        <v>5.08086446257335E-2</v>
      </c>
      <c r="K879">
        <v>5.7096247960848204E-3</v>
      </c>
      <c r="L879">
        <v>2.8570275125653501E-2</v>
      </c>
      <c r="M879">
        <v>5.7720057720057698E-4</v>
      </c>
      <c r="N879">
        <v>6.8330838424296297E-3</v>
      </c>
      <c r="O879">
        <v>488</v>
      </c>
      <c r="P879">
        <v>4.0088383838383798E-2</v>
      </c>
      <c r="Q879">
        <v>4.02538658438234E-2</v>
      </c>
      <c r="R879">
        <v>0.289085545722713</v>
      </c>
      <c r="S879">
        <v>1</v>
      </c>
      <c r="T879" t="s">
        <v>49</v>
      </c>
      <c r="U879">
        <v>3.9622641509433898E-2</v>
      </c>
      <c r="V879">
        <v>0</v>
      </c>
      <c r="W879">
        <v>0</v>
      </c>
      <c r="X879">
        <v>6.1429857259577003E-2</v>
      </c>
      <c r="Y879">
        <v>2.6496791640702299E-2</v>
      </c>
      <c r="Z879">
        <v>2.67862638400021E-2</v>
      </c>
      <c r="AA879">
        <v>0.289085545722713</v>
      </c>
      <c r="AB879">
        <v>1.8810000037774439E-3</v>
      </c>
      <c r="AC879">
        <v>2.8800001018680632E-4</v>
      </c>
      <c r="AD879">
        <v>8.6749996989965439E-3</v>
      </c>
      <c r="AE879">
        <v>0.10080099850893021</v>
      </c>
      <c r="AF879">
        <f>0.16*X879 + 0.28*Y879 + 0.28*Z879 + 0.28*AA879</f>
        <v>0.10569198549848921</v>
      </c>
      <c r="AG879">
        <f t="shared" si="39"/>
        <v>3.1034879501676188E-2</v>
      </c>
      <c r="AH879">
        <f>IF(T879="IT_Admin", 0.25, IF(AND(T879="HR", AA879&gt;0.6), 0.25, IF(AND(T879="General", Z879&gt;0.7), 0.2, 0.1)))</f>
        <v>0.1</v>
      </c>
      <c r="AI879">
        <f>IF(V879&gt;0.7, 0.1,
 IF(F879&gt;0.5, 0.08,
 IF(E879&gt;0.5, 0.05,
 0)))</f>
        <v>0</v>
      </c>
      <c r="AJ879">
        <f t="shared" si="40"/>
        <v>5.3432011300720089E-2</v>
      </c>
      <c r="AK879">
        <f t="shared" si="41"/>
        <v>5.8775212430792104E-2</v>
      </c>
      <c r="AL879" t="str">
        <f>IF(MAX(X879, Y879, Z879, AA879)&gt;0.9,
 "Critical",
 IF(AK879&lt;=0.2,"Very Low",
 IF(AK879&lt;=0.4,"Low",
 IF(AK879&lt;=0.6,"Medium",
 IF(AK879&lt;=0.8,"High","Critical")))))</f>
        <v>Very Low</v>
      </c>
      <c r="AM879" t="str">
        <f>IF(MAX(X879:AA879)&gt;0.9,"CRITICAL ALERT",
 IF(AK879&gt;0.8,"CRITICAL ALERT",
 IF(AK879&gt;0.6,"ALERT",
 IF(AK879&gt;=0.4,"REVIEW","NO ACTION"))))</f>
        <v>NO ACTION</v>
      </c>
      <c r="AN879" t="str">
        <f>IF(AM879="NO ACTION","",
 IF(_xlfn.TEXTJOIN(", ", TRUE,
  IF(X879&gt;0.7,"Login anomaly",""),
  IF(Y879&gt;0.7,"File anomaly",""),
  IF(Z879&gt;0.7,"Network anomaly",""),
  IF(AA879&gt;0.7,"USB anomaly","")
 )="",
 "General anomaly detected",
 _xlfn.TEXTJOIN(", ", TRUE,
  IF(X879&gt;0.7,"Login anomaly",""),
  IF(Y879&gt;0.7,"File anomaly",""),
  IF(Z879&gt;0.7,"Network anomaly",""),
  IF(AA879&gt;0.7,"USB anomaly","")
 )))</f>
        <v/>
      </c>
    </row>
    <row r="880" spans="1:40" x14ac:dyDescent="0.3">
      <c r="A880" t="s">
        <v>903</v>
      </c>
      <c r="B880">
        <v>0.24083175803402601</v>
      </c>
      <c r="C880">
        <v>0.66930771929796296</v>
      </c>
      <c r="D880">
        <v>0.36497750191747902</v>
      </c>
      <c r="E880">
        <v>0</v>
      </c>
      <c r="F880">
        <v>0</v>
      </c>
      <c r="G880">
        <v>0.46555745704683899</v>
      </c>
      <c r="H880">
        <v>7</v>
      </c>
      <c r="I880">
        <v>14</v>
      </c>
      <c r="J880">
        <v>6.9510042459806298E-2</v>
      </c>
      <c r="K880">
        <v>4.8939641109298502E-3</v>
      </c>
      <c r="L880">
        <v>1.7922724868741E-2</v>
      </c>
      <c r="M880">
        <v>6.0606060606060597E-3</v>
      </c>
      <c r="N880">
        <v>5.2510052646851497E-2</v>
      </c>
      <c r="O880">
        <v>750</v>
      </c>
      <c r="P880">
        <v>5.6151795735128997E-2</v>
      </c>
      <c r="Q880">
        <v>5.6313334969669303E-2</v>
      </c>
      <c r="R880">
        <v>0.762536873156342</v>
      </c>
      <c r="S880">
        <v>1</v>
      </c>
      <c r="T880" t="s">
        <v>49</v>
      </c>
      <c r="U880">
        <v>4.6312178387650001E-3</v>
      </c>
      <c r="V880">
        <v>0</v>
      </c>
      <c r="W880">
        <v>0</v>
      </c>
      <c r="X880">
        <v>0.10949325057524301</v>
      </c>
      <c r="Y880">
        <v>3.8616386720387197E-2</v>
      </c>
      <c r="Z880">
        <v>5.4695098499817997E-2</v>
      </c>
      <c r="AA880">
        <v>0.762536873156342</v>
      </c>
      <c r="AB880">
        <v>2.56779994815588E-2</v>
      </c>
      <c r="AC880">
        <v>7.8900001244619489E-4</v>
      </c>
      <c r="AD880">
        <v>4.6319998800754547E-3</v>
      </c>
      <c r="AE880">
        <v>0.5792350172996521</v>
      </c>
      <c r="AF880">
        <f>0.16*X880 + 0.28*Y880 + 0.28*Z880 + 0.28*AA880</f>
        <v>0.25715646043747209</v>
      </c>
      <c r="AG880">
        <f t="shared" si="39"/>
        <v>0.16781216473085808</v>
      </c>
      <c r="AH880">
        <f>IF(T880="IT_Admin", 0.25, IF(AND(T880="HR", AA880&gt;0.6), 0.25, IF(AND(T880="General", Z880&gt;0.7), 0.2, 0.1)))</f>
        <v>0.1</v>
      </c>
      <c r="AI880">
        <f>IF(V880&gt;0.7, 0.1,
 IF(F880&gt;0.5, 0.08,
 IF(E880&gt;0.5, 0.05,
 0)))</f>
        <v>0</v>
      </c>
      <c r="AJ880">
        <f t="shared" si="40"/>
        <v>0.19461545344284226</v>
      </c>
      <c r="AK880">
        <f t="shared" si="41"/>
        <v>0.21407699878712649</v>
      </c>
      <c r="AL880" t="str">
        <f>IF(MAX(X880, Y880, Z880, AA880)&gt;0.9,
 "Critical",
 IF(AK880&lt;=0.2,"Very Low",
 IF(AK880&lt;=0.4,"Low",
 IF(AK880&lt;=0.6,"Medium",
 IF(AK880&lt;=0.8,"High","Critical")))))</f>
        <v>Low</v>
      </c>
      <c r="AM880" t="str">
        <f>IF(MAX(X880:AA880)&gt;0.9,"CRITICAL ALERT",
 IF(AK880&gt;0.8,"CRITICAL ALERT",
 IF(AK880&gt;0.6,"ALERT",
 IF(AK880&gt;=0.4,"REVIEW","NO ACTION"))))</f>
        <v>NO ACTION</v>
      </c>
      <c r="AN880" t="str">
        <f>IF(AM880="NO ACTION","",
 IF(_xlfn.TEXTJOIN(", ", TRUE,
  IF(X880&gt;0.7,"Login anomaly",""),
  IF(Y880&gt;0.7,"File anomaly",""),
  IF(Z880&gt;0.7,"Network anomaly",""),
  IF(AA880&gt;0.7,"USB anomaly","")
 )="",
 "General anomaly detected",
 _xlfn.TEXTJOIN(", ", TRUE,
  IF(X880&gt;0.7,"Login anomaly",""),
  IF(Y880&gt;0.7,"File anomaly",""),
  IF(Z880&gt;0.7,"Network anomaly",""),
  IF(AA880&gt;0.7,"USB anomaly","")
 )))</f>
        <v/>
      </c>
    </row>
    <row r="881" spans="1:40" x14ac:dyDescent="0.3">
      <c r="A881" t="s">
        <v>904</v>
      </c>
      <c r="B881">
        <v>0.26427221172022602</v>
      </c>
      <c r="C881">
        <v>0.68912659442767499</v>
      </c>
      <c r="D881">
        <v>0.48015819484181599</v>
      </c>
      <c r="E881">
        <v>0.45361150624308499</v>
      </c>
      <c r="F881">
        <v>4.69416785206258E-2</v>
      </c>
      <c r="G881">
        <v>0.41212068189697298</v>
      </c>
      <c r="H881">
        <v>0</v>
      </c>
      <c r="I881">
        <v>23</v>
      </c>
      <c r="J881">
        <v>0.105720146939554</v>
      </c>
      <c r="K881">
        <v>8.1566068515497494E-3</v>
      </c>
      <c r="L881">
        <v>1.9663082513957101E-2</v>
      </c>
      <c r="M881">
        <v>4.3290043290043203E-3</v>
      </c>
      <c r="N881">
        <v>2.4689553280278099E-2</v>
      </c>
      <c r="O881">
        <v>932</v>
      </c>
      <c r="P881">
        <v>8.3333333333333301E-2</v>
      </c>
      <c r="Q881">
        <v>8.3488200848557098E-2</v>
      </c>
      <c r="R881">
        <v>2.0648967551622401E-2</v>
      </c>
      <c r="S881">
        <v>1</v>
      </c>
      <c r="T881" t="s">
        <v>24</v>
      </c>
      <c r="U881">
        <v>1.06132075471698E-2</v>
      </c>
      <c r="V881">
        <v>0</v>
      </c>
      <c r="W881">
        <v>3.01213576865434E-2</v>
      </c>
      <c r="X881">
        <v>0.29890758173372001</v>
      </c>
      <c r="Y881">
        <v>3.83824366289729E-2</v>
      </c>
      <c r="Z881">
        <v>5.9875821312111201E-2</v>
      </c>
      <c r="AA881">
        <v>2.0648967551622401E-2</v>
      </c>
      <c r="AB881">
        <v>0.27939200401306152</v>
      </c>
      <c r="AC881">
        <v>3.499999875202775E-4</v>
      </c>
      <c r="AD881">
        <v>2.115000039339066E-3</v>
      </c>
      <c r="AE881">
        <v>6.7491002380847931E-2</v>
      </c>
      <c r="AF881">
        <f>0.16*X881 + 0.28*Y881 + 0.28*Z881 + 0.28*AA881</f>
        <v>8.1119236215353024E-2</v>
      </c>
      <c r="AG881">
        <f t="shared" si="39"/>
        <v>6.4290401316247886E-2</v>
      </c>
      <c r="AH881">
        <f>IF(T881="IT_Admin", 0.25, IF(AND(T881="HR", AA881&gt;0.6), 0.25, IF(AND(T881="General", Z881&gt;0.7), 0.2, 0.1)))</f>
        <v>0.25</v>
      </c>
      <c r="AI881">
        <f>IF(V881&gt;0.7, 0.1,
 IF(F881&gt;0.5, 0.08,
 IF(E881&gt;0.5, 0.05,
 0)))</f>
        <v>0</v>
      </c>
      <c r="AJ881">
        <f t="shared" si="40"/>
        <v>6.9339051785979433E-2</v>
      </c>
      <c r="AK881">
        <f t="shared" si="41"/>
        <v>8.6673814732474291E-2</v>
      </c>
      <c r="AL881" t="str">
        <f>IF(MAX(X881, Y881, Z881, AA881)&gt;0.9,
 "Critical",
 IF(AK881&lt;=0.2,"Very Low",
 IF(AK881&lt;=0.4,"Low",
 IF(AK881&lt;=0.6,"Medium",
 IF(AK881&lt;=0.8,"High","Critical")))))</f>
        <v>Very Low</v>
      </c>
      <c r="AM881" t="str">
        <f>IF(MAX(X881:AA881)&gt;0.9,"CRITICAL ALERT",
 IF(AK881&gt;0.8,"CRITICAL ALERT",
 IF(AK881&gt;0.6,"ALERT",
 IF(AK881&gt;=0.4,"REVIEW","NO ACTION"))))</f>
        <v>NO ACTION</v>
      </c>
      <c r="AN881" t="str">
        <f>IF(AM881="NO ACTION","",
 IF(_xlfn.TEXTJOIN(", ", TRUE,
  IF(X881&gt;0.7,"Login anomaly",""),
  IF(Y881&gt;0.7,"File anomaly",""),
  IF(Z881&gt;0.7,"Network anomaly",""),
  IF(AA881&gt;0.7,"USB anomaly","")
 )="",
 "General anomaly detected",
 _xlfn.TEXTJOIN(", ", TRUE,
  IF(X881&gt;0.7,"Login anomaly",""),
  IF(Y881&gt;0.7,"File anomaly",""),
  IF(Z881&gt;0.7,"Network anomaly",""),
  IF(AA881&gt;0.7,"USB anomaly","")
 )))</f>
        <v/>
      </c>
    </row>
    <row r="882" spans="1:40" x14ac:dyDescent="0.3">
      <c r="A882" t="s">
        <v>905</v>
      </c>
      <c r="B882">
        <v>0.12892249527410199</v>
      </c>
      <c r="C882">
        <v>0.36953165208440503</v>
      </c>
      <c r="D882">
        <v>0</v>
      </c>
      <c r="E882">
        <v>0</v>
      </c>
      <c r="F882">
        <v>0</v>
      </c>
      <c r="G882">
        <v>0.99367495459734501</v>
      </c>
      <c r="H882">
        <v>8</v>
      </c>
      <c r="I882">
        <v>8</v>
      </c>
      <c r="J882">
        <v>7.4710176041219406E-2</v>
      </c>
      <c r="K882">
        <v>8.1566068515497494E-3</v>
      </c>
      <c r="L882">
        <v>2.77986672587517E-2</v>
      </c>
      <c r="M882">
        <v>7.5036075036075001E-3</v>
      </c>
      <c r="N882">
        <v>6.05017162623782E-2</v>
      </c>
      <c r="O882">
        <v>546</v>
      </c>
      <c r="P882">
        <v>6.2079124579124498E-2</v>
      </c>
      <c r="Q882">
        <v>6.2239208948420298E-2</v>
      </c>
      <c r="R882">
        <v>0</v>
      </c>
      <c r="S882">
        <v>0</v>
      </c>
      <c r="T882" t="s">
        <v>49</v>
      </c>
      <c r="U882">
        <v>6.2893081761006197E-3</v>
      </c>
      <c r="V882">
        <v>0</v>
      </c>
      <c r="W882">
        <v>0</v>
      </c>
      <c r="X882">
        <v>0</v>
      </c>
      <c r="Y882">
        <v>4.6991883716333199E-2</v>
      </c>
      <c r="Z882">
        <v>6.1448161252425998E-2</v>
      </c>
      <c r="AA882">
        <v>0</v>
      </c>
      <c r="AB882">
        <v>2.519699931144714E-2</v>
      </c>
      <c r="AC882">
        <v>8.3099998300895095E-4</v>
      </c>
      <c r="AD882">
        <v>4.503999836742878E-3</v>
      </c>
      <c r="AE882">
        <v>2.941000042483211E-3</v>
      </c>
      <c r="AF882">
        <f>0.16*X882 + 0.28*Y882 + 0.28*Z882 + 0.28*AA882</f>
        <v>3.0363212591252579E-2</v>
      </c>
      <c r="AG882">
        <f t="shared" si="39"/>
        <v>6.3487998512573533E-3</v>
      </c>
      <c r="AH882">
        <f>IF(T882="IT_Admin", 0.25, IF(AND(T882="HR", AA882&gt;0.6), 0.25, IF(AND(T882="General", Z882&gt;0.7), 0.2, 0.1)))</f>
        <v>0.1</v>
      </c>
      <c r="AI882">
        <f>IF(V882&gt;0.7, 0.1,
 IF(F882&gt;0.5, 0.08,
 IF(E882&gt;0.5, 0.05,
 0)))</f>
        <v>0</v>
      </c>
      <c r="AJ882">
        <f t="shared" si="40"/>
        <v>1.355312367325592E-2</v>
      </c>
      <c r="AK882">
        <f t="shared" si="41"/>
        <v>1.4908436040581513E-2</v>
      </c>
      <c r="AL882" t="str">
        <f>IF(MAX(X882, Y882, Z882, AA882)&gt;0.9,
 "Critical",
 IF(AK882&lt;=0.2,"Very Low",
 IF(AK882&lt;=0.4,"Low",
 IF(AK882&lt;=0.6,"Medium",
 IF(AK882&lt;=0.8,"High","Critical")))))</f>
        <v>Very Low</v>
      </c>
      <c r="AM882" t="str">
        <f>IF(MAX(X882:AA882)&gt;0.9,"CRITICAL ALERT",
 IF(AK882&gt;0.8,"CRITICAL ALERT",
 IF(AK882&gt;0.6,"ALERT",
 IF(AK882&gt;=0.4,"REVIEW","NO ACTION"))))</f>
        <v>NO ACTION</v>
      </c>
      <c r="AN882" t="str">
        <f>IF(AM882="NO ACTION","",
 IF(_xlfn.TEXTJOIN(", ", TRUE,
  IF(X882&gt;0.7,"Login anomaly",""),
  IF(Y882&gt;0.7,"File anomaly",""),
  IF(Z882&gt;0.7,"Network anomaly",""),
  IF(AA882&gt;0.7,"USB anomaly","")
 )="",
 "General anomaly detected",
 _xlfn.TEXTJOIN(", ", TRUE,
  IF(X882&gt;0.7,"Login anomaly",""),
  IF(Y882&gt;0.7,"File anomaly",""),
  IF(Z882&gt;0.7,"Network anomaly",""),
  IF(AA882&gt;0.7,"USB anomaly","")
 )))</f>
        <v/>
      </c>
    </row>
    <row r="883" spans="1:40" x14ac:dyDescent="0.3">
      <c r="A883" t="s">
        <v>906</v>
      </c>
      <c r="B883">
        <v>0.235538752362948</v>
      </c>
      <c r="C883">
        <v>0.86312456854483499</v>
      </c>
      <c r="D883">
        <v>0.37434269099477302</v>
      </c>
      <c r="E883">
        <v>0</v>
      </c>
      <c r="F883">
        <v>0</v>
      </c>
      <c r="G883">
        <v>0.479333690144994</v>
      </c>
      <c r="H883">
        <v>8</v>
      </c>
      <c r="I883">
        <v>15</v>
      </c>
      <c r="J883">
        <v>8.4203997900863498E-2</v>
      </c>
      <c r="K883">
        <v>4.0783034257748704E-3</v>
      </c>
      <c r="L883">
        <v>1.2336640187429001E-2</v>
      </c>
      <c r="M883">
        <v>2.88600288600288E-4</v>
      </c>
      <c r="N883">
        <v>2.0653671501129102E-3</v>
      </c>
      <c r="O883">
        <v>391</v>
      </c>
      <c r="P883">
        <v>6.3797699214365802E-2</v>
      </c>
      <c r="Q883">
        <v>6.3957361758827394E-2</v>
      </c>
      <c r="R883">
        <v>0</v>
      </c>
      <c r="S883">
        <v>0</v>
      </c>
      <c r="T883" t="s">
        <v>49</v>
      </c>
      <c r="U883">
        <v>4.2452830188679201E-2</v>
      </c>
      <c r="V883">
        <v>0</v>
      </c>
      <c r="W883">
        <v>0</v>
      </c>
      <c r="X883">
        <v>0.11230280729843101</v>
      </c>
      <c r="Y883">
        <v>2.3628729818921099E-2</v>
      </c>
      <c r="Z883">
        <v>3.9104766388664697E-2</v>
      </c>
      <c r="AA883">
        <v>0</v>
      </c>
      <c r="AB883">
        <v>5.2078001201152802E-2</v>
      </c>
      <c r="AC883">
        <v>5.3499999921768904E-4</v>
      </c>
      <c r="AD883">
        <v>5.4419999942183486E-3</v>
      </c>
      <c r="AE883">
        <v>8.3419997245073318E-3</v>
      </c>
      <c r="AF883">
        <f>0.16*X883 + 0.28*Y883 + 0.28*Z883 + 0.28*AA883</f>
        <v>3.5533828105872987E-2</v>
      </c>
      <c r="AG883">
        <f t="shared" si="39"/>
        <v>1.2341800113208592E-2</v>
      </c>
      <c r="AH883">
        <f>IF(T883="IT_Admin", 0.25, IF(AND(T883="HR", AA883&gt;0.6), 0.25, IF(AND(T883="General", Z883&gt;0.7), 0.2, 0.1)))</f>
        <v>0.1</v>
      </c>
      <c r="AI883">
        <f>IF(V883&gt;0.7, 0.1,
 IF(F883&gt;0.5, 0.08,
 IF(E883&gt;0.5, 0.05,
 0)))</f>
        <v>0</v>
      </c>
      <c r="AJ883">
        <f t="shared" si="40"/>
        <v>1.929940851100791E-2</v>
      </c>
      <c r="AK883">
        <f t="shared" si="41"/>
        <v>2.1229349362108702E-2</v>
      </c>
      <c r="AL883" t="str">
        <f>IF(MAX(X883, Y883, Z883, AA883)&gt;0.9,
 "Critical",
 IF(AK883&lt;=0.2,"Very Low",
 IF(AK883&lt;=0.4,"Low",
 IF(AK883&lt;=0.6,"Medium",
 IF(AK883&lt;=0.8,"High","Critical")))))</f>
        <v>Very Low</v>
      </c>
      <c r="AM883" t="str">
        <f>IF(MAX(X883:AA883)&gt;0.9,"CRITICAL ALERT",
 IF(AK883&gt;0.8,"CRITICAL ALERT",
 IF(AK883&gt;0.6,"ALERT",
 IF(AK883&gt;=0.4,"REVIEW","NO ACTION"))))</f>
        <v>NO ACTION</v>
      </c>
      <c r="AN883" t="str">
        <f>IF(AM883="NO ACTION","",
 IF(_xlfn.TEXTJOIN(", ", TRUE,
  IF(X883&gt;0.7,"Login anomaly",""),
  IF(Y883&gt;0.7,"File anomaly",""),
  IF(Z883&gt;0.7,"Network anomaly",""),
  IF(AA883&gt;0.7,"USB anomaly","")
 )="",
 "General anomaly detected",
 _xlfn.TEXTJOIN(", ", TRUE,
  IF(X883&gt;0.7,"Login anomaly",""),
  IF(Y883&gt;0.7,"File anomaly",""),
  IF(Z883&gt;0.7,"Network anomaly",""),
  IF(AA883&gt;0.7,"USB anomaly","")
 )))</f>
        <v/>
      </c>
    </row>
    <row r="884" spans="1:40" x14ac:dyDescent="0.3">
      <c r="A884" t="s">
        <v>907</v>
      </c>
      <c r="B884">
        <v>0.12892249527410199</v>
      </c>
      <c r="C884">
        <v>0.46378900102187598</v>
      </c>
      <c r="D884">
        <v>7.51173381640724E-2</v>
      </c>
      <c r="E884">
        <v>0</v>
      </c>
      <c r="F884">
        <v>0</v>
      </c>
      <c r="G884">
        <v>0.99370316248191204</v>
      </c>
      <c r="H884">
        <v>8</v>
      </c>
      <c r="I884">
        <v>9</v>
      </c>
      <c r="J884">
        <v>8.4013167310719894E-2</v>
      </c>
      <c r="K884">
        <v>8.9722675367047301E-3</v>
      </c>
      <c r="L884">
        <v>2.7202082044082001E-2</v>
      </c>
      <c r="M884">
        <v>2.8860028860028799E-3</v>
      </c>
      <c r="N884">
        <v>2.0700452184030799E-2</v>
      </c>
      <c r="O884">
        <v>927</v>
      </c>
      <c r="P884">
        <v>6.7024410774410695E-2</v>
      </c>
      <c r="Q884">
        <v>6.7183281321224406E-2</v>
      </c>
      <c r="R884">
        <v>0</v>
      </c>
      <c r="S884">
        <v>0</v>
      </c>
      <c r="T884" t="s">
        <v>49</v>
      </c>
      <c r="U884">
        <v>1.6981132075471601E-2</v>
      </c>
      <c r="V884">
        <v>0</v>
      </c>
      <c r="W884">
        <v>0</v>
      </c>
      <c r="X884">
        <v>2.2535201449221699E-2</v>
      </c>
      <c r="Y884">
        <v>3.6613810139394201E-2</v>
      </c>
      <c r="Z884">
        <v>4.84948273382588E-2</v>
      </c>
      <c r="AA884">
        <v>0</v>
      </c>
      <c r="AB884">
        <v>1.341599971055984E-2</v>
      </c>
      <c r="AC884">
        <v>2.4399999529123309E-4</v>
      </c>
      <c r="AD884">
        <v>4.7980002127587804E-3</v>
      </c>
      <c r="AE884">
        <v>2.3940000683069229E-3</v>
      </c>
      <c r="AF884">
        <f>0.16*X884 + 0.28*Y884 + 0.28*Z884 + 0.28*AA884</f>
        <v>2.7436050725618315E-2</v>
      </c>
      <c r="AG884">
        <f t="shared" si="39"/>
        <v>4.2286400310695164E-3</v>
      </c>
      <c r="AH884">
        <f>IF(T884="IT_Admin", 0.25, IF(AND(T884="HR", AA884&gt;0.6), 0.25, IF(AND(T884="General", Z884&gt;0.7), 0.2, 0.1)))</f>
        <v>0.1</v>
      </c>
      <c r="AI884">
        <f>IF(V884&gt;0.7, 0.1,
 IF(F884&gt;0.5, 0.08,
 IF(E884&gt;0.5, 0.05,
 0)))</f>
        <v>0</v>
      </c>
      <c r="AJ884">
        <f t="shared" si="40"/>
        <v>1.1190863239434155E-2</v>
      </c>
      <c r="AK884">
        <f t="shared" si="41"/>
        <v>1.2309949563377573E-2</v>
      </c>
      <c r="AL884" t="str">
        <f>IF(MAX(X884, Y884, Z884, AA884)&gt;0.9,
 "Critical",
 IF(AK884&lt;=0.2,"Very Low",
 IF(AK884&lt;=0.4,"Low",
 IF(AK884&lt;=0.6,"Medium",
 IF(AK884&lt;=0.8,"High","Critical")))))</f>
        <v>Very Low</v>
      </c>
      <c r="AM884" t="str">
        <f>IF(MAX(X884:AA884)&gt;0.9,"CRITICAL ALERT",
 IF(AK884&gt;0.8,"CRITICAL ALERT",
 IF(AK884&gt;0.6,"ALERT",
 IF(AK884&gt;=0.4,"REVIEW","NO ACTION"))))</f>
        <v>NO ACTION</v>
      </c>
      <c r="AN884" t="str">
        <f>IF(AM884="NO ACTION","",
 IF(_xlfn.TEXTJOIN(", ", TRUE,
  IF(X884&gt;0.7,"Login anomaly",""),
  IF(Y884&gt;0.7,"File anomaly",""),
  IF(Z884&gt;0.7,"Network anomaly",""),
  IF(AA884&gt;0.7,"USB anomaly","")
 )="",
 "General anomaly detected",
 _xlfn.TEXTJOIN(", ", TRUE,
  IF(X884&gt;0.7,"Login anomaly",""),
  IF(Y884&gt;0.7,"File anomaly",""),
  IF(Z884&gt;0.7,"Network anomaly",""),
  IF(AA884&gt;0.7,"USB anomaly","")
 )))</f>
        <v/>
      </c>
    </row>
    <row r="885" spans="1:40" x14ac:dyDescent="0.3">
      <c r="A885" t="s">
        <v>908</v>
      </c>
      <c r="B885">
        <v>0.12892249527410199</v>
      </c>
      <c r="C885">
        <v>0.18476582604220201</v>
      </c>
      <c r="D885">
        <v>0</v>
      </c>
      <c r="E885">
        <v>0</v>
      </c>
      <c r="F885">
        <v>0</v>
      </c>
      <c r="G885">
        <v>0.993675784241009</v>
      </c>
      <c r="H885">
        <v>7</v>
      </c>
      <c r="I885">
        <v>7</v>
      </c>
      <c r="J885">
        <v>9.0596822670674093E-2</v>
      </c>
      <c r="K885">
        <v>1.7944535073409401E-2</v>
      </c>
      <c r="L885">
        <v>5.0461005136395801E-2</v>
      </c>
      <c r="M885">
        <v>2.8860028860028799E-3</v>
      </c>
      <c r="N885">
        <v>1.9200104284137799E-2</v>
      </c>
      <c r="O885">
        <v>993</v>
      </c>
      <c r="P885">
        <v>7.5722502805836103E-2</v>
      </c>
      <c r="Q885">
        <v>7.5879238402468505E-2</v>
      </c>
      <c r="R885">
        <v>0</v>
      </c>
      <c r="S885">
        <v>0</v>
      </c>
      <c r="T885" t="s">
        <v>49</v>
      </c>
      <c r="U885">
        <v>3.3962264150943298E-2</v>
      </c>
      <c r="V885">
        <v>0</v>
      </c>
      <c r="W885">
        <v>0</v>
      </c>
      <c r="X885">
        <v>0</v>
      </c>
      <c r="Y885">
        <v>4.9109898387574097E-2</v>
      </c>
      <c r="Z885">
        <v>5.31135433971568E-2</v>
      </c>
      <c r="AA885">
        <v>0</v>
      </c>
      <c r="AB885">
        <v>3.6639001220464713E-2</v>
      </c>
      <c r="AC885">
        <v>1.4999999621068131E-5</v>
      </c>
      <c r="AD885">
        <v>3.8439999334514141E-3</v>
      </c>
      <c r="AE885">
        <v>1.60600000526756E-3</v>
      </c>
      <c r="AF885">
        <f>0.16*X885 + 0.28*Y885 + 0.28*Z885 + 0.28*AA885</f>
        <v>2.8622563699724653E-2</v>
      </c>
      <c r="AG885">
        <f t="shared" si="39"/>
        <v>7.3924401780095664E-3</v>
      </c>
      <c r="AH885">
        <f>IF(T885="IT_Admin", 0.25, IF(AND(T885="HR", AA885&gt;0.6), 0.25, IF(AND(T885="General", Z885&gt;0.7), 0.2, 0.1)))</f>
        <v>0.1</v>
      </c>
      <c r="AI885">
        <f>IF(V885&gt;0.7, 0.1,
 IF(F885&gt;0.5, 0.08,
 IF(E885&gt;0.5, 0.05,
 0)))</f>
        <v>0</v>
      </c>
      <c r="AJ885">
        <f t="shared" si="40"/>
        <v>1.3761477234524092E-2</v>
      </c>
      <c r="AK885">
        <f t="shared" si="41"/>
        <v>1.5137624957976503E-2</v>
      </c>
      <c r="AL885" t="str">
        <f>IF(MAX(X885, Y885, Z885, AA885)&gt;0.9,
 "Critical",
 IF(AK885&lt;=0.2,"Very Low",
 IF(AK885&lt;=0.4,"Low",
 IF(AK885&lt;=0.6,"Medium",
 IF(AK885&lt;=0.8,"High","Critical")))))</f>
        <v>Very Low</v>
      </c>
      <c r="AM885" t="str">
        <f>IF(MAX(X885:AA885)&gt;0.9,"CRITICAL ALERT",
 IF(AK885&gt;0.8,"CRITICAL ALERT",
 IF(AK885&gt;0.6,"ALERT",
 IF(AK885&gt;=0.4,"REVIEW","NO ACTION"))))</f>
        <v>NO ACTION</v>
      </c>
      <c r="AN885" t="str">
        <f>IF(AM885="NO ACTION","",
 IF(_xlfn.TEXTJOIN(", ", TRUE,
  IF(X885&gt;0.7,"Login anomaly",""),
  IF(Y885&gt;0.7,"File anomaly",""),
  IF(Z885&gt;0.7,"Network anomaly",""),
  IF(AA885&gt;0.7,"USB anomaly","")
 )="",
 "General anomaly detected",
 _xlfn.TEXTJOIN(", ", TRUE,
  IF(X885&gt;0.7,"Login anomaly",""),
  IF(Y885&gt;0.7,"File anomaly",""),
  IF(Z885&gt;0.7,"Network anomaly",""),
  IF(AA885&gt;0.7,"USB anomaly","")
 )))</f>
        <v/>
      </c>
    </row>
    <row r="886" spans="1:40" x14ac:dyDescent="0.3">
      <c r="A886" t="s">
        <v>909</v>
      </c>
      <c r="B886">
        <v>0.26918714555765599</v>
      </c>
      <c r="C886">
        <v>0.69880706274062099</v>
      </c>
      <c r="D886">
        <v>0.36719786701191098</v>
      </c>
      <c r="E886">
        <v>0</v>
      </c>
      <c r="F886">
        <v>0</v>
      </c>
      <c r="G886">
        <v>0.40118634753884302</v>
      </c>
      <c r="H886">
        <v>7</v>
      </c>
      <c r="I886">
        <v>15</v>
      </c>
      <c r="J886">
        <v>6.22584800343495E-2</v>
      </c>
      <c r="K886">
        <v>8.9722675367047301E-3</v>
      </c>
      <c r="L886">
        <v>3.6670898389197501E-2</v>
      </c>
      <c r="M886">
        <v>2.3088023088023001E-3</v>
      </c>
      <c r="N886">
        <v>2.2324884614960901E-2</v>
      </c>
      <c r="O886">
        <v>622</v>
      </c>
      <c r="P886">
        <v>5.0750561167227801E-2</v>
      </c>
      <c r="Q886">
        <v>5.0913426136961301E-2</v>
      </c>
      <c r="R886">
        <v>0</v>
      </c>
      <c r="S886">
        <v>0</v>
      </c>
      <c r="T886" t="s">
        <v>49</v>
      </c>
      <c r="U886">
        <v>2.0754716981132001E-2</v>
      </c>
      <c r="V886">
        <v>0</v>
      </c>
      <c r="W886">
        <v>0</v>
      </c>
      <c r="X886">
        <v>0.110159360103573</v>
      </c>
      <c r="Y886">
        <v>3.7484610585956903E-2</v>
      </c>
      <c r="Z886">
        <v>3.9380290546321001E-2</v>
      </c>
      <c r="AA886">
        <v>0</v>
      </c>
      <c r="AB886">
        <v>4.0762998163700097E-2</v>
      </c>
      <c r="AC886">
        <v>1.6300000424962491E-4</v>
      </c>
      <c r="AD886">
        <v>6.6260001622140408E-3</v>
      </c>
      <c r="AE886">
        <v>8.8839996606111526E-3</v>
      </c>
      <c r="AF886">
        <f>0.16*X886 + 0.28*Y886 + 0.28*Z886 + 0.28*AA886</f>
        <v>3.9147669933609491E-2</v>
      </c>
      <c r="AG886">
        <f t="shared" si="39"/>
        <v>1.0910519657772965E-2</v>
      </c>
      <c r="AH886">
        <f>IF(T886="IT_Admin", 0.25, IF(AND(T886="HR", AA886&gt;0.6), 0.25, IF(AND(T886="General", Z886&gt;0.7), 0.2, 0.1)))</f>
        <v>0.1</v>
      </c>
      <c r="AI886">
        <f>IF(V886&gt;0.7, 0.1,
 IF(F886&gt;0.5, 0.08,
 IF(E886&gt;0.5, 0.05,
 0)))</f>
        <v>0</v>
      </c>
      <c r="AJ886">
        <f t="shared" si="40"/>
        <v>1.9381664740523923E-2</v>
      </c>
      <c r="AK886">
        <f t="shared" si="41"/>
        <v>2.1319831214576316E-2</v>
      </c>
      <c r="AL886" t="str">
        <f>IF(MAX(X886, Y886, Z886, AA886)&gt;0.9,
 "Critical",
 IF(AK886&lt;=0.2,"Very Low",
 IF(AK886&lt;=0.4,"Low",
 IF(AK886&lt;=0.6,"Medium",
 IF(AK886&lt;=0.8,"High","Critical")))))</f>
        <v>Very Low</v>
      </c>
      <c r="AM886" t="str">
        <f>IF(MAX(X886:AA886)&gt;0.9,"CRITICAL ALERT",
 IF(AK886&gt;0.8,"CRITICAL ALERT",
 IF(AK886&gt;0.6,"ALERT",
 IF(AK886&gt;=0.4,"REVIEW","NO ACTION"))))</f>
        <v>NO ACTION</v>
      </c>
      <c r="AN886" t="str">
        <f>IF(AM886="NO ACTION","",
 IF(_xlfn.TEXTJOIN(", ", TRUE,
  IF(X886&gt;0.7,"Login anomaly",""),
  IF(Y886&gt;0.7,"File anomaly",""),
  IF(Z886&gt;0.7,"Network anomaly",""),
  IF(AA886&gt;0.7,"USB anomaly","")
 )="",
 "General anomaly detected",
 _xlfn.TEXTJOIN(", ", TRUE,
  IF(X886&gt;0.7,"Login anomaly",""),
  IF(Y886&gt;0.7,"File anomaly",""),
  IF(Z886&gt;0.7,"Network anomaly",""),
  IF(AA886&gt;0.7,"USB anomaly","")
 )))</f>
        <v/>
      </c>
    </row>
    <row r="887" spans="1:40" x14ac:dyDescent="0.3">
      <c r="A887" t="s">
        <v>910</v>
      </c>
      <c r="B887">
        <v>3.7429111531190898E-2</v>
      </c>
      <c r="C887">
        <v>0.27804566054894497</v>
      </c>
      <c r="D887">
        <v>7.5387151572007705E-2</v>
      </c>
      <c r="E887">
        <v>0</v>
      </c>
      <c r="F887">
        <v>0</v>
      </c>
      <c r="G887">
        <v>0.96656541958679099</v>
      </c>
      <c r="H887">
        <v>7</v>
      </c>
      <c r="I887">
        <v>8</v>
      </c>
      <c r="J887">
        <v>9.3029912695005001E-3</v>
      </c>
      <c r="K887">
        <v>2.4469820554649199E-3</v>
      </c>
      <c r="L887">
        <v>6.5507559395248299E-2</v>
      </c>
      <c r="M887">
        <v>0</v>
      </c>
      <c r="N887">
        <v>0</v>
      </c>
      <c r="O887">
        <v>145</v>
      </c>
      <c r="P887">
        <v>7.8914141414141402E-3</v>
      </c>
      <c r="Q887">
        <v>8.0647989059924909E-3</v>
      </c>
      <c r="R887">
        <v>0</v>
      </c>
      <c r="S887">
        <v>0</v>
      </c>
      <c r="T887" t="s">
        <v>49</v>
      </c>
      <c r="U887">
        <v>5.0943396226415097E-2</v>
      </c>
      <c r="V887">
        <v>0</v>
      </c>
      <c r="W887">
        <v>0</v>
      </c>
      <c r="X887">
        <v>2.26161454716023E-2</v>
      </c>
      <c r="Y887">
        <v>3.4614377951524201E-2</v>
      </c>
      <c r="Z887">
        <v>4.7348484848484798E-3</v>
      </c>
      <c r="AA887">
        <v>0</v>
      </c>
      <c r="AB887">
        <v>3.2830998301506042E-2</v>
      </c>
      <c r="AC887">
        <v>4.9399997806176543E-4</v>
      </c>
      <c r="AD887">
        <v>1.618699915707111E-2</v>
      </c>
      <c r="AE887">
        <v>2.4260000791400671E-3</v>
      </c>
      <c r="AF887">
        <f>0.16*X887 + 0.28*Y887 + 0.28*Z887 + 0.28*AA887</f>
        <v>1.4636366677640719E-2</v>
      </c>
      <c r="AG887">
        <f t="shared" si="39"/>
        <v>1.0602919508237392E-2</v>
      </c>
      <c r="AH887">
        <f>IF(T887="IT_Admin", 0.25, IF(AND(T887="HR", AA887&gt;0.6), 0.25, IF(AND(T887="General", Z887&gt;0.7), 0.2, 0.1)))</f>
        <v>0.1</v>
      </c>
      <c r="AI887">
        <f>IF(V887&gt;0.7, 0.1,
 IF(F887&gt;0.5, 0.08,
 IF(E887&gt;0.5, 0.05,
 0)))</f>
        <v>0</v>
      </c>
      <c r="AJ887">
        <f t="shared" si="40"/>
        <v>1.1812953659058389E-2</v>
      </c>
      <c r="AK887">
        <f t="shared" si="41"/>
        <v>1.2994249024964228E-2</v>
      </c>
      <c r="AL887" t="str">
        <f>IF(MAX(X887, Y887, Z887, AA887)&gt;0.9,
 "Critical",
 IF(AK887&lt;=0.2,"Very Low",
 IF(AK887&lt;=0.4,"Low",
 IF(AK887&lt;=0.6,"Medium",
 IF(AK887&lt;=0.8,"High","Critical")))))</f>
        <v>Very Low</v>
      </c>
      <c r="AM887" t="str">
        <f>IF(MAX(X887:AA887)&gt;0.9,"CRITICAL ALERT",
 IF(AK887&gt;0.8,"CRITICAL ALERT",
 IF(AK887&gt;0.6,"ALERT",
 IF(AK887&gt;=0.4,"REVIEW","NO ACTION"))))</f>
        <v>NO ACTION</v>
      </c>
      <c r="AN887" t="str">
        <f>IF(AM887="NO ACTION","",
 IF(_xlfn.TEXTJOIN(", ", TRUE,
  IF(X887&gt;0.7,"Login anomaly",""),
  IF(Y887&gt;0.7,"File anomaly",""),
  IF(Z887&gt;0.7,"Network anomaly",""),
  IF(AA887&gt;0.7,"USB anomaly","")
 )="",
 "General anomaly detected",
 _xlfn.TEXTJOIN(", ", TRUE,
  IF(X887&gt;0.7,"Login anomaly",""),
  IF(Y887&gt;0.7,"File anomaly",""),
  IF(Z887&gt;0.7,"Network anomaly",""),
  IF(AA887&gt;0.7,"USB anomaly","")
 )))</f>
        <v/>
      </c>
    </row>
    <row r="888" spans="1:40" x14ac:dyDescent="0.3">
      <c r="A888" t="s">
        <v>911</v>
      </c>
      <c r="B888">
        <v>0.12892249527410199</v>
      </c>
      <c r="C888">
        <v>0.18476582604220201</v>
      </c>
      <c r="D888">
        <v>0</v>
      </c>
      <c r="E888">
        <v>0</v>
      </c>
      <c r="F888">
        <v>0</v>
      </c>
      <c r="G888">
        <v>0.99368592730386596</v>
      </c>
      <c r="H888">
        <v>7</v>
      </c>
      <c r="I888">
        <v>7</v>
      </c>
      <c r="J888">
        <v>6.2687848862172602E-2</v>
      </c>
      <c r="K888">
        <v>6.5252854812398002E-3</v>
      </c>
      <c r="L888">
        <v>2.6487767256102399E-2</v>
      </c>
      <c r="M888">
        <v>2.88600288600288E-4</v>
      </c>
      <c r="N888">
        <v>2.7715692613342301E-3</v>
      </c>
      <c r="O888">
        <v>325</v>
      </c>
      <c r="P888">
        <v>4.9031986531986503E-2</v>
      </c>
      <c r="Q888">
        <v>4.9195273326554198E-2</v>
      </c>
      <c r="R888">
        <v>0</v>
      </c>
      <c r="S888">
        <v>0</v>
      </c>
      <c r="T888" t="s">
        <v>49</v>
      </c>
      <c r="U888">
        <v>6.7924528301886694E-2</v>
      </c>
      <c r="V888">
        <v>0</v>
      </c>
      <c r="W888">
        <v>0</v>
      </c>
      <c r="X888">
        <v>0</v>
      </c>
      <c r="Y888">
        <v>2.6612924178885999E-2</v>
      </c>
      <c r="Z888">
        <v>3.05278196237256E-2</v>
      </c>
      <c r="AA888">
        <v>0</v>
      </c>
      <c r="AB888">
        <v>3.6775000393390662E-2</v>
      </c>
      <c r="AC888">
        <v>6.5499998163431883E-4</v>
      </c>
      <c r="AD888">
        <v>7.9910000786185265E-3</v>
      </c>
      <c r="AE888">
        <v>1.989000011235476E-3</v>
      </c>
      <c r="AF888">
        <f>0.16*X888 + 0.28*Y888 + 0.28*Z888 + 0.28*AA888</f>
        <v>1.599940826473125E-2</v>
      </c>
      <c r="AG888">
        <f t="shared" si="39"/>
        <v>8.8618000829592362E-3</v>
      </c>
      <c r="AH888">
        <f>IF(T888="IT_Admin", 0.25, IF(AND(T888="HR", AA888&gt;0.6), 0.25, IF(AND(T888="General", Z888&gt;0.7), 0.2, 0.1)))</f>
        <v>0.1</v>
      </c>
      <c r="AI888">
        <f>IF(V888&gt;0.7, 0.1,
 IF(F888&gt;0.5, 0.08,
 IF(E888&gt;0.5, 0.05,
 0)))</f>
        <v>0</v>
      </c>
      <c r="AJ888">
        <f t="shared" si="40"/>
        <v>1.1003082537490841E-2</v>
      </c>
      <c r="AK888">
        <f t="shared" si="41"/>
        <v>1.2103390791239926E-2</v>
      </c>
      <c r="AL888" t="str">
        <f>IF(MAX(X888, Y888, Z888, AA888)&gt;0.9,
 "Critical",
 IF(AK888&lt;=0.2,"Very Low",
 IF(AK888&lt;=0.4,"Low",
 IF(AK888&lt;=0.6,"Medium",
 IF(AK888&lt;=0.8,"High","Critical")))))</f>
        <v>Very Low</v>
      </c>
      <c r="AM888" t="str">
        <f>IF(MAX(X888:AA888)&gt;0.9,"CRITICAL ALERT",
 IF(AK888&gt;0.8,"CRITICAL ALERT",
 IF(AK888&gt;0.6,"ALERT",
 IF(AK888&gt;=0.4,"REVIEW","NO ACTION"))))</f>
        <v>NO ACTION</v>
      </c>
      <c r="AN888" t="str">
        <f>IF(AM888="NO ACTION","",
 IF(_xlfn.TEXTJOIN(", ", TRUE,
  IF(X888&gt;0.7,"Login anomaly",""),
  IF(Y888&gt;0.7,"File anomaly",""),
  IF(Z888&gt;0.7,"Network anomaly",""),
  IF(AA888&gt;0.7,"USB anomaly","")
 )="",
 "General anomaly detected",
 _xlfn.TEXTJOIN(", ", TRUE,
  IF(X888&gt;0.7,"Login anomaly",""),
  IF(Y888&gt;0.7,"File anomaly",""),
  IF(Z888&gt;0.7,"Network anomaly",""),
  IF(AA888&gt;0.7,"USB anomaly","")
 )))</f>
        <v/>
      </c>
    </row>
    <row r="889" spans="1:40" x14ac:dyDescent="0.3">
      <c r="A889" t="s">
        <v>912</v>
      </c>
      <c r="B889">
        <v>0.12892249527410199</v>
      </c>
      <c r="C889">
        <v>9.8006220770211899E-2</v>
      </c>
      <c r="D889">
        <v>7.4993488433305694E-2</v>
      </c>
      <c r="E889">
        <v>0</v>
      </c>
      <c r="F889">
        <v>0.46956521739130402</v>
      </c>
      <c r="G889">
        <v>0.99366168029872604</v>
      </c>
      <c r="H889">
        <v>6</v>
      </c>
      <c r="I889">
        <v>7</v>
      </c>
      <c r="J889">
        <v>8.1389246696245393E-2</v>
      </c>
      <c r="K889">
        <v>1.2234910277324601E-2</v>
      </c>
      <c r="L889">
        <v>3.8286124719607399E-2</v>
      </c>
      <c r="M889">
        <v>1.7316017316017301E-3</v>
      </c>
      <c r="N889">
        <v>1.28195202420801E-2</v>
      </c>
      <c r="O889">
        <v>869</v>
      </c>
      <c r="P889">
        <v>6.5937149270482595E-2</v>
      </c>
      <c r="Q889">
        <v>6.60962866860689E-2</v>
      </c>
      <c r="R889">
        <v>0</v>
      </c>
      <c r="S889">
        <v>0</v>
      </c>
      <c r="T889" t="s">
        <v>49</v>
      </c>
      <c r="U889">
        <v>3.6388140161725001E-2</v>
      </c>
      <c r="V889">
        <v>0</v>
      </c>
      <c r="W889">
        <v>0</v>
      </c>
      <c r="X889">
        <v>0.21032413348651299</v>
      </c>
      <c r="Y889">
        <v>3.92667677716768E-2</v>
      </c>
      <c r="Z889">
        <v>4.4690097659121603E-2</v>
      </c>
      <c r="AA889">
        <v>0</v>
      </c>
      <c r="AB889">
        <v>4.2812999337911613E-2</v>
      </c>
      <c r="AC889">
        <v>4.8999998398358002E-5</v>
      </c>
      <c r="AD889">
        <v>5.2140001207590103E-3</v>
      </c>
      <c r="AE889">
        <v>9.5199997304007411E-4</v>
      </c>
      <c r="AF889">
        <f>0.16*X889 + 0.28*Y889 + 0.28*Z889 + 0.28*AA889</f>
        <v>5.7159783678465637E-2</v>
      </c>
      <c r="AG889">
        <f t="shared" si="39"/>
        <v>8.5902799198811428E-3</v>
      </c>
      <c r="AH889">
        <f>IF(T889="IT_Admin", 0.25, IF(AND(T889="HR", AA889&gt;0.6), 0.25, IF(AND(T889="General", Z889&gt;0.7), 0.2, 0.1)))</f>
        <v>0.1</v>
      </c>
      <c r="AI889">
        <f>IF(V889&gt;0.7, 0.1,
 IF(F889&gt;0.5, 0.08,
 IF(E889&gt;0.5, 0.05,
 0)))</f>
        <v>0</v>
      </c>
      <c r="AJ889">
        <f t="shared" si="40"/>
        <v>2.3161131047456492E-2</v>
      </c>
      <c r="AK889">
        <f t="shared" si="41"/>
        <v>2.5477244152202143E-2</v>
      </c>
      <c r="AL889" t="str">
        <f>IF(MAX(X889, Y889, Z889, AA889)&gt;0.9,
 "Critical",
 IF(AK889&lt;=0.2,"Very Low",
 IF(AK889&lt;=0.4,"Low",
 IF(AK889&lt;=0.6,"Medium",
 IF(AK889&lt;=0.8,"High","Critical")))))</f>
        <v>Very Low</v>
      </c>
      <c r="AM889" t="str">
        <f>IF(MAX(X889:AA889)&gt;0.9,"CRITICAL ALERT",
 IF(AK889&gt;0.8,"CRITICAL ALERT",
 IF(AK889&gt;0.6,"ALERT",
 IF(AK889&gt;=0.4,"REVIEW","NO ACTION"))))</f>
        <v>NO ACTION</v>
      </c>
      <c r="AN889" t="str">
        <f>IF(AM889="NO ACTION","",
 IF(_xlfn.TEXTJOIN(", ", TRUE,
  IF(X889&gt;0.7,"Login anomaly",""),
  IF(Y889&gt;0.7,"File anomaly",""),
  IF(Z889&gt;0.7,"Network anomaly",""),
  IF(AA889&gt;0.7,"USB anomaly","")
 )="",
 "General anomaly detected",
 _xlfn.TEXTJOIN(", ", TRUE,
  IF(X889&gt;0.7,"Login anomaly",""),
  IF(Y889&gt;0.7,"File anomaly",""),
  IF(Z889&gt;0.7,"Network anomaly",""),
  IF(AA889&gt;0.7,"USB anomaly","")
 )))</f>
        <v/>
      </c>
    </row>
    <row r="890" spans="1:40" x14ac:dyDescent="0.3">
      <c r="A890" t="s">
        <v>913</v>
      </c>
      <c r="B890">
        <v>0.25633270321361001</v>
      </c>
      <c r="C890">
        <v>0.78376471369514999</v>
      </c>
      <c r="D890">
        <v>0.50083314980890203</v>
      </c>
      <c r="E890">
        <v>0.267188009123493</v>
      </c>
      <c r="F890">
        <v>6.1583577712609902E-2</v>
      </c>
      <c r="G890">
        <v>0.42869081634756001</v>
      </c>
      <c r="H890">
        <v>0</v>
      </c>
      <c r="I890">
        <v>23</v>
      </c>
      <c r="J890">
        <v>9.1503267973856203E-2</v>
      </c>
      <c r="K890">
        <v>1.38662316476345E-2</v>
      </c>
      <c r="L890">
        <v>3.8607332630238203E-2</v>
      </c>
      <c r="M890">
        <v>8.6580086580086493E-3</v>
      </c>
      <c r="N890">
        <v>5.70311989968776E-2</v>
      </c>
      <c r="O890">
        <v>711</v>
      </c>
      <c r="P890">
        <v>7.7441077441077394E-2</v>
      </c>
      <c r="Q890">
        <v>7.7597391212875594E-2</v>
      </c>
      <c r="R890">
        <v>0.396755162241887</v>
      </c>
      <c r="S890">
        <v>1</v>
      </c>
      <c r="T890" t="s">
        <v>49</v>
      </c>
      <c r="U890">
        <v>9.31223371880705E-3</v>
      </c>
      <c r="V890">
        <v>0</v>
      </c>
      <c r="W890">
        <v>7.7588800861737306E-2</v>
      </c>
      <c r="X890">
        <v>0.25503977876476203</v>
      </c>
      <c r="Y890">
        <v>5.4713679608953597E-2</v>
      </c>
      <c r="Z890">
        <v>6.9277126063397504E-2</v>
      </c>
      <c r="AA890">
        <v>0.396755162241887</v>
      </c>
      <c r="AB890">
        <v>0.20188300311565399</v>
      </c>
      <c r="AC890">
        <v>6.0899998061358929E-4</v>
      </c>
      <c r="AD890">
        <v>2.026000060141087E-3</v>
      </c>
      <c r="AE890">
        <v>0.1442440003156662</v>
      </c>
      <c r="AF890">
        <f>0.16*X890 + 0.28*Y890 + 0.28*Z890 + 0.28*AA890</f>
        <v>0.18661523561834861</v>
      </c>
      <c r="AG890">
        <f t="shared" si="39"/>
        <v>7.3427400598302495E-2</v>
      </c>
      <c r="AH890">
        <f>IF(T890="IT_Admin", 0.25, IF(AND(T890="HR", AA890&gt;0.6), 0.25, IF(AND(T890="General", Z890&gt;0.7), 0.2, 0.1)))</f>
        <v>0.1</v>
      </c>
      <c r="AI890">
        <f>IF(V890&gt;0.7, 0.1,
 IF(F890&gt;0.5, 0.08,
 IF(E890&gt;0.5, 0.05,
 0)))</f>
        <v>0</v>
      </c>
      <c r="AJ890">
        <f t="shared" si="40"/>
        <v>0.10738375110431633</v>
      </c>
      <c r="AK890">
        <f t="shared" si="41"/>
        <v>0.11812212621474798</v>
      </c>
      <c r="AL890" t="str">
        <f>IF(MAX(X890, Y890, Z890, AA890)&gt;0.9,
 "Critical",
 IF(AK890&lt;=0.2,"Very Low",
 IF(AK890&lt;=0.4,"Low",
 IF(AK890&lt;=0.6,"Medium",
 IF(AK890&lt;=0.8,"High","Critical")))))</f>
        <v>Very Low</v>
      </c>
      <c r="AM890" t="str">
        <f>IF(MAX(X890:AA890)&gt;0.9,"CRITICAL ALERT",
 IF(AK890&gt;0.8,"CRITICAL ALERT",
 IF(AK890&gt;0.6,"ALERT",
 IF(AK890&gt;=0.4,"REVIEW","NO ACTION"))))</f>
        <v>NO ACTION</v>
      </c>
      <c r="AN890" t="str">
        <f>IF(AM890="NO ACTION","",
 IF(_xlfn.TEXTJOIN(", ", TRUE,
  IF(X890&gt;0.7,"Login anomaly",""),
  IF(Y890&gt;0.7,"File anomaly",""),
  IF(Z890&gt;0.7,"Network anomaly",""),
  IF(AA890&gt;0.7,"USB anomaly","")
 )="",
 "General anomaly detected",
 _xlfn.TEXTJOIN(", ", TRUE,
  IF(X890&gt;0.7,"Login anomaly",""),
  IF(Y890&gt;0.7,"File anomaly",""),
  IF(Z890&gt;0.7,"Network anomaly",""),
  IF(AA890&gt;0.7,"USB anomaly","")
 )))</f>
        <v/>
      </c>
    </row>
    <row r="891" spans="1:40" x14ac:dyDescent="0.3">
      <c r="A891" t="s">
        <v>914</v>
      </c>
      <c r="B891">
        <v>0.12892249527410199</v>
      </c>
      <c r="C891">
        <v>0.18476582604220201</v>
      </c>
      <c r="D891">
        <v>0</v>
      </c>
      <c r="E891">
        <v>0</v>
      </c>
      <c r="F891">
        <v>0</v>
      </c>
      <c r="G891">
        <v>0.99366762161786604</v>
      </c>
      <c r="H891">
        <v>7</v>
      </c>
      <c r="I891">
        <v>7</v>
      </c>
      <c r="J891">
        <v>8.0148847860311997E-2</v>
      </c>
      <c r="K891">
        <v>1.2234910277324601E-2</v>
      </c>
      <c r="L891">
        <v>3.8876889848811998E-2</v>
      </c>
      <c r="M891">
        <v>3.1746031746031698E-3</v>
      </c>
      <c r="N891">
        <v>2.3865102915548001E-2</v>
      </c>
      <c r="O891">
        <v>864</v>
      </c>
      <c r="P891">
        <v>6.5726711560044906E-2</v>
      </c>
      <c r="Q891">
        <v>6.5885900627651706E-2</v>
      </c>
      <c r="R891">
        <v>0</v>
      </c>
      <c r="S891">
        <v>0</v>
      </c>
      <c r="T891" t="s">
        <v>49</v>
      </c>
      <c r="U891">
        <v>2.1226415094339601E-2</v>
      </c>
      <c r="V891">
        <v>0</v>
      </c>
      <c r="W891">
        <v>0</v>
      </c>
      <c r="X891">
        <v>0</v>
      </c>
      <c r="Y891">
        <v>4.26277453711328E-2</v>
      </c>
      <c r="Z891">
        <v>4.8982068102246097E-2</v>
      </c>
      <c r="AA891">
        <v>0</v>
      </c>
      <c r="AB891">
        <v>3.6657001823186867E-2</v>
      </c>
      <c r="AC891">
        <v>9.6999996458180249E-5</v>
      </c>
      <c r="AD891">
        <v>4.9330000765621662E-3</v>
      </c>
      <c r="AE891">
        <v>1.664999988861382E-3</v>
      </c>
      <c r="AF891">
        <f>0.16*X891 + 0.28*Y891 + 0.28*Z891 + 0.28*AA891</f>
        <v>2.5650747772546091E-2</v>
      </c>
      <c r="AG891">
        <f t="shared" si="39"/>
        <v>7.7397203090367843E-3</v>
      </c>
      <c r="AH891">
        <f>IF(T891="IT_Admin", 0.25, IF(AND(T891="HR", AA891&gt;0.6), 0.25, IF(AND(T891="General", Z891&gt;0.7), 0.2, 0.1)))</f>
        <v>0.1</v>
      </c>
      <c r="AI891">
        <f>IF(V891&gt;0.7, 0.1,
 IF(F891&gt;0.5, 0.08,
 IF(E891&gt;0.5, 0.05,
 0)))</f>
        <v>0</v>
      </c>
      <c r="AJ891">
        <f t="shared" si="40"/>
        <v>1.3113028548089576E-2</v>
      </c>
      <c r="AK891">
        <f t="shared" si="41"/>
        <v>1.4424331402898534E-2</v>
      </c>
      <c r="AL891" t="str">
        <f>IF(MAX(X891, Y891, Z891, AA891)&gt;0.9,
 "Critical",
 IF(AK891&lt;=0.2,"Very Low",
 IF(AK891&lt;=0.4,"Low",
 IF(AK891&lt;=0.6,"Medium",
 IF(AK891&lt;=0.8,"High","Critical")))))</f>
        <v>Very Low</v>
      </c>
      <c r="AM891" t="str">
        <f>IF(MAX(X891:AA891)&gt;0.9,"CRITICAL ALERT",
 IF(AK891&gt;0.8,"CRITICAL ALERT",
 IF(AK891&gt;0.6,"ALERT",
 IF(AK891&gt;=0.4,"REVIEW","NO ACTION"))))</f>
        <v>NO ACTION</v>
      </c>
      <c r="AN891" t="str">
        <f>IF(AM891="NO ACTION","",
 IF(_xlfn.TEXTJOIN(", ", TRUE,
  IF(X891&gt;0.7,"Login anomaly",""),
  IF(Y891&gt;0.7,"File anomaly",""),
  IF(Z891&gt;0.7,"Network anomaly",""),
  IF(AA891&gt;0.7,"USB anomaly","")
 )="",
 "General anomaly detected",
 _xlfn.TEXTJOIN(", ", TRUE,
  IF(X891&gt;0.7,"Login anomaly",""),
  IF(Y891&gt;0.7,"File anomaly",""),
  IF(Z891&gt;0.7,"Network anomaly",""),
  IF(AA891&gt;0.7,"USB anomaly","")
 )))</f>
        <v/>
      </c>
    </row>
    <row r="892" spans="1:40" x14ac:dyDescent="0.3">
      <c r="A892" t="s">
        <v>915</v>
      </c>
      <c r="B892">
        <v>0.12892249527410199</v>
      </c>
      <c r="C892">
        <v>0.36953165208440503</v>
      </c>
      <c r="D892">
        <v>0</v>
      </c>
      <c r="E892">
        <v>0</v>
      </c>
      <c r="F892">
        <v>0</v>
      </c>
      <c r="G892">
        <v>0.99366422275511401</v>
      </c>
      <c r="H892">
        <v>8</v>
      </c>
      <c r="I892">
        <v>8</v>
      </c>
      <c r="J892">
        <v>7.6189113114832299E-2</v>
      </c>
      <c r="K892">
        <v>6.5252854812398002E-3</v>
      </c>
      <c r="L892">
        <v>2.18085923912603E-2</v>
      </c>
      <c r="M892">
        <v>1.44300144300144E-3</v>
      </c>
      <c r="N892">
        <v>1.1409799799312901E-2</v>
      </c>
      <c r="O892">
        <v>505</v>
      </c>
      <c r="P892">
        <v>5.9518799102132397E-2</v>
      </c>
      <c r="Q892">
        <v>5.9679511904344403E-2</v>
      </c>
      <c r="R892">
        <v>0</v>
      </c>
      <c r="S892">
        <v>0</v>
      </c>
      <c r="T892" t="s">
        <v>49</v>
      </c>
      <c r="U892">
        <v>2.26415094339622E-2</v>
      </c>
      <c r="V892">
        <v>0</v>
      </c>
      <c r="W892">
        <v>0</v>
      </c>
      <c r="X892">
        <v>0</v>
      </c>
      <c r="Y892">
        <v>2.9565058758390501E-2</v>
      </c>
      <c r="Z892">
        <v>4.0275199381004601E-2</v>
      </c>
      <c r="AA892">
        <v>0</v>
      </c>
      <c r="AB892">
        <v>2.4969000369310379E-2</v>
      </c>
      <c r="AC892">
        <v>3.4599998616613448E-4</v>
      </c>
      <c r="AD892">
        <v>6.0589998029172421E-3</v>
      </c>
      <c r="AE892">
        <v>2.466999925673008E-3</v>
      </c>
      <c r="AF892">
        <f>0.16*X892 + 0.28*Y892 + 0.28*Z892 + 0.28*AA892</f>
        <v>1.955527227903063E-2</v>
      </c>
      <c r="AG892">
        <f t="shared" si="39"/>
        <v>6.4791999792214476E-3</v>
      </c>
      <c r="AH892">
        <f>IF(T892="IT_Admin", 0.25, IF(AND(T892="HR", AA892&gt;0.6), 0.25, IF(AND(T892="General", Z892&gt;0.7), 0.2, 0.1)))</f>
        <v>0.1</v>
      </c>
      <c r="AI892">
        <f>IF(V892&gt;0.7, 0.1,
 IF(F892&gt;0.5, 0.08,
 IF(E892&gt;0.5, 0.05,
 0)))</f>
        <v>0</v>
      </c>
      <c r="AJ892">
        <f t="shared" si="40"/>
        <v>1.0402021669164202E-2</v>
      </c>
      <c r="AK892">
        <f t="shared" si="41"/>
        <v>1.1442223836080623E-2</v>
      </c>
      <c r="AL892" t="str">
        <f>IF(MAX(X892, Y892, Z892, AA892)&gt;0.9,
 "Critical",
 IF(AK892&lt;=0.2,"Very Low",
 IF(AK892&lt;=0.4,"Low",
 IF(AK892&lt;=0.6,"Medium",
 IF(AK892&lt;=0.8,"High","Critical")))))</f>
        <v>Very Low</v>
      </c>
      <c r="AM892" t="str">
        <f>IF(MAX(X892:AA892)&gt;0.9,"CRITICAL ALERT",
 IF(AK892&gt;0.8,"CRITICAL ALERT",
 IF(AK892&gt;0.6,"ALERT",
 IF(AK892&gt;=0.4,"REVIEW","NO ACTION"))))</f>
        <v>NO ACTION</v>
      </c>
      <c r="AN892" t="str">
        <f>IF(AM892="NO ACTION","",
 IF(_xlfn.TEXTJOIN(", ", TRUE,
  IF(X892&gt;0.7,"Login anomaly",""),
  IF(Y892&gt;0.7,"File anomaly",""),
  IF(Z892&gt;0.7,"Network anomaly",""),
  IF(AA892&gt;0.7,"USB anomaly","")
 )="",
 "General anomaly detected",
 _xlfn.TEXTJOIN(", ", TRUE,
  IF(X892&gt;0.7,"Login anomaly",""),
  IF(Y892&gt;0.7,"File anomaly",""),
  IF(Z892&gt;0.7,"Network anomaly",""),
  IF(AA892&gt;0.7,"USB anomaly","")
 )))</f>
        <v/>
      </c>
    </row>
    <row r="893" spans="1:40" x14ac:dyDescent="0.3">
      <c r="A893" t="s">
        <v>916</v>
      </c>
      <c r="B893">
        <v>0.12892249527410199</v>
      </c>
      <c r="C893">
        <v>0.18476582604220201</v>
      </c>
      <c r="D893">
        <v>0</v>
      </c>
      <c r="E893">
        <v>0</v>
      </c>
      <c r="F893">
        <v>0</v>
      </c>
      <c r="G893">
        <v>0.99366151972253303</v>
      </c>
      <c r="H893">
        <v>7</v>
      </c>
      <c r="I893">
        <v>7</v>
      </c>
      <c r="J893">
        <v>9.0549115023138199E-2</v>
      </c>
      <c r="K893">
        <v>1.30505709624796E-2</v>
      </c>
      <c r="L893">
        <v>3.67181975941136E-2</v>
      </c>
      <c r="M893">
        <v>2.0202020202020202E-3</v>
      </c>
      <c r="N893">
        <v>1.34471355700993E-2</v>
      </c>
      <c r="O893">
        <v>971</v>
      </c>
      <c r="P893">
        <v>7.3162177328844002E-2</v>
      </c>
      <c r="Q893">
        <v>7.3319541358392595E-2</v>
      </c>
      <c r="R893">
        <v>0</v>
      </c>
      <c r="S893">
        <v>0</v>
      </c>
      <c r="T893" t="s">
        <v>49</v>
      </c>
      <c r="U893">
        <v>3.3962264150943298E-2</v>
      </c>
      <c r="V893">
        <v>0</v>
      </c>
      <c r="W893">
        <v>0</v>
      </c>
      <c r="X893">
        <v>0</v>
      </c>
      <c r="Y893">
        <v>4.0503062472714201E-2</v>
      </c>
      <c r="Z893">
        <v>4.9276160625346101E-2</v>
      </c>
      <c r="AA893">
        <v>0</v>
      </c>
      <c r="AB893">
        <v>3.6625999957323067E-2</v>
      </c>
      <c r="AC893">
        <v>3.8999998650979251E-5</v>
      </c>
      <c r="AD893">
        <v>4.280999768525362E-3</v>
      </c>
      <c r="AE893">
        <v>1.5660000499337909E-3</v>
      </c>
      <c r="AF893">
        <f>0.16*X893 + 0.28*Y893 + 0.28*Z893 + 0.28*AA893</f>
        <v>2.5138182467456888E-2</v>
      </c>
      <c r="AG893">
        <f t="shared" si="39"/>
        <v>7.5082399419625287E-3</v>
      </c>
      <c r="AH893">
        <f>IF(T893="IT_Admin", 0.25, IF(AND(T893="HR", AA893&gt;0.6), 0.25, IF(AND(T893="General", Z893&gt;0.7), 0.2, 0.1)))</f>
        <v>0.1</v>
      </c>
      <c r="AI893">
        <f>IF(V893&gt;0.7, 0.1,
 IF(F893&gt;0.5, 0.08,
 IF(E893&gt;0.5, 0.05,
 0)))</f>
        <v>0</v>
      </c>
      <c r="AJ893">
        <f t="shared" si="40"/>
        <v>1.2797222699610835E-2</v>
      </c>
      <c r="AK893">
        <f t="shared" si="41"/>
        <v>1.407694496957192E-2</v>
      </c>
      <c r="AL893" t="str">
        <f>IF(MAX(X893, Y893, Z893, AA893)&gt;0.9,
 "Critical",
 IF(AK893&lt;=0.2,"Very Low",
 IF(AK893&lt;=0.4,"Low",
 IF(AK893&lt;=0.6,"Medium",
 IF(AK893&lt;=0.8,"High","Critical")))))</f>
        <v>Very Low</v>
      </c>
      <c r="AM893" t="str">
        <f>IF(MAX(X893:AA893)&gt;0.9,"CRITICAL ALERT",
 IF(AK893&gt;0.8,"CRITICAL ALERT",
 IF(AK893&gt;0.6,"ALERT",
 IF(AK893&gt;=0.4,"REVIEW","NO ACTION"))))</f>
        <v>NO ACTION</v>
      </c>
      <c r="AN893" t="str">
        <f>IF(AM893="NO ACTION","",
 IF(_xlfn.TEXTJOIN(", ", TRUE,
  IF(X893&gt;0.7,"Login anomaly",""),
  IF(Y893&gt;0.7,"File anomaly",""),
  IF(Z893&gt;0.7,"Network anomaly",""),
  IF(AA893&gt;0.7,"USB anomaly","")
 )="",
 "General anomaly detected",
 _xlfn.TEXTJOIN(", ", TRUE,
  IF(X893&gt;0.7,"Login anomaly",""),
  IF(Y893&gt;0.7,"File anomaly",""),
  IF(Z893&gt;0.7,"Network anomaly",""),
  IF(AA893&gt;0.7,"USB anomaly","")
 )))</f>
        <v/>
      </c>
    </row>
    <row r="894" spans="1:40" x14ac:dyDescent="0.3">
      <c r="A894" t="s">
        <v>917</v>
      </c>
      <c r="B894">
        <v>0.13724007561436599</v>
      </c>
      <c r="C894">
        <v>3.4737989092403297E-2</v>
      </c>
      <c r="D894">
        <v>0.13124684612050599</v>
      </c>
      <c r="E894">
        <v>0</v>
      </c>
      <c r="F894">
        <v>0.942779291553133</v>
      </c>
      <c r="G894">
        <v>0.92501424400388199</v>
      </c>
      <c r="H894">
        <v>6</v>
      </c>
      <c r="I894">
        <v>12</v>
      </c>
      <c r="J894">
        <v>4.6371833404894799E-2</v>
      </c>
      <c r="K894">
        <v>2.4469820554649199E-3</v>
      </c>
      <c r="L894">
        <v>1.3409940510798E-2</v>
      </c>
      <c r="M894">
        <v>4.6176046176046098E-3</v>
      </c>
      <c r="N894">
        <v>5.98681654976434E-2</v>
      </c>
      <c r="O894">
        <v>338</v>
      </c>
      <c r="P894">
        <v>3.7387766554433197E-2</v>
      </c>
      <c r="Q894">
        <v>3.7553911427469402E-2</v>
      </c>
      <c r="R894">
        <v>0</v>
      </c>
      <c r="S894">
        <v>0</v>
      </c>
      <c r="T894" t="s">
        <v>49</v>
      </c>
      <c r="U894">
        <v>2.99667036625971E-3</v>
      </c>
      <c r="V894">
        <v>0</v>
      </c>
      <c r="W894">
        <v>0</v>
      </c>
      <c r="X894">
        <v>0.41648577045740498</v>
      </c>
      <c r="Y894">
        <v>3.3939786585670997E-2</v>
      </c>
      <c r="Z894">
        <v>4.6379926131717299E-2</v>
      </c>
      <c r="AA894">
        <v>0</v>
      </c>
      <c r="AB894">
        <v>0.1032269969582558</v>
      </c>
      <c r="AC894">
        <v>1.123000052757561E-3</v>
      </c>
      <c r="AD894">
        <v>8.1190001219511032E-3</v>
      </c>
      <c r="AE894">
        <v>4.6300000394694513E-4</v>
      </c>
      <c r="AF894">
        <f>0.16*X894 + 0.28*Y894 + 0.28*Z894 + 0.28*AA894</f>
        <v>8.912724283405353E-2</v>
      </c>
      <c r="AG894">
        <f t="shared" si="39"/>
        <v>1.9233719563344499E-2</v>
      </c>
      <c r="AH894">
        <f>IF(T894="IT_Admin", 0.25, IF(AND(T894="HR", AA894&gt;0.6), 0.25, IF(AND(T894="General", Z894&gt;0.7), 0.2, 0.1)))</f>
        <v>0.1</v>
      </c>
      <c r="AI894">
        <f>IF(V894&gt;0.7, 0.1,
 IF(F894&gt;0.5, 0.08,
 IF(E894&gt;0.5, 0.05,
 0)))</f>
        <v>0.08</v>
      </c>
      <c r="AJ894">
        <f t="shared" si="40"/>
        <v>4.0201776544557206E-2</v>
      </c>
      <c r="AK894">
        <f t="shared" si="41"/>
        <v>4.7438096322577512E-2</v>
      </c>
      <c r="AL894" t="str">
        <f>IF(MAX(X894, Y894, Z894, AA894)&gt;0.9,
 "Critical",
 IF(AK894&lt;=0.2,"Very Low",
 IF(AK894&lt;=0.4,"Low",
 IF(AK894&lt;=0.6,"Medium",
 IF(AK894&lt;=0.8,"High","Critical")))))</f>
        <v>Very Low</v>
      </c>
      <c r="AM894" t="str">
        <f>IF(MAX(X894:AA894)&gt;0.9,"CRITICAL ALERT",
 IF(AK894&gt;0.8,"CRITICAL ALERT",
 IF(AK894&gt;0.6,"ALERT",
 IF(AK894&gt;=0.4,"REVIEW","NO ACTION"))))</f>
        <v>NO ACTION</v>
      </c>
      <c r="AN894" t="str">
        <f>IF(AM894="NO ACTION","",
 IF(_xlfn.TEXTJOIN(", ", TRUE,
  IF(X894&gt;0.7,"Login anomaly",""),
  IF(Y894&gt;0.7,"File anomaly",""),
  IF(Z894&gt;0.7,"Network anomaly",""),
  IF(AA894&gt;0.7,"USB anomaly","")
 )="",
 "General anomaly detected",
 _xlfn.TEXTJOIN(", ", TRUE,
  IF(X894&gt;0.7,"Login anomaly",""),
  IF(Y894&gt;0.7,"File anomaly",""),
  IF(Z894&gt;0.7,"Network anomaly",""),
  IF(AA894&gt;0.7,"USB anomaly","")
 )))</f>
        <v/>
      </c>
    </row>
    <row r="895" spans="1:40" x14ac:dyDescent="0.3">
      <c r="A895" t="s">
        <v>918</v>
      </c>
      <c r="B895">
        <v>0.137996219281663</v>
      </c>
      <c r="C895">
        <v>0.61037816245377996</v>
      </c>
      <c r="D895">
        <v>0.203065926867256</v>
      </c>
      <c r="E895">
        <v>0</v>
      </c>
      <c r="F895">
        <v>0</v>
      </c>
      <c r="G895">
        <v>0.91919812391303002</v>
      </c>
      <c r="H895">
        <v>9</v>
      </c>
      <c r="I895">
        <v>18</v>
      </c>
      <c r="J895">
        <v>7.6713897237727202E-2</v>
      </c>
      <c r="K895">
        <v>7.34094616639478E-3</v>
      </c>
      <c r="L895">
        <v>2.43673500540291E-2</v>
      </c>
      <c r="M895">
        <v>5.7720057720057698E-4</v>
      </c>
      <c r="N895">
        <v>4.5327958533166197E-3</v>
      </c>
      <c r="O895">
        <v>363</v>
      </c>
      <c r="P895">
        <v>5.9834455667788999E-2</v>
      </c>
      <c r="Q895">
        <v>5.9995090991970201E-2</v>
      </c>
      <c r="R895">
        <v>0.37463126843657801</v>
      </c>
      <c r="S895">
        <v>1</v>
      </c>
      <c r="T895" t="s">
        <v>49</v>
      </c>
      <c r="U895">
        <v>5.0943396226415097E-2</v>
      </c>
      <c r="V895">
        <v>0</v>
      </c>
      <c r="W895">
        <v>0</v>
      </c>
      <c r="X895">
        <v>6.0919778060176802E-2</v>
      </c>
      <c r="Y895">
        <v>2.8886293230554999E-2</v>
      </c>
      <c r="Z895">
        <v>3.7713791742E-2</v>
      </c>
      <c r="AA895">
        <v>0.37463126843657801</v>
      </c>
      <c r="AB895">
        <v>2.8311999514698979E-2</v>
      </c>
      <c r="AC895">
        <v>3.1500001205131412E-4</v>
      </c>
      <c r="AD895">
        <v>5.6790001690387726E-3</v>
      </c>
      <c r="AE895">
        <v>0.14707900583744049</v>
      </c>
      <c r="AF895">
        <f>0.16*X895 + 0.28*Y895 + 0.28*Z895 + 0.28*AA895</f>
        <v>0.13329194344418555</v>
      </c>
      <c r="AG895">
        <f t="shared" si="39"/>
        <v>4.7390361607540406E-2</v>
      </c>
      <c r="AH895">
        <f>IF(T895="IT_Admin", 0.25, IF(AND(T895="HR", AA895&gt;0.6), 0.25, IF(AND(T895="General", Z895&gt;0.7), 0.2, 0.1)))</f>
        <v>0.1</v>
      </c>
      <c r="AI895">
        <f>IF(V895&gt;0.7, 0.1,
 IF(F895&gt;0.5, 0.08,
 IF(E895&gt;0.5, 0.05,
 0)))</f>
        <v>0</v>
      </c>
      <c r="AJ895">
        <f t="shared" si="40"/>
        <v>7.3160836158533943E-2</v>
      </c>
      <c r="AK895">
        <f t="shared" si="41"/>
        <v>8.047691977438734E-2</v>
      </c>
      <c r="AL895" t="str">
        <f>IF(MAX(X895, Y895, Z895, AA895)&gt;0.9,
 "Critical",
 IF(AK895&lt;=0.2,"Very Low",
 IF(AK895&lt;=0.4,"Low",
 IF(AK895&lt;=0.6,"Medium",
 IF(AK895&lt;=0.8,"High","Critical")))))</f>
        <v>Very Low</v>
      </c>
      <c r="AM895" t="str">
        <f>IF(MAX(X895:AA895)&gt;0.9,"CRITICAL ALERT",
 IF(AK895&gt;0.8,"CRITICAL ALERT",
 IF(AK895&gt;0.6,"ALERT",
 IF(AK895&gt;=0.4,"REVIEW","NO ACTION"))))</f>
        <v>NO ACTION</v>
      </c>
      <c r="AN895" t="str">
        <f>IF(AM895="NO ACTION","",
 IF(_xlfn.TEXTJOIN(", ", TRUE,
  IF(X895&gt;0.7,"Login anomaly",""),
  IF(Y895&gt;0.7,"File anomaly",""),
  IF(Z895&gt;0.7,"Network anomaly",""),
  IF(AA895&gt;0.7,"USB anomaly","")
 )="",
 "General anomaly detected",
 _xlfn.TEXTJOIN(", ", TRUE,
  IF(X895&gt;0.7,"Login anomaly",""),
  IF(Y895&gt;0.7,"File anomaly",""),
  IF(Z895&gt;0.7,"Network anomaly",""),
  IF(AA895&gt;0.7,"USB anomaly","")
 )))</f>
        <v/>
      </c>
    </row>
    <row r="896" spans="1:40" x14ac:dyDescent="0.3">
      <c r="A896" t="s">
        <v>919</v>
      </c>
      <c r="B896">
        <v>0.12892249527410199</v>
      </c>
      <c r="C896">
        <v>0.55429747812660801</v>
      </c>
      <c r="D896">
        <v>0</v>
      </c>
      <c r="E896">
        <v>0</v>
      </c>
      <c r="F896">
        <v>0</v>
      </c>
      <c r="G896">
        <v>0.99367888871407295</v>
      </c>
      <c r="H896">
        <v>9</v>
      </c>
      <c r="I896">
        <v>9</v>
      </c>
      <c r="J896">
        <v>5.9729974714946801E-2</v>
      </c>
      <c r="K896">
        <v>6.5252854812398002E-3</v>
      </c>
      <c r="L896">
        <v>2.77942442408903E-2</v>
      </c>
      <c r="M896">
        <v>1.7316017316017301E-3</v>
      </c>
      <c r="N896">
        <v>1.7449641315989702E-2</v>
      </c>
      <c r="O896">
        <v>713</v>
      </c>
      <c r="P896">
        <v>4.7558922558922502E-2</v>
      </c>
      <c r="Q896">
        <v>4.7722570917633801E-2</v>
      </c>
      <c r="R896">
        <v>0</v>
      </c>
      <c r="S896">
        <v>0</v>
      </c>
      <c r="T896" t="s">
        <v>49</v>
      </c>
      <c r="U896">
        <v>1.94070080862533E-2</v>
      </c>
      <c r="V896">
        <v>0</v>
      </c>
      <c r="W896">
        <v>0</v>
      </c>
      <c r="X896">
        <v>0</v>
      </c>
      <c r="Y896">
        <v>3.1078009458231401E-2</v>
      </c>
      <c r="Z896">
        <v>3.5515210061749403E-2</v>
      </c>
      <c r="AA896">
        <v>0</v>
      </c>
      <c r="AB896">
        <v>2.8932999819517139E-2</v>
      </c>
      <c r="AC896">
        <v>2.9900000663474202E-4</v>
      </c>
      <c r="AD896">
        <v>7.7320002019405356E-3</v>
      </c>
      <c r="AE896">
        <v>2.0240000449120998E-3</v>
      </c>
      <c r="AF896">
        <f>0.16*X896 + 0.28*Y896 + 0.28*Z896 + 0.28*AA896</f>
        <v>1.8646101465594627E-2</v>
      </c>
      <c r="AG896">
        <f t="shared" si="39"/>
        <v>7.4446800420992091E-3</v>
      </c>
      <c r="AH896">
        <f>IF(T896="IT_Admin", 0.25, IF(AND(T896="HR", AA896&gt;0.6), 0.25, IF(AND(T896="General", Z896&gt;0.7), 0.2, 0.1)))</f>
        <v>0.1</v>
      </c>
      <c r="AI896">
        <f>IF(V896&gt;0.7, 0.1,
 IF(F896&gt;0.5, 0.08,
 IF(E896&gt;0.5, 0.05,
 0)))</f>
        <v>0</v>
      </c>
      <c r="AJ896">
        <f t="shared" si="40"/>
        <v>1.0805106469147834E-2</v>
      </c>
      <c r="AK896">
        <f t="shared" si="41"/>
        <v>1.1885617116062617E-2</v>
      </c>
      <c r="AL896" t="str">
        <f>IF(MAX(X896, Y896, Z896, AA896)&gt;0.9,
 "Critical",
 IF(AK896&lt;=0.2,"Very Low",
 IF(AK896&lt;=0.4,"Low",
 IF(AK896&lt;=0.6,"Medium",
 IF(AK896&lt;=0.8,"High","Critical")))))</f>
        <v>Very Low</v>
      </c>
      <c r="AM896" t="str">
        <f>IF(MAX(X896:AA896)&gt;0.9,"CRITICAL ALERT",
 IF(AK896&gt;0.8,"CRITICAL ALERT",
 IF(AK896&gt;0.6,"ALERT",
 IF(AK896&gt;=0.4,"REVIEW","NO ACTION"))))</f>
        <v>NO ACTION</v>
      </c>
      <c r="AN896" t="str">
        <f>IF(AM896="NO ACTION","",
 IF(_xlfn.TEXTJOIN(", ", TRUE,
  IF(X896&gt;0.7,"Login anomaly",""),
  IF(Y896&gt;0.7,"File anomaly",""),
  IF(Z896&gt;0.7,"Network anomaly",""),
  IF(AA896&gt;0.7,"USB anomaly","")
 )="",
 "General anomaly detected",
 _xlfn.TEXTJOIN(", ", TRUE,
  IF(X896&gt;0.7,"Login anomaly",""),
  IF(Y896&gt;0.7,"File anomaly",""),
  IF(Z896&gt;0.7,"Network anomaly",""),
  IF(AA896&gt;0.7,"USB anomaly","")
 )))</f>
        <v/>
      </c>
    </row>
    <row r="897" spans="1:40" x14ac:dyDescent="0.3">
      <c r="A897" t="s">
        <v>920</v>
      </c>
      <c r="B897">
        <v>0.104347826086956</v>
      </c>
      <c r="C897">
        <v>0.27978825086390602</v>
      </c>
      <c r="D897">
        <v>7.5127485878450806E-2</v>
      </c>
      <c r="E897">
        <v>0</v>
      </c>
      <c r="F897">
        <v>0</v>
      </c>
      <c r="G897">
        <v>0.99751693704155198</v>
      </c>
      <c r="H897">
        <v>7</v>
      </c>
      <c r="I897">
        <v>8</v>
      </c>
      <c r="J897">
        <v>2.80043891035733E-2</v>
      </c>
      <c r="K897">
        <v>1.6313213703099501E-3</v>
      </c>
      <c r="L897">
        <v>1.4753954818749601E-2</v>
      </c>
      <c r="M897">
        <v>2.88600288600288E-4</v>
      </c>
      <c r="N897">
        <v>6.1751686751686701E-3</v>
      </c>
      <c r="O897">
        <v>172</v>
      </c>
      <c r="P897">
        <v>2.1429573512906801E-2</v>
      </c>
      <c r="Q897">
        <v>2.1599635330832E-2</v>
      </c>
      <c r="R897">
        <v>0</v>
      </c>
      <c r="S897">
        <v>0</v>
      </c>
      <c r="T897" t="s">
        <v>49</v>
      </c>
      <c r="U897">
        <v>1.6981132075471601E-2</v>
      </c>
      <c r="V897">
        <v>0</v>
      </c>
      <c r="W897">
        <v>0</v>
      </c>
      <c r="X897">
        <v>2.2538245763535199E-2</v>
      </c>
      <c r="Y897">
        <v>1.483040583264E-2</v>
      </c>
      <c r="Z897">
        <v>1.53278115778115E-2</v>
      </c>
      <c r="AA897">
        <v>0</v>
      </c>
      <c r="AB897">
        <v>2.1526999771595001E-2</v>
      </c>
      <c r="AC897">
        <v>8.7200000416487455E-4</v>
      </c>
      <c r="AD897">
        <v>1.2858999893069271E-2</v>
      </c>
      <c r="AE897">
        <v>2.832999918609858E-3</v>
      </c>
      <c r="AF897">
        <f>0.16*X897 + 0.28*Y897 + 0.28*Z897 + 0.28*AA897</f>
        <v>1.2050420197092052E-2</v>
      </c>
      <c r="AG897">
        <f t="shared" si="39"/>
        <v>8.0822399118915204E-3</v>
      </c>
      <c r="AH897">
        <f>IF(T897="IT_Admin", 0.25, IF(AND(T897="HR", AA897&gt;0.6), 0.25, IF(AND(T897="General", Z897&gt;0.7), 0.2, 0.1)))</f>
        <v>0.1</v>
      </c>
      <c r="AI897">
        <f>IF(V897&gt;0.7, 0.1,
 IF(F897&gt;0.5, 0.08,
 IF(E897&gt;0.5, 0.05,
 0)))</f>
        <v>0</v>
      </c>
      <c r="AJ897">
        <f t="shared" si="40"/>
        <v>9.2726939974516788E-3</v>
      </c>
      <c r="AK897">
        <f t="shared" si="41"/>
        <v>1.0199963397196848E-2</v>
      </c>
      <c r="AL897" t="str">
        <f>IF(MAX(X897, Y897, Z897, AA897)&gt;0.9,
 "Critical",
 IF(AK897&lt;=0.2,"Very Low",
 IF(AK897&lt;=0.4,"Low",
 IF(AK897&lt;=0.6,"Medium",
 IF(AK897&lt;=0.8,"High","Critical")))))</f>
        <v>Very Low</v>
      </c>
      <c r="AM897" t="str">
        <f>IF(MAX(X897:AA897)&gt;0.9,"CRITICAL ALERT",
 IF(AK897&gt;0.8,"CRITICAL ALERT",
 IF(AK897&gt;0.6,"ALERT",
 IF(AK897&gt;=0.4,"REVIEW","NO ACTION"))))</f>
        <v>NO ACTION</v>
      </c>
      <c r="AN897" t="str">
        <f>IF(AM897="NO ACTION","",
 IF(_xlfn.TEXTJOIN(", ", TRUE,
  IF(X897&gt;0.7,"Login anomaly",""),
  IF(Y897&gt;0.7,"File anomaly",""),
  IF(Z897&gt;0.7,"Network anomaly",""),
  IF(AA897&gt;0.7,"USB anomaly","")
 )="",
 "General anomaly detected",
 _xlfn.TEXTJOIN(", ", TRUE,
  IF(X897&gt;0.7,"Login anomaly",""),
  IF(Y897&gt;0.7,"File anomaly",""),
  IF(Z897&gt;0.7,"Network anomaly",""),
  IF(AA897&gt;0.7,"USB anomaly","")
 )))</f>
        <v/>
      </c>
    </row>
    <row r="898" spans="1:40" x14ac:dyDescent="0.3">
      <c r="A898" t="s">
        <v>921</v>
      </c>
      <c r="B898">
        <v>0.12892249527410199</v>
      </c>
      <c r="C898">
        <v>0.457897916713284</v>
      </c>
      <c r="D898">
        <v>7.5061757440099602E-2</v>
      </c>
      <c r="E898">
        <v>0</v>
      </c>
      <c r="F898">
        <v>0</v>
      </c>
      <c r="G898">
        <v>0.99367733647754097</v>
      </c>
      <c r="H898">
        <v>8</v>
      </c>
      <c r="I898">
        <v>9</v>
      </c>
      <c r="J898">
        <v>6.9843995992557598E-2</v>
      </c>
      <c r="K898">
        <v>6.3621533442088096E-2</v>
      </c>
      <c r="L898">
        <v>0.23188516600087899</v>
      </c>
      <c r="M898">
        <v>1.01010101010101E-2</v>
      </c>
      <c r="N898">
        <v>8.7099724267865802E-2</v>
      </c>
      <c r="O898">
        <v>323</v>
      </c>
      <c r="P898">
        <v>8.3613916947250205E-2</v>
      </c>
      <c r="Q898">
        <v>8.3768715593113302E-2</v>
      </c>
      <c r="R898">
        <v>0</v>
      </c>
      <c r="S898">
        <v>0</v>
      </c>
      <c r="T898" t="s">
        <v>49</v>
      </c>
      <c r="U898">
        <v>3.6792452830188602E-2</v>
      </c>
      <c r="V898">
        <v>0</v>
      </c>
      <c r="W898">
        <v>0</v>
      </c>
      <c r="X898">
        <v>2.2518527232029802E-2</v>
      </c>
      <c r="Y898">
        <v>0.15604129947931</v>
      </c>
      <c r="Z898">
        <v>8.5008239875496494E-2</v>
      </c>
      <c r="AA898">
        <v>0</v>
      </c>
      <c r="AB898">
        <v>1.3309000059962269E-2</v>
      </c>
      <c r="AC898">
        <v>1.50189995765686E-2</v>
      </c>
      <c r="AD898">
        <v>2.1420000120997429E-3</v>
      </c>
      <c r="AE898">
        <v>1.9290000200271611E-3</v>
      </c>
      <c r="AF898">
        <f>0.16*X898 + 0.28*Y898 + 0.28*Z898 + 0.28*AA898</f>
        <v>7.1096835376470602E-2</v>
      </c>
      <c r="AG898">
        <f t="shared" si="39"/>
        <v>7.4746399000287051E-3</v>
      </c>
      <c r="AH898">
        <f>IF(T898="IT_Admin", 0.25, IF(AND(T898="HR", AA898&gt;0.6), 0.25, IF(AND(T898="General", Z898&gt;0.7), 0.2, 0.1)))</f>
        <v>0.1</v>
      </c>
      <c r="AI898">
        <f>IF(V898&gt;0.7, 0.1,
 IF(F898&gt;0.5, 0.08,
 IF(E898&gt;0.5, 0.05,
 0)))</f>
        <v>0</v>
      </c>
      <c r="AJ898">
        <f t="shared" si="40"/>
        <v>2.6561298542961274E-2</v>
      </c>
      <c r="AK898">
        <f t="shared" si="41"/>
        <v>2.9217428397257404E-2</v>
      </c>
      <c r="AL898" t="str">
        <f>IF(MAX(X898, Y898, Z898, AA898)&gt;0.9,
 "Critical",
 IF(AK898&lt;=0.2,"Very Low",
 IF(AK898&lt;=0.4,"Low",
 IF(AK898&lt;=0.6,"Medium",
 IF(AK898&lt;=0.8,"High","Critical")))))</f>
        <v>Very Low</v>
      </c>
      <c r="AM898" t="str">
        <f>IF(MAX(X898:AA898)&gt;0.9,"CRITICAL ALERT",
 IF(AK898&gt;0.8,"CRITICAL ALERT",
 IF(AK898&gt;0.6,"ALERT",
 IF(AK898&gt;=0.4,"REVIEW","NO ACTION"))))</f>
        <v>NO ACTION</v>
      </c>
      <c r="AN898" t="str">
        <f>IF(AM898="NO ACTION","",
 IF(_xlfn.TEXTJOIN(", ", TRUE,
  IF(X898&gt;0.7,"Login anomaly",""),
  IF(Y898&gt;0.7,"File anomaly",""),
  IF(Z898&gt;0.7,"Network anomaly",""),
  IF(AA898&gt;0.7,"USB anomaly","")
 )="",
 "General anomaly detected",
 _xlfn.TEXTJOIN(", ", TRUE,
  IF(X898&gt;0.7,"Login anomaly",""),
  IF(Y898&gt;0.7,"File anomaly",""),
  IF(Z898&gt;0.7,"Network anomaly",""),
  IF(AA898&gt;0.7,"USB anomaly","")
 )))</f>
        <v/>
      </c>
    </row>
    <row r="899" spans="1:40" x14ac:dyDescent="0.3">
      <c r="A899" t="s">
        <v>922</v>
      </c>
      <c r="B899">
        <v>0.12892249527410199</v>
      </c>
      <c r="C899">
        <v>0.27473875002797099</v>
      </c>
      <c r="D899">
        <v>7.5107235637207503E-2</v>
      </c>
      <c r="E899">
        <v>0</v>
      </c>
      <c r="F899">
        <v>0</v>
      </c>
      <c r="G899">
        <v>0.99367436581797097</v>
      </c>
      <c r="H899">
        <v>7</v>
      </c>
      <c r="I899">
        <v>8</v>
      </c>
      <c r="J899">
        <v>7.8574495491627303E-2</v>
      </c>
      <c r="K899">
        <v>7.34094616639478E-3</v>
      </c>
      <c r="L899">
        <v>2.37920917900417E-2</v>
      </c>
      <c r="M899">
        <v>2.88600288600288E-4</v>
      </c>
      <c r="N899">
        <v>2.2128933751209699E-3</v>
      </c>
      <c r="O899">
        <v>373</v>
      </c>
      <c r="P899">
        <v>6.10620089786756E-2</v>
      </c>
      <c r="Q899">
        <v>6.1222342999403899E-2</v>
      </c>
      <c r="R899">
        <v>0</v>
      </c>
      <c r="S899">
        <v>0</v>
      </c>
      <c r="T899" t="s">
        <v>49</v>
      </c>
      <c r="U899">
        <v>7.6415094339622597E-2</v>
      </c>
      <c r="V899">
        <v>0</v>
      </c>
      <c r="W899">
        <v>0</v>
      </c>
      <c r="X899">
        <v>2.2532170691162201E-2</v>
      </c>
      <c r="Y899">
        <v>2.8274813005882599E-2</v>
      </c>
      <c r="Z899">
        <v>3.7522362737253699E-2</v>
      </c>
      <c r="AA899">
        <v>0</v>
      </c>
      <c r="AB899">
        <v>1.882299967110157E-2</v>
      </c>
      <c r="AC899">
        <v>8.3500001346692443E-4</v>
      </c>
      <c r="AD899">
        <v>6.1110001988708973E-3</v>
      </c>
      <c r="AE899">
        <v>2.744999947026372E-3</v>
      </c>
      <c r="AF899">
        <f>0.16*X899 + 0.28*Y899 + 0.28*Z899 + 0.28*AA899</f>
        <v>2.2028356518664118E-2</v>
      </c>
      <c r="AG899">
        <f t="shared" ref="AG899:AG962" si="42">0.16*AB899 + 0.28*AC899 + 0.28*AD899 + 0.28*AE899</f>
        <v>5.7251599919982262E-3</v>
      </c>
      <c r="AH899">
        <f>IF(T899="IT_Admin", 0.25, IF(AND(T899="HR", AA899&gt;0.6), 0.25, IF(AND(T899="General", Z899&gt;0.7), 0.2, 0.1)))</f>
        <v>0.1</v>
      </c>
      <c r="AI899">
        <f>IF(V899&gt;0.7, 0.1,
 IF(F899&gt;0.5, 0.08,
 IF(E899&gt;0.5, 0.05,
 0)))</f>
        <v>0</v>
      </c>
      <c r="AJ899">
        <f t="shared" ref="AJ899:AJ962" si="43">0.3*AF899+0.7*AG899</f>
        <v>1.0616118949997994E-2</v>
      </c>
      <c r="AK899">
        <f t="shared" ref="AK899:AK962" si="44">MIN(1,AJ899*(1+AH899+AI899))</f>
        <v>1.1677730844997795E-2</v>
      </c>
      <c r="AL899" t="str">
        <f>IF(MAX(X899, Y899, Z899, AA899)&gt;0.9,
 "Critical",
 IF(AK899&lt;=0.2,"Very Low",
 IF(AK899&lt;=0.4,"Low",
 IF(AK899&lt;=0.6,"Medium",
 IF(AK899&lt;=0.8,"High","Critical")))))</f>
        <v>Very Low</v>
      </c>
      <c r="AM899" t="str">
        <f>IF(MAX(X899:AA899)&gt;0.9,"CRITICAL ALERT",
 IF(AK899&gt;0.8,"CRITICAL ALERT",
 IF(AK899&gt;0.6,"ALERT",
 IF(AK899&gt;=0.4,"REVIEW","NO ACTION"))))</f>
        <v>NO ACTION</v>
      </c>
      <c r="AN899" t="str">
        <f>IF(AM899="NO ACTION","",
 IF(_xlfn.TEXTJOIN(", ", TRUE,
  IF(X899&gt;0.7,"Login anomaly",""),
  IF(Y899&gt;0.7,"File anomaly",""),
  IF(Z899&gt;0.7,"Network anomaly",""),
  IF(AA899&gt;0.7,"USB anomaly","")
 )="",
 "General anomaly detected",
 _xlfn.TEXTJOIN(", ", TRUE,
  IF(X899&gt;0.7,"Login anomaly",""),
  IF(Y899&gt;0.7,"File anomaly",""),
  IF(Z899&gt;0.7,"Network anomaly",""),
  IF(AA899&gt;0.7,"USB anomaly","")
 )))</f>
        <v/>
      </c>
    </row>
    <row r="900" spans="1:40" x14ac:dyDescent="0.3">
      <c r="A900" t="s">
        <v>923</v>
      </c>
      <c r="B900">
        <v>0.12892249527410199</v>
      </c>
      <c r="C900">
        <v>0.45896902295121</v>
      </c>
      <c r="D900">
        <v>7.50946055673926E-2</v>
      </c>
      <c r="E900">
        <v>0</v>
      </c>
      <c r="F900">
        <v>0</v>
      </c>
      <c r="G900">
        <v>0.99370158348268101</v>
      </c>
      <c r="H900">
        <v>8</v>
      </c>
      <c r="I900">
        <v>9</v>
      </c>
      <c r="J900">
        <v>6.6695291255188194E-2</v>
      </c>
      <c r="K900">
        <v>8.9722675367047301E-3</v>
      </c>
      <c r="L900">
        <v>3.4240111824553603E-2</v>
      </c>
      <c r="M900">
        <v>1.44300144300144E-3</v>
      </c>
      <c r="N900">
        <v>1.3028153441553199E-2</v>
      </c>
      <c r="O900">
        <v>458</v>
      </c>
      <c r="P900">
        <v>5.3591470258136903E-2</v>
      </c>
      <c r="Q900">
        <v>5.37536379255934E-2</v>
      </c>
      <c r="R900">
        <v>0</v>
      </c>
      <c r="S900">
        <v>0</v>
      </c>
      <c r="T900" t="s">
        <v>49</v>
      </c>
      <c r="U900">
        <v>3.1132075471698099E-2</v>
      </c>
      <c r="V900">
        <v>0</v>
      </c>
      <c r="W900">
        <v>0</v>
      </c>
      <c r="X900">
        <v>2.2528381670217701E-2</v>
      </c>
      <c r="Y900">
        <v>3.4367560195780397E-2</v>
      </c>
      <c r="Z900">
        <v>3.7366143531503401E-2</v>
      </c>
      <c r="AA900">
        <v>0</v>
      </c>
      <c r="AB900">
        <v>1.362099964171648E-2</v>
      </c>
      <c r="AC900">
        <v>1.270000066142529E-4</v>
      </c>
      <c r="AD900">
        <v>6.8410001695156097E-3</v>
      </c>
      <c r="AE900">
        <v>3.06400004774332E-3</v>
      </c>
      <c r="AF900">
        <f>0.16*X900 + 0.28*Y900 + 0.28*Z900 + 0.28*AA900</f>
        <v>2.3689978110874296E-2</v>
      </c>
      <c r="AG900">
        <f t="shared" si="42"/>
        <v>4.9883200053591282E-3</v>
      </c>
      <c r="AH900">
        <f>IF(T900="IT_Admin", 0.25, IF(AND(T900="HR", AA900&gt;0.6), 0.25, IF(AND(T900="General", Z900&gt;0.7), 0.2, 0.1)))</f>
        <v>0.1</v>
      </c>
      <c r="AI900">
        <f>IF(V900&gt;0.7, 0.1,
 IF(F900&gt;0.5, 0.08,
 IF(E900&gt;0.5, 0.05,
 0)))</f>
        <v>0</v>
      </c>
      <c r="AJ900">
        <f t="shared" si="43"/>
        <v>1.0598817437013679E-2</v>
      </c>
      <c r="AK900">
        <f t="shared" si="44"/>
        <v>1.1658699180715047E-2</v>
      </c>
      <c r="AL900" t="str">
        <f>IF(MAX(X900, Y900, Z900, AA900)&gt;0.9,
 "Critical",
 IF(AK900&lt;=0.2,"Very Low",
 IF(AK900&lt;=0.4,"Low",
 IF(AK900&lt;=0.6,"Medium",
 IF(AK900&lt;=0.8,"High","Critical")))))</f>
        <v>Very Low</v>
      </c>
      <c r="AM900" t="str">
        <f>IF(MAX(X900:AA900)&gt;0.9,"CRITICAL ALERT",
 IF(AK900&gt;0.8,"CRITICAL ALERT",
 IF(AK900&gt;0.6,"ALERT",
 IF(AK900&gt;=0.4,"REVIEW","NO ACTION"))))</f>
        <v>NO ACTION</v>
      </c>
      <c r="AN900" t="str">
        <f>IF(AM900="NO ACTION","",
 IF(_xlfn.TEXTJOIN(", ", TRUE,
  IF(X900&gt;0.7,"Login anomaly",""),
  IF(Y900&gt;0.7,"File anomaly",""),
  IF(Z900&gt;0.7,"Network anomaly",""),
  IF(AA900&gt;0.7,"USB anomaly","")
 )="",
 "General anomaly detected",
 _xlfn.TEXTJOIN(", ", TRUE,
  IF(X900&gt;0.7,"Login anomaly",""),
  IF(Y900&gt;0.7,"File anomaly",""),
  IF(Z900&gt;0.7,"Network anomaly",""),
  IF(AA900&gt;0.7,"USB anomaly","")
 )))</f>
        <v/>
      </c>
    </row>
    <row r="901" spans="1:40" x14ac:dyDescent="0.3">
      <c r="A901" t="s">
        <v>924</v>
      </c>
      <c r="B901">
        <v>0.12892249527410199</v>
      </c>
      <c r="C901">
        <v>8.3546286558213195E-2</v>
      </c>
      <c r="D901">
        <v>7.4788307505895393E-2</v>
      </c>
      <c r="E901">
        <v>0</v>
      </c>
      <c r="F901">
        <v>0.54782608695652102</v>
      </c>
      <c r="G901">
        <v>0.99364888772868498</v>
      </c>
      <c r="H901">
        <v>6</v>
      </c>
      <c r="I901">
        <v>7</v>
      </c>
      <c r="J901">
        <v>5.9014360001908302E-2</v>
      </c>
      <c r="K901">
        <v>3.3442088091353898E-2</v>
      </c>
      <c r="L901">
        <v>0.144165858035704</v>
      </c>
      <c r="M901">
        <v>1.44300144300144E-3</v>
      </c>
      <c r="N901">
        <v>1.4716988146939799E-2</v>
      </c>
      <c r="O901">
        <v>489</v>
      </c>
      <c r="P901">
        <v>5.8466610549943801E-2</v>
      </c>
      <c r="Q901">
        <v>5.8627581612258402E-2</v>
      </c>
      <c r="R901">
        <v>0</v>
      </c>
      <c r="S901">
        <v>0</v>
      </c>
      <c r="T901" t="s">
        <v>49</v>
      </c>
      <c r="U901">
        <v>0.116037735849056</v>
      </c>
      <c r="V901">
        <v>0</v>
      </c>
      <c r="W901">
        <v>0</v>
      </c>
      <c r="X901">
        <v>0.24156692703437699</v>
      </c>
      <c r="Y901">
        <v>8.8300897462315994E-2</v>
      </c>
      <c r="Z901">
        <v>4.0966761588742198E-2</v>
      </c>
      <c r="AA901">
        <v>0</v>
      </c>
      <c r="AB901">
        <v>5.0314001739025123E-2</v>
      </c>
      <c r="AC901">
        <v>5.3190002217888832E-3</v>
      </c>
      <c r="AD901">
        <v>6.1809998005628586E-3</v>
      </c>
      <c r="AE901">
        <v>1.007999991998076E-3</v>
      </c>
      <c r="AF901">
        <f>0.16*X901 + 0.28*Y901 + 0.28*Z901 + 0.28*AA901</f>
        <v>7.4845652859796608E-2</v>
      </c>
      <c r="AG901">
        <f t="shared" si="42"/>
        <v>1.1552480282261969E-2</v>
      </c>
      <c r="AH901">
        <f>IF(T901="IT_Admin", 0.25, IF(AND(T901="HR", AA901&gt;0.6), 0.25, IF(AND(T901="General", Z901&gt;0.7), 0.2, 0.1)))</f>
        <v>0.1</v>
      </c>
      <c r="AI901">
        <f>IF(V901&gt;0.7, 0.1,
 IF(F901&gt;0.5, 0.08,
 IF(E901&gt;0.5, 0.05,
 0)))</f>
        <v>0.08</v>
      </c>
      <c r="AJ901">
        <f t="shared" si="43"/>
        <v>3.054043205552236E-2</v>
      </c>
      <c r="AK901">
        <f t="shared" si="44"/>
        <v>3.6037709825516392E-2</v>
      </c>
      <c r="AL901" t="str">
        <f>IF(MAX(X901, Y901, Z901, AA901)&gt;0.9,
 "Critical",
 IF(AK901&lt;=0.2,"Very Low",
 IF(AK901&lt;=0.4,"Low",
 IF(AK901&lt;=0.6,"Medium",
 IF(AK901&lt;=0.8,"High","Critical")))))</f>
        <v>Very Low</v>
      </c>
      <c r="AM901" t="str">
        <f>IF(MAX(X901:AA901)&gt;0.9,"CRITICAL ALERT",
 IF(AK901&gt;0.8,"CRITICAL ALERT",
 IF(AK901&gt;0.6,"ALERT",
 IF(AK901&gt;=0.4,"REVIEW","NO ACTION"))))</f>
        <v>NO ACTION</v>
      </c>
      <c r="AN901" t="str">
        <f>IF(AM901="NO ACTION","",
 IF(_xlfn.TEXTJOIN(", ", TRUE,
  IF(X901&gt;0.7,"Login anomaly",""),
  IF(Y901&gt;0.7,"File anomaly",""),
  IF(Z901&gt;0.7,"Network anomaly",""),
  IF(AA901&gt;0.7,"USB anomaly","")
 )="",
 "General anomaly detected",
 _xlfn.TEXTJOIN(", ", TRUE,
  IF(X901&gt;0.7,"Login anomaly",""),
  IF(Y901&gt;0.7,"File anomaly",""),
  IF(Z901&gt;0.7,"Network anomaly",""),
  IF(AA901&gt;0.7,"USB anomaly","")
 )))</f>
        <v/>
      </c>
    </row>
    <row r="902" spans="1:40" x14ac:dyDescent="0.3">
      <c r="A902" t="s">
        <v>925</v>
      </c>
      <c r="B902">
        <v>0.26691871455576499</v>
      </c>
      <c r="C902">
        <v>0.64615992403209699</v>
      </c>
      <c r="D902">
        <v>0.39652840183010502</v>
      </c>
      <c r="E902">
        <v>0</v>
      </c>
      <c r="F902">
        <v>0</v>
      </c>
      <c r="G902">
        <v>0.40581804746189198</v>
      </c>
      <c r="H902">
        <v>7</v>
      </c>
      <c r="I902">
        <v>15</v>
      </c>
      <c r="J902">
        <v>6.96054577548781E-2</v>
      </c>
      <c r="K902">
        <v>5.4649265905383299E-2</v>
      </c>
      <c r="L902">
        <v>0.19986368303650401</v>
      </c>
      <c r="M902">
        <v>1.1544011544011501E-3</v>
      </c>
      <c r="N902">
        <v>9.9882509718575204E-3</v>
      </c>
      <c r="O902">
        <v>346</v>
      </c>
      <c r="P902">
        <v>7.5231481481481496E-2</v>
      </c>
      <c r="Q902">
        <v>7.5388337599494995E-2</v>
      </c>
      <c r="R902">
        <v>0</v>
      </c>
      <c r="S902">
        <v>0</v>
      </c>
      <c r="T902" t="s">
        <v>49</v>
      </c>
      <c r="U902">
        <v>0.22754716981132</v>
      </c>
      <c r="V902">
        <v>0</v>
      </c>
      <c r="W902">
        <v>0</v>
      </c>
      <c r="X902">
        <v>0.118958520549031</v>
      </c>
      <c r="Y902">
        <v>0.116849408360785</v>
      </c>
      <c r="Z902">
        <v>4.9134189277631898E-2</v>
      </c>
      <c r="AA902">
        <v>0</v>
      </c>
      <c r="AB902">
        <v>3.979099914431572E-2</v>
      </c>
      <c r="AC902">
        <v>2.0643999800086021E-2</v>
      </c>
      <c r="AD902">
        <v>4.0029999800026417E-3</v>
      </c>
      <c r="AE902">
        <v>4.4760000891983509E-3</v>
      </c>
      <c r="AF902">
        <f>0.16*X902 + 0.28*Y902 + 0.28*Z902 + 0.28*AA902</f>
        <v>6.5508770626601695E-2</v>
      </c>
      <c r="AG902">
        <f t="shared" si="42"/>
        <v>1.4520999826490879E-2</v>
      </c>
      <c r="AH902">
        <f>IF(T902="IT_Admin", 0.25, IF(AND(T902="HR", AA902&gt;0.6), 0.25, IF(AND(T902="General", Z902&gt;0.7), 0.2, 0.1)))</f>
        <v>0.1</v>
      </c>
      <c r="AI902">
        <f>IF(V902&gt;0.7, 0.1,
 IF(F902&gt;0.5, 0.08,
 IF(E902&gt;0.5, 0.05,
 0)))</f>
        <v>0</v>
      </c>
      <c r="AJ902">
        <f t="shared" si="43"/>
        <v>2.9817331066524122E-2</v>
      </c>
      <c r="AK902">
        <f t="shared" si="44"/>
        <v>3.2799064173176538E-2</v>
      </c>
      <c r="AL902" t="str">
        <f>IF(MAX(X902, Y902, Z902, AA902)&gt;0.9,
 "Critical",
 IF(AK902&lt;=0.2,"Very Low",
 IF(AK902&lt;=0.4,"Low",
 IF(AK902&lt;=0.6,"Medium",
 IF(AK902&lt;=0.8,"High","Critical")))))</f>
        <v>Very Low</v>
      </c>
      <c r="AM902" t="str">
        <f>IF(MAX(X902:AA902)&gt;0.9,"CRITICAL ALERT",
 IF(AK902&gt;0.8,"CRITICAL ALERT",
 IF(AK902&gt;0.6,"ALERT",
 IF(AK902&gt;=0.4,"REVIEW","NO ACTION"))))</f>
        <v>NO ACTION</v>
      </c>
      <c r="AN902" t="str">
        <f>IF(AM902="NO ACTION","",
 IF(_xlfn.TEXTJOIN(", ", TRUE,
  IF(X902&gt;0.7,"Login anomaly",""),
  IF(Y902&gt;0.7,"File anomaly",""),
  IF(Z902&gt;0.7,"Network anomaly",""),
  IF(AA902&gt;0.7,"USB anomaly","")
 )="",
 "General anomaly detected",
 _xlfn.TEXTJOIN(", ", TRUE,
  IF(X902&gt;0.7,"Login anomaly",""),
  IF(Y902&gt;0.7,"File anomaly",""),
  IF(Z902&gt;0.7,"Network anomaly",""),
  IF(AA902&gt;0.7,"USB anomaly","")
 )))</f>
        <v/>
      </c>
    </row>
    <row r="903" spans="1:40" x14ac:dyDescent="0.3">
      <c r="A903" t="s">
        <v>926</v>
      </c>
      <c r="B903">
        <v>0.12892249527410199</v>
      </c>
      <c r="C903">
        <v>0.46646676661669101</v>
      </c>
      <c r="D903">
        <v>7.5041536061111899E-2</v>
      </c>
      <c r="E903">
        <v>0</v>
      </c>
      <c r="F903">
        <v>0</v>
      </c>
      <c r="G903">
        <v>0.99367532927512903</v>
      </c>
      <c r="H903">
        <v>8</v>
      </c>
      <c r="I903">
        <v>9</v>
      </c>
      <c r="J903">
        <v>7.6809312532799004E-2</v>
      </c>
      <c r="K903">
        <v>1.30505709624796E-2</v>
      </c>
      <c r="L903">
        <v>4.3266086700680002E-2</v>
      </c>
      <c r="M903">
        <v>8.6580086580086504E-4</v>
      </c>
      <c r="N903">
        <v>6.7907737257582399E-3</v>
      </c>
      <c r="O903">
        <v>799</v>
      </c>
      <c r="P903">
        <v>6.25E-2</v>
      </c>
      <c r="Q903">
        <v>6.2659981065254694E-2</v>
      </c>
      <c r="R903">
        <v>0</v>
      </c>
      <c r="S903">
        <v>0</v>
      </c>
      <c r="T903" t="s">
        <v>49</v>
      </c>
      <c r="U903">
        <v>6.7924528301886694E-2</v>
      </c>
      <c r="V903">
        <v>0</v>
      </c>
      <c r="W903">
        <v>0</v>
      </c>
      <c r="X903">
        <v>2.25124608183335E-2</v>
      </c>
      <c r="Y903">
        <v>3.9032137974627297E-2</v>
      </c>
      <c r="Z903">
        <v>4.0216309490303297E-2</v>
      </c>
      <c r="AA903">
        <v>0</v>
      </c>
      <c r="AB903">
        <v>1.3224000111222271E-2</v>
      </c>
      <c r="AC903">
        <v>3.9000000106170768E-4</v>
      </c>
      <c r="AD903">
        <v>5.8369999751448631E-3</v>
      </c>
      <c r="AE903">
        <v>2.1939999423921108E-3</v>
      </c>
      <c r="AF903">
        <f>0.16*X903 + 0.28*Y903 + 0.28*Z903 + 0.28*AA903</f>
        <v>2.5791559021113929E-2</v>
      </c>
      <c r="AG903">
        <f t="shared" si="42"/>
        <v>4.4737199950031946E-3</v>
      </c>
      <c r="AH903">
        <f>IF(T903="IT_Admin", 0.25, IF(AND(T903="HR", AA903&gt;0.6), 0.25, IF(AND(T903="General", Z903&gt;0.7), 0.2, 0.1)))</f>
        <v>0.1</v>
      </c>
      <c r="AI903">
        <f>IF(V903&gt;0.7, 0.1,
 IF(F903&gt;0.5, 0.08,
 IF(E903&gt;0.5, 0.05,
 0)))</f>
        <v>0</v>
      </c>
      <c r="AJ903">
        <f t="shared" si="43"/>
        <v>1.0869071702836415E-2</v>
      </c>
      <c r="AK903">
        <f t="shared" si="44"/>
        <v>1.1955978873120058E-2</v>
      </c>
      <c r="AL903" t="str">
        <f>IF(MAX(X903, Y903, Z903, AA903)&gt;0.9,
 "Critical",
 IF(AK903&lt;=0.2,"Very Low",
 IF(AK903&lt;=0.4,"Low",
 IF(AK903&lt;=0.6,"Medium",
 IF(AK903&lt;=0.8,"High","Critical")))))</f>
        <v>Very Low</v>
      </c>
      <c r="AM903" t="str">
        <f>IF(MAX(X903:AA903)&gt;0.9,"CRITICAL ALERT",
 IF(AK903&gt;0.8,"CRITICAL ALERT",
 IF(AK903&gt;0.6,"ALERT",
 IF(AK903&gt;=0.4,"REVIEW","NO ACTION"))))</f>
        <v>NO ACTION</v>
      </c>
      <c r="AN903" t="str">
        <f>IF(AM903="NO ACTION","",
 IF(_xlfn.TEXTJOIN(", ", TRUE,
  IF(X903&gt;0.7,"Login anomaly",""),
  IF(Y903&gt;0.7,"File anomaly",""),
  IF(Z903&gt;0.7,"Network anomaly",""),
  IF(AA903&gt;0.7,"USB anomaly","")
 )="",
 "General anomaly detected",
 _xlfn.TEXTJOIN(", ", TRUE,
  IF(X903&gt;0.7,"Login anomaly",""),
  IF(Y903&gt;0.7,"File anomaly",""),
  IF(Z903&gt;0.7,"Network anomaly",""),
  IF(AA903&gt;0.7,"USB anomaly","")
 )))</f>
        <v/>
      </c>
    </row>
    <row r="904" spans="1:40" x14ac:dyDescent="0.3">
      <c r="A904" t="s">
        <v>927</v>
      </c>
      <c r="B904">
        <v>0.13421550094517901</v>
      </c>
      <c r="C904">
        <v>0.478126608337621</v>
      </c>
      <c r="D904">
        <v>0.127128391706574</v>
      </c>
      <c r="E904">
        <v>0</v>
      </c>
      <c r="F904">
        <v>0</v>
      </c>
      <c r="G904">
        <v>0.94898169967662505</v>
      </c>
      <c r="H904">
        <v>8</v>
      </c>
      <c r="I904">
        <v>14</v>
      </c>
      <c r="J904">
        <v>5.7344592338151798E-2</v>
      </c>
      <c r="K904">
        <v>5.7096247960848204E-3</v>
      </c>
      <c r="L904">
        <v>2.5327418711225499E-2</v>
      </c>
      <c r="M904">
        <v>1.44300144300144E-3</v>
      </c>
      <c r="N904">
        <v>1.5143744224108699E-2</v>
      </c>
      <c r="O904">
        <v>659</v>
      </c>
      <c r="P904">
        <v>4.53142536475869E-2</v>
      </c>
      <c r="Q904">
        <v>4.5478452961183698E-2</v>
      </c>
      <c r="R904">
        <v>0</v>
      </c>
      <c r="S904">
        <v>0</v>
      </c>
      <c r="T904" t="s">
        <v>49</v>
      </c>
      <c r="U904">
        <v>1.98113207547169E-2</v>
      </c>
      <c r="V904">
        <v>0</v>
      </c>
      <c r="W904">
        <v>0</v>
      </c>
      <c r="X904">
        <v>3.8138517511972198E-2</v>
      </c>
      <c r="Y904">
        <v>2.8675751090475699E-2</v>
      </c>
      <c r="Z904">
        <v>3.3246049878195599E-2</v>
      </c>
      <c r="AA904">
        <v>0</v>
      </c>
      <c r="AB904">
        <v>9.5210000872612E-3</v>
      </c>
      <c r="AC904">
        <v>3.5300001036375761E-4</v>
      </c>
      <c r="AD904">
        <v>8.0420002341270447E-3</v>
      </c>
      <c r="AE904">
        <v>3.4600000362843279E-3</v>
      </c>
      <c r="AF904">
        <f>0.16*X904 + 0.28*Y904 + 0.28*Z904 + 0.28*AA904</f>
        <v>2.3440267073143516E-2</v>
      </c>
      <c r="AG904">
        <f t="shared" si="42"/>
        <v>4.8427600925788289E-3</v>
      </c>
      <c r="AH904">
        <f>IF(T904="IT_Admin", 0.25, IF(AND(T904="HR", AA904&gt;0.6), 0.25, IF(AND(T904="General", Z904&gt;0.7), 0.2, 0.1)))</f>
        <v>0.1</v>
      </c>
      <c r="AI904">
        <f>IF(V904&gt;0.7, 0.1,
 IF(F904&gt;0.5, 0.08,
 IF(E904&gt;0.5, 0.05,
 0)))</f>
        <v>0</v>
      </c>
      <c r="AJ904">
        <f t="shared" si="43"/>
        <v>1.0422012186748235E-2</v>
      </c>
      <c r="AK904">
        <f t="shared" si="44"/>
        <v>1.1464213405423059E-2</v>
      </c>
      <c r="AL904" t="str">
        <f>IF(MAX(X904, Y904, Z904, AA904)&gt;0.9,
 "Critical",
 IF(AK904&lt;=0.2,"Very Low",
 IF(AK904&lt;=0.4,"Low",
 IF(AK904&lt;=0.6,"Medium",
 IF(AK904&lt;=0.8,"High","Critical")))))</f>
        <v>Very Low</v>
      </c>
      <c r="AM904" t="str">
        <f>IF(MAX(X904:AA904)&gt;0.9,"CRITICAL ALERT",
 IF(AK904&gt;0.8,"CRITICAL ALERT",
 IF(AK904&gt;0.6,"ALERT",
 IF(AK904&gt;=0.4,"REVIEW","NO ACTION"))))</f>
        <v>NO ACTION</v>
      </c>
      <c r="AN904" t="str">
        <f>IF(AM904="NO ACTION","",
 IF(_xlfn.TEXTJOIN(", ", TRUE,
  IF(X904&gt;0.7,"Login anomaly",""),
  IF(Y904&gt;0.7,"File anomaly",""),
  IF(Z904&gt;0.7,"Network anomaly",""),
  IF(AA904&gt;0.7,"USB anomaly","")
 )="",
 "General anomaly detected",
 _xlfn.TEXTJOIN(", ", TRUE,
  IF(X904&gt;0.7,"Login anomaly",""),
  IF(Y904&gt;0.7,"File anomaly",""),
  IF(Z904&gt;0.7,"Network anomaly",""),
  IF(AA904&gt;0.7,"USB anomaly","")
 )))</f>
        <v/>
      </c>
    </row>
    <row r="905" spans="1:40" x14ac:dyDescent="0.3">
      <c r="A905" t="s">
        <v>928</v>
      </c>
      <c r="B905">
        <v>0.12892249527410199</v>
      </c>
      <c r="C905">
        <v>0.46164678854602498</v>
      </c>
      <c r="D905">
        <v>7.5132489407342906E-2</v>
      </c>
      <c r="E905">
        <v>0</v>
      </c>
      <c r="F905">
        <v>0</v>
      </c>
      <c r="G905">
        <v>0.99369569568893801</v>
      </c>
      <c r="H905">
        <v>8</v>
      </c>
      <c r="I905">
        <v>9</v>
      </c>
      <c r="J905">
        <v>5.9205190592051898E-2</v>
      </c>
      <c r="K905">
        <v>6.5252854812398002E-3</v>
      </c>
      <c r="L905">
        <v>2.80396187887633E-2</v>
      </c>
      <c r="M905">
        <v>1.1544011544011501E-2</v>
      </c>
      <c r="N905">
        <v>0.11735794079293201</v>
      </c>
      <c r="O905">
        <v>383</v>
      </c>
      <c r="P905">
        <v>5.19430415263748E-2</v>
      </c>
      <c r="Q905">
        <v>5.2105613801325397E-2</v>
      </c>
      <c r="R905">
        <v>0</v>
      </c>
      <c r="S905">
        <v>0</v>
      </c>
      <c r="T905" t="s">
        <v>49</v>
      </c>
      <c r="U905">
        <v>3.3133916244822799E-3</v>
      </c>
      <c r="V905">
        <v>0</v>
      </c>
      <c r="W905">
        <v>0</v>
      </c>
      <c r="X905">
        <v>2.2539746822202798E-2</v>
      </c>
      <c r="Y905">
        <v>6.1068229750671797E-2</v>
      </c>
      <c r="Z905">
        <v>7.8109001232997993E-2</v>
      </c>
      <c r="AA905">
        <v>0</v>
      </c>
      <c r="AB905">
        <v>1.3809000141918659E-2</v>
      </c>
      <c r="AC905">
        <v>3.253000089898705E-3</v>
      </c>
      <c r="AD905">
        <v>4.9120001494884491E-3</v>
      </c>
      <c r="AE905">
        <v>3.5349999088793989E-3</v>
      </c>
      <c r="AF905">
        <f>0.16*X905 + 0.28*Y905 + 0.28*Z905 + 0.28*AA905</f>
        <v>4.2575984166979997E-2</v>
      </c>
      <c r="AG905">
        <f t="shared" si="42"/>
        <v>5.4854400642216205E-3</v>
      </c>
      <c r="AH905">
        <f>IF(T905="IT_Admin", 0.25, IF(AND(T905="HR", AA905&gt;0.6), 0.25, IF(AND(T905="General", Z905&gt;0.7), 0.2, 0.1)))</f>
        <v>0.1</v>
      </c>
      <c r="AI905">
        <f>IF(V905&gt;0.7, 0.1,
 IF(F905&gt;0.5, 0.08,
 IF(E905&gt;0.5, 0.05,
 0)))</f>
        <v>0</v>
      </c>
      <c r="AJ905">
        <f t="shared" si="43"/>
        <v>1.6612603295049135E-2</v>
      </c>
      <c r="AK905">
        <f t="shared" si="44"/>
        <v>1.8273863624554049E-2</v>
      </c>
      <c r="AL905" t="str">
        <f>IF(MAX(X905, Y905, Z905, AA905)&gt;0.9,
 "Critical",
 IF(AK905&lt;=0.2,"Very Low",
 IF(AK905&lt;=0.4,"Low",
 IF(AK905&lt;=0.6,"Medium",
 IF(AK905&lt;=0.8,"High","Critical")))))</f>
        <v>Very Low</v>
      </c>
      <c r="AM905" t="str">
        <f>IF(MAX(X905:AA905)&gt;0.9,"CRITICAL ALERT",
 IF(AK905&gt;0.8,"CRITICAL ALERT",
 IF(AK905&gt;0.6,"ALERT",
 IF(AK905&gt;=0.4,"REVIEW","NO ACTION"))))</f>
        <v>NO ACTION</v>
      </c>
      <c r="AN905" t="str">
        <f>IF(AM905="NO ACTION","",
 IF(_xlfn.TEXTJOIN(", ", TRUE,
  IF(X905&gt;0.7,"Login anomaly",""),
  IF(Y905&gt;0.7,"File anomaly",""),
  IF(Z905&gt;0.7,"Network anomaly",""),
  IF(AA905&gt;0.7,"USB anomaly","")
 )="",
 "General anomaly detected",
 _xlfn.TEXTJOIN(", ", TRUE,
  IF(X905&gt;0.7,"Login anomaly",""),
  IF(Y905&gt;0.7,"File anomaly",""),
  IF(Z905&gt;0.7,"Network anomaly",""),
  IF(AA905&gt;0.7,"USB anomaly","")
 )))</f>
        <v/>
      </c>
    </row>
    <row r="906" spans="1:40" x14ac:dyDescent="0.3">
      <c r="A906" t="s">
        <v>929</v>
      </c>
      <c r="B906">
        <v>0.12892249527410199</v>
      </c>
      <c r="C906">
        <v>0.36953165208440503</v>
      </c>
      <c r="D906">
        <v>0</v>
      </c>
      <c r="E906">
        <v>0</v>
      </c>
      <c r="F906">
        <v>0</v>
      </c>
      <c r="G906">
        <v>0.99365333033669101</v>
      </c>
      <c r="H906">
        <v>8</v>
      </c>
      <c r="I906">
        <v>8</v>
      </c>
      <c r="J906">
        <v>6.5311769476647102E-2</v>
      </c>
      <c r="K906">
        <v>2.8548123980424101E-2</v>
      </c>
      <c r="L906">
        <v>0.111245248851707</v>
      </c>
      <c r="M906">
        <v>8.6580086580086504E-4</v>
      </c>
      <c r="N906">
        <v>7.9818774141918198E-3</v>
      </c>
      <c r="O906">
        <v>553</v>
      </c>
      <c r="P906">
        <v>6.0711279461279397E-2</v>
      </c>
      <c r="Q906">
        <v>6.0871699568708498E-2</v>
      </c>
      <c r="R906">
        <v>0</v>
      </c>
      <c r="S906">
        <v>0</v>
      </c>
      <c r="T906" t="s">
        <v>49</v>
      </c>
      <c r="U906">
        <v>0.14858490566037699</v>
      </c>
      <c r="V906">
        <v>0</v>
      </c>
      <c r="W906">
        <v>0</v>
      </c>
      <c r="X906">
        <v>0</v>
      </c>
      <c r="Y906">
        <v>7.1079541545440703E-2</v>
      </c>
      <c r="Z906">
        <v>3.9619518642444403E-2</v>
      </c>
      <c r="AA906">
        <v>0</v>
      </c>
      <c r="AB906">
        <v>2.475300058722496E-2</v>
      </c>
      <c r="AC906">
        <v>5.6210001930594444E-3</v>
      </c>
      <c r="AD906">
        <v>6.0120001435279846E-3</v>
      </c>
      <c r="AE906">
        <v>1.8789999885484581E-3</v>
      </c>
      <c r="AF906">
        <f>0.16*X906 + 0.28*Y906 + 0.28*Z906 + 0.28*AA906</f>
        <v>3.0995736852607831E-2</v>
      </c>
      <c r="AG906">
        <f t="shared" si="42"/>
        <v>7.7438401849940419E-3</v>
      </c>
      <c r="AH906">
        <f>IF(T906="IT_Admin", 0.25, IF(AND(T906="HR", AA906&gt;0.6), 0.25, IF(AND(T906="General", Z906&gt;0.7), 0.2, 0.1)))</f>
        <v>0.1</v>
      </c>
      <c r="AI906">
        <f>IF(V906&gt;0.7, 0.1,
 IF(F906&gt;0.5, 0.08,
 IF(E906&gt;0.5, 0.05,
 0)))</f>
        <v>0</v>
      </c>
      <c r="AJ906">
        <f t="shared" si="43"/>
        <v>1.4719409185278177E-2</v>
      </c>
      <c r="AK906">
        <f t="shared" si="44"/>
        <v>1.6191350103805995E-2</v>
      </c>
      <c r="AL906" t="str">
        <f>IF(MAX(X906, Y906, Z906, AA906)&gt;0.9,
 "Critical",
 IF(AK906&lt;=0.2,"Very Low",
 IF(AK906&lt;=0.4,"Low",
 IF(AK906&lt;=0.6,"Medium",
 IF(AK906&lt;=0.8,"High","Critical")))))</f>
        <v>Very Low</v>
      </c>
      <c r="AM906" t="str">
        <f>IF(MAX(X906:AA906)&gt;0.9,"CRITICAL ALERT",
 IF(AK906&gt;0.8,"CRITICAL ALERT",
 IF(AK906&gt;0.6,"ALERT",
 IF(AK906&gt;=0.4,"REVIEW","NO ACTION"))))</f>
        <v>NO ACTION</v>
      </c>
      <c r="AN906" t="str">
        <f>IF(AM906="NO ACTION","",
 IF(_xlfn.TEXTJOIN(", ", TRUE,
  IF(X906&gt;0.7,"Login anomaly",""),
  IF(Y906&gt;0.7,"File anomaly",""),
  IF(Z906&gt;0.7,"Network anomaly",""),
  IF(AA906&gt;0.7,"USB anomaly","")
 )="",
 "General anomaly detected",
 _xlfn.TEXTJOIN(", ", TRUE,
  IF(X906&gt;0.7,"Login anomaly",""),
  IF(Y906&gt;0.7,"File anomaly",""),
  IF(Z906&gt;0.7,"Network anomaly",""),
  IF(AA906&gt;0.7,"USB anomaly","")
 )))</f>
        <v/>
      </c>
    </row>
    <row r="907" spans="1:40" x14ac:dyDescent="0.3">
      <c r="A907" t="s">
        <v>930</v>
      </c>
      <c r="B907">
        <v>0.244990548204158</v>
      </c>
      <c r="C907">
        <v>0.74331405170045595</v>
      </c>
      <c r="D907">
        <v>0.38458370772903699</v>
      </c>
      <c r="E907">
        <v>6.9870483980913403E-2</v>
      </c>
      <c r="F907">
        <v>1.07361963190184E-2</v>
      </c>
      <c r="G907">
        <v>0.45520658136422498</v>
      </c>
      <c r="H907">
        <v>0</v>
      </c>
      <c r="I907">
        <v>21</v>
      </c>
      <c r="J907">
        <v>5.7583130575831303E-2</v>
      </c>
      <c r="K907">
        <v>1.38662316476345E-2</v>
      </c>
      <c r="L907">
        <v>6.1255693603917603E-2</v>
      </c>
      <c r="M907">
        <v>5.7720057720057698E-4</v>
      </c>
      <c r="N907">
        <v>6.0325080127060296E-3</v>
      </c>
      <c r="O907">
        <v>602</v>
      </c>
      <c r="P907">
        <v>4.8576038159371497E-2</v>
      </c>
      <c r="Q907">
        <v>4.8739436866650297E-2</v>
      </c>
      <c r="R907">
        <v>0</v>
      </c>
      <c r="S907">
        <v>0</v>
      </c>
      <c r="T907" t="s">
        <v>49</v>
      </c>
      <c r="U907">
        <v>9.6226415094339601E-2</v>
      </c>
      <c r="V907">
        <v>0</v>
      </c>
      <c r="W907">
        <v>0</v>
      </c>
      <c r="X907">
        <v>0.14063073604059201</v>
      </c>
      <c r="Y907">
        <v>4.3954225320936798E-2</v>
      </c>
      <c r="Z907">
        <v>3.1558626100705298E-2</v>
      </c>
      <c r="AA907">
        <v>0</v>
      </c>
      <c r="AB907">
        <v>0.12595400214195249</v>
      </c>
      <c r="AC907">
        <v>1.323999953456223E-3</v>
      </c>
      <c r="AD907">
        <v>7.1459999307990074E-3</v>
      </c>
      <c r="AE907">
        <v>1.4879000373184679E-2</v>
      </c>
      <c r="AF907">
        <f>0.16*X907 + 0.28*Y907 + 0.28*Z907 + 0.28*AA907</f>
        <v>4.3644516164554503E-2</v>
      </c>
      <c r="AG907">
        <f t="shared" si="42"/>
        <v>2.6690360414795573E-2</v>
      </c>
      <c r="AH907">
        <f>IF(T907="IT_Admin", 0.25, IF(AND(T907="HR", AA907&gt;0.6), 0.25, IF(AND(T907="General", Z907&gt;0.7), 0.2, 0.1)))</f>
        <v>0.1</v>
      </c>
      <c r="AI907">
        <f>IF(V907&gt;0.7, 0.1,
 IF(F907&gt;0.5, 0.08,
 IF(E907&gt;0.5, 0.05,
 0)))</f>
        <v>0</v>
      </c>
      <c r="AJ907">
        <f t="shared" si="43"/>
        <v>3.1776607139723252E-2</v>
      </c>
      <c r="AK907">
        <f t="shared" si="44"/>
        <v>3.4954267853695584E-2</v>
      </c>
      <c r="AL907" t="str">
        <f>IF(MAX(X907, Y907, Z907, AA907)&gt;0.9,
 "Critical",
 IF(AK907&lt;=0.2,"Very Low",
 IF(AK907&lt;=0.4,"Low",
 IF(AK907&lt;=0.6,"Medium",
 IF(AK907&lt;=0.8,"High","Critical")))))</f>
        <v>Very Low</v>
      </c>
      <c r="AM907" t="str">
        <f>IF(MAX(X907:AA907)&gt;0.9,"CRITICAL ALERT",
 IF(AK907&gt;0.8,"CRITICAL ALERT",
 IF(AK907&gt;0.6,"ALERT",
 IF(AK907&gt;=0.4,"REVIEW","NO ACTION"))))</f>
        <v>NO ACTION</v>
      </c>
      <c r="AN907" t="str">
        <f>IF(AM907="NO ACTION","",
 IF(_xlfn.TEXTJOIN(", ", TRUE,
  IF(X907&gt;0.7,"Login anomaly",""),
  IF(Y907&gt;0.7,"File anomaly",""),
  IF(Z907&gt;0.7,"Network anomaly",""),
  IF(AA907&gt;0.7,"USB anomaly","")
 )="",
 "General anomaly detected",
 _xlfn.TEXTJOIN(", ", TRUE,
  IF(X907&gt;0.7,"Login anomaly",""),
  IF(Y907&gt;0.7,"File anomaly",""),
  IF(Z907&gt;0.7,"Network anomaly",""),
  IF(AA907&gt;0.7,"USB anomaly","")
 )))</f>
        <v/>
      </c>
    </row>
    <row r="908" spans="1:40" x14ac:dyDescent="0.3">
      <c r="A908" t="s">
        <v>931</v>
      </c>
      <c r="B908">
        <v>0.12892249527410199</v>
      </c>
      <c r="C908">
        <v>0.28009428121759899</v>
      </c>
      <c r="D908">
        <v>7.50946055673926E-2</v>
      </c>
      <c r="E908">
        <v>0</v>
      </c>
      <c r="F908">
        <v>0</v>
      </c>
      <c r="G908">
        <v>0.99367963806963999</v>
      </c>
      <c r="H908">
        <v>7</v>
      </c>
      <c r="I908">
        <v>8</v>
      </c>
      <c r="J908">
        <v>9.2791374457325507E-2</v>
      </c>
      <c r="K908">
        <v>9.7879282218597003E-3</v>
      </c>
      <c r="L908">
        <v>2.6874896162153099E-2</v>
      </c>
      <c r="M908">
        <v>1.44300144300144E-3</v>
      </c>
      <c r="N908">
        <v>9.3735893735893694E-3</v>
      </c>
      <c r="O908">
        <v>724</v>
      </c>
      <c r="P908">
        <v>7.3127104377104304E-2</v>
      </c>
      <c r="Q908">
        <v>7.3284477015323105E-2</v>
      </c>
      <c r="R908">
        <v>0</v>
      </c>
      <c r="S908">
        <v>0</v>
      </c>
      <c r="T908" t="s">
        <v>49</v>
      </c>
      <c r="U908">
        <v>3.3962264150943298E-2</v>
      </c>
      <c r="V908">
        <v>0</v>
      </c>
      <c r="W908">
        <v>0</v>
      </c>
      <c r="X908">
        <v>2.2528381670217701E-2</v>
      </c>
      <c r="Y908">
        <v>3.4807799784618502E-2</v>
      </c>
      <c r="Z908">
        <v>4.76256983756983E-2</v>
      </c>
      <c r="AA908">
        <v>0</v>
      </c>
      <c r="AB908">
        <v>1.8352000042796131E-2</v>
      </c>
      <c r="AC908">
        <v>1.5999999595806E-4</v>
      </c>
      <c r="AD908">
        <v>4.3410002253949642E-3</v>
      </c>
      <c r="AE908">
        <v>2.3330000694841151E-3</v>
      </c>
      <c r="AF908">
        <f>0.16*X908 + 0.28*Y908 + 0.28*Z908 + 0.28*AA908</f>
        <v>2.6685920552123536E-2</v>
      </c>
      <c r="AG908">
        <f t="shared" si="42"/>
        <v>4.8498400882817797E-3</v>
      </c>
      <c r="AH908">
        <f>IF(T908="IT_Admin", 0.25, IF(AND(T908="HR", AA908&gt;0.6), 0.25, IF(AND(T908="General", Z908&gt;0.7), 0.2, 0.1)))</f>
        <v>0.1</v>
      </c>
      <c r="AI908">
        <f>IF(V908&gt;0.7, 0.1,
 IF(F908&gt;0.5, 0.08,
 IF(E908&gt;0.5, 0.05,
 0)))</f>
        <v>0</v>
      </c>
      <c r="AJ908">
        <f t="shared" si="43"/>
        <v>1.1400664227434305E-2</v>
      </c>
      <c r="AK908">
        <f t="shared" si="44"/>
        <v>1.2540730650177736E-2</v>
      </c>
      <c r="AL908" t="str">
        <f>IF(MAX(X908, Y908, Z908, AA908)&gt;0.9,
 "Critical",
 IF(AK908&lt;=0.2,"Very Low",
 IF(AK908&lt;=0.4,"Low",
 IF(AK908&lt;=0.6,"Medium",
 IF(AK908&lt;=0.8,"High","Critical")))))</f>
        <v>Very Low</v>
      </c>
      <c r="AM908" t="str">
        <f>IF(MAX(X908:AA908)&gt;0.9,"CRITICAL ALERT",
 IF(AK908&gt;0.8,"CRITICAL ALERT",
 IF(AK908&gt;0.6,"ALERT",
 IF(AK908&gt;=0.4,"REVIEW","NO ACTION"))))</f>
        <v>NO ACTION</v>
      </c>
      <c r="AN908" t="str">
        <f>IF(AM908="NO ACTION","",
 IF(_xlfn.TEXTJOIN(", ", TRUE,
  IF(X908&gt;0.7,"Login anomaly",""),
  IF(Y908&gt;0.7,"File anomaly",""),
  IF(Z908&gt;0.7,"Network anomaly",""),
  IF(AA908&gt;0.7,"USB anomaly","")
 )="",
 "General anomaly detected",
 _xlfn.TEXTJOIN(", ", TRUE,
  IF(X908&gt;0.7,"Login anomaly",""),
  IF(Y908&gt;0.7,"File anomaly",""),
  IF(Z908&gt;0.7,"Network anomaly",""),
  IF(AA908&gt;0.7,"USB anomaly","")
 )))</f>
        <v/>
      </c>
    </row>
    <row r="909" spans="1:40" x14ac:dyDescent="0.3">
      <c r="A909" t="s">
        <v>932</v>
      </c>
      <c r="B909">
        <v>0.25557655954631298</v>
      </c>
      <c r="C909">
        <v>0.61733523054100603</v>
      </c>
      <c r="D909">
        <v>0.54606329984286195</v>
      </c>
      <c r="E909">
        <v>0.334967320261437</v>
      </c>
      <c r="F909">
        <v>7.3529411764705802E-2</v>
      </c>
      <c r="G909">
        <v>0.43072603543870802</v>
      </c>
      <c r="H909">
        <v>0</v>
      </c>
      <c r="I909">
        <v>23</v>
      </c>
      <c r="J909">
        <v>9.9613568054959203E-2</v>
      </c>
      <c r="K909">
        <v>2.0391517128874301E-2</v>
      </c>
      <c r="L909">
        <v>5.2164006525918398E-2</v>
      </c>
      <c r="M909">
        <v>1.0966810966810899E-2</v>
      </c>
      <c r="N909">
        <v>6.6371999291253897E-2</v>
      </c>
      <c r="O909">
        <v>850</v>
      </c>
      <c r="P909">
        <v>8.7331649831649802E-2</v>
      </c>
      <c r="Q909">
        <v>8.7485535958483795E-2</v>
      </c>
      <c r="R909">
        <v>8.5545722713864306E-2</v>
      </c>
      <c r="S909">
        <v>1</v>
      </c>
      <c r="T909" t="s">
        <v>24</v>
      </c>
      <c r="U909">
        <v>1.08853410740203E-2</v>
      </c>
      <c r="V909">
        <v>0</v>
      </c>
      <c r="W909">
        <v>0.12516887790793599</v>
      </c>
      <c r="X909">
        <v>0.29372095073717203</v>
      </c>
      <c r="Y909">
        <v>6.5916316661327204E-2</v>
      </c>
      <c r="Z909">
        <v>7.8947789615491398E-2</v>
      </c>
      <c r="AA909">
        <v>8.5545722713864306E-2</v>
      </c>
      <c r="AB909">
        <v>0.22562399506568909</v>
      </c>
      <c r="AC909">
        <v>9.9400000181049109E-4</v>
      </c>
      <c r="AD909">
        <v>1.2290000449866061E-3</v>
      </c>
      <c r="AE909">
        <v>5.5403999984264367E-2</v>
      </c>
      <c r="AF909">
        <f>0.16*X909 + 0.28*Y909 + 0.28*Z909 + 0.28*AA909</f>
        <v>0.11151010423533875</v>
      </c>
      <c r="AG909">
        <f t="shared" si="42"/>
        <v>5.2235399219207466E-2</v>
      </c>
      <c r="AH909">
        <f>IF(T909="IT_Admin", 0.25, IF(AND(T909="HR", AA909&gt;0.6), 0.25, IF(AND(T909="General", Z909&gt;0.7), 0.2, 0.1)))</f>
        <v>0.25</v>
      </c>
      <c r="AI909">
        <f>IF(V909&gt;0.7, 0.1,
 IF(F909&gt;0.5, 0.08,
 IF(E909&gt;0.5, 0.05,
 0)))</f>
        <v>0</v>
      </c>
      <c r="AJ909">
        <f t="shared" si="43"/>
        <v>7.001781072404685E-2</v>
      </c>
      <c r="AK909">
        <f t="shared" si="44"/>
        <v>8.7522263405058559E-2</v>
      </c>
      <c r="AL909" t="str">
        <f>IF(MAX(X909, Y909, Z909, AA909)&gt;0.9,
 "Critical",
 IF(AK909&lt;=0.2,"Very Low",
 IF(AK909&lt;=0.4,"Low",
 IF(AK909&lt;=0.6,"Medium",
 IF(AK909&lt;=0.8,"High","Critical")))))</f>
        <v>Very Low</v>
      </c>
      <c r="AM909" t="str">
        <f>IF(MAX(X909:AA909)&gt;0.9,"CRITICAL ALERT",
 IF(AK909&gt;0.8,"CRITICAL ALERT",
 IF(AK909&gt;0.6,"ALERT",
 IF(AK909&gt;=0.4,"REVIEW","NO ACTION"))))</f>
        <v>NO ACTION</v>
      </c>
      <c r="AN909" t="str">
        <f>IF(AM909="NO ACTION","",
 IF(_xlfn.TEXTJOIN(", ", TRUE,
  IF(X909&gt;0.7,"Login anomaly",""),
  IF(Y909&gt;0.7,"File anomaly",""),
  IF(Z909&gt;0.7,"Network anomaly",""),
  IF(AA909&gt;0.7,"USB anomaly","")
 )="",
 "General anomaly detected",
 _xlfn.TEXTJOIN(", ", TRUE,
  IF(X909&gt;0.7,"Login anomaly",""),
  IF(Y909&gt;0.7,"File anomaly",""),
  IF(Z909&gt;0.7,"Network anomaly",""),
  IF(AA909&gt;0.7,"USB anomaly","")
 )))</f>
        <v/>
      </c>
    </row>
    <row r="910" spans="1:40" x14ac:dyDescent="0.3">
      <c r="A910" t="s">
        <v>933</v>
      </c>
      <c r="B910">
        <v>0.15425330812854399</v>
      </c>
      <c r="C910">
        <v>0.464605329562431</v>
      </c>
      <c r="D910">
        <v>0.20281639718785899</v>
      </c>
      <c r="E910">
        <v>0</v>
      </c>
      <c r="F910">
        <v>0</v>
      </c>
      <c r="G910">
        <v>0.80747977160652296</v>
      </c>
      <c r="H910">
        <v>8</v>
      </c>
      <c r="I910">
        <v>14</v>
      </c>
      <c r="J910">
        <v>5.2239874051810499E-2</v>
      </c>
      <c r="K910">
        <v>9.7879282218597003E-3</v>
      </c>
      <c r="L910">
        <v>4.7641861378362398E-2</v>
      </c>
      <c r="M910">
        <v>2.3088023088023001E-3</v>
      </c>
      <c r="N910">
        <v>2.6586908041453399E-2</v>
      </c>
      <c r="O910">
        <v>607</v>
      </c>
      <c r="P910">
        <v>4.3735970819304103E-2</v>
      </c>
      <c r="Q910">
        <v>4.3900557523054801E-2</v>
      </c>
      <c r="R910">
        <v>0.46607669616519098</v>
      </c>
      <c r="S910">
        <v>1</v>
      </c>
      <c r="T910" t="s">
        <v>49</v>
      </c>
      <c r="U910">
        <v>2.26415094339622E-2</v>
      </c>
      <c r="V910">
        <v>0</v>
      </c>
      <c r="W910">
        <v>0</v>
      </c>
      <c r="X910">
        <v>6.0844919156357702E-2</v>
      </c>
      <c r="Y910">
        <v>4.2244977911979301E-2</v>
      </c>
      <c r="Z910">
        <v>3.6876345708163803E-2</v>
      </c>
      <c r="AA910">
        <v>0.46607669616519098</v>
      </c>
      <c r="AB910">
        <v>2.3020000662654638E-3</v>
      </c>
      <c r="AC910">
        <v>1.5399999392684549E-4</v>
      </c>
      <c r="AD910">
        <v>7.3219998739659786E-3</v>
      </c>
      <c r="AE910">
        <v>0.21764299273490911</v>
      </c>
      <c r="AF910">
        <f>0.16*X910 + 0.28*Y910 + 0.28*Z910 + 0.28*AA910</f>
        <v>0.1623906326049108</v>
      </c>
      <c r="AG910">
        <f t="shared" si="42"/>
        <v>6.3401637939387023E-2</v>
      </c>
      <c r="AH910">
        <f>IF(T910="IT_Admin", 0.25, IF(AND(T910="HR", AA910&gt;0.6), 0.25, IF(AND(T910="General", Z910&gt;0.7), 0.2, 0.1)))</f>
        <v>0.1</v>
      </c>
      <c r="AI910">
        <f>IF(V910&gt;0.7, 0.1,
 IF(F910&gt;0.5, 0.08,
 IF(E910&gt;0.5, 0.05,
 0)))</f>
        <v>0</v>
      </c>
      <c r="AJ910">
        <f t="shared" si="43"/>
        <v>9.3098336339044158E-2</v>
      </c>
      <c r="AK910">
        <f t="shared" si="44"/>
        <v>0.10240816997294858</v>
      </c>
      <c r="AL910" t="str">
        <f>IF(MAX(X910, Y910, Z910, AA910)&gt;0.9,
 "Critical",
 IF(AK910&lt;=0.2,"Very Low",
 IF(AK910&lt;=0.4,"Low",
 IF(AK910&lt;=0.6,"Medium",
 IF(AK910&lt;=0.8,"High","Critical")))))</f>
        <v>Very Low</v>
      </c>
      <c r="AM910" t="str">
        <f>IF(MAX(X910:AA910)&gt;0.9,"CRITICAL ALERT",
 IF(AK910&gt;0.8,"CRITICAL ALERT",
 IF(AK910&gt;0.6,"ALERT",
 IF(AK910&gt;=0.4,"REVIEW","NO ACTION"))))</f>
        <v>NO ACTION</v>
      </c>
      <c r="AN910" t="str">
        <f>IF(AM910="NO ACTION","",
 IF(_xlfn.TEXTJOIN(", ", TRUE,
  IF(X910&gt;0.7,"Login anomaly",""),
  IF(Y910&gt;0.7,"File anomaly",""),
  IF(Z910&gt;0.7,"Network anomaly",""),
  IF(AA910&gt;0.7,"USB anomaly","")
 )="",
 "General anomaly detected",
 _xlfn.TEXTJOIN(", ", TRUE,
  IF(X910&gt;0.7,"Login anomaly",""),
  IF(Y910&gt;0.7,"File anomaly",""),
  IF(Z910&gt;0.7,"Network anomaly",""),
  IF(AA910&gt;0.7,"USB anomaly","")
 )))</f>
        <v/>
      </c>
    </row>
    <row r="911" spans="1:40" x14ac:dyDescent="0.3">
      <c r="A911" t="s">
        <v>934</v>
      </c>
      <c r="B911">
        <v>0.12892249527410199</v>
      </c>
      <c r="C911">
        <v>0.27795206874174799</v>
      </c>
      <c r="D911">
        <v>7.5129964412319103E-2</v>
      </c>
      <c r="E911">
        <v>0</v>
      </c>
      <c r="F911">
        <v>0</v>
      </c>
      <c r="G911">
        <v>0.99368557938878099</v>
      </c>
      <c r="H911">
        <v>7</v>
      </c>
      <c r="I911">
        <v>8</v>
      </c>
      <c r="J911">
        <v>6.4262201230857297E-2</v>
      </c>
      <c r="K911">
        <v>7.34094616639478E-3</v>
      </c>
      <c r="L911">
        <v>2.9071402098482999E-2</v>
      </c>
      <c r="M911">
        <v>1.44300144300144E-3</v>
      </c>
      <c r="N911">
        <v>1.35196000580615E-2</v>
      </c>
      <c r="O911">
        <v>322</v>
      </c>
      <c r="P911">
        <v>5.1101290684623997E-2</v>
      </c>
      <c r="Q911">
        <v>5.1264069567656598E-2</v>
      </c>
      <c r="R911">
        <v>0</v>
      </c>
      <c r="S911">
        <v>0</v>
      </c>
      <c r="T911" t="s">
        <v>49</v>
      </c>
      <c r="U911">
        <v>2.54716981132075E-2</v>
      </c>
      <c r="V911">
        <v>0</v>
      </c>
      <c r="W911">
        <v>0</v>
      </c>
      <c r="X911">
        <v>2.2538989323695701E-2</v>
      </c>
      <c r="Y911">
        <v>3.1444021312831402E-2</v>
      </c>
      <c r="Z911">
        <v>3.6068614433999002E-2</v>
      </c>
      <c r="AA911">
        <v>0</v>
      </c>
      <c r="AB911">
        <v>1.8726000562310219E-2</v>
      </c>
      <c r="AC911">
        <v>2.269999968120828E-4</v>
      </c>
      <c r="AD911">
        <v>7.1999998763203621E-3</v>
      </c>
      <c r="AE911">
        <v>3.0710001010447741E-3</v>
      </c>
      <c r="AF911">
        <f>0.16*X911 + 0.28*Y911 + 0.28*Z911 + 0.28*AA911</f>
        <v>2.2509776300903828E-2</v>
      </c>
      <c r="AG911">
        <f t="shared" si="42"/>
        <v>5.9356000827392565E-3</v>
      </c>
      <c r="AH911">
        <f>IF(T911="IT_Admin", 0.25, IF(AND(T911="HR", AA911&gt;0.6), 0.25, IF(AND(T911="General", Z911&gt;0.7), 0.2, 0.1)))</f>
        <v>0.1</v>
      </c>
      <c r="AI911">
        <f>IF(V911&gt;0.7, 0.1,
 IF(F911&gt;0.5, 0.08,
 IF(E911&gt;0.5, 0.05,
 0)))</f>
        <v>0</v>
      </c>
      <c r="AJ911">
        <f t="shared" si="43"/>
        <v>1.0907852948188627E-2</v>
      </c>
      <c r="AK911">
        <f t="shared" si="44"/>
        <v>1.1998638243007492E-2</v>
      </c>
      <c r="AL911" t="str">
        <f>IF(MAX(X911, Y911, Z911, AA911)&gt;0.9,
 "Critical",
 IF(AK911&lt;=0.2,"Very Low",
 IF(AK911&lt;=0.4,"Low",
 IF(AK911&lt;=0.6,"Medium",
 IF(AK911&lt;=0.8,"High","Critical")))))</f>
        <v>Very Low</v>
      </c>
      <c r="AM911" t="str">
        <f>IF(MAX(X911:AA911)&gt;0.9,"CRITICAL ALERT",
 IF(AK911&gt;0.8,"CRITICAL ALERT",
 IF(AK911&gt;0.6,"ALERT",
 IF(AK911&gt;=0.4,"REVIEW","NO ACTION"))))</f>
        <v>NO ACTION</v>
      </c>
      <c r="AN911" t="str">
        <f>IF(AM911="NO ACTION","",
 IF(_xlfn.TEXTJOIN(", ", TRUE,
  IF(X911&gt;0.7,"Login anomaly",""),
  IF(Y911&gt;0.7,"File anomaly",""),
  IF(Z911&gt;0.7,"Network anomaly",""),
  IF(AA911&gt;0.7,"USB anomaly","")
 )="",
 "General anomaly detected",
 _xlfn.TEXTJOIN(", ", TRUE,
  IF(X911&gt;0.7,"Login anomaly",""),
  IF(Y911&gt;0.7,"File anomaly",""),
  IF(Z911&gt;0.7,"Network anomaly",""),
  IF(AA911&gt;0.7,"USB anomaly","")
 )))</f>
        <v/>
      </c>
    </row>
    <row r="912" spans="1:40" x14ac:dyDescent="0.3">
      <c r="A912" t="s">
        <v>935</v>
      </c>
      <c r="B912">
        <v>0.12892249527410199</v>
      </c>
      <c r="C912">
        <v>0.18476582604220201</v>
      </c>
      <c r="D912">
        <v>0</v>
      </c>
      <c r="E912">
        <v>0</v>
      </c>
      <c r="F912">
        <v>0</v>
      </c>
      <c r="G912">
        <v>0.99366138590903896</v>
      </c>
      <c r="H912">
        <v>7</v>
      </c>
      <c r="I912">
        <v>7</v>
      </c>
      <c r="J912">
        <v>7.3517484852821904E-2</v>
      </c>
      <c r="K912">
        <v>8.9722675367047301E-3</v>
      </c>
      <c r="L912">
        <v>3.1073012218530899E-2</v>
      </c>
      <c r="M912">
        <v>3.1746031746031698E-3</v>
      </c>
      <c r="N912">
        <v>2.60108010431425E-2</v>
      </c>
      <c r="O912">
        <v>612</v>
      </c>
      <c r="P912">
        <v>5.9448653198653202E-2</v>
      </c>
      <c r="Q912">
        <v>5.96093832182054E-2</v>
      </c>
      <c r="R912">
        <v>0</v>
      </c>
      <c r="S912">
        <v>0</v>
      </c>
      <c r="T912" t="s">
        <v>49</v>
      </c>
      <c r="U912">
        <v>1.5566037735848999E-2</v>
      </c>
      <c r="V912">
        <v>0</v>
      </c>
      <c r="W912">
        <v>0</v>
      </c>
      <c r="X912">
        <v>0</v>
      </c>
      <c r="Y912">
        <v>3.8043243392772597E-2</v>
      </c>
      <c r="Z912">
        <v>4.60735123364489E-2</v>
      </c>
      <c r="AA912">
        <v>0</v>
      </c>
      <c r="AB912">
        <v>3.6784999072551727E-2</v>
      </c>
      <c r="AC912">
        <v>2.390000008745119E-4</v>
      </c>
      <c r="AD912">
        <v>5.6859999895095834E-3</v>
      </c>
      <c r="AE912">
        <v>1.9799999427050352E-3</v>
      </c>
      <c r="AF912">
        <f>0.16*X912 + 0.28*Y912 + 0.28*Z912 + 0.28*AA912</f>
        <v>2.3552691604182024E-2</v>
      </c>
      <c r="AG912">
        <f t="shared" si="42"/>
        <v>8.0989998328732313E-3</v>
      </c>
      <c r="AH912">
        <f>IF(T912="IT_Admin", 0.25, IF(AND(T912="HR", AA912&gt;0.6), 0.25, IF(AND(T912="General", Z912&gt;0.7), 0.2, 0.1)))</f>
        <v>0.1</v>
      </c>
      <c r="AI912">
        <f>IF(V912&gt;0.7, 0.1,
 IF(F912&gt;0.5, 0.08,
 IF(E912&gt;0.5, 0.05,
 0)))</f>
        <v>0</v>
      </c>
      <c r="AJ912">
        <f t="shared" si="43"/>
        <v>1.2735107364265868E-2</v>
      </c>
      <c r="AK912">
        <f t="shared" si="44"/>
        <v>1.4008618100692457E-2</v>
      </c>
      <c r="AL912" t="str">
        <f>IF(MAX(X912, Y912, Z912, AA912)&gt;0.9,
 "Critical",
 IF(AK912&lt;=0.2,"Very Low",
 IF(AK912&lt;=0.4,"Low",
 IF(AK912&lt;=0.6,"Medium",
 IF(AK912&lt;=0.8,"High","Critical")))))</f>
        <v>Very Low</v>
      </c>
      <c r="AM912" t="str">
        <f>IF(MAX(X912:AA912)&gt;0.9,"CRITICAL ALERT",
 IF(AK912&gt;0.8,"CRITICAL ALERT",
 IF(AK912&gt;0.6,"ALERT",
 IF(AK912&gt;=0.4,"REVIEW","NO ACTION"))))</f>
        <v>NO ACTION</v>
      </c>
      <c r="AN912" t="str">
        <f>IF(AM912="NO ACTION","",
 IF(_xlfn.TEXTJOIN(", ", TRUE,
  IF(X912&gt;0.7,"Login anomaly",""),
  IF(Y912&gt;0.7,"File anomaly",""),
  IF(Z912&gt;0.7,"Network anomaly",""),
  IF(AA912&gt;0.7,"USB anomaly","")
 )="",
 "General anomaly detected",
 _xlfn.TEXTJOIN(", ", TRUE,
  IF(X912&gt;0.7,"Login anomaly",""),
  IF(Y912&gt;0.7,"File anomaly",""),
  IF(Z912&gt;0.7,"Network anomaly",""),
  IF(AA912&gt;0.7,"USB anomaly","")
 )))</f>
        <v/>
      </c>
    </row>
    <row r="913" spans="1:40" x14ac:dyDescent="0.3">
      <c r="A913" t="s">
        <v>936</v>
      </c>
      <c r="B913">
        <v>0.13875236294896001</v>
      </c>
      <c r="C913">
        <v>0.42531001466318302</v>
      </c>
      <c r="D913">
        <v>0.18429727875426299</v>
      </c>
      <c r="E913">
        <v>0</v>
      </c>
      <c r="F913">
        <v>0</v>
      </c>
      <c r="G913">
        <v>0.913411638341596</v>
      </c>
      <c r="H913">
        <v>8</v>
      </c>
      <c r="I913">
        <v>15</v>
      </c>
      <c r="J913">
        <v>6.5502600066790706E-2</v>
      </c>
      <c r="K913">
        <v>1.0603588907014599E-2</v>
      </c>
      <c r="L913">
        <v>4.1199722890093299E-2</v>
      </c>
      <c r="M913">
        <v>5.7720057720057698E-4</v>
      </c>
      <c r="N913">
        <v>5.3058053058052997E-3</v>
      </c>
      <c r="O913">
        <v>720</v>
      </c>
      <c r="P913">
        <v>5.2995230078563403E-2</v>
      </c>
      <c r="Q913">
        <v>5.3157544093411398E-2</v>
      </c>
      <c r="R913">
        <v>0.57669616519174005</v>
      </c>
      <c r="S913">
        <v>1</v>
      </c>
      <c r="T913" t="s">
        <v>49</v>
      </c>
      <c r="U913">
        <v>7.3584905660377301E-2</v>
      </c>
      <c r="V913">
        <v>0</v>
      </c>
      <c r="W913">
        <v>0</v>
      </c>
      <c r="X913">
        <v>5.5289183626279097E-2</v>
      </c>
      <c r="Y913">
        <v>3.5292123050146298E-2</v>
      </c>
      <c r="Z913">
        <v>3.3919460169460097E-2</v>
      </c>
      <c r="AA913">
        <v>0.57669616519174005</v>
      </c>
      <c r="AB913">
        <v>8.3760004490613937E-3</v>
      </c>
      <c r="AC913">
        <v>5.3999997908249497E-4</v>
      </c>
      <c r="AD913">
        <v>6.585999857634306E-3</v>
      </c>
      <c r="AE913">
        <v>0.33078598976135248</v>
      </c>
      <c r="AF913">
        <f>0.16*X913 + 0.28*Y913 + 0.28*Z913 + 0.28*AA913</f>
        <v>0.18970043893538169</v>
      </c>
      <c r="AG913">
        <f t="shared" si="42"/>
        <v>9.5955517159309223E-2</v>
      </c>
      <c r="AH913">
        <f>IF(T913="IT_Admin", 0.25, IF(AND(T913="HR", AA913&gt;0.6), 0.25, IF(AND(T913="General", Z913&gt;0.7), 0.2, 0.1)))</f>
        <v>0.1</v>
      </c>
      <c r="AI913">
        <f>IF(V913&gt;0.7, 0.1,
 IF(F913&gt;0.5, 0.08,
 IF(E913&gt;0.5, 0.05,
 0)))</f>
        <v>0</v>
      </c>
      <c r="AJ913">
        <f t="shared" si="43"/>
        <v>0.12407899369213096</v>
      </c>
      <c r="AK913">
        <f t="shared" si="44"/>
        <v>0.13648689306134407</v>
      </c>
      <c r="AL913" t="str">
        <f>IF(MAX(X913, Y913, Z913, AA913)&gt;0.9,
 "Critical",
 IF(AK913&lt;=0.2,"Very Low",
 IF(AK913&lt;=0.4,"Low",
 IF(AK913&lt;=0.6,"Medium",
 IF(AK913&lt;=0.8,"High","Critical")))))</f>
        <v>Very Low</v>
      </c>
      <c r="AM913" t="str">
        <f>IF(MAX(X913:AA913)&gt;0.9,"CRITICAL ALERT",
 IF(AK913&gt;0.8,"CRITICAL ALERT",
 IF(AK913&gt;0.6,"ALERT",
 IF(AK913&gt;=0.4,"REVIEW","NO ACTION"))))</f>
        <v>NO ACTION</v>
      </c>
      <c r="AN913" t="str">
        <f>IF(AM913="NO ACTION","",
 IF(_xlfn.TEXTJOIN(", ", TRUE,
  IF(X913&gt;0.7,"Login anomaly",""),
  IF(Y913&gt;0.7,"File anomaly",""),
  IF(Z913&gt;0.7,"Network anomaly",""),
  IF(AA913&gt;0.7,"USB anomaly","")
 )="",
 "General anomaly detected",
 _xlfn.TEXTJOIN(", ", TRUE,
  IF(X913&gt;0.7,"Login anomaly",""),
  IF(Y913&gt;0.7,"File anomaly",""),
  IF(Z913&gt;0.7,"Network anomaly",""),
  IF(AA913&gt;0.7,"USB anomaly","")
 )))</f>
        <v/>
      </c>
    </row>
    <row r="914" spans="1:40" x14ac:dyDescent="0.3">
      <c r="A914" t="s">
        <v>937</v>
      </c>
      <c r="B914">
        <v>0.27863894139886503</v>
      </c>
      <c r="C914">
        <v>0.66151651348173202</v>
      </c>
      <c r="D914">
        <v>0.47341628578719602</v>
      </c>
      <c r="E914">
        <v>0.30739241265556999</v>
      </c>
      <c r="F914">
        <v>3.5087719298245598E-2</v>
      </c>
      <c r="G914">
        <v>0.38266512227926103</v>
      </c>
      <c r="H914">
        <v>0</v>
      </c>
      <c r="I914">
        <v>23</v>
      </c>
      <c r="J914">
        <v>7.4662468393683498E-2</v>
      </c>
      <c r="K914">
        <v>7.34094616639478E-3</v>
      </c>
      <c r="L914">
        <v>2.50347360746172E-2</v>
      </c>
      <c r="M914">
        <v>1.26984126984126E-2</v>
      </c>
      <c r="N914">
        <v>0.10245273480942201</v>
      </c>
      <c r="O914">
        <v>460</v>
      </c>
      <c r="P914">
        <v>6.4218574635241304E-2</v>
      </c>
      <c r="Q914">
        <v>6.4378133875661797E-2</v>
      </c>
      <c r="R914">
        <v>1.6224188790560399E-2</v>
      </c>
      <c r="S914">
        <v>1</v>
      </c>
      <c r="T914" t="s">
        <v>49</v>
      </c>
      <c r="U914">
        <v>3.39622641509433E-3</v>
      </c>
      <c r="V914">
        <v>0</v>
      </c>
      <c r="W914">
        <v>2.8665695548431701E-2</v>
      </c>
      <c r="X914">
        <v>0.248277697252128</v>
      </c>
      <c r="Y914">
        <v>5.8185682158872098E-2</v>
      </c>
      <c r="Z914">
        <v>7.9512238704913807E-2</v>
      </c>
      <c r="AA914">
        <v>1.6224188790560399E-2</v>
      </c>
      <c r="AB914">
        <v>0.20785799622535711</v>
      </c>
      <c r="AC914">
        <v>2.351999981328845E-3</v>
      </c>
      <c r="AD914">
        <v>2.8349999338388439E-3</v>
      </c>
      <c r="AE914">
        <v>6.9039002060890198E-2</v>
      </c>
      <c r="AF914">
        <f>0.16*X914 + 0.28*Y914 + 0.28*Z914 + 0.28*AA914</f>
        <v>8.2822622263557452E-2</v>
      </c>
      <c r="AG914">
        <f t="shared" si="42"/>
        <v>5.4040559949353348E-2</v>
      </c>
      <c r="AH914">
        <f>IF(T914="IT_Admin", 0.25, IF(AND(T914="HR", AA914&gt;0.6), 0.25, IF(AND(T914="General", Z914&gt;0.7), 0.2, 0.1)))</f>
        <v>0.1</v>
      </c>
      <c r="AI914">
        <f>IF(V914&gt;0.7, 0.1,
 IF(F914&gt;0.5, 0.08,
 IF(E914&gt;0.5, 0.05,
 0)))</f>
        <v>0</v>
      </c>
      <c r="AJ914">
        <f t="shared" si="43"/>
        <v>6.2675178643614576E-2</v>
      </c>
      <c r="AK914">
        <f t="shared" si="44"/>
        <v>6.8942696507976034E-2</v>
      </c>
      <c r="AL914" t="str">
        <f>IF(MAX(X914, Y914, Z914, AA914)&gt;0.9,
 "Critical",
 IF(AK914&lt;=0.2,"Very Low",
 IF(AK914&lt;=0.4,"Low",
 IF(AK914&lt;=0.6,"Medium",
 IF(AK914&lt;=0.8,"High","Critical")))))</f>
        <v>Very Low</v>
      </c>
      <c r="AM914" t="str">
        <f>IF(MAX(X914:AA914)&gt;0.9,"CRITICAL ALERT",
 IF(AK914&gt;0.8,"CRITICAL ALERT",
 IF(AK914&gt;0.6,"ALERT",
 IF(AK914&gt;=0.4,"REVIEW","NO ACTION"))))</f>
        <v>NO ACTION</v>
      </c>
      <c r="AN914" t="str">
        <f>IF(AM914="NO ACTION","",
 IF(_xlfn.TEXTJOIN(", ", TRUE,
  IF(X914&gt;0.7,"Login anomaly",""),
  IF(Y914&gt;0.7,"File anomaly",""),
  IF(Z914&gt;0.7,"Network anomaly",""),
  IF(AA914&gt;0.7,"USB anomaly","")
 )="",
 "General anomaly detected",
 _xlfn.TEXTJOIN(", ", TRUE,
  IF(X914&gt;0.7,"Login anomaly",""),
  IF(Y914&gt;0.7,"File anomaly",""),
  IF(Z914&gt;0.7,"Network anomaly",""),
  IF(AA914&gt;0.7,"USB anomaly","")
 )))</f>
        <v/>
      </c>
    </row>
    <row r="915" spans="1:40" x14ac:dyDescent="0.3">
      <c r="A915" t="s">
        <v>938</v>
      </c>
      <c r="B915">
        <v>0.13648393194706901</v>
      </c>
      <c r="C915">
        <v>0.13110780532857599</v>
      </c>
      <c r="D915">
        <v>0.16999558329436301</v>
      </c>
      <c r="E915">
        <v>0</v>
      </c>
      <c r="F915">
        <v>0.46301369863013597</v>
      </c>
      <c r="G915">
        <v>0.93090006942090497</v>
      </c>
      <c r="H915">
        <v>6</v>
      </c>
      <c r="I915">
        <v>14</v>
      </c>
      <c r="J915">
        <v>6.3928247698105997E-2</v>
      </c>
      <c r="K915">
        <v>8.1566068515497494E-3</v>
      </c>
      <c r="L915">
        <v>3.2469670084385803E-2</v>
      </c>
      <c r="M915">
        <v>1.21212121212121E-2</v>
      </c>
      <c r="N915">
        <v>0.114155683226315</v>
      </c>
      <c r="O915">
        <v>398</v>
      </c>
      <c r="P915">
        <v>5.6397306397306397E-2</v>
      </c>
      <c r="Q915">
        <v>5.6558785371156002E-2</v>
      </c>
      <c r="R915">
        <v>0</v>
      </c>
      <c r="S915">
        <v>0</v>
      </c>
      <c r="T915" t="s">
        <v>49</v>
      </c>
      <c r="U915">
        <v>3.9491004826678298E-3</v>
      </c>
      <c r="V915">
        <v>0</v>
      </c>
      <c r="W915">
        <v>0</v>
      </c>
      <c r="X915">
        <v>0.236204154440363</v>
      </c>
      <c r="Y915">
        <v>6.32671895497086E-2</v>
      </c>
      <c r="Z915">
        <v>7.9500657128909899E-2</v>
      </c>
      <c r="AA915">
        <v>0</v>
      </c>
      <c r="AB915">
        <v>3.572700172662735E-2</v>
      </c>
      <c r="AC915">
        <v>3.0320000369101758E-3</v>
      </c>
      <c r="AD915">
        <v>4.4289999641478062E-3</v>
      </c>
      <c r="AE915">
        <v>2.781999995931983E-3</v>
      </c>
      <c r="AF915">
        <f>0.16*X915 + 0.28*Y915 + 0.28*Z915 + 0.28*AA915</f>
        <v>7.7767661780471259E-2</v>
      </c>
      <c r="AG915">
        <f t="shared" si="42"/>
        <v>8.5843602754175664E-3</v>
      </c>
      <c r="AH915">
        <f>IF(T915="IT_Admin", 0.25, IF(AND(T915="HR", AA915&gt;0.6), 0.25, IF(AND(T915="General", Z915&gt;0.7), 0.2, 0.1)))</f>
        <v>0.1</v>
      </c>
      <c r="AI915">
        <f>IF(V915&gt;0.7, 0.1,
 IF(F915&gt;0.5, 0.08,
 IF(E915&gt;0.5, 0.05,
 0)))</f>
        <v>0</v>
      </c>
      <c r="AJ915">
        <f t="shared" si="43"/>
        <v>2.9339350726933673E-2</v>
      </c>
      <c r="AK915">
        <f t="shared" si="44"/>
        <v>3.2273285799627044E-2</v>
      </c>
      <c r="AL915" t="str">
        <f>IF(MAX(X915, Y915, Z915, AA915)&gt;0.9,
 "Critical",
 IF(AK915&lt;=0.2,"Very Low",
 IF(AK915&lt;=0.4,"Low",
 IF(AK915&lt;=0.6,"Medium",
 IF(AK915&lt;=0.8,"High","Critical")))))</f>
        <v>Very Low</v>
      </c>
      <c r="AM915" t="str">
        <f>IF(MAX(X915:AA915)&gt;0.9,"CRITICAL ALERT",
 IF(AK915&gt;0.8,"CRITICAL ALERT",
 IF(AK915&gt;0.6,"ALERT",
 IF(AK915&gt;=0.4,"REVIEW","NO ACTION"))))</f>
        <v>NO ACTION</v>
      </c>
      <c r="AN915" t="str">
        <f>IF(AM915="NO ACTION","",
 IF(_xlfn.TEXTJOIN(", ", TRUE,
  IF(X915&gt;0.7,"Login anomaly",""),
  IF(Y915&gt;0.7,"File anomaly",""),
  IF(Z915&gt;0.7,"Network anomaly",""),
  IF(AA915&gt;0.7,"USB anomaly","")
 )="",
 "General anomaly detected",
 _xlfn.TEXTJOIN(", ", TRUE,
  IF(X915&gt;0.7,"Login anomaly",""),
  IF(Y915&gt;0.7,"File anomaly",""),
  IF(Z915&gt;0.7,"Network anomaly",""),
  IF(AA915&gt;0.7,"USB anomaly","")
 )))</f>
        <v/>
      </c>
    </row>
    <row r="916" spans="1:40" x14ac:dyDescent="0.3">
      <c r="A916" t="s">
        <v>939</v>
      </c>
      <c r="B916">
        <v>0.26805293005670999</v>
      </c>
      <c r="C916">
        <v>0.46333982743822999</v>
      </c>
      <c r="D916">
        <v>0.39484066805225199</v>
      </c>
      <c r="E916">
        <v>0</v>
      </c>
      <c r="F916">
        <v>0.48667601683029399</v>
      </c>
      <c r="G916">
        <v>0.40355287589363298</v>
      </c>
      <c r="H916">
        <v>6</v>
      </c>
      <c r="I916">
        <v>15</v>
      </c>
      <c r="J916">
        <v>7.6236820762368193E-2</v>
      </c>
      <c r="K916">
        <v>6.8515497553017904E-2</v>
      </c>
      <c r="L916">
        <v>0.22884736906636899</v>
      </c>
      <c r="M916">
        <v>4.6176046176046098E-3</v>
      </c>
      <c r="N916">
        <v>3.6488582464876899E-2</v>
      </c>
      <c r="O916">
        <v>334</v>
      </c>
      <c r="P916">
        <v>8.7752525252525193E-2</v>
      </c>
      <c r="Q916">
        <v>8.7906308075318199E-2</v>
      </c>
      <c r="R916">
        <v>0</v>
      </c>
      <c r="S916">
        <v>0</v>
      </c>
      <c r="T916" t="s">
        <v>49</v>
      </c>
      <c r="U916">
        <v>8.3906770255271906E-2</v>
      </c>
      <c r="V916">
        <v>0</v>
      </c>
      <c r="W916">
        <v>0</v>
      </c>
      <c r="X916">
        <v>0.313122607147793</v>
      </c>
      <c r="Y916">
        <v>0.14061762342512099</v>
      </c>
      <c r="Z916">
        <v>6.7246948137465901E-2</v>
      </c>
      <c r="AA916">
        <v>0</v>
      </c>
      <c r="AB916">
        <v>6.5835997462272644E-2</v>
      </c>
      <c r="AC916">
        <v>1.3771999627351761E-2</v>
      </c>
      <c r="AD916">
        <v>2.0079999230802059E-3</v>
      </c>
      <c r="AE916">
        <v>9.8799997940659523E-3</v>
      </c>
      <c r="AF916">
        <f>0.16*X916 + 0.28*Y916 + 0.28*Z916 + 0.28*AA916</f>
        <v>0.10830169718117122</v>
      </c>
      <c r="AG916">
        <f t="shared" si="42"/>
        <v>1.7718559410423041E-2</v>
      </c>
      <c r="AH916">
        <f>IF(T916="IT_Admin", 0.25, IF(AND(T916="HR", AA916&gt;0.6), 0.25, IF(AND(T916="General", Z916&gt;0.7), 0.2, 0.1)))</f>
        <v>0.1</v>
      </c>
      <c r="AI916">
        <f>IF(V916&gt;0.7, 0.1,
 IF(F916&gt;0.5, 0.08,
 IF(E916&gt;0.5, 0.05,
 0)))</f>
        <v>0</v>
      </c>
      <c r="AJ916">
        <f t="shared" si="43"/>
        <v>4.4893500741647496E-2</v>
      </c>
      <c r="AK916">
        <f t="shared" si="44"/>
        <v>4.938285081581225E-2</v>
      </c>
      <c r="AL916" t="str">
        <f>IF(MAX(X916, Y916, Z916, AA916)&gt;0.9,
 "Critical",
 IF(AK916&lt;=0.2,"Very Low",
 IF(AK916&lt;=0.4,"Low",
 IF(AK916&lt;=0.6,"Medium",
 IF(AK916&lt;=0.8,"High","Critical")))))</f>
        <v>Very Low</v>
      </c>
      <c r="AM916" t="str">
        <f>IF(MAX(X916:AA916)&gt;0.9,"CRITICAL ALERT",
 IF(AK916&gt;0.8,"CRITICAL ALERT",
 IF(AK916&gt;0.6,"ALERT",
 IF(AK916&gt;=0.4,"REVIEW","NO ACTION"))))</f>
        <v>NO ACTION</v>
      </c>
      <c r="AN916" t="str">
        <f>IF(AM916="NO ACTION","",
 IF(_xlfn.TEXTJOIN(", ", TRUE,
  IF(X916&gt;0.7,"Login anomaly",""),
  IF(Y916&gt;0.7,"File anomaly",""),
  IF(Z916&gt;0.7,"Network anomaly",""),
  IF(AA916&gt;0.7,"USB anomaly","")
 )="",
 "General anomaly detected",
 _xlfn.TEXTJOIN(", ", TRUE,
  IF(X916&gt;0.7,"Login anomaly",""),
  IF(Y916&gt;0.7,"File anomaly",""),
  IF(Z916&gt;0.7,"Network anomaly",""),
  IF(AA916&gt;0.7,"USB anomaly","")
 )))</f>
        <v/>
      </c>
    </row>
    <row r="917" spans="1:40" x14ac:dyDescent="0.3">
      <c r="A917" t="s">
        <v>940</v>
      </c>
      <c r="B917">
        <v>0.12892249527410199</v>
      </c>
      <c r="C917">
        <v>0.18476582604220201</v>
      </c>
      <c r="D917">
        <v>0</v>
      </c>
      <c r="E917">
        <v>0</v>
      </c>
      <c r="F917">
        <v>0</v>
      </c>
      <c r="G917">
        <v>0.99366280433207599</v>
      </c>
      <c r="H917">
        <v>7</v>
      </c>
      <c r="I917">
        <v>7</v>
      </c>
      <c r="J917">
        <v>7.4996421926434798E-2</v>
      </c>
      <c r="K917">
        <v>1.6313213703099501E-3</v>
      </c>
      <c r="L917">
        <v>5.53858037584006E-3</v>
      </c>
      <c r="M917">
        <v>1.1544011544011501E-3</v>
      </c>
      <c r="N917">
        <v>9.27254243677832E-3</v>
      </c>
      <c r="O917">
        <v>623</v>
      </c>
      <c r="P917">
        <v>5.6397306397306397E-2</v>
      </c>
      <c r="Q917">
        <v>5.6558785371156002E-2</v>
      </c>
      <c r="R917">
        <v>0</v>
      </c>
      <c r="S917">
        <v>0</v>
      </c>
      <c r="T917" t="s">
        <v>49</v>
      </c>
      <c r="U917">
        <v>6.7924528301886696E-3</v>
      </c>
      <c r="V917">
        <v>0</v>
      </c>
      <c r="W917">
        <v>0</v>
      </c>
      <c r="X917">
        <v>0</v>
      </c>
      <c r="Y917">
        <v>2.0550337304240399E-2</v>
      </c>
      <c r="Z917">
        <v>3.75474008130951E-2</v>
      </c>
      <c r="AA917">
        <v>0</v>
      </c>
      <c r="AB917">
        <v>3.6736998707056052E-2</v>
      </c>
      <c r="AC917">
        <v>1.0260000126436351E-3</v>
      </c>
      <c r="AD917">
        <v>6.6209998913109303E-3</v>
      </c>
      <c r="AE917">
        <v>1.84299994725734E-3</v>
      </c>
      <c r="AF917">
        <f>0.16*X917 + 0.28*Y917 + 0.28*Z917 + 0.28*AA917</f>
        <v>1.6267366672853941E-2</v>
      </c>
      <c r="AG917">
        <f t="shared" si="42"/>
        <v>8.5351197514683015E-3</v>
      </c>
      <c r="AH917">
        <f>IF(T917="IT_Admin", 0.25, IF(AND(T917="HR", AA917&gt;0.6), 0.25, IF(AND(T917="General", Z917&gt;0.7), 0.2, 0.1)))</f>
        <v>0.1</v>
      </c>
      <c r="AI917">
        <f>IF(V917&gt;0.7, 0.1,
 IF(F917&gt;0.5, 0.08,
 IF(E917&gt;0.5, 0.05,
 0)))</f>
        <v>0</v>
      </c>
      <c r="AJ917">
        <f t="shared" si="43"/>
        <v>1.0854793827883992E-2</v>
      </c>
      <c r="AK917">
        <f t="shared" si="44"/>
        <v>1.1940273210672392E-2</v>
      </c>
      <c r="AL917" t="str">
        <f>IF(MAX(X917, Y917, Z917, AA917)&gt;0.9,
 "Critical",
 IF(AK917&lt;=0.2,"Very Low",
 IF(AK917&lt;=0.4,"Low",
 IF(AK917&lt;=0.6,"Medium",
 IF(AK917&lt;=0.8,"High","Critical")))))</f>
        <v>Very Low</v>
      </c>
      <c r="AM917" t="str">
        <f>IF(MAX(X917:AA917)&gt;0.9,"CRITICAL ALERT",
 IF(AK917&gt;0.8,"CRITICAL ALERT",
 IF(AK917&gt;0.6,"ALERT",
 IF(AK917&gt;=0.4,"REVIEW","NO ACTION"))))</f>
        <v>NO ACTION</v>
      </c>
      <c r="AN917" t="str">
        <f>IF(AM917="NO ACTION","",
 IF(_xlfn.TEXTJOIN(", ", TRUE,
  IF(X917&gt;0.7,"Login anomaly",""),
  IF(Y917&gt;0.7,"File anomaly",""),
  IF(Z917&gt;0.7,"Network anomaly",""),
  IF(AA917&gt;0.7,"USB anomaly","")
 )="",
 "General anomaly detected",
 _xlfn.TEXTJOIN(", ", TRUE,
  IF(X917&gt;0.7,"Login anomaly",""),
  IF(Y917&gt;0.7,"File anomaly",""),
  IF(Z917&gt;0.7,"Network anomaly",""),
  IF(AA917&gt;0.7,"USB anomaly","")
 )))</f>
        <v/>
      </c>
    </row>
    <row r="918" spans="1:40" x14ac:dyDescent="0.3">
      <c r="A918" t="s">
        <v>941</v>
      </c>
      <c r="B918">
        <v>5.9357277882797703E-2</v>
      </c>
      <c r="C918">
        <v>0.18476582604220201</v>
      </c>
      <c r="D918">
        <v>0</v>
      </c>
      <c r="E918">
        <v>0</v>
      </c>
      <c r="F918">
        <v>0</v>
      </c>
      <c r="G918">
        <v>0.97990192505623097</v>
      </c>
      <c r="H918">
        <v>7</v>
      </c>
      <c r="I918">
        <v>7</v>
      </c>
      <c r="J918">
        <v>1.41691713181623E-2</v>
      </c>
      <c r="K918">
        <v>0</v>
      </c>
      <c r="L918">
        <v>0</v>
      </c>
      <c r="M918">
        <v>1.1544011544011501E-3</v>
      </c>
      <c r="N918">
        <v>4.8419865638408603E-2</v>
      </c>
      <c r="O918">
        <v>198</v>
      </c>
      <c r="P918">
        <v>1.0977833894500501E-2</v>
      </c>
      <c r="Q918">
        <v>1.11504610961113E-2</v>
      </c>
      <c r="R918">
        <v>0</v>
      </c>
      <c r="S918">
        <v>0</v>
      </c>
      <c r="T918" t="s">
        <v>49</v>
      </c>
      <c r="U918">
        <v>0</v>
      </c>
      <c r="V918">
        <v>0</v>
      </c>
      <c r="W918">
        <v>0</v>
      </c>
      <c r="X918">
        <v>0</v>
      </c>
      <c r="Y918">
        <v>1.7359793955154999E-2</v>
      </c>
      <c r="Z918">
        <v>2.5954646592063799E-2</v>
      </c>
      <c r="AA918">
        <v>0</v>
      </c>
      <c r="AB918">
        <v>4.6994999051094062E-2</v>
      </c>
      <c r="AC918">
        <v>1.5399999683722849E-3</v>
      </c>
      <c r="AD918">
        <v>1.329199969768524E-2</v>
      </c>
      <c r="AE918">
        <v>2.4880000855773692E-3</v>
      </c>
      <c r="AF918">
        <f>0.16*X918 + 0.28*Y918 + 0.28*Z918 + 0.28*AA918</f>
        <v>1.2128043353221265E-2</v>
      </c>
      <c r="AG918">
        <f t="shared" si="42"/>
        <v>1.2368799778632819E-2</v>
      </c>
      <c r="AH918">
        <f>IF(T918="IT_Admin", 0.25, IF(AND(T918="HR", AA918&gt;0.6), 0.25, IF(AND(T918="General", Z918&gt;0.7), 0.2, 0.1)))</f>
        <v>0.1</v>
      </c>
      <c r="AI918">
        <f>IF(V918&gt;0.7, 0.1,
 IF(F918&gt;0.5, 0.08,
 IF(E918&gt;0.5, 0.05,
 0)))</f>
        <v>0</v>
      </c>
      <c r="AJ918">
        <f t="shared" si="43"/>
        <v>1.2296572851009352E-2</v>
      </c>
      <c r="AK918">
        <f t="shared" si="44"/>
        <v>1.3526230136110288E-2</v>
      </c>
      <c r="AL918" t="str">
        <f>IF(MAX(X918, Y918, Z918, AA918)&gt;0.9,
 "Critical",
 IF(AK918&lt;=0.2,"Very Low",
 IF(AK918&lt;=0.4,"Low",
 IF(AK918&lt;=0.6,"Medium",
 IF(AK918&lt;=0.8,"High","Critical")))))</f>
        <v>Very Low</v>
      </c>
      <c r="AM918" t="str">
        <f>IF(MAX(X918:AA918)&gt;0.9,"CRITICAL ALERT",
 IF(AK918&gt;0.8,"CRITICAL ALERT",
 IF(AK918&gt;0.6,"ALERT",
 IF(AK918&gt;=0.4,"REVIEW","NO ACTION"))))</f>
        <v>NO ACTION</v>
      </c>
      <c r="AN918" t="str">
        <f>IF(AM918="NO ACTION","",
 IF(_xlfn.TEXTJOIN(", ", TRUE,
  IF(X918&gt;0.7,"Login anomaly",""),
  IF(Y918&gt;0.7,"File anomaly",""),
  IF(Z918&gt;0.7,"Network anomaly",""),
  IF(AA918&gt;0.7,"USB anomaly","")
 )="",
 "General anomaly detected",
 _xlfn.TEXTJOIN(", ", TRUE,
  IF(X918&gt;0.7,"Login anomaly",""),
  IF(Y918&gt;0.7,"File anomaly",""),
  IF(Z918&gt;0.7,"Network anomaly",""),
  IF(AA918&gt;0.7,"USB anomaly","")
 )))</f>
        <v/>
      </c>
    </row>
    <row r="919" spans="1:40" x14ac:dyDescent="0.3">
      <c r="A919" t="s">
        <v>942</v>
      </c>
      <c r="B919">
        <v>0.12892249527410199</v>
      </c>
      <c r="C919">
        <v>0.27634540938485902</v>
      </c>
      <c r="D919">
        <v>7.5129964412319103E-2</v>
      </c>
      <c r="E919">
        <v>0</v>
      </c>
      <c r="F919">
        <v>0</v>
      </c>
      <c r="G919">
        <v>0.99367457991956198</v>
      </c>
      <c r="H919">
        <v>7</v>
      </c>
      <c r="I919">
        <v>8</v>
      </c>
      <c r="J919">
        <v>8.0625924335671006E-2</v>
      </c>
      <c r="K919">
        <v>1.0603588907014599E-2</v>
      </c>
      <c r="L919">
        <v>3.34945239779047E-2</v>
      </c>
      <c r="M919">
        <v>5.1948051948051896E-3</v>
      </c>
      <c r="N919">
        <v>3.8821591387962998E-2</v>
      </c>
      <c r="O919">
        <v>854</v>
      </c>
      <c r="P919">
        <v>6.6358024691358E-2</v>
      </c>
      <c r="Q919">
        <v>6.6517058802903303E-2</v>
      </c>
      <c r="R919">
        <v>0</v>
      </c>
      <c r="S919">
        <v>0</v>
      </c>
      <c r="T919" t="s">
        <v>49</v>
      </c>
      <c r="U919">
        <v>1.1618669314796401E-2</v>
      </c>
      <c r="V919">
        <v>0</v>
      </c>
      <c r="W919">
        <v>0</v>
      </c>
      <c r="X919">
        <v>2.2538989323695701E-2</v>
      </c>
      <c r="Y919">
        <v>4.4518924272475502E-2</v>
      </c>
      <c r="Z919">
        <v>5.5343451369999998E-2</v>
      </c>
      <c r="AA919">
        <v>0</v>
      </c>
      <c r="AB919">
        <v>1.8617000430822369E-2</v>
      </c>
      <c r="AC919">
        <v>3.2900000223889952E-4</v>
      </c>
      <c r="AD919">
        <v>4.4510001316666603E-3</v>
      </c>
      <c r="AE919">
        <v>2.344999928027391E-3</v>
      </c>
      <c r="AF919">
        <f>0.16*X919 + 0.28*Y919 + 0.28*Z919 + 0.28*AA919</f>
        <v>3.1567703471684458E-2</v>
      </c>
      <c r="AG919">
        <f t="shared" si="42"/>
        <v>4.9737200862728058E-3</v>
      </c>
      <c r="AH919">
        <f>IF(T919="IT_Admin", 0.25, IF(AND(T919="HR", AA919&gt;0.6), 0.25, IF(AND(T919="General", Z919&gt;0.7), 0.2, 0.1)))</f>
        <v>0.1</v>
      </c>
      <c r="AI919">
        <f>IF(V919&gt;0.7, 0.1,
 IF(F919&gt;0.5, 0.08,
 IF(E919&gt;0.5, 0.05,
 0)))</f>
        <v>0</v>
      </c>
      <c r="AJ919">
        <f t="shared" si="43"/>
        <v>1.2951915101896302E-2</v>
      </c>
      <c r="AK919">
        <f t="shared" si="44"/>
        <v>1.4247106612085933E-2</v>
      </c>
      <c r="AL919" t="str">
        <f>IF(MAX(X919, Y919, Z919, AA919)&gt;0.9,
 "Critical",
 IF(AK919&lt;=0.2,"Very Low",
 IF(AK919&lt;=0.4,"Low",
 IF(AK919&lt;=0.6,"Medium",
 IF(AK919&lt;=0.8,"High","Critical")))))</f>
        <v>Very Low</v>
      </c>
      <c r="AM919" t="str">
        <f>IF(MAX(X919:AA919)&gt;0.9,"CRITICAL ALERT",
 IF(AK919&gt;0.8,"CRITICAL ALERT",
 IF(AK919&gt;0.6,"ALERT",
 IF(AK919&gt;=0.4,"REVIEW","NO ACTION"))))</f>
        <v>NO ACTION</v>
      </c>
      <c r="AN919" t="str">
        <f>IF(AM919="NO ACTION","",
 IF(_xlfn.TEXTJOIN(", ", TRUE,
  IF(X919&gt;0.7,"Login anomaly",""),
  IF(Y919&gt;0.7,"File anomaly",""),
  IF(Z919&gt;0.7,"Network anomaly",""),
  IF(AA919&gt;0.7,"USB anomaly","")
 )="",
 "General anomaly detected",
 _xlfn.TEXTJOIN(", ", TRUE,
  IF(X919&gt;0.7,"Login anomaly",""),
  IF(Y919&gt;0.7,"File anomaly",""),
  IF(Z919&gt;0.7,"Network anomaly",""),
  IF(AA919&gt;0.7,"USB anomaly","")
 )))</f>
        <v/>
      </c>
    </row>
    <row r="920" spans="1:40" x14ac:dyDescent="0.3">
      <c r="A920" t="s">
        <v>943</v>
      </c>
      <c r="B920">
        <v>0.231758034026465</v>
      </c>
      <c r="C920">
        <v>0.65850899751507896</v>
      </c>
      <c r="D920">
        <v>0.36613148425602099</v>
      </c>
      <c r="E920">
        <v>0</v>
      </c>
      <c r="F920">
        <v>0</v>
      </c>
      <c r="G920">
        <v>0.489506758451976</v>
      </c>
      <c r="H920">
        <v>7</v>
      </c>
      <c r="I920">
        <v>14</v>
      </c>
      <c r="J920">
        <v>8.7829779113591896E-2</v>
      </c>
      <c r="K920">
        <v>9.7879282218597003E-3</v>
      </c>
      <c r="L920">
        <v>2.8388974819175801E-2</v>
      </c>
      <c r="M920">
        <v>1.7316017316017301E-3</v>
      </c>
      <c r="N920">
        <v>1.18820146989161E-2</v>
      </c>
      <c r="O920">
        <v>851</v>
      </c>
      <c r="P920">
        <v>6.9619809203142494E-2</v>
      </c>
      <c r="Q920">
        <v>6.9778042708369806E-2</v>
      </c>
      <c r="R920">
        <v>0</v>
      </c>
      <c r="S920">
        <v>0</v>
      </c>
      <c r="T920" t="s">
        <v>49</v>
      </c>
      <c r="U920">
        <v>2.9110512129380001E-2</v>
      </c>
      <c r="V920">
        <v>0</v>
      </c>
      <c r="W920">
        <v>0</v>
      </c>
      <c r="X920">
        <v>0.109839445276806</v>
      </c>
      <c r="Y920">
        <v>3.5325047641981099E-2</v>
      </c>
      <c r="Z920">
        <v>4.6524691401451899E-2</v>
      </c>
      <c r="AA920">
        <v>0</v>
      </c>
      <c r="AB920">
        <v>2.3164000362157822E-2</v>
      </c>
      <c r="AC920">
        <v>1.449999981559813E-4</v>
      </c>
      <c r="AD920">
        <v>4.4800001196563244E-3</v>
      </c>
      <c r="AE920">
        <v>7.0279999636113644E-3</v>
      </c>
      <c r="AF920">
        <f>0.16*X920 + 0.28*Y920 + 0.28*Z920 + 0.28*AA920</f>
        <v>4.0492238176450202E-2</v>
      </c>
      <c r="AG920">
        <f t="shared" si="42"/>
        <v>6.9690800807438794E-3</v>
      </c>
      <c r="AH920">
        <f>IF(T920="IT_Admin", 0.25, IF(AND(T920="HR", AA920&gt;0.6), 0.25, IF(AND(T920="General", Z920&gt;0.7), 0.2, 0.1)))</f>
        <v>0.1</v>
      </c>
      <c r="AI920">
        <f>IF(V920&gt;0.7, 0.1,
 IF(F920&gt;0.5, 0.08,
 IF(E920&gt;0.5, 0.05,
 0)))</f>
        <v>0</v>
      </c>
      <c r="AJ920">
        <f t="shared" si="43"/>
        <v>1.7026027509455775E-2</v>
      </c>
      <c r="AK920">
        <f t="shared" si="44"/>
        <v>1.8728630260401353E-2</v>
      </c>
      <c r="AL920" t="str">
        <f>IF(MAX(X920, Y920, Z920, AA920)&gt;0.9,
 "Critical",
 IF(AK920&lt;=0.2,"Very Low",
 IF(AK920&lt;=0.4,"Low",
 IF(AK920&lt;=0.6,"Medium",
 IF(AK920&lt;=0.8,"High","Critical")))))</f>
        <v>Very Low</v>
      </c>
      <c r="AM920" t="str">
        <f>IF(MAX(X920:AA920)&gt;0.9,"CRITICAL ALERT",
 IF(AK920&gt;0.8,"CRITICAL ALERT",
 IF(AK920&gt;0.6,"ALERT",
 IF(AK920&gt;=0.4,"REVIEW","NO ACTION"))))</f>
        <v>NO ACTION</v>
      </c>
      <c r="AN920" t="str">
        <f>IF(AM920="NO ACTION","",
 IF(_xlfn.TEXTJOIN(", ", TRUE,
  IF(X920&gt;0.7,"Login anomaly",""),
  IF(Y920&gt;0.7,"File anomaly",""),
  IF(Z920&gt;0.7,"Network anomaly",""),
  IF(AA920&gt;0.7,"USB anomaly","")
 )="",
 "General anomaly detected",
 _xlfn.TEXTJOIN(", ", TRUE,
  IF(X920&gt;0.7,"Login anomaly",""),
  IF(Y920&gt;0.7,"File anomaly",""),
  IF(Z920&gt;0.7,"Network anomaly",""),
  IF(AA920&gt;0.7,"USB anomaly","")
 )))</f>
        <v/>
      </c>
    </row>
    <row r="921" spans="1:40" x14ac:dyDescent="0.3">
      <c r="A921" t="s">
        <v>944</v>
      </c>
      <c r="B921">
        <v>0.12892249527410199</v>
      </c>
      <c r="C921">
        <v>0.285449812407229</v>
      </c>
      <c r="D921">
        <v>7.4828881661874E-2</v>
      </c>
      <c r="E921">
        <v>0</v>
      </c>
      <c r="F921">
        <v>0</v>
      </c>
      <c r="G921">
        <v>0.99367602510529796</v>
      </c>
      <c r="H921">
        <v>7</v>
      </c>
      <c r="I921">
        <v>8</v>
      </c>
      <c r="J921">
        <v>9.4031773293258902E-2</v>
      </c>
      <c r="K921">
        <v>1.5497553017944501E-2</v>
      </c>
      <c r="L921">
        <v>4.1992025253364297E-2</v>
      </c>
      <c r="M921">
        <v>4.3290043290043203E-3</v>
      </c>
      <c r="N921">
        <v>2.77507580139159E-2</v>
      </c>
      <c r="O921">
        <v>949</v>
      </c>
      <c r="P921">
        <v>7.7897025813692497E-2</v>
      </c>
      <c r="Q921">
        <v>7.8053227672779502E-2</v>
      </c>
      <c r="R921">
        <v>0</v>
      </c>
      <c r="S921">
        <v>0</v>
      </c>
      <c r="T921" t="s">
        <v>49</v>
      </c>
      <c r="U921">
        <v>2.0165094339622599E-2</v>
      </c>
      <c r="V921">
        <v>0</v>
      </c>
      <c r="W921">
        <v>0</v>
      </c>
      <c r="X921">
        <v>2.2448664498562199E-2</v>
      </c>
      <c r="Y921">
        <v>4.8127594689508703E-2</v>
      </c>
      <c r="Z921">
        <v>5.7838518693781801E-2</v>
      </c>
      <c r="AA921">
        <v>0</v>
      </c>
      <c r="AB921">
        <v>1.796099916100502E-2</v>
      </c>
      <c r="AC921">
        <v>9.899999713525176E-5</v>
      </c>
      <c r="AD921">
        <v>3.3919999841600661E-3</v>
      </c>
      <c r="AE921">
        <v>2.1639999467879529E-3</v>
      </c>
      <c r="AF921">
        <f>0.16*X921 + 0.28*Y921 + 0.28*Z921 + 0.28*AA921</f>
        <v>3.32622980670913E-2</v>
      </c>
      <c r="AG921">
        <f t="shared" si="42"/>
        <v>4.4571598456241198E-3</v>
      </c>
      <c r="AH921">
        <f>IF(T921="IT_Admin", 0.25, IF(AND(T921="HR", AA921&gt;0.6), 0.25, IF(AND(T921="General", Z921&gt;0.7), 0.2, 0.1)))</f>
        <v>0.1</v>
      </c>
      <c r="AI921">
        <f>IF(V921&gt;0.7, 0.1,
 IF(F921&gt;0.5, 0.08,
 IF(E921&gt;0.5, 0.05,
 0)))</f>
        <v>0</v>
      </c>
      <c r="AJ921">
        <f t="shared" si="43"/>
        <v>1.3098701312064275E-2</v>
      </c>
      <c r="AK921">
        <f t="shared" si="44"/>
        <v>1.4408571443270703E-2</v>
      </c>
      <c r="AL921" t="str">
        <f>IF(MAX(X921, Y921, Z921, AA921)&gt;0.9,
 "Critical",
 IF(AK921&lt;=0.2,"Very Low",
 IF(AK921&lt;=0.4,"Low",
 IF(AK921&lt;=0.6,"Medium",
 IF(AK921&lt;=0.8,"High","Critical")))))</f>
        <v>Very Low</v>
      </c>
      <c r="AM921" t="str">
        <f>IF(MAX(X921:AA921)&gt;0.9,"CRITICAL ALERT",
 IF(AK921&gt;0.8,"CRITICAL ALERT",
 IF(AK921&gt;0.6,"ALERT",
 IF(AK921&gt;=0.4,"REVIEW","NO ACTION"))))</f>
        <v>NO ACTION</v>
      </c>
      <c r="AN921" t="str">
        <f>IF(AM921="NO ACTION","",
 IF(_xlfn.TEXTJOIN(", ", TRUE,
  IF(X921&gt;0.7,"Login anomaly",""),
  IF(Y921&gt;0.7,"File anomaly",""),
  IF(Z921&gt;0.7,"Network anomaly",""),
  IF(AA921&gt;0.7,"USB anomaly","")
 )="",
 "General anomaly detected",
 _xlfn.TEXTJOIN(", ", TRUE,
  IF(X921&gt;0.7,"Login anomaly",""),
  IF(Y921&gt;0.7,"File anomaly",""),
  IF(Z921&gt;0.7,"Network anomaly",""),
  IF(AA921&gt;0.7,"USB anomaly","")
 )))</f>
        <v/>
      </c>
    </row>
    <row r="922" spans="1:40" x14ac:dyDescent="0.3">
      <c r="A922" t="s">
        <v>945</v>
      </c>
      <c r="B922">
        <v>0.26880907372400697</v>
      </c>
      <c r="C922">
        <v>0.65197787287339504</v>
      </c>
      <c r="D922">
        <v>0.41387246416357798</v>
      </c>
      <c r="E922">
        <v>6.3714063714063698E-2</v>
      </c>
      <c r="F922">
        <v>8.3916083916083899E-3</v>
      </c>
      <c r="G922">
        <v>0.40197385317908302</v>
      </c>
      <c r="H922">
        <v>1</v>
      </c>
      <c r="I922">
        <v>20</v>
      </c>
      <c r="J922">
        <v>7.6761604885263096E-2</v>
      </c>
      <c r="K922">
        <v>1.2234910277324601E-2</v>
      </c>
      <c r="L922">
        <v>4.05870876054822E-2</v>
      </c>
      <c r="M922">
        <v>1.7316017316017301E-3</v>
      </c>
      <c r="N922">
        <v>1.3589962288847001E-2</v>
      </c>
      <c r="O922">
        <v>884</v>
      </c>
      <c r="P922">
        <v>6.2535072951739601E-2</v>
      </c>
      <c r="Q922">
        <v>6.2695045408324199E-2</v>
      </c>
      <c r="R922">
        <v>0</v>
      </c>
      <c r="S922">
        <v>0</v>
      </c>
      <c r="T922" t="s">
        <v>49</v>
      </c>
      <c r="U922">
        <v>3.6388140161725001E-2</v>
      </c>
      <c r="V922">
        <v>0</v>
      </c>
      <c r="W922">
        <v>0</v>
      </c>
      <c r="X922">
        <v>0.146632601719936</v>
      </c>
      <c r="Y922">
        <v>3.9722853466447799E-2</v>
      </c>
      <c r="Z922">
        <v>4.29570286865825E-2</v>
      </c>
      <c r="AA922">
        <v>0</v>
      </c>
      <c r="AB922">
        <v>0.1051329970359802</v>
      </c>
      <c r="AC922">
        <v>5.2999999752501033E-5</v>
      </c>
      <c r="AD922">
        <v>4.980000201612711E-3</v>
      </c>
      <c r="AE922">
        <v>1.4155999757349489E-2</v>
      </c>
      <c r="AF922">
        <f>0.16*X922 + 0.28*Y922 + 0.28*Z922 + 0.28*AA922</f>
        <v>4.6611583278038243E-2</v>
      </c>
      <c r="AG922">
        <f t="shared" si="42"/>
        <v>2.2194199514196947E-2</v>
      </c>
      <c r="AH922">
        <f>IF(T922="IT_Admin", 0.25, IF(AND(T922="HR", AA922&gt;0.6), 0.25, IF(AND(T922="General", Z922&gt;0.7), 0.2, 0.1)))</f>
        <v>0.1</v>
      </c>
      <c r="AI922">
        <f>IF(V922&gt;0.7, 0.1,
 IF(F922&gt;0.5, 0.08,
 IF(E922&gt;0.5, 0.05,
 0)))</f>
        <v>0</v>
      </c>
      <c r="AJ922">
        <f t="shared" si="43"/>
        <v>2.9519414643349333E-2</v>
      </c>
      <c r="AK922">
        <f t="shared" si="44"/>
        <v>3.2471356107684271E-2</v>
      </c>
      <c r="AL922" t="str">
        <f>IF(MAX(X922, Y922, Z922, AA922)&gt;0.9,
 "Critical",
 IF(AK922&lt;=0.2,"Very Low",
 IF(AK922&lt;=0.4,"Low",
 IF(AK922&lt;=0.6,"Medium",
 IF(AK922&lt;=0.8,"High","Critical")))))</f>
        <v>Very Low</v>
      </c>
      <c r="AM922" t="str">
        <f>IF(MAX(X922:AA922)&gt;0.9,"CRITICAL ALERT",
 IF(AK922&gt;0.8,"CRITICAL ALERT",
 IF(AK922&gt;0.6,"ALERT",
 IF(AK922&gt;=0.4,"REVIEW","NO ACTION"))))</f>
        <v>NO ACTION</v>
      </c>
      <c r="AN922" t="str">
        <f>IF(AM922="NO ACTION","",
 IF(_xlfn.TEXTJOIN(", ", TRUE,
  IF(X922&gt;0.7,"Login anomaly",""),
  IF(Y922&gt;0.7,"File anomaly",""),
  IF(Z922&gt;0.7,"Network anomaly",""),
  IF(AA922&gt;0.7,"USB anomaly","")
 )="",
 "General anomaly detected",
 _xlfn.TEXTJOIN(", ", TRUE,
  IF(X922&gt;0.7,"Login anomaly",""),
  IF(Y922&gt;0.7,"File anomaly",""),
  IF(Z922&gt;0.7,"Network anomaly",""),
  IF(AA922&gt;0.7,"USB anomaly","")
 )))</f>
        <v/>
      </c>
    </row>
    <row r="923" spans="1:40" x14ac:dyDescent="0.3">
      <c r="A923" t="s">
        <v>946</v>
      </c>
      <c r="B923">
        <v>0.12892249527410199</v>
      </c>
      <c r="C923">
        <v>0.36953165208440503</v>
      </c>
      <c r="D923">
        <v>0</v>
      </c>
      <c r="E923">
        <v>0</v>
      </c>
      <c r="F923">
        <v>0</v>
      </c>
      <c r="G923">
        <v>0.99364765664453902</v>
      </c>
      <c r="H923">
        <v>8</v>
      </c>
      <c r="I923">
        <v>8</v>
      </c>
      <c r="J923">
        <v>8.32021373026096E-2</v>
      </c>
      <c r="K923">
        <v>1.5497553017944501E-2</v>
      </c>
      <c r="L923">
        <v>4.7442105146168E-2</v>
      </c>
      <c r="M923">
        <v>2.0202020202020202E-3</v>
      </c>
      <c r="N923">
        <v>1.4631160085705501E-2</v>
      </c>
      <c r="O923">
        <v>905</v>
      </c>
      <c r="P923">
        <v>6.8813131313131298E-2</v>
      </c>
      <c r="Q923">
        <v>6.8971562817770601E-2</v>
      </c>
      <c r="R923">
        <v>0</v>
      </c>
      <c r="S923">
        <v>0</v>
      </c>
      <c r="T923" t="s">
        <v>49</v>
      </c>
      <c r="U923">
        <v>4.0330188679245198E-2</v>
      </c>
      <c r="V923">
        <v>0</v>
      </c>
      <c r="W923">
        <v>0</v>
      </c>
      <c r="X923">
        <v>0</v>
      </c>
      <c r="Y923">
        <v>4.4750828059317599E-2</v>
      </c>
      <c r="Z923">
        <v>4.7140342822161001E-2</v>
      </c>
      <c r="AA923">
        <v>0</v>
      </c>
      <c r="AB923">
        <v>2.4640999734401699E-2</v>
      </c>
      <c r="AC923">
        <v>1.8000000636675398E-5</v>
      </c>
      <c r="AD923">
        <v>4.7809998504817486E-3</v>
      </c>
      <c r="AE923">
        <v>1.7059999518096449E-3</v>
      </c>
      <c r="AF923">
        <f>0.16*X923 + 0.28*Y923 + 0.28*Z923 + 0.28*AA923</f>
        <v>2.572952784681401E-2</v>
      </c>
      <c r="AG923">
        <f t="shared" si="42"/>
        <v>5.763959902324132E-3</v>
      </c>
      <c r="AH923">
        <f>IF(T923="IT_Admin", 0.25, IF(AND(T923="HR", AA923&gt;0.6), 0.25, IF(AND(T923="General", Z923&gt;0.7), 0.2, 0.1)))</f>
        <v>0.1</v>
      </c>
      <c r="AI923">
        <f>IF(V923&gt;0.7, 0.1,
 IF(F923&gt;0.5, 0.08,
 IF(E923&gt;0.5, 0.05,
 0)))</f>
        <v>0</v>
      </c>
      <c r="AJ923">
        <f t="shared" si="43"/>
        <v>1.1753630285671095E-2</v>
      </c>
      <c r="AK923">
        <f t="shared" si="44"/>
        <v>1.2928993314238206E-2</v>
      </c>
      <c r="AL923" t="str">
        <f>IF(MAX(X923, Y923, Z923, AA923)&gt;0.9,
 "Critical",
 IF(AK923&lt;=0.2,"Very Low",
 IF(AK923&lt;=0.4,"Low",
 IF(AK923&lt;=0.6,"Medium",
 IF(AK923&lt;=0.8,"High","Critical")))))</f>
        <v>Very Low</v>
      </c>
      <c r="AM923" t="str">
        <f>IF(MAX(X923:AA923)&gt;0.9,"CRITICAL ALERT",
 IF(AK923&gt;0.8,"CRITICAL ALERT",
 IF(AK923&gt;0.6,"ALERT",
 IF(AK923&gt;=0.4,"REVIEW","NO ACTION"))))</f>
        <v>NO ACTION</v>
      </c>
      <c r="AN923" t="str">
        <f>IF(AM923="NO ACTION","",
 IF(_xlfn.TEXTJOIN(", ", TRUE,
  IF(X923&gt;0.7,"Login anomaly",""),
  IF(Y923&gt;0.7,"File anomaly",""),
  IF(Z923&gt;0.7,"Network anomaly",""),
  IF(AA923&gt;0.7,"USB anomaly","")
 )="",
 "General anomaly detected",
 _xlfn.TEXTJOIN(", ", TRUE,
  IF(X923&gt;0.7,"Login anomaly",""),
  IF(Y923&gt;0.7,"File anomaly",""),
  IF(Z923&gt;0.7,"Network anomaly",""),
  IF(AA923&gt;0.7,"USB anomaly","")
 )))</f>
        <v/>
      </c>
    </row>
    <row r="924" spans="1:40" x14ac:dyDescent="0.3">
      <c r="A924" t="s">
        <v>947</v>
      </c>
      <c r="B924">
        <v>0.12892249527410199</v>
      </c>
      <c r="C924">
        <v>0.18476582604220201</v>
      </c>
      <c r="D924">
        <v>0</v>
      </c>
      <c r="E924">
        <v>0</v>
      </c>
      <c r="F924">
        <v>0</v>
      </c>
      <c r="G924">
        <v>0.993664062178922</v>
      </c>
      <c r="H924">
        <v>7</v>
      </c>
      <c r="I924">
        <v>7</v>
      </c>
      <c r="J924">
        <v>5.3480272887743902E-2</v>
      </c>
      <c r="K924">
        <v>5.7096247960848204E-3</v>
      </c>
      <c r="L924">
        <v>2.7149373343205298E-2</v>
      </c>
      <c r="M924">
        <v>0</v>
      </c>
      <c r="N924">
        <v>0</v>
      </c>
      <c r="O924">
        <v>448</v>
      </c>
      <c r="P924">
        <v>4.1771885521885502E-2</v>
      </c>
      <c r="Q924">
        <v>4.1936954311160901E-2</v>
      </c>
      <c r="R924">
        <v>0</v>
      </c>
      <c r="S924">
        <v>0</v>
      </c>
      <c r="T924" t="s">
        <v>49</v>
      </c>
      <c r="U924">
        <v>0.118867924528301</v>
      </c>
      <c r="V924">
        <v>0</v>
      </c>
      <c r="W924">
        <v>0</v>
      </c>
      <c r="X924">
        <v>0</v>
      </c>
      <c r="Y924">
        <v>2.4270741249151399E-2</v>
      </c>
      <c r="Z924">
        <v>2.5063131313131301E-2</v>
      </c>
      <c r="AA924">
        <v>0</v>
      </c>
      <c r="AB924">
        <v>3.665899857878685E-2</v>
      </c>
      <c r="AC924">
        <v>2.6610000059008598E-3</v>
      </c>
      <c r="AD924">
        <v>9.340999647974968E-3</v>
      </c>
      <c r="AE924">
        <v>1.6740000573918219E-3</v>
      </c>
      <c r="AF924">
        <f>0.16*X924 + 0.28*Y924 + 0.28*Z924 + 0.28*AA924</f>
        <v>1.3813484317439157E-2</v>
      </c>
      <c r="AG924">
        <f t="shared" si="42"/>
        <v>9.6947196917608388E-3</v>
      </c>
      <c r="AH924">
        <f>IF(T924="IT_Admin", 0.25, IF(AND(T924="HR", AA924&gt;0.6), 0.25, IF(AND(T924="General", Z924&gt;0.7), 0.2, 0.1)))</f>
        <v>0.1</v>
      </c>
      <c r="AI924">
        <f>IF(V924&gt;0.7, 0.1,
 IF(F924&gt;0.5, 0.08,
 IF(E924&gt;0.5, 0.05,
 0)))</f>
        <v>0</v>
      </c>
      <c r="AJ924">
        <f t="shared" si="43"/>
        <v>1.0930349079464333E-2</v>
      </c>
      <c r="AK924">
        <f t="shared" si="44"/>
        <v>1.2023383987410768E-2</v>
      </c>
      <c r="AL924" t="str">
        <f>IF(MAX(X924, Y924, Z924, AA924)&gt;0.9,
 "Critical",
 IF(AK924&lt;=0.2,"Very Low",
 IF(AK924&lt;=0.4,"Low",
 IF(AK924&lt;=0.6,"Medium",
 IF(AK924&lt;=0.8,"High","Critical")))))</f>
        <v>Very Low</v>
      </c>
      <c r="AM924" t="str">
        <f>IF(MAX(X924:AA924)&gt;0.9,"CRITICAL ALERT",
 IF(AK924&gt;0.8,"CRITICAL ALERT",
 IF(AK924&gt;0.6,"ALERT",
 IF(AK924&gt;=0.4,"REVIEW","NO ACTION"))))</f>
        <v>NO ACTION</v>
      </c>
      <c r="AN924" t="str">
        <f>IF(AM924="NO ACTION","",
 IF(_xlfn.TEXTJOIN(", ", TRUE,
  IF(X924&gt;0.7,"Login anomaly",""),
  IF(Y924&gt;0.7,"File anomaly",""),
  IF(Z924&gt;0.7,"Network anomaly",""),
  IF(AA924&gt;0.7,"USB anomaly","")
 )="",
 "General anomaly detected",
 _xlfn.TEXTJOIN(", ", TRUE,
  IF(X924&gt;0.7,"Login anomaly",""),
  IF(Y924&gt;0.7,"File anomaly",""),
  IF(Z924&gt;0.7,"Network anomaly",""),
  IF(AA924&gt;0.7,"USB anomaly","")
 )))</f>
        <v/>
      </c>
    </row>
    <row r="925" spans="1:40" x14ac:dyDescent="0.3">
      <c r="A925" t="s">
        <v>948</v>
      </c>
      <c r="B925">
        <v>0.12892249527410199</v>
      </c>
      <c r="C925">
        <v>0.18476582604220201</v>
      </c>
      <c r="D925">
        <v>0</v>
      </c>
      <c r="E925">
        <v>0</v>
      </c>
      <c r="F925">
        <v>0</v>
      </c>
      <c r="G925">
        <v>0.99366467772099398</v>
      </c>
      <c r="H925">
        <v>7</v>
      </c>
      <c r="I925">
        <v>7</v>
      </c>
      <c r="J925">
        <v>9.1407852678784401E-2</v>
      </c>
      <c r="K925">
        <v>1.38662316476345E-2</v>
      </c>
      <c r="L925">
        <v>3.8647527666813203E-2</v>
      </c>
      <c r="M925">
        <v>2.0202020202020202E-3</v>
      </c>
      <c r="N925">
        <v>1.3321134299791201E-2</v>
      </c>
      <c r="O925">
        <v>932</v>
      </c>
      <c r="P925">
        <v>7.41442199775533E-2</v>
      </c>
      <c r="Q925">
        <v>7.4301342964339503E-2</v>
      </c>
      <c r="R925">
        <v>0</v>
      </c>
      <c r="S925">
        <v>0</v>
      </c>
      <c r="T925" t="s">
        <v>49</v>
      </c>
      <c r="U925">
        <v>3.6084905660377302E-2</v>
      </c>
      <c r="V925">
        <v>0</v>
      </c>
      <c r="W925">
        <v>0</v>
      </c>
      <c r="X925">
        <v>0</v>
      </c>
      <c r="Y925">
        <v>4.16016746591008E-2</v>
      </c>
      <c r="Z925">
        <v>4.9814985706448399E-2</v>
      </c>
      <c r="AA925">
        <v>0</v>
      </c>
      <c r="AB925">
        <v>3.663799911737442E-2</v>
      </c>
      <c r="AC925">
        <v>2.5999999706982632E-5</v>
      </c>
      <c r="AD925">
        <v>4.1669998317956916E-3</v>
      </c>
      <c r="AE925">
        <v>1.6029999824240799E-3</v>
      </c>
      <c r="AF925">
        <f>0.16*X925 + 0.28*Y925 + 0.28*Z925 + 0.28*AA925</f>
        <v>2.559666490235378E-2</v>
      </c>
      <c r="AG925">
        <f t="shared" si="42"/>
        <v>7.4849598066793997E-3</v>
      </c>
      <c r="AH925">
        <f>IF(T925="IT_Admin", 0.25, IF(AND(T925="HR", AA925&gt;0.6), 0.25, IF(AND(T925="General", Z925&gt;0.7), 0.2, 0.1)))</f>
        <v>0.1</v>
      </c>
      <c r="AI925">
        <f>IF(V925&gt;0.7, 0.1,
 IF(F925&gt;0.5, 0.08,
 IF(E925&gt;0.5, 0.05,
 0)))</f>
        <v>0</v>
      </c>
      <c r="AJ925">
        <f t="shared" si="43"/>
        <v>1.2918471335381713E-2</v>
      </c>
      <c r="AK925">
        <f t="shared" si="44"/>
        <v>1.4210318468919885E-2</v>
      </c>
      <c r="AL925" t="str">
        <f>IF(MAX(X925, Y925, Z925, AA925)&gt;0.9,
 "Critical",
 IF(AK925&lt;=0.2,"Very Low",
 IF(AK925&lt;=0.4,"Low",
 IF(AK925&lt;=0.6,"Medium",
 IF(AK925&lt;=0.8,"High","Critical")))))</f>
        <v>Very Low</v>
      </c>
      <c r="AM925" t="str">
        <f>IF(MAX(X925:AA925)&gt;0.9,"CRITICAL ALERT",
 IF(AK925&gt;0.8,"CRITICAL ALERT",
 IF(AK925&gt;0.6,"ALERT",
 IF(AK925&gt;=0.4,"REVIEW","NO ACTION"))))</f>
        <v>NO ACTION</v>
      </c>
      <c r="AN925" t="str">
        <f>IF(AM925="NO ACTION","",
 IF(_xlfn.TEXTJOIN(", ", TRUE,
  IF(X925&gt;0.7,"Login anomaly",""),
  IF(Y925&gt;0.7,"File anomaly",""),
  IF(Z925&gt;0.7,"Network anomaly",""),
  IF(AA925&gt;0.7,"USB anomaly","")
 )="",
 "General anomaly detected",
 _xlfn.TEXTJOIN(", ", TRUE,
  IF(X925&gt;0.7,"Login anomaly",""),
  IF(Y925&gt;0.7,"File anomaly",""),
  IF(Z925&gt;0.7,"Network anomaly",""),
  IF(AA925&gt;0.7,"USB anomaly","")
 )))</f>
        <v/>
      </c>
    </row>
    <row r="926" spans="1:40" x14ac:dyDescent="0.3">
      <c r="A926" t="s">
        <v>949</v>
      </c>
      <c r="B926">
        <v>0.12892249527410199</v>
      </c>
      <c r="C926">
        <v>0.18476582604220201</v>
      </c>
      <c r="D926">
        <v>0</v>
      </c>
      <c r="E926">
        <v>0</v>
      </c>
      <c r="F926">
        <v>0</v>
      </c>
      <c r="G926">
        <v>0.99364773693263497</v>
      </c>
      <c r="H926">
        <v>7</v>
      </c>
      <c r="I926">
        <v>7</v>
      </c>
      <c r="J926">
        <v>8.1389246696245393E-2</v>
      </c>
      <c r="K926">
        <v>1.1419249592169599E-2</v>
      </c>
      <c r="L926">
        <v>3.5733716404966899E-2</v>
      </c>
      <c r="M926">
        <v>2.3088023088023001E-3</v>
      </c>
      <c r="N926">
        <v>1.70926936561068E-2</v>
      </c>
      <c r="O926">
        <v>865</v>
      </c>
      <c r="P926">
        <v>6.5867003367003296E-2</v>
      </c>
      <c r="Q926">
        <v>6.6026157999929794E-2</v>
      </c>
      <c r="R926">
        <v>0</v>
      </c>
      <c r="S926">
        <v>0</v>
      </c>
      <c r="T926" t="s">
        <v>49</v>
      </c>
      <c r="U926">
        <v>2.6415094339622601E-2</v>
      </c>
      <c r="V926">
        <v>0</v>
      </c>
      <c r="W926">
        <v>0</v>
      </c>
      <c r="X926">
        <v>0</v>
      </c>
      <c r="Y926">
        <v>3.9272515638564598E-2</v>
      </c>
      <c r="Z926">
        <v>4.6357279482644703E-2</v>
      </c>
      <c r="AA926">
        <v>0</v>
      </c>
      <c r="AB926">
        <v>3.6646001040935523E-2</v>
      </c>
      <c r="AC926">
        <v>7.9999997979030013E-5</v>
      </c>
      <c r="AD926">
        <v>5.0929998978972426E-3</v>
      </c>
      <c r="AE926">
        <v>1.633999985642731E-3</v>
      </c>
      <c r="AF926">
        <f>0.16*X926 + 0.28*Y926 + 0.28*Z926 + 0.28*AA926</f>
        <v>2.3976342633938608E-2</v>
      </c>
      <c r="AG926">
        <f t="shared" si="42"/>
        <v>7.7693201333750052E-3</v>
      </c>
      <c r="AH926">
        <f>IF(T926="IT_Admin", 0.25, IF(AND(T926="HR", AA926&gt;0.6), 0.25, IF(AND(T926="General", Z926&gt;0.7), 0.2, 0.1)))</f>
        <v>0.1</v>
      </c>
      <c r="AI926">
        <f>IF(V926&gt;0.7, 0.1,
 IF(F926&gt;0.5, 0.08,
 IF(E926&gt;0.5, 0.05,
 0)))</f>
        <v>0</v>
      </c>
      <c r="AJ926">
        <f t="shared" si="43"/>
        <v>1.2631426883544086E-2</v>
      </c>
      <c r="AK926">
        <f t="shared" si="44"/>
        <v>1.3894569571898496E-2</v>
      </c>
      <c r="AL926" t="str">
        <f>IF(MAX(X926, Y926, Z926, AA926)&gt;0.9,
 "Critical",
 IF(AK926&lt;=0.2,"Very Low",
 IF(AK926&lt;=0.4,"Low",
 IF(AK926&lt;=0.6,"Medium",
 IF(AK926&lt;=0.8,"High","Critical")))))</f>
        <v>Very Low</v>
      </c>
      <c r="AM926" t="str">
        <f>IF(MAX(X926:AA926)&gt;0.9,"CRITICAL ALERT",
 IF(AK926&gt;0.8,"CRITICAL ALERT",
 IF(AK926&gt;0.6,"ALERT",
 IF(AK926&gt;=0.4,"REVIEW","NO ACTION"))))</f>
        <v>NO ACTION</v>
      </c>
      <c r="AN926" t="str">
        <f>IF(AM926="NO ACTION","",
 IF(_xlfn.TEXTJOIN(", ", TRUE,
  IF(X926&gt;0.7,"Login anomaly",""),
  IF(Y926&gt;0.7,"File anomaly",""),
  IF(Z926&gt;0.7,"Network anomaly",""),
  IF(AA926&gt;0.7,"USB anomaly","")
 )="",
 "General anomaly detected",
 _xlfn.TEXTJOIN(", ", TRUE,
  IF(X926&gt;0.7,"Login anomaly",""),
  IF(Y926&gt;0.7,"File anomaly",""),
  IF(Z926&gt;0.7,"Network anomaly",""),
  IF(AA926&gt;0.7,"USB anomaly","")
 )))</f>
        <v/>
      </c>
    </row>
    <row r="927" spans="1:40" x14ac:dyDescent="0.3">
      <c r="A927" t="s">
        <v>950</v>
      </c>
      <c r="B927">
        <v>0.234026465028355</v>
      </c>
      <c r="C927">
        <v>0.76931388884987695</v>
      </c>
      <c r="D927">
        <v>0.36888210024044699</v>
      </c>
      <c r="E927">
        <v>0</v>
      </c>
      <c r="F927">
        <v>0</v>
      </c>
      <c r="G927">
        <v>0.48312984639578499</v>
      </c>
      <c r="H927">
        <v>8</v>
      </c>
      <c r="I927">
        <v>14</v>
      </c>
      <c r="J927">
        <v>7.9671771384953002E-2</v>
      </c>
      <c r="K927">
        <v>1.4681892332789499E-2</v>
      </c>
      <c r="L927">
        <v>4.6930788820476403E-2</v>
      </c>
      <c r="M927">
        <v>1.7316017316017301E-3</v>
      </c>
      <c r="N927">
        <v>1.3095044259223299E-2</v>
      </c>
      <c r="O927">
        <v>786</v>
      </c>
      <c r="P927">
        <v>6.5726711560044906E-2</v>
      </c>
      <c r="Q927">
        <v>6.5885900627651706E-2</v>
      </c>
      <c r="R927">
        <v>0</v>
      </c>
      <c r="S927">
        <v>0</v>
      </c>
      <c r="T927" t="s">
        <v>49</v>
      </c>
      <c r="U927">
        <v>4.3665768194069997E-2</v>
      </c>
      <c r="V927">
        <v>0</v>
      </c>
      <c r="W927">
        <v>0</v>
      </c>
      <c r="X927">
        <v>0.11066463007213399</v>
      </c>
      <c r="Y927">
        <v>4.3328261964995798E-2</v>
      </c>
      <c r="Z927">
        <v>4.46740446397162E-2</v>
      </c>
      <c r="AA927">
        <v>0</v>
      </c>
      <c r="AB927">
        <v>3.7310998886823647E-2</v>
      </c>
      <c r="AC927">
        <v>4.7000001359265298E-5</v>
      </c>
      <c r="AD927">
        <v>4.9620000645518303E-3</v>
      </c>
      <c r="AE927">
        <v>6.4730001613497734E-3</v>
      </c>
      <c r="AF927">
        <f>0.16*X927 + 0.28*Y927 + 0.28*Z927 + 0.28*AA927</f>
        <v>4.23469866608608E-2</v>
      </c>
      <c r="AG927">
        <f t="shared" si="42"/>
        <v>9.1847198855248263E-3</v>
      </c>
      <c r="AH927">
        <f>IF(T927="IT_Admin", 0.25, IF(AND(T927="HR", AA927&gt;0.6), 0.25, IF(AND(T927="General", Z927&gt;0.7), 0.2, 0.1)))</f>
        <v>0.1</v>
      </c>
      <c r="AI927">
        <f>IF(V927&gt;0.7, 0.1,
 IF(F927&gt;0.5, 0.08,
 IF(E927&gt;0.5, 0.05,
 0)))</f>
        <v>0</v>
      </c>
      <c r="AJ927">
        <f t="shared" si="43"/>
        <v>1.913339991812562E-2</v>
      </c>
      <c r="AK927">
        <f t="shared" si="44"/>
        <v>2.1046739909938182E-2</v>
      </c>
      <c r="AL927" t="str">
        <f>IF(MAX(X927, Y927, Z927, AA927)&gt;0.9,
 "Critical",
 IF(AK927&lt;=0.2,"Very Low",
 IF(AK927&lt;=0.4,"Low",
 IF(AK927&lt;=0.6,"Medium",
 IF(AK927&lt;=0.8,"High","Critical")))))</f>
        <v>Very Low</v>
      </c>
      <c r="AM927" t="str">
        <f>IF(MAX(X927:AA927)&gt;0.9,"CRITICAL ALERT",
 IF(AK927&gt;0.8,"CRITICAL ALERT",
 IF(AK927&gt;0.6,"ALERT",
 IF(AK927&gt;=0.4,"REVIEW","NO ACTION"))))</f>
        <v>NO ACTION</v>
      </c>
      <c r="AN927" t="str">
        <f>IF(AM927="NO ACTION","",
 IF(_xlfn.TEXTJOIN(", ", TRUE,
  IF(X927&gt;0.7,"Login anomaly",""),
  IF(Y927&gt;0.7,"File anomaly",""),
  IF(Z927&gt;0.7,"Network anomaly",""),
  IF(AA927&gt;0.7,"USB anomaly","")
 )="",
 "General anomaly detected",
 _xlfn.TEXTJOIN(", ", TRUE,
  IF(X927&gt;0.7,"Login anomaly",""),
  IF(Y927&gt;0.7,"File anomaly",""),
  IF(Z927&gt;0.7,"Network anomaly",""),
  IF(AA927&gt;0.7,"USB anomaly","")
 )))</f>
        <v/>
      </c>
    </row>
    <row r="928" spans="1:40" x14ac:dyDescent="0.3">
      <c r="A928" t="s">
        <v>951</v>
      </c>
      <c r="B928">
        <v>0.12892249527410199</v>
      </c>
      <c r="C928">
        <v>0.55429747812660801</v>
      </c>
      <c r="D928">
        <v>0</v>
      </c>
      <c r="E928">
        <v>0</v>
      </c>
      <c r="F928">
        <v>0</v>
      </c>
      <c r="G928">
        <v>0.99367412495368101</v>
      </c>
      <c r="H928">
        <v>9</v>
      </c>
      <c r="I928">
        <v>9</v>
      </c>
      <c r="J928">
        <v>8.2057153761748006E-2</v>
      </c>
      <c r="K928">
        <v>9.7879282218597003E-3</v>
      </c>
      <c r="L928">
        <v>3.0380317400694901E-2</v>
      </c>
      <c r="M928">
        <v>8.6580086580086504E-4</v>
      </c>
      <c r="N928">
        <v>6.3577388794779999E-3</v>
      </c>
      <c r="O928">
        <v>569</v>
      </c>
      <c r="P928">
        <v>6.4955106621773298E-2</v>
      </c>
      <c r="Q928">
        <v>6.5114485080122006E-2</v>
      </c>
      <c r="R928">
        <v>0</v>
      </c>
      <c r="S928">
        <v>0</v>
      </c>
      <c r="T928" t="s">
        <v>49</v>
      </c>
      <c r="U928">
        <v>5.0943396226415097E-2</v>
      </c>
      <c r="V928">
        <v>0</v>
      </c>
      <c r="W928">
        <v>0</v>
      </c>
      <c r="X928">
        <v>0</v>
      </c>
      <c r="Y928">
        <v>3.3508911116540398E-2</v>
      </c>
      <c r="Z928">
        <v>4.1516159524855101E-2</v>
      </c>
      <c r="AA928">
        <v>0</v>
      </c>
      <c r="AB928">
        <v>2.900099940598011E-2</v>
      </c>
      <c r="AC928">
        <v>2.2899999748915431E-4</v>
      </c>
      <c r="AD928">
        <v>5.5019999854266644E-3</v>
      </c>
      <c r="AE928">
        <v>2.3650000803172588E-3</v>
      </c>
      <c r="AF928">
        <f>0.16*X928 + 0.28*Y928 + 0.28*Z928 + 0.28*AA928</f>
        <v>2.1007019779590741E-2</v>
      </c>
      <c r="AG928">
        <f t="shared" si="42"/>
        <v>6.9070399226620798E-3</v>
      </c>
      <c r="AH928">
        <f>IF(T928="IT_Admin", 0.25, IF(AND(T928="HR", AA928&gt;0.6), 0.25, IF(AND(T928="General", Z928&gt;0.7), 0.2, 0.1)))</f>
        <v>0.1</v>
      </c>
      <c r="AI928">
        <f>IF(V928&gt;0.7, 0.1,
 IF(F928&gt;0.5, 0.08,
 IF(E928&gt;0.5, 0.05,
 0)))</f>
        <v>0</v>
      </c>
      <c r="AJ928">
        <f t="shared" si="43"/>
        <v>1.1137033879740677E-2</v>
      </c>
      <c r="AK928">
        <f t="shared" si="44"/>
        <v>1.2250737267714746E-2</v>
      </c>
      <c r="AL928" t="str">
        <f>IF(MAX(X928, Y928, Z928, AA928)&gt;0.9,
 "Critical",
 IF(AK928&lt;=0.2,"Very Low",
 IF(AK928&lt;=0.4,"Low",
 IF(AK928&lt;=0.6,"Medium",
 IF(AK928&lt;=0.8,"High","Critical")))))</f>
        <v>Very Low</v>
      </c>
      <c r="AM928" t="str">
        <f>IF(MAX(X928:AA928)&gt;0.9,"CRITICAL ALERT",
 IF(AK928&gt;0.8,"CRITICAL ALERT",
 IF(AK928&gt;0.6,"ALERT",
 IF(AK928&gt;=0.4,"REVIEW","NO ACTION"))))</f>
        <v>NO ACTION</v>
      </c>
      <c r="AN928" t="str">
        <f>IF(AM928="NO ACTION","",
 IF(_xlfn.TEXTJOIN(", ", TRUE,
  IF(X928&gt;0.7,"Login anomaly",""),
  IF(Y928&gt;0.7,"File anomaly",""),
  IF(Z928&gt;0.7,"Network anomaly",""),
  IF(AA928&gt;0.7,"USB anomaly","")
 )="",
 "General anomaly detected",
 _xlfn.TEXTJOIN(", ", TRUE,
  IF(X928&gt;0.7,"Login anomaly",""),
  IF(Y928&gt;0.7,"File anomaly",""),
  IF(Z928&gt;0.7,"Network anomaly",""),
  IF(AA928&gt;0.7,"USB anomaly","")
 )))</f>
        <v/>
      </c>
    </row>
    <row r="929" spans="1:40" x14ac:dyDescent="0.3">
      <c r="A929" t="s">
        <v>952</v>
      </c>
      <c r="B929">
        <v>1.51228733459357E-2</v>
      </c>
      <c r="C929">
        <v>0.18476582604220201</v>
      </c>
      <c r="D929">
        <v>0</v>
      </c>
      <c r="E929">
        <v>0</v>
      </c>
      <c r="F929">
        <v>0</v>
      </c>
      <c r="G929">
        <v>0.94272348626028601</v>
      </c>
      <c r="H929">
        <v>7</v>
      </c>
      <c r="I929">
        <v>7</v>
      </c>
      <c r="J929">
        <v>1.1926911883974999E-3</v>
      </c>
      <c r="K929">
        <v>8.1566068515497503E-4</v>
      </c>
      <c r="L929">
        <v>0.14557235421166301</v>
      </c>
      <c r="M929">
        <v>0</v>
      </c>
      <c r="N929">
        <v>0</v>
      </c>
      <c r="O929">
        <v>25</v>
      </c>
      <c r="P929">
        <v>1.2275533108866399E-3</v>
      </c>
      <c r="Q929">
        <v>1.4025737227812999E-3</v>
      </c>
      <c r="R929">
        <v>0</v>
      </c>
      <c r="S929">
        <v>0</v>
      </c>
      <c r="T929" t="s">
        <v>49</v>
      </c>
      <c r="U929">
        <v>1.6981132075471601E-2</v>
      </c>
      <c r="V929">
        <v>0</v>
      </c>
      <c r="W929">
        <v>0</v>
      </c>
      <c r="X929">
        <v>0</v>
      </c>
      <c r="Y929">
        <v>7.3024715343511001E-2</v>
      </c>
      <c r="Z929">
        <v>7.36531986531986E-4</v>
      </c>
      <c r="AA929">
        <v>0</v>
      </c>
      <c r="AB929">
        <v>5.6232001632452011E-2</v>
      </c>
      <c r="AC929">
        <v>3.1890000682324171E-3</v>
      </c>
      <c r="AD929">
        <v>1.782999932765961E-2</v>
      </c>
      <c r="AE929">
        <v>2.2110000718384981E-3</v>
      </c>
      <c r="AF929">
        <f>0.16*X929 + 0.28*Y929 + 0.28*Z929 + 0.28*AA929</f>
        <v>2.0653149252412038E-2</v>
      </c>
      <c r="AG929">
        <f t="shared" si="42"/>
        <v>1.5501520112156868E-2</v>
      </c>
      <c r="AH929">
        <f>IF(T929="IT_Admin", 0.25, IF(AND(T929="HR", AA929&gt;0.6), 0.25, IF(AND(T929="General", Z929&gt;0.7), 0.2, 0.1)))</f>
        <v>0.1</v>
      </c>
      <c r="AI929">
        <f>IF(V929&gt;0.7, 0.1,
 IF(F929&gt;0.5, 0.08,
 IF(E929&gt;0.5, 0.05,
 0)))</f>
        <v>0</v>
      </c>
      <c r="AJ929">
        <f t="shared" si="43"/>
        <v>1.7047008854233419E-2</v>
      </c>
      <c r="AK929">
        <f t="shared" si="44"/>
        <v>1.8751709739656761E-2</v>
      </c>
      <c r="AL929" t="str">
        <f>IF(MAX(X929, Y929, Z929, AA929)&gt;0.9,
 "Critical",
 IF(AK929&lt;=0.2,"Very Low",
 IF(AK929&lt;=0.4,"Low",
 IF(AK929&lt;=0.6,"Medium",
 IF(AK929&lt;=0.8,"High","Critical")))))</f>
        <v>Very Low</v>
      </c>
      <c r="AM929" t="str">
        <f>IF(MAX(X929:AA929)&gt;0.9,"CRITICAL ALERT",
 IF(AK929&gt;0.8,"CRITICAL ALERT",
 IF(AK929&gt;0.6,"ALERT",
 IF(AK929&gt;=0.4,"REVIEW","NO ACTION"))))</f>
        <v>NO ACTION</v>
      </c>
      <c r="AN929" t="str">
        <f>IF(AM929="NO ACTION","",
 IF(_xlfn.TEXTJOIN(", ", TRUE,
  IF(X929&gt;0.7,"Login anomaly",""),
  IF(Y929&gt;0.7,"File anomaly",""),
  IF(Z929&gt;0.7,"Network anomaly",""),
  IF(AA929&gt;0.7,"USB anomaly","")
 )="",
 "General anomaly detected",
 _xlfn.TEXTJOIN(", ", TRUE,
  IF(X929&gt;0.7,"Login anomaly",""),
  IF(Y929&gt;0.7,"File anomaly",""),
  IF(Z929&gt;0.7,"Network anomaly",""),
  IF(AA929&gt;0.7,"USB anomaly","")
 )))</f>
        <v/>
      </c>
    </row>
    <row r="930" spans="1:40" x14ac:dyDescent="0.3">
      <c r="A930" t="s">
        <v>953</v>
      </c>
      <c r="B930">
        <v>0.12892249527410199</v>
      </c>
      <c r="C930">
        <v>0.36953165208440503</v>
      </c>
      <c r="D930">
        <v>0</v>
      </c>
      <c r="E930">
        <v>0</v>
      </c>
      <c r="F930">
        <v>0</v>
      </c>
      <c r="G930">
        <v>0.99367112753141296</v>
      </c>
      <c r="H930">
        <v>8</v>
      </c>
      <c r="I930">
        <v>8</v>
      </c>
      <c r="J930">
        <v>8.0387386097991495E-2</v>
      </c>
      <c r="K930">
        <v>5.7096247960848204E-3</v>
      </c>
      <c r="L930">
        <v>1.8088872416833799E-2</v>
      </c>
      <c r="M930">
        <v>5.7720057720057703E-3</v>
      </c>
      <c r="N930">
        <v>4.3262720185797097E-2</v>
      </c>
      <c r="O930">
        <v>830</v>
      </c>
      <c r="P930">
        <v>6.4358866442199694E-2</v>
      </c>
      <c r="Q930">
        <v>6.4518391247939899E-2</v>
      </c>
      <c r="R930">
        <v>0</v>
      </c>
      <c r="S930">
        <v>0</v>
      </c>
      <c r="T930" t="s">
        <v>49</v>
      </c>
      <c r="U930">
        <v>5.6603773584905596E-3</v>
      </c>
      <c r="V930">
        <v>0</v>
      </c>
      <c r="W930">
        <v>0</v>
      </c>
      <c r="X930">
        <v>0</v>
      </c>
      <c r="Y930">
        <v>3.81007294837543E-2</v>
      </c>
      <c r="Z930">
        <v>5.5920407939638699E-2</v>
      </c>
      <c r="AA930">
        <v>0</v>
      </c>
      <c r="AB930">
        <v>2.4788999930024151E-2</v>
      </c>
      <c r="AC930">
        <v>6.7099998705089092E-4</v>
      </c>
      <c r="AD930">
        <v>4.6250000596046448E-3</v>
      </c>
      <c r="AE930">
        <v>2.0459999796003099E-3</v>
      </c>
      <c r="AF930">
        <f>0.16*X930 + 0.28*Y930 + 0.28*Z930 + 0.28*AA930</f>
        <v>2.6325918478550044E-2</v>
      </c>
      <c r="AG930">
        <f t="shared" si="42"/>
        <v>6.0219999961555011E-3</v>
      </c>
      <c r="AH930">
        <f>IF(T930="IT_Admin", 0.25, IF(AND(T930="HR", AA930&gt;0.6), 0.25, IF(AND(T930="General", Z930&gt;0.7), 0.2, 0.1)))</f>
        <v>0.1</v>
      </c>
      <c r="AI930">
        <f>IF(V930&gt;0.7, 0.1,
 IF(F930&gt;0.5, 0.08,
 IF(E930&gt;0.5, 0.05,
 0)))</f>
        <v>0</v>
      </c>
      <c r="AJ930">
        <f t="shared" si="43"/>
        <v>1.2113175540873863E-2</v>
      </c>
      <c r="AK930">
        <f t="shared" si="44"/>
        <v>1.332449309496125E-2</v>
      </c>
      <c r="AL930" t="str">
        <f>IF(MAX(X930, Y930, Z930, AA930)&gt;0.9,
 "Critical",
 IF(AK930&lt;=0.2,"Very Low",
 IF(AK930&lt;=0.4,"Low",
 IF(AK930&lt;=0.6,"Medium",
 IF(AK930&lt;=0.8,"High","Critical")))))</f>
        <v>Very Low</v>
      </c>
      <c r="AM930" t="str">
        <f>IF(MAX(X930:AA930)&gt;0.9,"CRITICAL ALERT",
 IF(AK930&gt;0.8,"CRITICAL ALERT",
 IF(AK930&gt;0.6,"ALERT",
 IF(AK930&gt;=0.4,"REVIEW","NO ACTION"))))</f>
        <v>NO ACTION</v>
      </c>
      <c r="AN930" t="str">
        <f>IF(AM930="NO ACTION","",
 IF(_xlfn.TEXTJOIN(", ", TRUE,
  IF(X930&gt;0.7,"Login anomaly",""),
  IF(Y930&gt;0.7,"File anomaly",""),
  IF(Z930&gt;0.7,"Network anomaly",""),
  IF(AA930&gt;0.7,"USB anomaly","")
 )="",
 "General anomaly detected",
 _xlfn.TEXTJOIN(", ", TRUE,
  IF(X930&gt;0.7,"Login anomaly",""),
  IF(Y930&gt;0.7,"File anomaly",""),
  IF(Z930&gt;0.7,"Network anomaly",""),
  IF(AA930&gt;0.7,"USB anomaly","")
 )))</f>
        <v/>
      </c>
    </row>
    <row r="931" spans="1:40" x14ac:dyDescent="0.3">
      <c r="A931" t="s">
        <v>954</v>
      </c>
      <c r="B931">
        <v>0.23856332703213601</v>
      </c>
      <c r="C931">
        <v>0.93197628474515803</v>
      </c>
      <c r="D931">
        <v>0.34700322588100002</v>
      </c>
      <c r="E931">
        <v>0</v>
      </c>
      <c r="F931">
        <v>0</v>
      </c>
      <c r="G931">
        <v>0.47149671427942003</v>
      </c>
      <c r="H931">
        <v>9</v>
      </c>
      <c r="I931">
        <v>16</v>
      </c>
      <c r="J931">
        <v>6.7076952435475401E-2</v>
      </c>
      <c r="K931">
        <v>1.2234910277324601E-2</v>
      </c>
      <c r="L931">
        <v>4.6426335503365203E-2</v>
      </c>
      <c r="M931">
        <v>1.1544011544011501E-3</v>
      </c>
      <c r="N931">
        <v>1.0363429782281599E-2</v>
      </c>
      <c r="O931">
        <v>436</v>
      </c>
      <c r="P931">
        <v>5.5134680134680099E-2</v>
      </c>
      <c r="Q931">
        <v>5.5296469020652897E-2</v>
      </c>
      <c r="R931">
        <v>0</v>
      </c>
      <c r="S931">
        <v>0</v>
      </c>
      <c r="T931" t="s">
        <v>49</v>
      </c>
      <c r="U931">
        <v>5.0943396226415097E-2</v>
      </c>
      <c r="V931">
        <v>0</v>
      </c>
      <c r="W931">
        <v>0</v>
      </c>
      <c r="X931">
        <v>0.1041009677643</v>
      </c>
      <c r="Y931">
        <v>3.9737587173462201E-2</v>
      </c>
      <c r="Z931">
        <v>3.7226179993720701E-2</v>
      </c>
      <c r="AA931">
        <v>0</v>
      </c>
      <c r="AB931">
        <v>7.131899893283844E-2</v>
      </c>
      <c r="AC931">
        <v>1.270000066142529E-4</v>
      </c>
      <c r="AD931">
        <v>6.4730001613497734E-3</v>
      </c>
      <c r="AE931">
        <v>7.0870001800358304E-3</v>
      </c>
      <c r="AF931">
        <f>0.16*X931 + 0.28*Y931 + 0.28*Z931 + 0.28*AA931</f>
        <v>3.8206009649099211E-2</v>
      </c>
      <c r="AG931">
        <f t="shared" si="42"/>
        <v>1.5243399926694112E-2</v>
      </c>
      <c r="AH931">
        <f>IF(T931="IT_Admin", 0.25, IF(AND(T931="HR", AA931&gt;0.6), 0.25, IF(AND(T931="General", Z931&gt;0.7), 0.2, 0.1)))</f>
        <v>0.1</v>
      </c>
      <c r="AI931">
        <f>IF(V931&gt;0.7, 0.1,
 IF(F931&gt;0.5, 0.08,
 IF(E931&gt;0.5, 0.05,
 0)))</f>
        <v>0</v>
      </c>
      <c r="AJ931">
        <f t="shared" si="43"/>
        <v>2.213218284341564E-2</v>
      </c>
      <c r="AK931">
        <f t="shared" si="44"/>
        <v>2.4345401127757207E-2</v>
      </c>
      <c r="AL931" t="str">
        <f>IF(MAX(X931, Y931, Z931, AA931)&gt;0.9,
 "Critical",
 IF(AK931&lt;=0.2,"Very Low",
 IF(AK931&lt;=0.4,"Low",
 IF(AK931&lt;=0.6,"Medium",
 IF(AK931&lt;=0.8,"High","Critical")))))</f>
        <v>Very Low</v>
      </c>
      <c r="AM931" t="str">
        <f>IF(MAX(X931:AA931)&gt;0.9,"CRITICAL ALERT",
 IF(AK931&gt;0.8,"CRITICAL ALERT",
 IF(AK931&gt;0.6,"ALERT",
 IF(AK931&gt;=0.4,"REVIEW","NO ACTION"))))</f>
        <v>NO ACTION</v>
      </c>
      <c r="AN931" t="str">
        <f>IF(AM931="NO ACTION","",
 IF(_xlfn.TEXTJOIN(", ", TRUE,
  IF(X931&gt;0.7,"Login anomaly",""),
  IF(Y931&gt;0.7,"File anomaly",""),
  IF(Z931&gt;0.7,"Network anomaly",""),
  IF(AA931&gt;0.7,"USB anomaly","")
 )="",
 "General anomaly detected",
 _xlfn.TEXTJOIN(", ", TRUE,
  IF(X931&gt;0.7,"Login anomaly",""),
  IF(Y931&gt;0.7,"File anomaly",""),
  IF(Z931&gt;0.7,"Network anomaly",""),
  IF(AA931&gt;0.7,"USB anomaly","")
 )))</f>
        <v/>
      </c>
    </row>
    <row r="932" spans="1:40" x14ac:dyDescent="0.3">
      <c r="A932" t="s">
        <v>955</v>
      </c>
      <c r="B932">
        <v>0.237807183364839</v>
      </c>
      <c r="C932">
        <v>0.66696668642406398</v>
      </c>
      <c r="D932">
        <v>0.36308469000962701</v>
      </c>
      <c r="E932">
        <v>0</v>
      </c>
      <c r="F932">
        <v>0</v>
      </c>
      <c r="G932">
        <v>0.473378066339535</v>
      </c>
      <c r="H932">
        <v>7</v>
      </c>
      <c r="I932">
        <v>14</v>
      </c>
      <c r="J932">
        <v>6.5741138304470204E-2</v>
      </c>
      <c r="K932">
        <v>1.6313213703099499E-2</v>
      </c>
      <c r="L932">
        <v>6.3155034365146606E-2</v>
      </c>
      <c r="M932">
        <v>2.59740259740259E-3</v>
      </c>
      <c r="N932">
        <v>2.3789803833187701E-2</v>
      </c>
      <c r="O932">
        <v>633</v>
      </c>
      <c r="P932">
        <v>5.66077441077441E-2</v>
      </c>
      <c r="Q932">
        <v>5.6769171429573197E-2</v>
      </c>
      <c r="R932">
        <v>0</v>
      </c>
      <c r="S932">
        <v>0</v>
      </c>
      <c r="T932" t="s">
        <v>49</v>
      </c>
      <c r="U932">
        <v>3.3962264150943298E-2</v>
      </c>
      <c r="V932">
        <v>0</v>
      </c>
      <c r="W932">
        <v>0</v>
      </c>
      <c r="X932">
        <v>0.108925407002888</v>
      </c>
      <c r="Y932">
        <v>5.1862685993423703E-2</v>
      </c>
      <c r="Z932">
        <v>4.34805679979215E-2</v>
      </c>
      <c r="AA932">
        <v>0</v>
      </c>
      <c r="AB932">
        <v>2.5266999378800389E-2</v>
      </c>
      <c r="AC932">
        <v>1.5500000154133889E-4</v>
      </c>
      <c r="AD932">
        <v>5.8180000633001328E-3</v>
      </c>
      <c r="AE932">
        <v>7.7180000953376293E-3</v>
      </c>
      <c r="AF932">
        <f>0.16*X932 + 0.28*Y932 + 0.28*Z932 + 0.28*AA932</f>
        <v>4.4124176238038736E-2</v>
      </c>
      <c r="AG932">
        <f t="shared" si="42"/>
        <v>7.8761999454582104E-3</v>
      </c>
      <c r="AH932">
        <f>IF(T932="IT_Admin", 0.25, IF(AND(T932="HR", AA932&gt;0.6), 0.25, IF(AND(T932="General", Z932&gt;0.7), 0.2, 0.1)))</f>
        <v>0.1</v>
      </c>
      <c r="AI932">
        <f>IF(V932&gt;0.7, 0.1,
 IF(F932&gt;0.5, 0.08,
 IF(E932&gt;0.5, 0.05,
 0)))</f>
        <v>0</v>
      </c>
      <c r="AJ932">
        <f t="shared" si="43"/>
        <v>1.8750592833232368E-2</v>
      </c>
      <c r="AK932">
        <f t="shared" si="44"/>
        <v>2.0625652116555607E-2</v>
      </c>
      <c r="AL932" t="str">
        <f>IF(MAX(X932, Y932, Z932, AA932)&gt;0.9,
 "Critical",
 IF(AK932&lt;=0.2,"Very Low",
 IF(AK932&lt;=0.4,"Low",
 IF(AK932&lt;=0.6,"Medium",
 IF(AK932&lt;=0.8,"High","Critical")))))</f>
        <v>Very Low</v>
      </c>
      <c r="AM932" t="str">
        <f>IF(MAX(X932:AA932)&gt;0.9,"CRITICAL ALERT",
 IF(AK932&gt;0.8,"CRITICAL ALERT",
 IF(AK932&gt;0.6,"ALERT",
 IF(AK932&gt;=0.4,"REVIEW","NO ACTION"))))</f>
        <v>NO ACTION</v>
      </c>
      <c r="AN932" t="str">
        <f>IF(AM932="NO ACTION","",
 IF(_xlfn.TEXTJOIN(", ", TRUE,
  IF(X932&gt;0.7,"Login anomaly",""),
  IF(Y932&gt;0.7,"File anomaly",""),
  IF(Z932&gt;0.7,"Network anomaly",""),
  IF(AA932&gt;0.7,"USB anomaly","")
 )="",
 "General anomaly detected",
 _xlfn.TEXTJOIN(", ", TRUE,
  IF(X932&gt;0.7,"Login anomaly",""),
  IF(Y932&gt;0.7,"File anomaly",""),
  IF(Z932&gt;0.7,"Network anomaly",""),
  IF(AA932&gt;0.7,"USB anomaly","")
 )))</f>
        <v/>
      </c>
    </row>
    <row r="933" spans="1:40" x14ac:dyDescent="0.3">
      <c r="A933" t="s">
        <v>956</v>
      </c>
      <c r="B933">
        <v>0.12892249527410199</v>
      </c>
      <c r="C933">
        <v>0.36953165208440503</v>
      </c>
      <c r="D933">
        <v>0</v>
      </c>
      <c r="E933">
        <v>0</v>
      </c>
      <c r="F933">
        <v>0</v>
      </c>
      <c r="G933">
        <v>0.99366360721304103</v>
      </c>
      <c r="H933">
        <v>8</v>
      </c>
      <c r="I933">
        <v>8</v>
      </c>
      <c r="J933">
        <v>7.3708315442965494E-2</v>
      </c>
      <c r="K933">
        <v>1.5497553017944501E-2</v>
      </c>
      <c r="L933">
        <v>5.3533059290740599E-2</v>
      </c>
      <c r="M933">
        <v>4.0404040404040404E-3</v>
      </c>
      <c r="N933">
        <v>3.3019224503095398E-2</v>
      </c>
      <c r="O933">
        <v>819</v>
      </c>
      <c r="P933">
        <v>6.2815656565656505E-2</v>
      </c>
      <c r="Q933">
        <v>6.29755601528805E-2</v>
      </c>
      <c r="R933">
        <v>0</v>
      </c>
      <c r="S933">
        <v>0</v>
      </c>
      <c r="T933" t="s">
        <v>49</v>
      </c>
      <c r="U933">
        <v>2.15094339622641E-2</v>
      </c>
      <c r="V933">
        <v>0</v>
      </c>
      <c r="W933">
        <v>0</v>
      </c>
      <c r="X933">
        <v>0</v>
      </c>
      <c r="Y933">
        <v>5.1413960084891998E-2</v>
      </c>
      <c r="Z933">
        <v>5.08970837406321E-2</v>
      </c>
      <c r="AA933">
        <v>0</v>
      </c>
      <c r="AB933">
        <v>2.4674000218510631E-2</v>
      </c>
      <c r="AC933">
        <v>1.5500000154133889E-4</v>
      </c>
      <c r="AD933">
        <v>5.0800000317394733E-3</v>
      </c>
      <c r="AE933">
        <v>1.867000013589859E-3</v>
      </c>
      <c r="AF933">
        <f>0.16*X933 + 0.28*Y933 + 0.28*Z933 + 0.28*AA933</f>
        <v>2.864709227114675E-2</v>
      </c>
      <c r="AG933">
        <f t="shared" si="42"/>
        <v>5.9364000480854892E-3</v>
      </c>
      <c r="AH933">
        <f>IF(T933="IT_Admin", 0.25, IF(AND(T933="HR", AA933&gt;0.6), 0.25, IF(AND(T933="General", Z933&gt;0.7), 0.2, 0.1)))</f>
        <v>0.1</v>
      </c>
      <c r="AI933">
        <f>IF(V933&gt;0.7, 0.1,
 IF(F933&gt;0.5, 0.08,
 IF(E933&gt;0.5, 0.05,
 0)))</f>
        <v>0</v>
      </c>
      <c r="AJ933">
        <f t="shared" si="43"/>
        <v>1.2749607715003866E-2</v>
      </c>
      <c r="AK933">
        <f t="shared" si="44"/>
        <v>1.4024568486504255E-2</v>
      </c>
      <c r="AL933" t="str">
        <f>IF(MAX(X933, Y933, Z933, AA933)&gt;0.9,
 "Critical",
 IF(AK933&lt;=0.2,"Very Low",
 IF(AK933&lt;=0.4,"Low",
 IF(AK933&lt;=0.6,"Medium",
 IF(AK933&lt;=0.8,"High","Critical")))))</f>
        <v>Very Low</v>
      </c>
      <c r="AM933" t="str">
        <f>IF(MAX(X933:AA933)&gt;0.9,"CRITICAL ALERT",
 IF(AK933&gt;0.8,"CRITICAL ALERT",
 IF(AK933&gt;0.6,"ALERT",
 IF(AK933&gt;=0.4,"REVIEW","NO ACTION"))))</f>
        <v>NO ACTION</v>
      </c>
      <c r="AN933" t="str">
        <f>IF(AM933="NO ACTION","",
 IF(_xlfn.TEXTJOIN(", ", TRUE,
  IF(X933&gt;0.7,"Login anomaly",""),
  IF(Y933&gt;0.7,"File anomaly",""),
  IF(Z933&gt;0.7,"Network anomaly",""),
  IF(AA933&gt;0.7,"USB anomaly","")
 )="",
 "General anomaly detected",
 _xlfn.TEXTJOIN(", ", TRUE,
  IF(X933&gt;0.7,"Login anomaly",""),
  IF(Y933&gt;0.7,"File anomaly",""),
  IF(Z933&gt;0.7,"Network anomaly",""),
  IF(AA933&gt;0.7,"USB anomaly","")
 )))</f>
        <v/>
      </c>
    </row>
    <row r="934" spans="1:40" x14ac:dyDescent="0.3">
      <c r="A934" t="s">
        <v>957</v>
      </c>
      <c r="B934">
        <v>0.124763705103969</v>
      </c>
      <c r="C934">
        <v>0.18476582604220201</v>
      </c>
      <c r="D934">
        <v>0</v>
      </c>
      <c r="E934">
        <v>0</v>
      </c>
      <c r="F934">
        <v>0</v>
      </c>
      <c r="G934">
        <v>0.995577890177891</v>
      </c>
      <c r="H934">
        <v>7</v>
      </c>
      <c r="I934">
        <v>7</v>
      </c>
      <c r="J934">
        <v>8.6398549687514897E-2</v>
      </c>
      <c r="K934">
        <v>1.1419249592169599E-2</v>
      </c>
      <c r="L934">
        <v>3.3667614960847102E-2</v>
      </c>
      <c r="M934">
        <v>1.7316017316017301E-3</v>
      </c>
      <c r="N934">
        <v>1.2078303487995099E-2</v>
      </c>
      <c r="O934">
        <v>885</v>
      </c>
      <c r="P934">
        <v>6.9269079685746304E-2</v>
      </c>
      <c r="Q934">
        <v>6.9427399277674495E-2</v>
      </c>
      <c r="R934">
        <v>0</v>
      </c>
      <c r="S934">
        <v>0</v>
      </c>
      <c r="T934" t="s">
        <v>49</v>
      </c>
      <c r="U934">
        <v>3.3962264150943298E-2</v>
      </c>
      <c r="V934">
        <v>0</v>
      </c>
      <c r="W934">
        <v>0</v>
      </c>
      <c r="X934">
        <v>0</v>
      </c>
      <c r="Y934">
        <v>3.7737008464325102E-2</v>
      </c>
      <c r="Z934">
        <v>4.6392769206645798E-2</v>
      </c>
      <c r="AA934">
        <v>0</v>
      </c>
      <c r="AB934">
        <v>3.7140000611543662E-2</v>
      </c>
      <c r="AC934">
        <v>7.8999997640494257E-5</v>
      </c>
      <c r="AD934">
        <v>4.792999941855669E-3</v>
      </c>
      <c r="AE934">
        <v>1.5989999519661069E-3</v>
      </c>
      <c r="AF934">
        <f>0.16*X934 + 0.28*Y934 + 0.28*Z934 + 0.28*AA934</f>
        <v>2.3556337747871855E-2</v>
      </c>
      <c r="AG934">
        <f t="shared" si="42"/>
        <v>7.7542800674564212E-3</v>
      </c>
      <c r="AH934">
        <f>IF(T934="IT_Admin", 0.25, IF(AND(T934="HR", AA934&gt;0.6), 0.25, IF(AND(T934="General", Z934&gt;0.7), 0.2, 0.1)))</f>
        <v>0.1</v>
      </c>
      <c r="AI934">
        <f>IF(V934&gt;0.7, 0.1,
 IF(F934&gt;0.5, 0.08,
 IF(E934&gt;0.5, 0.05,
 0)))</f>
        <v>0</v>
      </c>
      <c r="AJ934">
        <f t="shared" si="43"/>
        <v>1.2494897371581052E-2</v>
      </c>
      <c r="AK934">
        <f t="shared" si="44"/>
        <v>1.3744387108739159E-2</v>
      </c>
      <c r="AL934" t="str">
        <f>IF(MAX(X934, Y934, Z934, AA934)&gt;0.9,
 "Critical",
 IF(AK934&lt;=0.2,"Very Low",
 IF(AK934&lt;=0.4,"Low",
 IF(AK934&lt;=0.6,"Medium",
 IF(AK934&lt;=0.8,"High","Critical")))))</f>
        <v>Very Low</v>
      </c>
      <c r="AM934" t="str">
        <f>IF(MAX(X934:AA934)&gt;0.9,"CRITICAL ALERT",
 IF(AK934&gt;0.8,"CRITICAL ALERT",
 IF(AK934&gt;0.6,"ALERT",
 IF(AK934&gt;=0.4,"REVIEW","NO ACTION"))))</f>
        <v>NO ACTION</v>
      </c>
      <c r="AN934" t="str">
        <f>IF(AM934="NO ACTION","",
 IF(_xlfn.TEXTJOIN(", ", TRUE,
  IF(X934&gt;0.7,"Login anomaly",""),
  IF(Y934&gt;0.7,"File anomaly",""),
  IF(Z934&gt;0.7,"Network anomaly",""),
  IF(AA934&gt;0.7,"USB anomaly","")
 )="",
 "General anomaly detected",
 _xlfn.TEXTJOIN(", ", TRUE,
  IF(X934&gt;0.7,"Login anomaly",""),
  IF(Y934&gt;0.7,"File anomaly",""),
  IF(Z934&gt;0.7,"Network anomaly",""),
  IF(AA934&gt;0.7,"USB anomaly","")
 )))</f>
        <v/>
      </c>
    </row>
    <row r="935" spans="1:40" x14ac:dyDescent="0.3">
      <c r="A935" t="s">
        <v>958</v>
      </c>
      <c r="B935">
        <v>0.25746691871455502</v>
      </c>
      <c r="C935">
        <v>0.984248903982478</v>
      </c>
      <c r="D935">
        <v>0.38660283551272201</v>
      </c>
      <c r="E935">
        <v>0</v>
      </c>
      <c r="F935">
        <v>1.4598540145985401E-3</v>
      </c>
      <c r="G935">
        <v>0.426067719160241</v>
      </c>
      <c r="H935">
        <v>9</v>
      </c>
      <c r="I935">
        <v>20</v>
      </c>
      <c r="J935">
        <v>9.1073899146033102E-2</v>
      </c>
      <c r="K935">
        <v>1.8760195758564399E-2</v>
      </c>
      <c r="L935">
        <v>5.24790618631387E-2</v>
      </c>
      <c r="M935">
        <v>8.6580086580086504E-4</v>
      </c>
      <c r="N935">
        <v>5.72993707789945E-3</v>
      </c>
      <c r="O935">
        <v>893</v>
      </c>
      <c r="P935">
        <v>7.5441919191919199E-2</v>
      </c>
      <c r="Q935">
        <v>7.5598723657912203E-2</v>
      </c>
      <c r="R935">
        <v>0</v>
      </c>
      <c r="S935">
        <v>0</v>
      </c>
      <c r="T935" t="s">
        <v>49</v>
      </c>
      <c r="U935">
        <v>9.7641509433962201E-2</v>
      </c>
      <c r="V935">
        <v>0</v>
      </c>
      <c r="W935">
        <v>0</v>
      </c>
      <c r="X935">
        <v>0.11656479225965601</v>
      </c>
      <c r="Y935">
        <v>4.6173291884145803E-2</v>
      </c>
      <c r="Z935">
        <v>4.7557126346311297E-2</v>
      </c>
      <c r="AA935">
        <v>0</v>
      </c>
      <c r="AB935">
        <v>0.1085110008716583</v>
      </c>
      <c r="AC935">
        <v>1.293999957852066E-3</v>
      </c>
      <c r="AD935">
        <v>3.9900001138448724E-3</v>
      </c>
      <c r="AE935">
        <v>6.3789999112486839E-3</v>
      </c>
      <c r="AF935">
        <f>0.16*X935 + 0.28*Y935 + 0.28*Z935 + 0.28*AA935</f>
        <v>4.4894883866072946E-2</v>
      </c>
      <c r="AG935">
        <f t="shared" si="42"/>
        <v>2.0627400134690103E-2</v>
      </c>
      <c r="AH935">
        <f>IF(T935="IT_Admin", 0.25, IF(AND(T935="HR", AA935&gt;0.6), 0.25, IF(AND(T935="General", Z935&gt;0.7), 0.2, 0.1)))</f>
        <v>0.1</v>
      </c>
      <c r="AI935">
        <f>IF(V935&gt;0.7, 0.1,
 IF(F935&gt;0.5, 0.08,
 IF(E935&gt;0.5, 0.05,
 0)))</f>
        <v>0</v>
      </c>
      <c r="AJ935">
        <f t="shared" si="43"/>
        <v>2.7907645254104954E-2</v>
      </c>
      <c r="AK935">
        <f t="shared" si="44"/>
        <v>3.0698409779515452E-2</v>
      </c>
      <c r="AL935" t="str">
        <f>IF(MAX(X935, Y935, Z935, AA935)&gt;0.9,
 "Critical",
 IF(AK935&lt;=0.2,"Very Low",
 IF(AK935&lt;=0.4,"Low",
 IF(AK935&lt;=0.6,"Medium",
 IF(AK935&lt;=0.8,"High","Critical")))))</f>
        <v>Very Low</v>
      </c>
      <c r="AM935" t="str">
        <f>IF(MAX(X935:AA935)&gt;0.9,"CRITICAL ALERT",
 IF(AK935&gt;0.8,"CRITICAL ALERT",
 IF(AK935&gt;0.6,"ALERT",
 IF(AK935&gt;=0.4,"REVIEW","NO ACTION"))))</f>
        <v>NO ACTION</v>
      </c>
      <c r="AN935" t="str">
        <f>IF(AM935="NO ACTION","",
 IF(_xlfn.TEXTJOIN(", ", TRUE,
  IF(X935&gt;0.7,"Login anomaly",""),
  IF(Y935&gt;0.7,"File anomaly",""),
  IF(Z935&gt;0.7,"Network anomaly",""),
  IF(AA935&gt;0.7,"USB anomaly","")
 )="",
 "General anomaly detected",
 _xlfn.TEXTJOIN(", ", TRUE,
  IF(X935&gt;0.7,"Login anomaly",""),
  IF(Y935&gt;0.7,"File anomaly",""),
  IF(Z935&gt;0.7,"Network anomaly",""),
  IF(AA935&gt;0.7,"USB anomaly","")
 )))</f>
        <v/>
      </c>
    </row>
    <row r="936" spans="1:40" x14ac:dyDescent="0.3">
      <c r="A936" t="s">
        <v>959</v>
      </c>
      <c r="B936">
        <v>0.231758034026465</v>
      </c>
      <c r="C936">
        <v>0.65940737268222105</v>
      </c>
      <c r="D936">
        <v>0.36047771286715902</v>
      </c>
      <c r="E936">
        <v>0</v>
      </c>
      <c r="F936">
        <v>0</v>
      </c>
      <c r="G936">
        <v>0.48954509341129299</v>
      </c>
      <c r="H936">
        <v>7</v>
      </c>
      <c r="I936">
        <v>14</v>
      </c>
      <c r="J936">
        <v>8.9022470301989398E-2</v>
      </c>
      <c r="K936">
        <v>1.71288743882544E-2</v>
      </c>
      <c r="L936">
        <v>4.9016880359886501E-2</v>
      </c>
      <c r="M936">
        <v>2.59740259740259E-3</v>
      </c>
      <c r="N936">
        <v>1.7584873704595699E-2</v>
      </c>
      <c r="O936">
        <v>974</v>
      </c>
      <c r="P936">
        <v>7.4074074074074001E-2</v>
      </c>
      <c r="Q936">
        <v>7.4231214278200494E-2</v>
      </c>
      <c r="R936">
        <v>0</v>
      </c>
      <c r="S936">
        <v>0</v>
      </c>
      <c r="T936" t="s">
        <v>49</v>
      </c>
      <c r="U936">
        <v>3.5660377358490501E-2</v>
      </c>
      <c r="V936">
        <v>0</v>
      </c>
      <c r="W936">
        <v>0</v>
      </c>
      <c r="X936">
        <v>0.108143313860147</v>
      </c>
      <c r="Y936">
        <v>4.7588396351719797E-2</v>
      </c>
      <c r="Z936">
        <v>5.1478393926282701E-2</v>
      </c>
      <c r="AA936">
        <v>0</v>
      </c>
      <c r="AB936">
        <v>2.290399931371212E-2</v>
      </c>
      <c r="AC936">
        <v>2.4999999368446879E-5</v>
      </c>
      <c r="AD936">
        <v>3.831000067293644E-3</v>
      </c>
      <c r="AE936">
        <v>6.6359997726976871E-3</v>
      </c>
      <c r="AF936">
        <f>0.16*X936 + 0.28*Y936 + 0.28*Z936 + 0.28*AA936</f>
        <v>4.5041631495464224E-2</v>
      </c>
      <c r="AG936">
        <f t="shared" si="42"/>
        <v>6.6023998452146779E-3</v>
      </c>
      <c r="AH936">
        <f>IF(T936="IT_Admin", 0.25, IF(AND(T936="HR", AA936&gt;0.6), 0.25, IF(AND(T936="General", Z936&gt;0.7), 0.2, 0.1)))</f>
        <v>0.1</v>
      </c>
      <c r="AI936">
        <f>IF(V936&gt;0.7, 0.1,
 IF(F936&gt;0.5, 0.08,
 IF(E936&gt;0.5, 0.05,
 0)))</f>
        <v>0</v>
      </c>
      <c r="AJ936">
        <f t="shared" si="43"/>
        <v>1.8134169340289542E-2</v>
      </c>
      <c r="AK936">
        <f t="shared" si="44"/>
        <v>1.9947586274318498E-2</v>
      </c>
      <c r="AL936" t="str">
        <f>IF(MAX(X936, Y936, Z936, AA936)&gt;0.9,
 "Critical",
 IF(AK936&lt;=0.2,"Very Low",
 IF(AK936&lt;=0.4,"Low",
 IF(AK936&lt;=0.6,"Medium",
 IF(AK936&lt;=0.8,"High","Critical")))))</f>
        <v>Very Low</v>
      </c>
      <c r="AM936" t="str">
        <f>IF(MAX(X936:AA936)&gt;0.9,"CRITICAL ALERT",
 IF(AK936&gt;0.8,"CRITICAL ALERT",
 IF(AK936&gt;0.6,"ALERT",
 IF(AK936&gt;=0.4,"REVIEW","NO ACTION"))))</f>
        <v>NO ACTION</v>
      </c>
      <c r="AN936" t="str">
        <f>IF(AM936="NO ACTION","",
 IF(_xlfn.TEXTJOIN(", ", TRUE,
  IF(X936&gt;0.7,"Login anomaly",""),
  IF(Y936&gt;0.7,"File anomaly",""),
  IF(Z936&gt;0.7,"Network anomaly",""),
  IF(AA936&gt;0.7,"USB anomaly","")
 )="",
 "General anomaly detected",
 _xlfn.TEXTJOIN(", ", TRUE,
  IF(X936&gt;0.7,"Login anomaly",""),
  IF(Y936&gt;0.7,"File anomaly",""),
  IF(Z936&gt;0.7,"Network anomaly",""),
  IF(AA936&gt;0.7,"USB anomaly","")
 )))</f>
        <v/>
      </c>
    </row>
    <row r="937" spans="1:40" x14ac:dyDescent="0.3">
      <c r="A937" t="s">
        <v>960</v>
      </c>
      <c r="B937">
        <v>0.12892249527410199</v>
      </c>
      <c r="C937">
        <v>0.36953165208440503</v>
      </c>
      <c r="D937">
        <v>0</v>
      </c>
      <c r="E937">
        <v>0</v>
      </c>
      <c r="F937">
        <v>0</v>
      </c>
      <c r="G937">
        <v>0.99367409819098296</v>
      </c>
      <c r="H937">
        <v>8</v>
      </c>
      <c r="I937">
        <v>8</v>
      </c>
      <c r="J937">
        <v>7.5950574877152802E-2</v>
      </c>
      <c r="K937">
        <v>1.1419249592169599E-2</v>
      </c>
      <c r="L937">
        <v>3.8284526467688401E-2</v>
      </c>
      <c r="M937">
        <v>3.7518037518037501E-3</v>
      </c>
      <c r="N937">
        <v>2.97583582492787E-2</v>
      </c>
      <c r="O937">
        <v>772</v>
      </c>
      <c r="P937">
        <v>6.2570145903479202E-2</v>
      </c>
      <c r="Q937">
        <v>6.2730109751393801E-2</v>
      </c>
      <c r="R937">
        <v>0</v>
      </c>
      <c r="S937">
        <v>0</v>
      </c>
      <c r="T937" t="s">
        <v>49</v>
      </c>
      <c r="U937">
        <v>1.6981132075471601E-2</v>
      </c>
      <c r="V937">
        <v>0</v>
      </c>
      <c r="W937">
        <v>0</v>
      </c>
      <c r="X937">
        <v>0</v>
      </c>
      <c r="Y937">
        <v>4.3259885684058398E-2</v>
      </c>
      <c r="Z937">
        <v>4.9445430841798997E-2</v>
      </c>
      <c r="AA937">
        <v>0</v>
      </c>
      <c r="AB937">
        <v>2.470099925994873E-2</v>
      </c>
      <c r="AC937">
        <v>1.7100000695791101E-4</v>
      </c>
      <c r="AD937">
        <v>5.1879999227821827E-3</v>
      </c>
      <c r="AE937">
        <v>1.943000010214746E-3</v>
      </c>
      <c r="AF937">
        <f>0.16*X937 + 0.28*Y937 + 0.28*Z937 + 0.28*AA937</f>
        <v>2.5957488627240073E-2</v>
      </c>
      <c r="AG937">
        <f t="shared" si="42"/>
        <v>5.9967198647791521E-3</v>
      </c>
      <c r="AH937">
        <f>IF(T937="IT_Admin", 0.25, IF(AND(T937="HR", AA937&gt;0.6), 0.25, IF(AND(T937="General", Z937&gt;0.7), 0.2, 0.1)))</f>
        <v>0.1</v>
      </c>
      <c r="AI937">
        <f>IF(V937&gt;0.7, 0.1,
 IF(F937&gt;0.5, 0.08,
 IF(E937&gt;0.5, 0.05,
 0)))</f>
        <v>0</v>
      </c>
      <c r="AJ937">
        <f t="shared" si="43"/>
        <v>1.1984950493517428E-2</v>
      </c>
      <c r="AK937">
        <f t="shared" si="44"/>
        <v>1.3183445542869172E-2</v>
      </c>
      <c r="AL937" t="str">
        <f>IF(MAX(X937, Y937, Z937, AA937)&gt;0.9,
 "Critical",
 IF(AK937&lt;=0.2,"Very Low",
 IF(AK937&lt;=0.4,"Low",
 IF(AK937&lt;=0.6,"Medium",
 IF(AK937&lt;=0.8,"High","Critical")))))</f>
        <v>Very Low</v>
      </c>
      <c r="AM937" t="str">
        <f>IF(MAX(X937:AA937)&gt;0.9,"CRITICAL ALERT",
 IF(AK937&gt;0.8,"CRITICAL ALERT",
 IF(AK937&gt;0.6,"ALERT",
 IF(AK937&gt;=0.4,"REVIEW","NO ACTION"))))</f>
        <v>NO ACTION</v>
      </c>
      <c r="AN937" t="str">
        <f>IF(AM937="NO ACTION","",
 IF(_xlfn.TEXTJOIN(", ", TRUE,
  IF(X937&gt;0.7,"Login anomaly",""),
  IF(Y937&gt;0.7,"File anomaly",""),
  IF(Z937&gt;0.7,"Network anomaly",""),
  IF(AA937&gt;0.7,"USB anomaly","")
 )="",
 "General anomaly detected",
 _xlfn.TEXTJOIN(", ", TRUE,
  IF(X937&gt;0.7,"Login anomaly",""),
  IF(Y937&gt;0.7,"File anomaly",""),
  IF(Z937&gt;0.7,"Network anomaly",""),
  IF(AA937&gt;0.7,"USB anomaly","")
 )))</f>
        <v/>
      </c>
    </row>
    <row r="938" spans="1:40" x14ac:dyDescent="0.3">
      <c r="A938" t="s">
        <v>961</v>
      </c>
      <c r="B938">
        <v>0.26843100189035901</v>
      </c>
      <c r="C938">
        <v>0.63348283214469503</v>
      </c>
      <c r="D938">
        <v>0.383304896327399</v>
      </c>
      <c r="E938">
        <v>0</v>
      </c>
      <c r="F938">
        <v>0</v>
      </c>
      <c r="G938">
        <v>0.40274852514765103</v>
      </c>
      <c r="H938">
        <v>7</v>
      </c>
      <c r="I938">
        <v>14</v>
      </c>
      <c r="J938">
        <v>5.7964791756118503E-2</v>
      </c>
      <c r="K938">
        <v>8.9722675367047301E-3</v>
      </c>
      <c r="L938">
        <v>3.93761285982367E-2</v>
      </c>
      <c r="M938">
        <v>1.1544011544011501E-3</v>
      </c>
      <c r="N938">
        <v>1.1985901166229E-2</v>
      </c>
      <c r="O938">
        <v>581</v>
      </c>
      <c r="P938">
        <v>4.7032828282828197E-2</v>
      </c>
      <c r="Q938">
        <v>4.7196605771590801E-2</v>
      </c>
      <c r="R938">
        <v>0.498525073746312</v>
      </c>
      <c r="S938">
        <v>1</v>
      </c>
      <c r="T938" t="s">
        <v>49</v>
      </c>
      <c r="U938">
        <v>3.7358490566037697E-2</v>
      </c>
      <c r="V938">
        <v>0</v>
      </c>
      <c r="W938">
        <v>0</v>
      </c>
      <c r="X938">
        <v>0.114991468898219</v>
      </c>
      <c r="Y938">
        <v>3.4876793000210703E-2</v>
      </c>
      <c r="Z938">
        <v>3.3014057436188501E-2</v>
      </c>
      <c r="AA938">
        <v>0.498525073746312</v>
      </c>
      <c r="AB938">
        <v>3.4122001379728317E-2</v>
      </c>
      <c r="AC938">
        <v>1.130000018747523E-4</v>
      </c>
      <c r="AD938">
        <v>7.0940000005066386E-3</v>
      </c>
      <c r="AE938">
        <v>0.24063700437545779</v>
      </c>
      <c r="AF938">
        <f>0.16*X938 + 0.28*Y938 + 0.28*Z938 + 0.28*AA938</f>
        <v>0.17699509379487421</v>
      </c>
      <c r="AG938">
        <f t="shared" si="42"/>
        <v>7.485584144655151E-2</v>
      </c>
      <c r="AH938">
        <f>IF(T938="IT_Admin", 0.25, IF(AND(T938="HR", AA938&gt;0.6), 0.25, IF(AND(T938="General", Z938&gt;0.7), 0.2, 0.1)))</f>
        <v>0.1</v>
      </c>
      <c r="AI938">
        <f>IF(V938&gt;0.7, 0.1,
 IF(F938&gt;0.5, 0.08,
 IF(E938&gt;0.5, 0.05,
 0)))</f>
        <v>0</v>
      </c>
      <c r="AJ938">
        <f t="shared" si="43"/>
        <v>0.10549761715104831</v>
      </c>
      <c r="AK938">
        <f t="shared" si="44"/>
        <v>0.11604737886615316</v>
      </c>
      <c r="AL938" t="str">
        <f>IF(MAX(X938, Y938, Z938, AA938)&gt;0.9,
 "Critical",
 IF(AK938&lt;=0.2,"Very Low",
 IF(AK938&lt;=0.4,"Low",
 IF(AK938&lt;=0.6,"Medium",
 IF(AK938&lt;=0.8,"High","Critical")))))</f>
        <v>Very Low</v>
      </c>
      <c r="AM938" t="str">
        <f>IF(MAX(X938:AA938)&gt;0.9,"CRITICAL ALERT",
 IF(AK938&gt;0.8,"CRITICAL ALERT",
 IF(AK938&gt;0.6,"ALERT",
 IF(AK938&gt;=0.4,"REVIEW","NO ACTION"))))</f>
        <v>NO ACTION</v>
      </c>
      <c r="AN938" t="str">
        <f>IF(AM938="NO ACTION","",
 IF(_xlfn.TEXTJOIN(", ", TRUE,
  IF(X938&gt;0.7,"Login anomaly",""),
  IF(Y938&gt;0.7,"File anomaly",""),
  IF(Z938&gt;0.7,"Network anomaly",""),
  IF(AA938&gt;0.7,"USB anomaly","")
 )="",
 "General anomaly detected",
 _xlfn.TEXTJOIN(", ", TRUE,
  IF(X938&gt;0.7,"Login anomaly",""),
  IF(Y938&gt;0.7,"File anomaly",""),
  IF(Z938&gt;0.7,"Network anomaly",""),
  IF(AA938&gt;0.7,"USB anomaly","")
 )))</f>
        <v/>
      </c>
    </row>
    <row r="939" spans="1:40" x14ac:dyDescent="0.3">
      <c r="A939" t="s">
        <v>962</v>
      </c>
      <c r="B939">
        <v>0.12892249527410199</v>
      </c>
      <c r="C939">
        <v>0.55429747812660801</v>
      </c>
      <c r="D939">
        <v>0</v>
      </c>
      <c r="E939">
        <v>0</v>
      </c>
      <c r="F939">
        <v>0</v>
      </c>
      <c r="G939">
        <v>0.99365215277794205</v>
      </c>
      <c r="H939">
        <v>9</v>
      </c>
      <c r="I939">
        <v>9</v>
      </c>
      <c r="J939">
        <v>6.5168646534039407E-2</v>
      </c>
      <c r="K939">
        <v>6.5252854812398002E-3</v>
      </c>
      <c r="L939">
        <v>2.54831254637484E-2</v>
      </c>
      <c r="M939">
        <v>5.7720057720057698E-4</v>
      </c>
      <c r="N939">
        <v>5.3328954860683503E-3</v>
      </c>
      <c r="O939">
        <v>557</v>
      </c>
      <c r="P939">
        <v>5.0996071829405097E-2</v>
      </c>
      <c r="Q939">
        <v>5.1158876538448E-2</v>
      </c>
      <c r="R939">
        <v>0</v>
      </c>
      <c r="S939">
        <v>0</v>
      </c>
      <c r="T939" t="s">
        <v>49</v>
      </c>
      <c r="U939">
        <v>4.5283018867924497E-2</v>
      </c>
      <c r="V939">
        <v>0</v>
      </c>
      <c r="W939">
        <v>0</v>
      </c>
      <c r="X939">
        <v>0</v>
      </c>
      <c r="Y939">
        <v>2.73751606845026E-2</v>
      </c>
      <c r="Z939">
        <v>3.2730801292070399E-2</v>
      </c>
      <c r="AA939">
        <v>0</v>
      </c>
      <c r="AB939">
        <v>2.89709996432066E-2</v>
      </c>
      <c r="AC939">
        <v>3.3499998971819878E-4</v>
      </c>
      <c r="AD939">
        <v>7.5889998115599164E-3</v>
      </c>
      <c r="AE939">
        <v>2.2499999031424518E-3</v>
      </c>
      <c r="AF939">
        <f>0.16*X939 + 0.28*Y939 + 0.28*Z939 + 0.28*AA939</f>
        <v>1.6829669353440442E-2</v>
      </c>
      <c r="AG939">
        <f t="shared" si="42"/>
        <v>7.4840798601508163E-3</v>
      </c>
      <c r="AH939">
        <f>IF(T939="IT_Admin", 0.25, IF(AND(T939="HR", AA939&gt;0.6), 0.25, IF(AND(T939="General", Z939&gt;0.7), 0.2, 0.1)))</f>
        <v>0.1</v>
      </c>
      <c r="AI939">
        <f>IF(V939&gt;0.7, 0.1,
 IF(F939&gt;0.5, 0.08,
 IF(E939&gt;0.5, 0.05,
 0)))</f>
        <v>0</v>
      </c>
      <c r="AJ939">
        <f t="shared" si="43"/>
        <v>1.0287756708137703E-2</v>
      </c>
      <c r="AK939">
        <f t="shared" si="44"/>
        <v>1.1316532378951475E-2</v>
      </c>
      <c r="AL939" t="str">
        <f>IF(MAX(X939, Y939, Z939, AA939)&gt;0.9,
 "Critical",
 IF(AK939&lt;=0.2,"Very Low",
 IF(AK939&lt;=0.4,"Low",
 IF(AK939&lt;=0.6,"Medium",
 IF(AK939&lt;=0.8,"High","Critical")))))</f>
        <v>Very Low</v>
      </c>
      <c r="AM939" t="str">
        <f>IF(MAX(X939:AA939)&gt;0.9,"CRITICAL ALERT",
 IF(AK939&gt;0.8,"CRITICAL ALERT",
 IF(AK939&gt;0.6,"ALERT",
 IF(AK939&gt;=0.4,"REVIEW","NO ACTION"))))</f>
        <v>NO ACTION</v>
      </c>
      <c r="AN939" t="str">
        <f>IF(AM939="NO ACTION","",
 IF(_xlfn.TEXTJOIN(", ", TRUE,
  IF(X939&gt;0.7,"Login anomaly",""),
  IF(Y939&gt;0.7,"File anomaly",""),
  IF(Z939&gt;0.7,"Network anomaly",""),
  IF(AA939&gt;0.7,"USB anomaly","")
 )="",
 "General anomaly detected",
 _xlfn.TEXTJOIN(", ", TRUE,
  IF(X939&gt;0.7,"Login anomaly",""),
  IF(Y939&gt;0.7,"File anomaly",""),
  IF(Z939&gt;0.7,"Network anomaly",""),
  IF(AA939&gt;0.7,"USB anomaly","")
 )))</f>
        <v/>
      </c>
    </row>
    <row r="940" spans="1:40" x14ac:dyDescent="0.3">
      <c r="A940" t="s">
        <v>963</v>
      </c>
      <c r="B940">
        <v>0.27637051039697502</v>
      </c>
      <c r="C940">
        <v>0.66390006337068996</v>
      </c>
      <c r="D940">
        <v>0.40050298891363401</v>
      </c>
      <c r="E940">
        <v>0</v>
      </c>
      <c r="F940">
        <v>0</v>
      </c>
      <c r="G940">
        <v>0.38674664587430002</v>
      </c>
      <c r="H940">
        <v>7</v>
      </c>
      <c r="I940">
        <v>16</v>
      </c>
      <c r="J940">
        <v>7.1609178951385896E-2</v>
      </c>
      <c r="K940">
        <v>1.0603588907014599E-2</v>
      </c>
      <c r="L940">
        <v>3.7698020014972501E-2</v>
      </c>
      <c r="M940">
        <v>1.2987012987012899E-2</v>
      </c>
      <c r="N940">
        <v>0.109234059433262</v>
      </c>
      <c r="O940">
        <v>626</v>
      </c>
      <c r="P940">
        <v>6.3517115600448898E-2</v>
      </c>
      <c r="Q940">
        <v>6.3676847014271107E-2</v>
      </c>
      <c r="R940">
        <v>0.55899705014749201</v>
      </c>
      <c r="S940">
        <v>1</v>
      </c>
      <c r="T940" t="s">
        <v>49</v>
      </c>
      <c r="U940">
        <v>4.7990155865463404E-3</v>
      </c>
      <c r="V940">
        <v>0</v>
      </c>
      <c r="W940">
        <v>0</v>
      </c>
      <c r="X940">
        <v>0.12015089667409</v>
      </c>
      <c r="Y940">
        <v>6.59410636277422E-2</v>
      </c>
      <c r="Z940">
        <v>8.1803893133574404E-2</v>
      </c>
      <c r="AA940">
        <v>0.55899705014749201</v>
      </c>
      <c r="AB940">
        <v>4.5317001640796661E-2</v>
      </c>
      <c r="AC940">
        <v>2.7530000079423189E-3</v>
      </c>
      <c r="AD940">
        <v>3.077999921515584E-3</v>
      </c>
      <c r="AE940">
        <v>0.30285099148750311</v>
      </c>
      <c r="AF940">
        <f>0.16*X940 + 0.28*Y940 + 0.28*Z940 + 0.28*AA940</f>
        <v>0.21711190540232084</v>
      </c>
      <c r="AG940">
        <f t="shared" si="42"/>
        <v>9.3681677859276558E-2</v>
      </c>
      <c r="AH940">
        <f>IF(T940="IT_Admin", 0.25, IF(AND(T940="HR", AA940&gt;0.6), 0.25, IF(AND(T940="General", Z940&gt;0.7), 0.2, 0.1)))</f>
        <v>0.1</v>
      </c>
      <c r="AI940">
        <f>IF(V940&gt;0.7, 0.1,
 IF(F940&gt;0.5, 0.08,
 IF(E940&gt;0.5, 0.05,
 0)))</f>
        <v>0</v>
      </c>
      <c r="AJ940">
        <f t="shared" si="43"/>
        <v>0.13071074612218983</v>
      </c>
      <c r="AK940">
        <f t="shared" si="44"/>
        <v>0.14378182073440882</v>
      </c>
      <c r="AL940" t="str">
        <f>IF(MAX(X940, Y940, Z940, AA940)&gt;0.9,
 "Critical",
 IF(AK940&lt;=0.2,"Very Low",
 IF(AK940&lt;=0.4,"Low",
 IF(AK940&lt;=0.6,"Medium",
 IF(AK940&lt;=0.8,"High","Critical")))))</f>
        <v>Very Low</v>
      </c>
      <c r="AM940" t="str">
        <f>IF(MAX(X940:AA940)&gt;0.9,"CRITICAL ALERT",
 IF(AK940&gt;0.8,"CRITICAL ALERT",
 IF(AK940&gt;0.6,"ALERT",
 IF(AK940&gt;=0.4,"REVIEW","NO ACTION"))))</f>
        <v>NO ACTION</v>
      </c>
      <c r="AN940" t="str">
        <f>IF(AM940="NO ACTION","",
 IF(_xlfn.TEXTJOIN(", ", TRUE,
  IF(X940&gt;0.7,"Login anomaly",""),
  IF(Y940&gt;0.7,"File anomaly",""),
  IF(Z940&gt;0.7,"Network anomaly",""),
  IF(AA940&gt;0.7,"USB anomaly","")
 )="",
 "General anomaly detected",
 _xlfn.TEXTJOIN(", ", TRUE,
  IF(X940&gt;0.7,"Login anomaly",""),
  IF(Y940&gt;0.7,"File anomaly",""),
  IF(Z940&gt;0.7,"Network anomaly",""),
  IF(AA940&gt;0.7,"USB anomaly","")
 )))</f>
        <v/>
      </c>
    </row>
    <row r="941" spans="1:40" x14ac:dyDescent="0.3">
      <c r="A941" t="s">
        <v>964</v>
      </c>
      <c r="B941">
        <v>0.12892249527410199</v>
      </c>
      <c r="C941">
        <v>0.27152543131419299</v>
      </c>
      <c r="D941">
        <v>7.4993488433305694E-2</v>
      </c>
      <c r="E941">
        <v>0</v>
      </c>
      <c r="F941">
        <v>0</v>
      </c>
      <c r="G941">
        <v>0.99366168029872604</v>
      </c>
      <c r="H941">
        <v>7</v>
      </c>
      <c r="I941">
        <v>8</v>
      </c>
      <c r="J941">
        <v>7.3994561328180899E-2</v>
      </c>
      <c r="K941">
        <v>9.7879282218597003E-3</v>
      </c>
      <c r="L941">
        <v>3.3679979123520998E-2</v>
      </c>
      <c r="M941">
        <v>6.9264069264069203E-3</v>
      </c>
      <c r="N941">
        <v>5.6386116026218798E-2</v>
      </c>
      <c r="O941">
        <v>805</v>
      </c>
      <c r="P941">
        <v>6.1973905723905702E-2</v>
      </c>
      <c r="Q941">
        <v>6.2134015919211701E-2</v>
      </c>
      <c r="R941">
        <v>0</v>
      </c>
      <c r="S941">
        <v>0</v>
      </c>
      <c r="T941" t="s">
        <v>49</v>
      </c>
      <c r="U941">
        <v>8.1509433962264101E-3</v>
      </c>
      <c r="V941">
        <v>0</v>
      </c>
      <c r="W941">
        <v>0</v>
      </c>
      <c r="X941">
        <v>2.2498046529991701E-2</v>
      </c>
      <c r="Y941">
        <v>4.8554736635262302E-2</v>
      </c>
      <c r="Z941">
        <v>5.97387898448309E-2</v>
      </c>
      <c r="AA941">
        <v>0</v>
      </c>
      <c r="AB941">
        <v>1.9032999873161319E-2</v>
      </c>
      <c r="AC941">
        <v>6.6399999195709825E-4</v>
      </c>
      <c r="AD941">
        <v>4.6120001934468746E-3</v>
      </c>
      <c r="AE941">
        <v>2.549000084400177E-3</v>
      </c>
      <c r="AF941">
        <f>0.16*X941 + 0.28*Y941 + 0.28*Z941 + 0.28*AA941</f>
        <v>3.3921874859224765E-2</v>
      </c>
      <c r="AG941">
        <f t="shared" si="42"/>
        <v>5.2362800552509733E-3</v>
      </c>
      <c r="AH941">
        <f>IF(T941="IT_Admin", 0.25, IF(AND(T941="HR", AA941&gt;0.6), 0.25, IF(AND(T941="General", Z941&gt;0.7), 0.2, 0.1)))</f>
        <v>0.1</v>
      </c>
      <c r="AI941">
        <f>IF(V941&gt;0.7, 0.1,
 IF(F941&gt;0.5, 0.08,
 IF(E941&gt;0.5, 0.05,
 0)))</f>
        <v>0</v>
      </c>
      <c r="AJ941">
        <f t="shared" si="43"/>
        <v>1.384195849644311E-2</v>
      </c>
      <c r="AK941">
        <f t="shared" si="44"/>
        <v>1.5226154346087423E-2</v>
      </c>
      <c r="AL941" t="str">
        <f>IF(MAX(X941, Y941, Z941, AA941)&gt;0.9,
 "Critical",
 IF(AK941&lt;=0.2,"Very Low",
 IF(AK941&lt;=0.4,"Low",
 IF(AK941&lt;=0.6,"Medium",
 IF(AK941&lt;=0.8,"High","Critical")))))</f>
        <v>Very Low</v>
      </c>
      <c r="AM941" t="str">
        <f>IF(MAX(X941:AA941)&gt;0.9,"CRITICAL ALERT",
 IF(AK941&gt;0.8,"CRITICAL ALERT",
 IF(AK941&gt;0.6,"ALERT",
 IF(AK941&gt;=0.4,"REVIEW","NO ACTION"))))</f>
        <v>NO ACTION</v>
      </c>
      <c r="AN941" t="str">
        <f>IF(AM941="NO ACTION","",
 IF(_xlfn.TEXTJOIN(", ", TRUE,
  IF(X941&gt;0.7,"Login anomaly",""),
  IF(Y941&gt;0.7,"File anomaly",""),
  IF(Z941&gt;0.7,"Network anomaly",""),
  IF(AA941&gt;0.7,"USB anomaly","")
 )="",
 "General anomaly detected",
 _xlfn.TEXTJOIN(", ", TRUE,
  IF(X941&gt;0.7,"Login anomaly",""),
  IF(Y941&gt;0.7,"File anomaly",""),
  IF(Z941&gt;0.7,"Network anomaly",""),
  IF(AA941&gt;0.7,"USB anomaly","")
 )))</f>
        <v/>
      </c>
    </row>
    <row r="942" spans="1:40" x14ac:dyDescent="0.3">
      <c r="A942" t="s">
        <v>965</v>
      </c>
      <c r="B942">
        <v>0.12892249527410199</v>
      </c>
      <c r="C942">
        <v>0.36953165208440503</v>
      </c>
      <c r="D942">
        <v>0</v>
      </c>
      <c r="E942">
        <v>0</v>
      </c>
      <c r="F942">
        <v>0</v>
      </c>
      <c r="G942">
        <v>0.99367259947984798</v>
      </c>
      <c r="H942">
        <v>8</v>
      </c>
      <c r="I942">
        <v>8</v>
      </c>
      <c r="J942">
        <v>8.5396689089260999E-2</v>
      </c>
      <c r="K942">
        <v>2.2022838499184301E-2</v>
      </c>
      <c r="L942">
        <v>6.5690031705541496E-2</v>
      </c>
      <c r="M942">
        <v>4.6176046176046098E-3</v>
      </c>
      <c r="N942">
        <v>3.2585625454706203E-2</v>
      </c>
      <c r="O942">
        <v>927</v>
      </c>
      <c r="P942">
        <v>7.4494949494949503E-2</v>
      </c>
      <c r="Q942">
        <v>7.46519863950348E-2</v>
      </c>
      <c r="R942">
        <v>0</v>
      </c>
      <c r="S942">
        <v>0</v>
      </c>
      <c r="T942" t="s">
        <v>49</v>
      </c>
      <c r="U942">
        <v>2.69700332963374E-2</v>
      </c>
      <c r="V942">
        <v>0</v>
      </c>
      <c r="W942">
        <v>0</v>
      </c>
      <c r="X942">
        <v>0</v>
      </c>
      <c r="Y942">
        <v>5.9700041307034803E-2</v>
      </c>
      <c r="Z942">
        <v>5.7731219878852102E-2</v>
      </c>
      <c r="AA942">
        <v>0</v>
      </c>
      <c r="AB942">
        <v>2.464899979531765E-2</v>
      </c>
      <c r="AC942">
        <v>2.6900001103058457E-4</v>
      </c>
      <c r="AD942">
        <v>3.689999924972653E-3</v>
      </c>
      <c r="AE942">
        <v>1.736999955028296E-3</v>
      </c>
      <c r="AF942">
        <f>0.16*X942 + 0.28*Y942 + 0.28*Z942 + 0.28*AA942</f>
        <v>3.2880753132048336E-2</v>
      </c>
      <c r="AG942">
        <f t="shared" si="42"/>
        <v>5.5387199367396538E-3</v>
      </c>
      <c r="AH942">
        <f>IF(T942="IT_Admin", 0.25, IF(AND(T942="HR", AA942&gt;0.6), 0.25, IF(AND(T942="General", Z942&gt;0.7), 0.2, 0.1)))</f>
        <v>0.1</v>
      </c>
      <c r="AI942">
        <f>IF(V942&gt;0.7, 0.1,
 IF(F942&gt;0.5, 0.08,
 IF(E942&gt;0.5, 0.05,
 0)))</f>
        <v>0</v>
      </c>
      <c r="AJ942">
        <f t="shared" si="43"/>
        <v>1.3741329895332256E-2</v>
      </c>
      <c r="AK942">
        <f t="shared" si="44"/>
        <v>1.5115462884865483E-2</v>
      </c>
      <c r="AL942" t="str">
        <f>IF(MAX(X942, Y942, Z942, AA942)&gt;0.9,
 "Critical",
 IF(AK942&lt;=0.2,"Very Low",
 IF(AK942&lt;=0.4,"Low",
 IF(AK942&lt;=0.6,"Medium",
 IF(AK942&lt;=0.8,"High","Critical")))))</f>
        <v>Very Low</v>
      </c>
      <c r="AM942" t="str">
        <f>IF(MAX(X942:AA942)&gt;0.9,"CRITICAL ALERT",
 IF(AK942&gt;0.8,"CRITICAL ALERT",
 IF(AK942&gt;0.6,"ALERT",
 IF(AK942&gt;=0.4,"REVIEW","NO ACTION"))))</f>
        <v>NO ACTION</v>
      </c>
      <c r="AN942" t="str">
        <f>IF(AM942="NO ACTION","",
 IF(_xlfn.TEXTJOIN(", ", TRUE,
  IF(X942&gt;0.7,"Login anomaly",""),
  IF(Y942&gt;0.7,"File anomaly",""),
  IF(Z942&gt;0.7,"Network anomaly",""),
  IF(AA942&gt;0.7,"USB anomaly","")
 )="",
 "General anomaly detected",
 _xlfn.TEXTJOIN(", ", TRUE,
  IF(X942&gt;0.7,"Login anomaly",""),
  IF(Y942&gt;0.7,"File anomaly",""),
  IF(Z942&gt;0.7,"Network anomaly",""),
  IF(AA942&gt;0.7,"USB anomaly","")
 )))</f>
        <v/>
      </c>
    </row>
    <row r="943" spans="1:40" x14ac:dyDescent="0.3">
      <c r="A943" t="s">
        <v>966</v>
      </c>
      <c r="B943">
        <v>0.12892249527410199</v>
      </c>
      <c r="C943">
        <v>0.283307599931377</v>
      </c>
      <c r="D943">
        <v>7.4965657310309297E-2</v>
      </c>
      <c r="E943">
        <v>0</v>
      </c>
      <c r="F943">
        <v>0</v>
      </c>
      <c r="G943">
        <v>0.99367741676563803</v>
      </c>
      <c r="H943">
        <v>7</v>
      </c>
      <c r="I943">
        <v>8</v>
      </c>
      <c r="J943">
        <v>7.1227517771098703E-2</v>
      </c>
      <c r="K943">
        <v>8.9722675367047301E-3</v>
      </c>
      <c r="L943">
        <v>3.2068676161447797E-2</v>
      </c>
      <c r="M943">
        <v>2.3088023088023001E-3</v>
      </c>
      <c r="N943">
        <v>1.9523096692656099E-2</v>
      </c>
      <c r="O943">
        <v>802</v>
      </c>
      <c r="P943">
        <v>5.7344276094276003E-2</v>
      </c>
      <c r="Q943">
        <v>5.7505522634033399E-2</v>
      </c>
      <c r="R943">
        <v>0</v>
      </c>
      <c r="S943">
        <v>0</v>
      </c>
      <c r="T943" t="s">
        <v>49</v>
      </c>
      <c r="U943">
        <v>2.0754716981132001E-2</v>
      </c>
      <c r="V943">
        <v>0</v>
      </c>
      <c r="W943">
        <v>0</v>
      </c>
      <c r="X943">
        <v>2.2489697193092802E-2</v>
      </c>
      <c r="Y943">
        <v>3.6136770642740401E-2</v>
      </c>
      <c r="Z943">
        <v>4.22158043336281E-2</v>
      </c>
      <c r="AA943">
        <v>0</v>
      </c>
      <c r="AB943">
        <v>1.8093999475240711E-2</v>
      </c>
      <c r="AC943">
        <v>1.8000000272877509E-4</v>
      </c>
      <c r="AD943">
        <v>6.147999782115221E-3</v>
      </c>
      <c r="AE943">
        <v>2.1579999011009932E-3</v>
      </c>
      <c r="AF943">
        <f>0.16*X943 + 0.28*Y943 + 0.28*Z943 + 0.28*AA943</f>
        <v>2.5537072544278033E-2</v>
      </c>
      <c r="AG943">
        <f t="shared" si="42"/>
        <v>5.2711198281031116E-3</v>
      </c>
      <c r="AH943">
        <f>IF(T943="IT_Admin", 0.25, IF(AND(T943="HR", AA943&gt;0.6), 0.25, IF(AND(T943="General", Z943&gt;0.7), 0.2, 0.1)))</f>
        <v>0.1</v>
      </c>
      <c r="AI943">
        <f>IF(V943&gt;0.7, 0.1,
 IF(F943&gt;0.5, 0.08,
 IF(E943&gt;0.5, 0.05,
 0)))</f>
        <v>0</v>
      </c>
      <c r="AJ943">
        <f t="shared" si="43"/>
        <v>1.1350905642955588E-2</v>
      </c>
      <c r="AK943">
        <f t="shared" si="44"/>
        <v>1.2485996207251148E-2</v>
      </c>
      <c r="AL943" t="str">
        <f>IF(MAX(X943, Y943, Z943, AA943)&gt;0.9,
 "Critical",
 IF(AK943&lt;=0.2,"Very Low",
 IF(AK943&lt;=0.4,"Low",
 IF(AK943&lt;=0.6,"Medium",
 IF(AK943&lt;=0.8,"High","Critical")))))</f>
        <v>Very Low</v>
      </c>
      <c r="AM943" t="str">
        <f>IF(MAX(X943:AA943)&gt;0.9,"CRITICAL ALERT",
 IF(AK943&gt;0.8,"CRITICAL ALERT",
 IF(AK943&gt;0.6,"ALERT",
 IF(AK943&gt;=0.4,"REVIEW","NO ACTION"))))</f>
        <v>NO ACTION</v>
      </c>
      <c r="AN943" t="str">
        <f>IF(AM943="NO ACTION","",
 IF(_xlfn.TEXTJOIN(", ", TRUE,
  IF(X943&gt;0.7,"Login anomaly",""),
  IF(Y943&gt;0.7,"File anomaly",""),
  IF(Z943&gt;0.7,"Network anomaly",""),
  IF(AA943&gt;0.7,"USB anomaly","")
 )="",
 "General anomaly detected",
 _xlfn.TEXTJOIN(", ", TRUE,
  IF(X943&gt;0.7,"Login anomaly",""),
  IF(Y943&gt;0.7,"File anomaly",""),
  IF(Z943&gt;0.7,"Network anomaly",""),
  IF(AA943&gt;0.7,"USB anomaly","")
 )))</f>
        <v/>
      </c>
    </row>
    <row r="944" spans="1:40" x14ac:dyDescent="0.3">
      <c r="A944" t="s">
        <v>967</v>
      </c>
      <c r="B944">
        <v>0.12892249527410199</v>
      </c>
      <c r="C944">
        <v>0.36953165208440503</v>
      </c>
      <c r="D944">
        <v>0</v>
      </c>
      <c r="E944">
        <v>0</v>
      </c>
      <c r="F944">
        <v>0</v>
      </c>
      <c r="G944">
        <v>0.99365413321765605</v>
      </c>
      <c r="H944">
        <v>8</v>
      </c>
      <c r="I944">
        <v>8</v>
      </c>
      <c r="J944">
        <v>6.5311769476647102E-2</v>
      </c>
      <c r="K944">
        <v>4.8939641109298502E-3</v>
      </c>
      <c r="L944">
        <v>1.90706140888641E-2</v>
      </c>
      <c r="M944">
        <v>5.7720057720057698E-4</v>
      </c>
      <c r="N944">
        <v>5.3212516094612097E-3</v>
      </c>
      <c r="O944">
        <v>697</v>
      </c>
      <c r="P944">
        <v>5.0399831649831597E-2</v>
      </c>
      <c r="Q944">
        <v>5.0562782706265998E-2</v>
      </c>
      <c r="R944">
        <v>0</v>
      </c>
      <c r="S944">
        <v>0</v>
      </c>
      <c r="T944" t="s">
        <v>49</v>
      </c>
      <c r="U944">
        <v>3.3962264150943298E-2</v>
      </c>
      <c r="V944">
        <v>0</v>
      </c>
      <c r="W944">
        <v>0</v>
      </c>
      <c r="X944">
        <v>0</v>
      </c>
      <c r="Y944">
        <v>2.4194036422599801E-2</v>
      </c>
      <c r="Z944">
        <v>3.2368399633683403E-2</v>
      </c>
      <c r="AA944">
        <v>0</v>
      </c>
      <c r="AB944">
        <v>2.4666000157594681E-2</v>
      </c>
      <c r="AC944">
        <v>4.4999999227002258E-4</v>
      </c>
      <c r="AD944">
        <v>7.6950001530349246E-3</v>
      </c>
      <c r="AE944">
        <v>1.8319999799132349E-3</v>
      </c>
      <c r="AF944">
        <f>0.16*X944 + 0.28*Y944 + 0.28*Z944 + 0.28*AA944</f>
        <v>1.5837482095759296E-2</v>
      </c>
      <c r="AG944">
        <f t="shared" si="42"/>
        <v>6.7401200602762411E-3</v>
      </c>
      <c r="AH944">
        <f>IF(T944="IT_Admin", 0.25, IF(AND(T944="HR", AA944&gt;0.6), 0.25, IF(AND(T944="General", Z944&gt;0.7), 0.2, 0.1)))</f>
        <v>0.1</v>
      </c>
      <c r="AI944">
        <f>IF(V944&gt;0.7, 0.1,
 IF(F944&gt;0.5, 0.08,
 IF(E944&gt;0.5, 0.05,
 0)))</f>
        <v>0</v>
      </c>
      <c r="AJ944">
        <f t="shared" si="43"/>
        <v>9.469328670921158E-3</v>
      </c>
      <c r="AK944">
        <f t="shared" si="44"/>
        <v>1.0416261538013274E-2</v>
      </c>
      <c r="AL944" t="str">
        <f>IF(MAX(X944, Y944, Z944, AA944)&gt;0.9,
 "Critical",
 IF(AK944&lt;=0.2,"Very Low",
 IF(AK944&lt;=0.4,"Low",
 IF(AK944&lt;=0.6,"Medium",
 IF(AK944&lt;=0.8,"High","Critical")))))</f>
        <v>Very Low</v>
      </c>
      <c r="AM944" t="str">
        <f>IF(MAX(X944:AA944)&gt;0.9,"CRITICAL ALERT",
 IF(AK944&gt;0.8,"CRITICAL ALERT",
 IF(AK944&gt;0.6,"ALERT",
 IF(AK944&gt;=0.4,"REVIEW","NO ACTION"))))</f>
        <v>NO ACTION</v>
      </c>
      <c r="AN944" t="str">
        <f>IF(AM944="NO ACTION","",
 IF(_xlfn.TEXTJOIN(", ", TRUE,
  IF(X944&gt;0.7,"Login anomaly",""),
  IF(Y944&gt;0.7,"File anomaly",""),
  IF(Z944&gt;0.7,"Network anomaly",""),
  IF(AA944&gt;0.7,"USB anomaly","")
 )="",
 "General anomaly detected",
 _xlfn.TEXTJOIN(", ", TRUE,
  IF(X944&gt;0.7,"Login anomaly",""),
  IF(Y944&gt;0.7,"File anomaly",""),
  IF(Z944&gt;0.7,"Network anomaly",""),
  IF(AA944&gt;0.7,"USB anomaly","")
 )))</f>
        <v/>
      </c>
    </row>
    <row r="945" spans="1:40" x14ac:dyDescent="0.3">
      <c r="A945" t="s">
        <v>968</v>
      </c>
      <c r="B945">
        <v>0.12892249527410199</v>
      </c>
      <c r="C945">
        <v>0.36953165208440503</v>
      </c>
      <c r="D945">
        <v>0</v>
      </c>
      <c r="E945">
        <v>0</v>
      </c>
      <c r="F945">
        <v>0</v>
      </c>
      <c r="G945">
        <v>0.99368913882772503</v>
      </c>
      <c r="H945">
        <v>8</v>
      </c>
      <c r="I945">
        <v>8</v>
      </c>
      <c r="J945">
        <v>6.5502600066790706E-2</v>
      </c>
      <c r="K945">
        <v>8.1566068515497494E-3</v>
      </c>
      <c r="L945">
        <v>3.1692094530841E-2</v>
      </c>
      <c r="M945">
        <v>5.1948051948051896E-3</v>
      </c>
      <c r="N945">
        <v>4.7752247752247699E-2</v>
      </c>
      <c r="O945">
        <v>695</v>
      </c>
      <c r="P945">
        <v>5.4187710437710403E-2</v>
      </c>
      <c r="Q945">
        <v>5.43497317577755E-2</v>
      </c>
      <c r="R945">
        <v>0.199115044247787</v>
      </c>
      <c r="S945">
        <v>1</v>
      </c>
      <c r="T945" t="s">
        <v>49</v>
      </c>
      <c r="U945">
        <v>8.9374379344587807E-3</v>
      </c>
      <c r="V945">
        <v>0</v>
      </c>
      <c r="W945">
        <v>0</v>
      </c>
      <c r="X945">
        <v>0</v>
      </c>
      <c r="Y945">
        <v>4.32722416044529E-2</v>
      </c>
      <c r="Z945">
        <v>5.1613525363525301E-2</v>
      </c>
      <c r="AA945">
        <v>0.199115044247787</v>
      </c>
      <c r="AB945">
        <v>2.6340000331401821E-2</v>
      </c>
      <c r="AC945">
        <v>5.2699999650940299E-4</v>
      </c>
      <c r="AD945">
        <v>5.6469999253749847E-3</v>
      </c>
      <c r="AE945">
        <v>8.0162003636360168E-2</v>
      </c>
      <c r="AF945">
        <f>0.16*X945 + 0.28*Y945 + 0.28*Z945 + 0.28*AA945</f>
        <v>8.2320227140414259E-2</v>
      </c>
      <c r="AG945">
        <f t="shared" si="42"/>
        <v>2.8388481049332771E-2</v>
      </c>
      <c r="AH945">
        <f>IF(T945="IT_Admin", 0.25, IF(AND(T945="HR", AA945&gt;0.6), 0.25, IF(AND(T945="General", Z945&gt;0.7), 0.2, 0.1)))</f>
        <v>0.1</v>
      </c>
      <c r="AI945">
        <f>IF(V945&gt;0.7, 0.1,
 IF(F945&gt;0.5, 0.08,
 IF(E945&gt;0.5, 0.05,
 0)))</f>
        <v>0</v>
      </c>
      <c r="AJ945">
        <f t="shared" si="43"/>
        <v>4.4568004876657213E-2</v>
      </c>
      <c r="AK945">
        <f t="shared" si="44"/>
        <v>4.9024805364322938E-2</v>
      </c>
      <c r="AL945" t="str">
        <f>IF(MAX(X945, Y945, Z945, AA945)&gt;0.9,
 "Critical",
 IF(AK945&lt;=0.2,"Very Low",
 IF(AK945&lt;=0.4,"Low",
 IF(AK945&lt;=0.6,"Medium",
 IF(AK945&lt;=0.8,"High","Critical")))))</f>
        <v>Very Low</v>
      </c>
      <c r="AM945" t="str">
        <f>IF(MAX(X945:AA945)&gt;0.9,"CRITICAL ALERT",
 IF(AK945&gt;0.8,"CRITICAL ALERT",
 IF(AK945&gt;0.6,"ALERT",
 IF(AK945&gt;=0.4,"REVIEW","NO ACTION"))))</f>
        <v>NO ACTION</v>
      </c>
      <c r="AN945" t="str">
        <f>IF(AM945="NO ACTION","",
 IF(_xlfn.TEXTJOIN(", ", TRUE,
  IF(X945&gt;0.7,"Login anomaly",""),
  IF(Y945&gt;0.7,"File anomaly",""),
  IF(Z945&gt;0.7,"Network anomaly",""),
  IF(AA945&gt;0.7,"USB anomaly","")
 )="",
 "General anomaly detected",
 _xlfn.TEXTJOIN(", ", TRUE,
  IF(X945&gt;0.7,"Login anomaly",""),
  IF(Y945&gt;0.7,"File anomaly",""),
  IF(Z945&gt;0.7,"Network anomaly",""),
  IF(AA945&gt;0.7,"USB anomaly","")
 )))</f>
        <v/>
      </c>
    </row>
    <row r="946" spans="1:40" x14ac:dyDescent="0.3">
      <c r="A946" t="s">
        <v>969</v>
      </c>
      <c r="B946">
        <v>0.240075614366729</v>
      </c>
      <c r="C946">
        <v>0.79486894489830195</v>
      </c>
      <c r="D946">
        <v>0.38620689501848099</v>
      </c>
      <c r="E946">
        <v>0</v>
      </c>
      <c r="F946">
        <v>0</v>
      </c>
      <c r="G946">
        <v>0.467487288721182</v>
      </c>
      <c r="H946">
        <v>8</v>
      </c>
      <c r="I946">
        <v>16</v>
      </c>
      <c r="J946">
        <v>7.0511903058060196E-2</v>
      </c>
      <c r="K946">
        <v>9.7879282218597003E-3</v>
      </c>
      <c r="L946">
        <v>3.5337860766148803E-2</v>
      </c>
      <c r="M946">
        <v>1.44300144300144E-3</v>
      </c>
      <c r="N946">
        <v>1.23253535256232E-2</v>
      </c>
      <c r="O946">
        <v>805</v>
      </c>
      <c r="P946">
        <v>5.6748035914702497E-2</v>
      </c>
      <c r="Q946">
        <v>5.6909428801851299E-2</v>
      </c>
      <c r="R946">
        <v>0.58259587020648895</v>
      </c>
      <c r="S946">
        <v>1</v>
      </c>
      <c r="T946" t="s">
        <v>49</v>
      </c>
      <c r="U946">
        <v>3.3962264150943298E-2</v>
      </c>
      <c r="V946">
        <v>0</v>
      </c>
      <c r="W946">
        <v>0</v>
      </c>
      <c r="X946">
        <v>0.11586206850554399</v>
      </c>
      <c r="Y946">
        <v>3.54689170523734E-2</v>
      </c>
      <c r="Z946">
        <v>3.8978962959070801E-2</v>
      </c>
      <c r="AA946">
        <v>0.58259587020648895</v>
      </c>
      <c r="AB946">
        <v>4.7639001160860062E-2</v>
      </c>
      <c r="AC946">
        <v>1.039999988279305E-4</v>
      </c>
      <c r="AD946">
        <v>5.6799999438226223E-3</v>
      </c>
      <c r="AE946">
        <v>0.33087000250816351</v>
      </c>
      <c r="AF946">
        <f>0.16*X946 + 0.28*Y946 + 0.28*Z946 + 0.28*AA946</f>
        <v>0.20251018102190835</v>
      </c>
      <c r="AG946">
        <f t="shared" si="42"/>
        <v>0.10188536087196556</v>
      </c>
      <c r="AH946">
        <f>IF(T946="IT_Admin", 0.25, IF(AND(T946="HR", AA946&gt;0.6), 0.25, IF(AND(T946="General", Z946&gt;0.7), 0.2, 0.1)))</f>
        <v>0.1</v>
      </c>
      <c r="AI946">
        <f>IF(V946&gt;0.7, 0.1,
 IF(F946&gt;0.5, 0.08,
 IF(E946&gt;0.5, 0.05,
 0)))</f>
        <v>0</v>
      </c>
      <c r="AJ946">
        <f t="shared" si="43"/>
        <v>0.13207280691694839</v>
      </c>
      <c r="AK946">
        <f t="shared" si="44"/>
        <v>0.14528008760864325</v>
      </c>
      <c r="AL946" t="str">
        <f>IF(MAX(X946, Y946, Z946, AA946)&gt;0.9,
 "Critical",
 IF(AK946&lt;=0.2,"Very Low",
 IF(AK946&lt;=0.4,"Low",
 IF(AK946&lt;=0.6,"Medium",
 IF(AK946&lt;=0.8,"High","Critical")))))</f>
        <v>Very Low</v>
      </c>
      <c r="AM946" t="str">
        <f>IF(MAX(X946:AA946)&gt;0.9,"CRITICAL ALERT",
 IF(AK946&gt;0.8,"CRITICAL ALERT",
 IF(AK946&gt;0.6,"ALERT",
 IF(AK946&gt;=0.4,"REVIEW","NO ACTION"))))</f>
        <v>NO ACTION</v>
      </c>
      <c r="AN946" t="str">
        <f>IF(AM946="NO ACTION","",
 IF(_xlfn.TEXTJOIN(", ", TRUE,
  IF(X946&gt;0.7,"Login anomaly",""),
  IF(Y946&gt;0.7,"File anomaly",""),
  IF(Z946&gt;0.7,"Network anomaly",""),
  IF(AA946&gt;0.7,"USB anomaly","")
 )="",
 "General anomaly detected",
 _xlfn.TEXTJOIN(", ", TRUE,
  IF(X946&gt;0.7,"Login anomaly",""),
  IF(Y946&gt;0.7,"File anomaly",""),
  IF(Z946&gt;0.7,"Network anomaly",""),
  IF(AA946&gt;0.7,"USB anomaly","")
 )))</f>
        <v/>
      </c>
    </row>
    <row r="947" spans="1:40" x14ac:dyDescent="0.3">
      <c r="A947" t="s">
        <v>970</v>
      </c>
      <c r="B947">
        <v>7.5992438563327006E-2</v>
      </c>
      <c r="C947">
        <v>0.36953165208440503</v>
      </c>
      <c r="D947">
        <v>0</v>
      </c>
      <c r="E947">
        <v>0</v>
      </c>
      <c r="F947">
        <v>0</v>
      </c>
      <c r="G947">
        <v>0.98215320029067299</v>
      </c>
      <c r="H947">
        <v>8</v>
      </c>
      <c r="I947">
        <v>8</v>
      </c>
      <c r="J947">
        <v>1.4598540145985399E-2</v>
      </c>
      <c r="K947">
        <v>8.1566068515497503E-4</v>
      </c>
      <c r="L947">
        <v>1.40423492808678E-2</v>
      </c>
      <c r="M947">
        <v>8.6580086580086504E-4</v>
      </c>
      <c r="N947">
        <v>3.5263985746300797E-2</v>
      </c>
      <c r="O947">
        <v>216</v>
      </c>
      <c r="P947">
        <v>1.1503928170594801E-2</v>
      </c>
      <c r="Q947">
        <v>1.16764262421543E-2</v>
      </c>
      <c r="R947">
        <v>0</v>
      </c>
      <c r="S947">
        <v>0</v>
      </c>
      <c r="T947" t="s">
        <v>49</v>
      </c>
      <c r="U947">
        <v>4.2452830188679201E-3</v>
      </c>
      <c r="V947">
        <v>0</v>
      </c>
      <c r="W947">
        <v>0</v>
      </c>
      <c r="X947">
        <v>0</v>
      </c>
      <c r="Y947">
        <v>2.0520078393521199E-2</v>
      </c>
      <c r="Z947">
        <v>2.1007951200877201E-2</v>
      </c>
      <c r="AA947">
        <v>0</v>
      </c>
      <c r="AB947">
        <v>3.1831998378038413E-2</v>
      </c>
      <c r="AC947">
        <v>9.8600005730986595E-4</v>
      </c>
      <c r="AD947">
        <v>1.3695999979972839E-2</v>
      </c>
      <c r="AE947">
        <v>2.7270000427961349E-3</v>
      </c>
      <c r="AF947">
        <f>0.16*X947 + 0.28*Y947 + 0.28*Z947 + 0.28*AA947</f>
        <v>1.1627848286431552E-2</v>
      </c>
      <c r="AG947">
        <f t="shared" si="42"/>
        <v>9.9676397629082231E-3</v>
      </c>
      <c r="AH947">
        <f>IF(T947="IT_Admin", 0.25, IF(AND(T947="HR", AA947&gt;0.6), 0.25, IF(AND(T947="General", Z947&gt;0.7), 0.2, 0.1)))</f>
        <v>0.1</v>
      </c>
      <c r="AI947">
        <f>IF(V947&gt;0.7, 0.1,
 IF(F947&gt;0.5, 0.08,
 IF(E947&gt;0.5, 0.05,
 0)))</f>
        <v>0</v>
      </c>
      <c r="AJ947">
        <f t="shared" si="43"/>
        <v>1.0465702319965221E-2</v>
      </c>
      <c r="AK947">
        <f t="shared" si="44"/>
        <v>1.1512272551961744E-2</v>
      </c>
      <c r="AL947" t="str">
        <f>IF(MAX(X947, Y947, Z947, AA947)&gt;0.9,
 "Critical",
 IF(AK947&lt;=0.2,"Very Low",
 IF(AK947&lt;=0.4,"Low",
 IF(AK947&lt;=0.6,"Medium",
 IF(AK947&lt;=0.8,"High","Critical")))))</f>
        <v>Very Low</v>
      </c>
      <c r="AM947" t="str">
        <f>IF(MAX(X947:AA947)&gt;0.9,"CRITICAL ALERT",
 IF(AK947&gt;0.8,"CRITICAL ALERT",
 IF(AK947&gt;0.6,"ALERT",
 IF(AK947&gt;=0.4,"REVIEW","NO ACTION"))))</f>
        <v>NO ACTION</v>
      </c>
      <c r="AN947" t="str">
        <f>IF(AM947="NO ACTION","",
 IF(_xlfn.TEXTJOIN(", ", TRUE,
  IF(X947&gt;0.7,"Login anomaly",""),
  IF(Y947&gt;0.7,"File anomaly",""),
  IF(Z947&gt;0.7,"Network anomaly",""),
  IF(AA947&gt;0.7,"USB anomaly","")
 )="",
 "General anomaly detected",
 _xlfn.TEXTJOIN(", ", TRUE,
  IF(X947&gt;0.7,"Login anomaly",""),
  IF(Y947&gt;0.7,"File anomaly",""),
  IF(Z947&gt;0.7,"Network anomaly",""),
  IF(AA947&gt;0.7,"USB anomaly","")
 )))</f>
        <v/>
      </c>
    </row>
    <row r="948" spans="1:40" x14ac:dyDescent="0.3">
      <c r="A948" t="s">
        <v>971</v>
      </c>
      <c r="B948">
        <v>0.172778827977315</v>
      </c>
      <c r="C948">
        <v>0.45009115541300099</v>
      </c>
      <c r="D948">
        <v>0.293445863616008</v>
      </c>
      <c r="E948">
        <v>0</v>
      </c>
      <c r="F948">
        <v>0</v>
      </c>
      <c r="G948">
        <v>0.70586350719146296</v>
      </c>
      <c r="H948">
        <v>7</v>
      </c>
      <c r="I948">
        <v>14</v>
      </c>
      <c r="J948">
        <v>5.6915223510328697E-2</v>
      </c>
      <c r="K948">
        <v>4.0783034257748704E-3</v>
      </c>
      <c r="L948">
        <v>1.8226922480592201E-2</v>
      </c>
      <c r="M948">
        <v>5.7720057720057698E-4</v>
      </c>
      <c r="N948">
        <v>6.1030047674454999E-3</v>
      </c>
      <c r="O948">
        <v>497</v>
      </c>
      <c r="P948">
        <v>4.3876262626262597E-2</v>
      </c>
      <c r="Q948">
        <v>4.4040814895332903E-2</v>
      </c>
      <c r="R948">
        <v>0</v>
      </c>
      <c r="S948">
        <v>0</v>
      </c>
      <c r="T948" t="s">
        <v>49</v>
      </c>
      <c r="U948">
        <v>2.83018867924528E-2</v>
      </c>
      <c r="V948">
        <v>0</v>
      </c>
      <c r="W948">
        <v>0</v>
      </c>
      <c r="X948">
        <v>8.8033759084802404E-2</v>
      </c>
      <c r="Y948">
        <v>2.2327407372595399E-2</v>
      </c>
      <c r="Z948">
        <v>2.87669594827357E-2</v>
      </c>
      <c r="AA948">
        <v>0</v>
      </c>
      <c r="AB948">
        <v>0</v>
      </c>
      <c r="AC948">
        <v>5.0700001884251833E-4</v>
      </c>
      <c r="AD948">
        <v>8.4880003705620766E-3</v>
      </c>
      <c r="AE948">
        <v>5.2410000935196877E-3</v>
      </c>
      <c r="AF948">
        <f>0.16*X948 + 0.28*Y948 + 0.28*Z948 + 0.28*AA948</f>
        <v>2.8391824173061096E-2</v>
      </c>
      <c r="AG948">
        <f t="shared" si="42"/>
        <v>3.9860801352187992E-3</v>
      </c>
      <c r="AH948">
        <f>IF(T948="IT_Admin", 0.25, IF(AND(T948="HR", AA948&gt;0.6), 0.25, IF(AND(T948="General", Z948&gt;0.7), 0.2, 0.1)))</f>
        <v>0.1</v>
      </c>
      <c r="AI948">
        <f>IF(V948&gt;0.7, 0.1,
 IF(F948&gt;0.5, 0.08,
 IF(E948&gt;0.5, 0.05,
 0)))</f>
        <v>0</v>
      </c>
      <c r="AJ948">
        <f t="shared" si="43"/>
        <v>1.1307803346571488E-2</v>
      </c>
      <c r="AK948">
        <f t="shared" si="44"/>
        <v>1.2438583681228639E-2</v>
      </c>
      <c r="AL948" t="str">
        <f>IF(MAX(X948, Y948, Z948, AA948)&gt;0.9,
 "Critical",
 IF(AK948&lt;=0.2,"Very Low",
 IF(AK948&lt;=0.4,"Low",
 IF(AK948&lt;=0.6,"Medium",
 IF(AK948&lt;=0.8,"High","Critical")))))</f>
        <v>Very Low</v>
      </c>
      <c r="AM948" t="str">
        <f>IF(MAX(X948:AA948)&gt;0.9,"CRITICAL ALERT",
 IF(AK948&gt;0.8,"CRITICAL ALERT",
 IF(AK948&gt;0.6,"ALERT",
 IF(AK948&gt;=0.4,"REVIEW","NO ACTION"))))</f>
        <v>NO ACTION</v>
      </c>
      <c r="AN948" t="str">
        <f>IF(AM948="NO ACTION","",
 IF(_xlfn.TEXTJOIN(", ", TRUE,
  IF(X948&gt;0.7,"Login anomaly",""),
  IF(Y948&gt;0.7,"File anomaly",""),
  IF(Z948&gt;0.7,"Network anomaly",""),
  IF(AA948&gt;0.7,"USB anomaly","")
 )="",
 "General anomaly detected",
 _xlfn.TEXTJOIN(", ", TRUE,
  IF(X948&gt;0.7,"Login anomaly",""),
  IF(Y948&gt;0.7,"File anomaly",""),
  IF(Z948&gt;0.7,"Network anomaly",""),
  IF(AA948&gt;0.7,"USB anomaly","")
 )))</f>
        <v/>
      </c>
    </row>
    <row r="949" spans="1:40" x14ac:dyDescent="0.3">
      <c r="A949" t="s">
        <v>972</v>
      </c>
      <c r="B949">
        <v>0.14366729678638901</v>
      </c>
      <c r="C949">
        <v>0.362314237004631</v>
      </c>
      <c r="D949">
        <v>0.38795824631110698</v>
      </c>
      <c r="E949">
        <v>0.59317129629629595</v>
      </c>
      <c r="F949">
        <v>9.6354166666666602E-2</v>
      </c>
      <c r="G949">
        <v>0.877372118483153</v>
      </c>
      <c r="H949">
        <v>0</v>
      </c>
      <c r="I949">
        <v>23</v>
      </c>
      <c r="J949">
        <v>9.7514431563379605E-2</v>
      </c>
      <c r="K949">
        <v>3.6704730831973897E-2</v>
      </c>
      <c r="L949">
        <v>9.5911507167274299E-2</v>
      </c>
      <c r="M949">
        <v>4.0404040404040404E-3</v>
      </c>
      <c r="N949">
        <v>2.4977939472815E-2</v>
      </c>
      <c r="O949">
        <v>981</v>
      </c>
      <c r="P949">
        <v>8.9436026936026897E-2</v>
      </c>
      <c r="Q949">
        <v>8.95893965426557E-2</v>
      </c>
      <c r="R949">
        <v>0.43805309734513198</v>
      </c>
      <c r="S949">
        <v>1</v>
      </c>
      <c r="T949" t="s">
        <v>24</v>
      </c>
      <c r="U949">
        <v>5.0943396226415097E-2</v>
      </c>
      <c r="V949">
        <v>0</v>
      </c>
      <c r="W949">
        <v>0.30158208685791399</v>
      </c>
      <c r="X949">
        <v>0.33288052944888702</v>
      </c>
      <c r="Y949">
        <v>7.4952021738157598E-2</v>
      </c>
      <c r="Z949">
        <v>6.3652791950742096E-2</v>
      </c>
      <c r="AA949">
        <v>0.43805309734513198</v>
      </c>
      <c r="AB949">
        <v>0.33357200026512152</v>
      </c>
      <c r="AC949">
        <v>1.3970000436529519E-3</v>
      </c>
      <c r="AD949">
        <v>1.5500000445172191E-3</v>
      </c>
      <c r="AE949">
        <v>0.16797299683094019</v>
      </c>
      <c r="AF949">
        <f>0.16*X949 + 0.28*Y949 + 0.28*Z949 + 0.28*AA949</f>
        <v>0.21472509980135079</v>
      </c>
      <c r="AG949">
        <f t="shared" si="42"/>
        <v>0.10122911917977034</v>
      </c>
      <c r="AH949">
        <f>IF(T949="IT_Admin", 0.25, IF(AND(T949="HR", AA949&gt;0.6), 0.25, IF(AND(T949="General", Z949&gt;0.7), 0.2, 0.1)))</f>
        <v>0.25</v>
      </c>
      <c r="AI949">
        <f>IF(V949&gt;0.7, 0.1,
 IF(F949&gt;0.5, 0.08,
 IF(E949&gt;0.5, 0.05,
 0)))</f>
        <v>0.05</v>
      </c>
      <c r="AJ949">
        <f t="shared" si="43"/>
        <v>0.13527791336624448</v>
      </c>
      <c r="AK949">
        <f t="shared" si="44"/>
        <v>0.17586128737611784</v>
      </c>
      <c r="AL949" t="str">
        <f>IF(MAX(X949, Y949, Z949, AA949)&gt;0.9,
 "Critical",
 IF(AK949&lt;=0.2,"Very Low",
 IF(AK949&lt;=0.4,"Low",
 IF(AK949&lt;=0.6,"Medium",
 IF(AK949&lt;=0.8,"High","Critical")))))</f>
        <v>Very Low</v>
      </c>
      <c r="AM949" t="str">
        <f>IF(MAX(X949:AA949)&gt;0.9,"CRITICAL ALERT",
 IF(AK949&gt;0.8,"CRITICAL ALERT",
 IF(AK949&gt;0.6,"ALERT",
 IF(AK949&gt;=0.4,"REVIEW","NO ACTION"))))</f>
        <v>NO ACTION</v>
      </c>
      <c r="AN949" t="str">
        <f>IF(AM949="NO ACTION","",
 IF(_xlfn.TEXTJOIN(", ", TRUE,
  IF(X949&gt;0.7,"Login anomaly",""),
  IF(Y949&gt;0.7,"File anomaly",""),
  IF(Z949&gt;0.7,"Network anomaly",""),
  IF(AA949&gt;0.7,"USB anomaly","")
 )="",
 "General anomaly detected",
 _xlfn.TEXTJOIN(", ", TRUE,
  IF(X949&gt;0.7,"Login anomaly",""),
  IF(Y949&gt;0.7,"File anomaly",""),
  IF(Z949&gt;0.7,"Network anomaly",""),
  IF(AA949&gt;0.7,"USB anomaly","")
 )))</f>
        <v/>
      </c>
    </row>
    <row r="950" spans="1:40" x14ac:dyDescent="0.3">
      <c r="A950" t="s">
        <v>973</v>
      </c>
      <c r="B950">
        <v>0.229111531190926</v>
      </c>
      <c r="C950">
        <v>0.65304118188031002</v>
      </c>
      <c r="D950">
        <v>0.36642088236792703</v>
      </c>
      <c r="E950">
        <v>0</v>
      </c>
      <c r="F950">
        <v>0</v>
      </c>
      <c r="G950">
        <v>0.49685363523875897</v>
      </c>
      <c r="H950">
        <v>7</v>
      </c>
      <c r="I950">
        <v>14</v>
      </c>
      <c r="J950">
        <v>8.1961738466676204E-2</v>
      </c>
      <c r="K950">
        <v>1.6313213703099499E-2</v>
      </c>
      <c r="L950">
        <v>5.0692636405686498E-2</v>
      </c>
      <c r="M950">
        <v>1.7316017316017301E-3</v>
      </c>
      <c r="N950">
        <v>1.2730237454555499E-2</v>
      </c>
      <c r="O950">
        <v>919</v>
      </c>
      <c r="P950">
        <v>6.8111672278338906E-2</v>
      </c>
      <c r="Q950">
        <v>6.8270275956379897E-2</v>
      </c>
      <c r="R950">
        <v>0</v>
      </c>
      <c r="S950">
        <v>0</v>
      </c>
      <c r="T950" t="s">
        <v>49</v>
      </c>
      <c r="U950">
        <v>4.8517520215633402E-2</v>
      </c>
      <c r="V950">
        <v>0</v>
      </c>
      <c r="W950">
        <v>0</v>
      </c>
      <c r="X950">
        <v>0.109926264710378</v>
      </c>
      <c r="Y950">
        <v>4.5557737132545101E-2</v>
      </c>
      <c r="Z950">
        <v>4.59590983488255E-2</v>
      </c>
      <c r="AA950">
        <v>0</v>
      </c>
      <c r="AB950">
        <v>2.2086000069975849E-2</v>
      </c>
      <c r="AC950">
        <v>8.6000000010244548E-5</v>
      </c>
      <c r="AD950">
        <v>4.658999852836132E-3</v>
      </c>
      <c r="AE950">
        <v>6.7449999041855344E-3</v>
      </c>
      <c r="AF950">
        <f>0.16*X950 + 0.28*Y950 + 0.28*Z950 + 0.28*AA950</f>
        <v>4.3212916288444252E-2</v>
      </c>
      <c r="AG950">
        <f t="shared" si="42"/>
        <v>6.7509599431650712E-3</v>
      </c>
      <c r="AH950">
        <f>IF(T950="IT_Admin", 0.25, IF(AND(T950="HR", AA950&gt;0.6), 0.25, IF(AND(T950="General", Z950&gt;0.7), 0.2, 0.1)))</f>
        <v>0.1</v>
      </c>
      <c r="AI950">
        <f>IF(V950&gt;0.7, 0.1,
 IF(F950&gt;0.5, 0.08,
 IF(E950&gt;0.5, 0.05,
 0)))</f>
        <v>0</v>
      </c>
      <c r="AJ950">
        <f t="shared" si="43"/>
        <v>1.7689546846748824E-2</v>
      </c>
      <c r="AK950">
        <f t="shared" si="44"/>
        <v>1.9458501531423707E-2</v>
      </c>
      <c r="AL950" t="str">
        <f>IF(MAX(X950, Y950, Z950, AA950)&gt;0.9,
 "Critical",
 IF(AK950&lt;=0.2,"Very Low",
 IF(AK950&lt;=0.4,"Low",
 IF(AK950&lt;=0.6,"Medium",
 IF(AK950&lt;=0.8,"High","Critical")))))</f>
        <v>Very Low</v>
      </c>
      <c r="AM950" t="str">
        <f>IF(MAX(X950:AA950)&gt;0.9,"CRITICAL ALERT",
 IF(AK950&gt;0.8,"CRITICAL ALERT",
 IF(AK950&gt;0.6,"ALERT",
 IF(AK950&gt;=0.4,"REVIEW","NO ACTION"))))</f>
        <v>NO ACTION</v>
      </c>
      <c r="AN950" t="str">
        <f>IF(AM950="NO ACTION","",
 IF(_xlfn.TEXTJOIN(", ", TRUE,
  IF(X950&gt;0.7,"Login anomaly",""),
  IF(Y950&gt;0.7,"File anomaly",""),
  IF(Z950&gt;0.7,"Network anomaly",""),
  IF(AA950&gt;0.7,"USB anomaly","")
 )="",
 "General anomaly detected",
 _xlfn.TEXTJOIN(", ", TRUE,
  IF(X950&gt;0.7,"Login anomaly",""),
  IF(Y950&gt;0.7,"File anomaly",""),
  IF(Z950&gt;0.7,"Network anomaly",""),
  IF(AA950&gt;0.7,"USB anomaly","")
 )))</f>
        <v/>
      </c>
    </row>
    <row r="951" spans="1:40" x14ac:dyDescent="0.3">
      <c r="A951" t="s">
        <v>974</v>
      </c>
      <c r="B951">
        <v>0.12892249527410199</v>
      </c>
      <c r="C951">
        <v>0.36953165208440503</v>
      </c>
      <c r="D951">
        <v>0</v>
      </c>
      <c r="E951">
        <v>0</v>
      </c>
      <c r="F951">
        <v>0</v>
      </c>
      <c r="G951">
        <v>0.99367120781950902</v>
      </c>
      <c r="H951">
        <v>8</v>
      </c>
      <c r="I951">
        <v>8</v>
      </c>
      <c r="J951">
        <v>7.5855159582081E-2</v>
      </c>
      <c r="K951">
        <v>1.71288743882544E-2</v>
      </c>
      <c r="L951">
        <v>5.7498798215264997E-2</v>
      </c>
      <c r="M951">
        <v>2.3088023088023001E-3</v>
      </c>
      <c r="N951">
        <v>1.8335798649278201E-2</v>
      </c>
      <c r="O951">
        <v>841</v>
      </c>
      <c r="P951">
        <v>6.4253647586980905E-2</v>
      </c>
      <c r="Q951">
        <v>6.4413198218731302E-2</v>
      </c>
      <c r="R951">
        <v>0</v>
      </c>
      <c r="S951">
        <v>0</v>
      </c>
      <c r="T951" t="s">
        <v>49</v>
      </c>
      <c r="U951">
        <v>3.9622641509433898E-2</v>
      </c>
      <c r="V951">
        <v>0</v>
      </c>
      <c r="W951">
        <v>0</v>
      </c>
      <c r="X951">
        <v>0</v>
      </c>
      <c r="Y951">
        <v>4.9421170618832201E-2</v>
      </c>
      <c r="Z951">
        <v>4.58865080118998E-2</v>
      </c>
      <c r="AA951">
        <v>0</v>
      </c>
      <c r="AB951">
        <v>2.4654999375343319E-2</v>
      </c>
      <c r="AC951">
        <v>5.8000001445179812E-5</v>
      </c>
      <c r="AD951">
        <v>5.2700000815093517E-3</v>
      </c>
      <c r="AE951">
        <v>1.7679999582469459E-3</v>
      </c>
      <c r="AF951">
        <f>0.16*X951 + 0.28*Y951 + 0.28*Z951 + 0.28*AA951</f>
        <v>2.6686150016604966E-2</v>
      </c>
      <c r="AG951">
        <f t="shared" si="42"/>
        <v>5.9316799115913445E-3</v>
      </c>
      <c r="AH951">
        <f>IF(T951="IT_Admin", 0.25, IF(AND(T951="HR", AA951&gt;0.6), 0.25, IF(AND(T951="General", Z951&gt;0.7), 0.2, 0.1)))</f>
        <v>0.1</v>
      </c>
      <c r="AI951">
        <f>IF(V951&gt;0.7, 0.1,
 IF(F951&gt;0.5, 0.08,
 IF(E951&gt;0.5, 0.05,
 0)))</f>
        <v>0</v>
      </c>
      <c r="AJ951">
        <f t="shared" si="43"/>
        <v>1.215802094309543E-2</v>
      </c>
      <c r="AK951">
        <f t="shared" si="44"/>
        <v>1.3373823037404975E-2</v>
      </c>
      <c r="AL951" t="str">
        <f>IF(MAX(X951, Y951, Z951, AA951)&gt;0.9,
 "Critical",
 IF(AK951&lt;=0.2,"Very Low",
 IF(AK951&lt;=0.4,"Low",
 IF(AK951&lt;=0.6,"Medium",
 IF(AK951&lt;=0.8,"High","Critical")))))</f>
        <v>Very Low</v>
      </c>
      <c r="AM951" t="str">
        <f>IF(MAX(X951:AA951)&gt;0.9,"CRITICAL ALERT",
 IF(AK951&gt;0.8,"CRITICAL ALERT",
 IF(AK951&gt;0.6,"ALERT",
 IF(AK951&gt;=0.4,"REVIEW","NO ACTION"))))</f>
        <v>NO ACTION</v>
      </c>
      <c r="AN951" t="str">
        <f>IF(AM951="NO ACTION","",
 IF(_xlfn.TEXTJOIN(", ", TRUE,
  IF(X951&gt;0.7,"Login anomaly",""),
  IF(Y951&gt;0.7,"File anomaly",""),
  IF(Z951&gt;0.7,"Network anomaly",""),
  IF(AA951&gt;0.7,"USB anomaly","")
 )="",
 "General anomaly detected",
 _xlfn.TEXTJOIN(", ", TRUE,
  IF(X951&gt;0.7,"Login anomaly",""),
  IF(Y951&gt;0.7,"File anomaly",""),
  IF(Z951&gt;0.7,"Network anomaly",""),
  IF(AA951&gt;0.7,"USB anomaly","")
 )))</f>
        <v/>
      </c>
    </row>
    <row r="952" spans="1:40" x14ac:dyDescent="0.3">
      <c r="A952" t="s">
        <v>975</v>
      </c>
      <c r="B952">
        <v>0.12892249527410199</v>
      </c>
      <c r="C952">
        <v>0.27473875002797099</v>
      </c>
      <c r="D952">
        <v>7.5107235637207503E-2</v>
      </c>
      <c r="E952">
        <v>0</v>
      </c>
      <c r="F952">
        <v>0</v>
      </c>
      <c r="G952">
        <v>0.99366339311145102</v>
      </c>
      <c r="H952">
        <v>7</v>
      </c>
      <c r="I952">
        <v>8</v>
      </c>
      <c r="J952">
        <v>7.9862601975096606E-2</v>
      </c>
      <c r="K952">
        <v>2.0391517128874301E-2</v>
      </c>
      <c r="L952">
        <v>6.5026364299432496E-2</v>
      </c>
      <c r="M952">
        <v>8.6580086580086504E-4</v>
      </c>
      <c r="N952">
        <v>6.5319235063130204E-3</v>
      </c>
      <c r="O952">
        <v>792</v>
      </c>
      <c r="P952">
        <v>6.7901234567901203E-2</v>
      </c>
      <c r="Q952">
        <v>6.8059889897962703E-2</v>
      </c>
      <c r="R952">
        <v>0</v>
      </c>
      <c r="S952">
        <v>0</v>
      </c>
      <c r="T952" t="s">
        <v>49</v>
      </c>
      <c r="U952">
        <v>0.10613207547169801</v>
      </c>
      <c r="V952">
        <v>0</v>
      </c>
      <c r="W952">
        <v>0</v>
      </c>
      <c r="X952">
        <v>2.2532170691162201E-2</v>
      </c>
      <c r="Y952">
        <v>5.0445279596629498E-2</v>
      </c>
      <c r="Z952">
        <v>4.3353510143265897E-2</v>
      </c>
      <c r="AA952">
        <v>0</v>
      </c>
      <c r="AB952">
        <v>1.8563000485301021E-2</v>
      </c>
      <c r="AC952">
        <v>1.7879999941214919E-3</v>
      </c>
      <c r="AD952">
        <v>5.1190000958740711E-3</v>
      </c>
      <c r="AE952">
        <v>1.993000041693449E-3</v>
      </c>
      <c r="AF952">
        <f>0.16*X952 + 0.28*Y952 + 0.28*Z952 + 0.28*AA952</f>
        <v>2.9868808437756661E-2</v>
      </c>
      <c r="AG952">
        <f t="shared" si="42"/>
        <v>5.4620801145210873E-3</v>
      </c>
      <c r="AH952">
        <f>IF(T952="IT_Admin", 0.25, IF(AND(T952="HR", AA952&gt;0.6), 0.25, IF(AND(T952="General", Z952&gt;0.7), 0.2, 0.1)))</f>
        <v>0.1</v>
      </c>
      <c r="AI952">
        <f>IF(V952&gt;0.7, 0.1,
 IF(F952&gt;0.5, 0.08,
 IF(E952&gt;0.5, 0.05,
 0)))</f>
        <v>0</v>
      </c>
      <c r="AJ952">
        <f t="shared" si="43"/>
        <v>1.2784098611491759E-2</v>
      </c>
      <c r="AK952">
        <f t="shared" si="44"/>
        <v>1.4062508472640936E-2</v>
      </c>
      <c r="AL952" t="str">
        <f>IF(MAX(X952, Y952, Z952, AA952)&gt;0.9,
 "Critical",
 IF(AK952&lt;=0.2,"Very Low",
 IF(AK952&lt;=0.4,"Low",
 IF(AK952&lt;=0.6,"Medium",
 IF(AK952&lt;=0.8,"High","Critical")))))</f>
        <v>Very Low</v>
      </c>
      <c r="AM952" t="str">
        <f>IF(MAX(X952:AA952)&gt;0.9,"CRITICAL ALERT",
 IF(AK952&gt;0.8,"CRITICAL ALERT",
 IF(AK952&gt;0.6,"ALERT",
 IF(AK952&gt;=0.4,"REVIEW","NO ACTION"))))</f>
        <v>NO ACTION</v>
      </c>
      <c r="AN952" t="str">
        <f>IF(AM952="NO ACTION","",
 IF(_xlfn.TEXTJOIN(", ", TRUE,
  IF(X952&gt;0.7,"Login anomaly",""),
  IF(Y952&gt;0.7,"File anomaly",""),
  IF(Z952&gt;0.7,"Network anomaly",""),
  IF(AA952&gt;0.7,"USB anomaly","")
 )="",
 "General anomaly detected",
 _xlfn.TEXTJOIN(", ", TRUE,
  IF(X952&gt;0.7,"Login anomaly",""),
  IF(Y952&gt;0.7,"File anomaly",""),
  IF(Z952&gt;0.7,"Network anomaly",""),
  IF(AA952&gt;0.7,"USB anomaly","")
 )))</f>
        <v/>
      </c>
    </row>
    <row r="953" spans="1:40" x14ac:dyDescent="0.3">
      <c r="A953" t="s">
        <v>976</v>
      </c>
      <c r="B953">
        <v>0.12892249527410199</v>
      </c>
      <c r="C953">
        <v>0.18476582604220201</v>
      </c>
      <c r="D953">
        <v>0</v>
      </c>
      <c r="E953">
        <v>0</v>
      </c>
      <c r="F953">
        <v>0</v>
      </c>
      <c r="G953">
        <v>0.99366181411221999</v>
      </c>
      <c r="H953">
        <v>7</v>
      </c>
      <c r="I953">
        <v>7</v>
      </c>
      <c r="J953">
        <v>8.7925194408663698E-2</v>
      </c>
      <c r="K953">
        <v>1.1419249592169599E-2</v>
      </c>
      <c r="L953">
        <v>3.30846259571961E-2</v>
      </c>
      <c r="M953">
        <v>2.3088023088023001E-3</v>
      </c>
      <c r="N953">
        <v>1.5825540500865098E-2</v>
      </c>
      <c r="O953">
        <v>856</v>
      </c>
      <c r="P953">
        <v>7.0671997755331104E-2</v>
      </c>
      <c r="Q953">
        <v>7.0829973000455806E-2</v>
      </c>
      <c r="R953">
        <v>0</v>
      </c>
      <c r="S953">
        <v>0</v>
      </c>
      <c r="T953" t="s">
        <v>49</v>
      </c>
      <c r="U953">
        <v>2.6415094339622601E-2</v>
      </c>
      <c r="V953">
        <v>0</v>
      </c>
      <c r="W953">
        <v>0</v>
      </c>
      <c r="X953">
        <v>0</v>
      </c>
      <c r="Y953">
        <v>3.8875014010590299E-2</v>
      </c>
      <c r="Z953">
        <v>4.8733414853544703E-2</v>
      </c>
      <c r="AA953">
        <v>0</v>
      </c>
      <c r="AB953">
        <v>3.6653000861406333E-2</v>
      </c>
      <c r="AC953">
        <v>9.4000002718530595E-5</v>
      </c>
      <c r="AD953">
        <v>4.5199999585747719E-3</v>
      </c>
      <c r="AE953">
        <v>1.653000013902783E-3</v>
      </c>
      <c r="AF953">
        <f>0.16*X953 + 0.28*Y953 + 0.28*Z953 + 0.28*AA953</f>
        <v>2.4530360081957803E-2</v>
      </c>
      <c r="AG953">
        <f t="shared" si="42"/>
        <v>7.6192401308799174E-3</v>
      </c>
      <c r="AH953">
        <f>IF(T953="IT_Admin", 0.25, IF(AND(T953="HR", AA953&gt;0.6), 0.25, IF(AND(T953="General", Z953&gt;0.7), 0.2, 0.1)))</f>
        <v>0.1</v>
      </c>
      <c r="AI953">
        <f>IF(V953&gt;0.7, 0.1,
 IF(F953&gt;0.5, 0.08,
 IF(E953&gt;0.5, 0.05,
 0)))</f>
        <v>0</v>
      </c>
      <c r="AJ953">
        <f t="shared" si="43"/>
        <v>1.2692576116203282E-2</v>
      </c>
      <c r="AK953">
        <f t="shared" si="44"/>
        <v>1.3961833727823612E-2</v>
      </c>
      <c r="AL953" t="str">
        <f>IF(MAX(X953, Y953, Z953, AA953)&gt;0.9,
 "Critical",
 IF(AK953&lt;=0.2,"Very Low",
 IF(AK953&lt;=0.4,"Low",
 IF(AK953&lt;=0.6,"Medium",
 IF(AK953&lt;=0.8,"High","Critical")))))</f>
        <v>Very Low</v>
      </c>
      <c r="AM953" t="str">
        <f>IF(MAX(X953:AA953)&gt;0.9,"CRITICAL ALERT",
 IF(AK953&gt;0.8,"CRITICAL ALERT",
 IF(AK953&gt;0.6,"ALERT",
 IF(AK953&gt;=0.4,"REVIEW","NO ACTION"))))</f>
        <v>NO ACTION</v>
      </c>
      <c r="AN953" t="str">
        <f>IF(AM953="NO ACTION","",
 IF(_xlfn.TEXTJOIN(", ", TRUE,
  IF(X953&gt;0.7,"Login anomaly",""),
  IF(Y953&gt;0.7,"File anomaly",""),
  IF(Z953&gt;0.7,"Network anomaly",""),
  IF(AA953&gt;0.7,"USB anomaly","")
 )="",
 "General anomaly detected",
 _xlfn.TEXTJOIN(", ", TRUE,
  IF(X953&gt;0.7,"Login anomaly",""),
  IF(Y953&gt;0.7,"File anomaly",""),
  IF(Z953&gt;0.7,"Network anomaly",""),
  IF(AA953&gt;0.7,"USB anomaly","")
 )))</f>
        <v/>
      </c>
    </row>
    <row r="954" spans="1:40" x14ac:dyDescent="0.3">
      <c r="A954" t="s">
        <v>977</v>
      </c>
      <c r="B954">
        <v>0.12892249527410199</v>
      </c>
      <c r="C954">
        <v>0.27313209067108202</v>
      </c>
      <c r="D954">
        <v>7.5061757440099602E-2</v>
      </c>
      <c r="E954">
        <v>0</v>
      </c>
      <c r="F954">
        <v>0</v>
      </c>
      <c r="G954">
        <v>0.99365994072330199</v>
      </c>
      <c r="H954">
        <v>7</v>
      </c>
      <c r="I954">
        <v>8</v>
      </c>
      <c r="J954">
        <v>6.3403463575211094E-2</v>
      </c>
      <c r="K954">
        <v>7.34094616639478E-3</v>
      </c>
      <c r="L954">
        <v>2.9463669892915299E-2</v>
      </c>
      <c r="M954">
        <v>2.59740259740259E-3</v>
      </c>
      <c r="N954">
        <v>2.4663642204871501E-2</v>
      </c>
      <c r="O954">
        <v>721</v>
      </c>
      <c r="P954">
        <v>5.1031144781144698E-2</v>
      </c>
      <c r="Q954">
        <v>5.1193940881517498E-2</v>
      </c>
      <c r="R954">
        <v>0</v>
      </c>
      <c r="S954">
        <v>0</v>
      </c>
      <c r="T954" t="s">
        <v>49</v>
      </c>
      <c r="U954">
        <v>1.52830188679245E-2</v>
      </c>
      <c r="V954">
        <v>0</v>
      </c>
      <c r="W954">
        <v>0</v>
      </c>
      <c r="X954">
        <v>2.2518527232029802E-2</v>
      </c>
      <c r="Y954">
        <v>3.4811620322961298E-2</v>
      </c>
      <c r="Z954">
        <v>4.0484143750635498E-2</v>
      </c>
      <c r="AA954">
        <v>0</v>
      </c>
      <c r="AB954">
        <v>1.883599907159805E-2</v>
      </c>
      <c r="AC954">
        <v>2.899999963119626E-4</v>
      </c>
      <c r="AD954">
        <v>6.9059999659657478E-3</v>
      </c>
      <c r="AE954">
        <v>2.3209999781101942E-3</v>
      </c>
      <c r="AF954">
        <f>0.16*X954 + 0.28*Y954 + 0.28*Z954 + 0.28*AA954</f>
        <v>2.4685778297731872E-2</v>
      </c>
      <c r="AG954">
        <f t="shared" si="42"/>
        <v>5.6785198347643019E-3</v>
      </c>
      <c r="AH954">
        <f>IF(T954="IT_Admin", 0.25, IF(AND(T954="HR", AA954&gt;0.6), 0.25, IF(AND(T954="General", Z954&gt;0.7), 0.2, 0.1)))</f>
        <v>0.1</v>
      </c>
      <c r="AI954">
        <f>IF(V954&gt;0.7, 0.1,
 IF(F954&gt;0.5, 0.08,
 IF(E954&gt;0.5, 0.05,
 0)))</f>
        <v>0</v>
      </c>
      <c r="AJ954">
        <f t="shared" si="43"/>
        <v>1.1380697373654573E-2</v>
      </c>
      <c r="AK954">
        <f t="shared" si="44"/>
        <v>1.2518767111020032E-2</v>
      </c>
      <c r="AL954" t="str">
        <f>IF(MAX(X954, Y954, Z954, AA954)&gt;0.9,
 "Critical",
 IF(AK954&lt;=0.2,"Very Low",
 IF(AK954&lt;=0.4,"Low",
 IF(AK954&lt;=0.6,"Medium",
 IF(AK954&lt;=0.8,"High","Critical")))))</f>
        <v>Very Low</v>
      </c>
      <c r="AM954" t="str">
        <f>IF(MAX(X954:AA954)&gt;0.9,"CRITICAL ALERT",
 IF(AK954&gt;0.8,"CRITICAL ALERT",
 IF(AK954&gt;0.6,"ALERT",
 IF(AK954&gt;=0.4,"REVIEW","NO ACTION"))))</f>
        <v>NO ACTION</v>
      </c>
      <c r="AN954" t="str">
        <f>IF(AM954="NO ACTION","",
 IF(_xlfn.TEXTJOIN(", ", TRUE,
  IF(X954&gt;0.7,"Login anomaly",""),
  IF(Y954&gt;0.7,"File anomaly",""),
  IF(Z954&gt;0.7,"Network anomaly",""),
  IF(AA954&gt;0.7,"USB anomaly","")
 )="",
 "General anomaly detected",
 _xlfn.TEXTJOIN(", ", TRUE,
  IF(X954&gt;0.7,"Login anomaly",""),
  IF(Y954&gt;0.7,"File anomaly",""),
  IF(Z954&gt;0.7,"Network anomaly",""),
  IF(AA954&gt;0.7,"USB anomaly","")
 )))</f>
        <v/>
      </c>
    </row>
    <row r="955" spans="1:40" x14ac:dyDescent="0.3">
      <c r="A955" t="s">
        <v>978</v>
      </c>
      <c r="B955">
        <v>0.12892249527410199</v>
      </c>
      <c r="C955">
        <v>0.36953165208440503</v>
      </c>
      <c r="D955">
        <v>0</v>
      </c>
      <c r="E955">
        <v>0</v>
      </c>
      <c r="F955">
        <v>0</v>
      </c>
      <c r="G955">
        <v>0.99368070857759305</v>
      </c>
      <c r="H955">
        <v>8</v>
      </c>
      <c r="I955">
        <v>8</v>
      </c>
      <c r="J955">
        <v>8.7686656170984201E-2</v>
      </c>
      <c r="K955">
        <v>1.2234910277324601E-2</v>
      </c>
      <c r="L955">
        <v>3.55439823088705E-2</v>
      </c>
      <c r="M955">
        <v>2.0202020202020202E-3</v>
      </c>
      <c r="N955">
        <v>1.3884915349918E-2</v>
      </c>
      <c r="O955">
        <v>888</v>
      </c>
      <c r="P955">
        <v>7.0707070707070704E-2</v>
      </c>
      <c r="Q955">
        <v>7.0865037343525297E-2</v>
      </c>
      <c r="R955">
        <v>0</v>
      </c>
      <c r="S955">
        <v>0</v>
      </c>
      <c r="T955" t="s">
        <v>49</v>
      </c>
      <c r="U955">
        <v>3.1839622641509399E-2</v>
      </c>
      <c r="V955">
        <v>0</v>
      </c>
      <c r="W955">
        <v>0</v>
      </c>
      <c r="X955">
        <v>0</v>
      </c>
      <c r="Y955">
        <v>3.9474796993607501E-2</v>
      </c>
      <c r="Z955">
        <v>4.7978208564209597E-2</v>
      </c>
      <c r="AA955">
        <v>0</v>
      </c>
      <c r="AB955">
        <v>2.4652000516653061E-2</v>
      </c>
      <c r="AC955">
        <v>5.6000000768108287E-5</v>
      </c>
      <c r="AD955">
        <v>4.5650000683963299E-3</v>
      </c>
      <c r="AE955">
        <v>1.7500000540167089E-3</v>
      </c>
      <c r="AF955">
        <f>0.16*X955 + 0.28*Y955 + 0.28*Z955 + 0.28*AA955</f>
        <v>2.4486841556188792E-2</v>
      </c>
      <c r="AG955">
        <f t="shared" si="42"/>
        <v>5.7282001171552119E-3</v>
      </c>
      <c r="AH955">
        <f>IF(T955="IT_Admin", 0.25, IF(AND(T955="HR", AA955&gt;0.6), 0.25, IF(AND(T955="General", Z955&gt;0.7), 0.2, 0.1)))</f>
        <v>0.1</v>
      </c>
      <c r="AI955">
        <f>IF(V955&gt;0.7, 0.1,
 IF(F955&gt;0.5, 0.08,
 IF(E955&gt;0.5, 0.05,
 0)))</f>
        <v>0</v>
      </c>
      <c r="AJ955">
        <f t="shared" si="43"/>
        <v>1.1355792548865287E-2</v>
      </c>
      <c r="AK955">
        <f t="shared" si="44"/>
        <v>1.2491371803751816E-2</v>
      </c>
      <c r="AL955" t="str">
        <f>IF(MAX(X955, Y955, Z955, AA955)&gt;0.9,
 "Critical",
 IF(AK955&lt;=0.2,"Very Low",
 IF(AK955&lt;=0.4,"Low",
 IF(AK955&lt;=0.6,"Medium",
 IF(AK955&lt;=0.8,"High","Critical")))))</f>
        <v>Very Low</v>
      </c>
      <c r="AM955" t="str">
        <f>IF(MAX(X955:AA955)&gt;0.9,"CRITICAL ALERT",
 IF(AK955&gt;0.8,"CRITICAL ALERT",
 IF(AK955&gt;0.6,"ALERT",
 IF(AK955&gt;=0.4,"REVIEW","NO ACTION"))))</f>
        <v>NO ACTION</v>
      </c>
      <c r="AN955" t="str">
        <f>IF(AM955="NO ACTION","",
 IF(_xlfn.TEXTJOIN(", ", TRUE,
  IF(X955&gt;0.7,"Login anomaly",""),
  IF(Y955&gt;0.7,"File anomaly",""),
  IF(Z955&gt;0.7,"Network anomaly",""),
  IF(AA955&gt;0.7,"USB anomaly","")
 )="",
 "General anomaly detected",
 _xlfn.TEXTJOIN(", ", TRUE,
  IF(X955&gt;0.7,"Login anomaly",""),
  IF(Y955&gt;0.7,"File anomaly",""),
  IF(Z955&gt;0.7,"Network anomaly",""),
  IF(AA955&gt;0.7,"USB anomaly","")
 )))</f>
        <v/>
      </c>
    </row>
    <row r="956" spans="1:40" x14ac:dyDescent="0.3">
      <c r="A956" t="s">
        <v>979</v>
      </c>
      <c r="B956">
        <v>0.13875236294896001</v>
      </c>
      <c r="C956">
        <v>0.188749994797829</v>
      </c>
      <c r="D956">
        <v>0.28574375898142501</v>
      </c>
      <c r="E956">
        <v>0.49116501946690599</v>
      </c>
      <c r="F956">
        <v>5.1212938005390798E-2</v>
      </c>
      <c r="G956">
        <v>0.91341736121924799</v>
      </c>
      <c r="H956">
        <v>0</v>
      </c>
      <c r="I956">
        <v>22</v>
      </c>
      <c r="J956">
        <v>8.9499546777348393E-2</v>
      </c>
      <c r="K956">
        <v>1.7944535073409401E-2</v>
      </c>
      <c r="L956">
        <v>5.1078019021636098E-2</v>
      </c>
      <c r="M956">
        <v>4.0404040404040404E-3</v>
      </c>
      <c r="N956">
        <v>2.72088240190313E-2</v>
      </c>
      <c r="O956">
        <v>989</v>
      </c>
      <c r="P956">
        <v>7.54769921436588E-2</v>
      </c>
      <c r="Q956">
        <v>7.5633788000981805E-2</v>
      </c>
      <c r="R956">
        <v>0.29351032448377501</v>
      </c>
      <c r="S956">
        <v>1</v>
      </c>
      <c r="T956" t="s">
        <v>49</v>
      </c>
      <c r="U956">
        <v>2.4905660377358401E-2</v>
      </c>
      <c r="V956">
        <v>0</v>
      </c>
      <c r="W956">
        <v>8.5364649916114393E-2</v>
      </c>
      <c r="X956">
        <v>0.25355780873665501</v>
      </c>
      <c r="Y956">
        <v>5.1601566071997097E-2</v>
      </c>
      <c r="Z956">
        <v>5.6169724893807803E-2</v>
      </c>
      <c r="AA956">
        <v>0.29351032448377501</v>
      </c>
      <c r="AB956">
        <v>0.25344300270080572</v>
      </c>
      <c r="AC956">
        <v>1.2899999273940921E-4</v>
      </c>
      <c r="AD956">
        <v>2.8109999839216471E-3</v>
      </c>
      <c r="AE956">
        <v>8.9588001370429993E-2</v>
      </c>
      <c r="AF956">
        <f>0.16*X956 + 0.28*Y956 + 0.28*Z956 + 0.28*AA956</f>
        <v>0.15292810172374721</v>
      </c>
      <c r="AG956">
        <f t="shared" si="42"/>
        <v>6.645872080931442E-2</v>
      </c>
      <c r="AH956">
        <f>IF(T956="IT_Admin", 0.25, IF(AND(T956="HR", AA956&gt;0.6), 0.25, IF(AND(T956="General", Z956&gt;0.7), 0.2, 0.1)))</f>
        <v>0.1</v>
      </c>
      <c r="AI956">
        <f>IF(V956&gt;0.7, 0.1,
 IF(F956&gt;0.5, 0.08,
 IF(E956&gt;0.5, 0.05,
 0)))</f>
        <v>0</v>
      </c>
      <c r="AJ956">
        <f t="shared" si="43"/>
        <v>9.2399535083644249E-2</v>
      </c>
      <c r="AK956">
        <f t="shared" si="44"/>
        <v>0.10163948859200868</v>
      </c>
      <c r="AL956" t="str">
        <f>IF(MAX(X956, Y956, Z956, AA956)&gt;0.9,
 "Critical",
 IF(AK956&lt;=0.2,"Very Low",
 IF(AK956&lt;=0.4,"Low",
 IF(AK956&lt;=0.6,"Medium",
 IF(AK956&lt;=0.8,"High","Critical")))))</f>
        <v>Very Low</v>
      </c>
      <c r="AM956" t="str">
        <f>IF(MAX(X956:AA956)&gt;0.9,"CRITICAL ALERT",
 IF(AK956&gt;0.8,"CRITICAL ALERT",
 IF(AK956&gt;0.6,"ALERT",
 IF(AK956&gt;=0.4,"REVIEW","NO ACTION"))))</f>
        <v>NO ACTION</v>
      </c>
      <c r="AN956" t="str">
        <f>IF(AM956="NO ACTION","",
 IF(_xlfn.TEXTJOIN(", ", TRUE,
  IF(X956&gt;0.7,"Login anomaly",""),
  IF(Y956&gt;0.7,"File anomaly",""),
  IF(Z956&gt;0.7,"Network anomaly",""),
  IF(AA956&gt;0.7,"USB anomaly","")
 )="",
 "General anomaly detected",
 _xlfn.TEXTJOIN(", ", TRUE,
  IF(X956&gt;0.7,"Login anomaly",""),
  IF(Y956&gt;0.7,"File anomaly",""),
  IF(Z956&gt;0.7,"Network anomaly",""),
  IF(AA956&gt;0.7,"USB anomaly","")
 )))</f>
        <v/>
      </c>
    </row>
    <row r="957" spans="1:40" x14ac:dyDescent="0.3">
      <c r="A957" t="s">
        <v>980</v>
      </c>
      <c r="B957">
        <v>0.12892249527410199</v>
      </c>
      <c r="C957">
        <v>0.36953165208440503</v>
      </c>
      <c r="D957">
        <v>0</v>
      </c>
      <c r="E957">
        <v>0</v>
      </c>
      <c r="F957">
        <v>0</v>
      </c>
      <c r="G957">
        <v>0.993675784241009</v>
      </c>
      <c r="H957">
        <v>8</v>
      </c>
      <c r="I957">
        <v>8</v>
      </c>
      <c r="J957">
        <v>7.6666189590191294E-2</v>
      </c>
      <c r="K957">
        <v>1.2234910277324601E-2</v>
      </c>
      <c r="L957">
        <v>4.0637443793578303E-2</v>
      </c>
      <c r="M957">
        <v>2.8860028860028799E-3</v>
      </c>
      <c r="N957">
        <v>2.2678038807071001E-2</v>
      </c>
      <c r="O957">
        <v>514</v>
      </c>
      <c r="P957">
        <v>6.3026094276094194E-2</v>
      </c>
      <c r="Q957">
        <v>6.3185946211297694E-2</v>
      </c>
      <c r="R957">
        <v>0</v>
      </c>
      <c r="S957">
        <v>0</v>
      </c>
      <c r="T957" t="s">
        <v>49</v>
      </c>
      <c r="U957">
        <v>2.3156089193824999E-2</v>
      </c>
      <c r="V957">
        <v>0</v>
      </c>
      <c r="W957">
        <v>0</v>
      </c>
      <c r="X957">
        <v>0</v>
      </c>
      <c r="Y957">
        <v>4.24553714569487E-2</v>
      </c>
      <c r="Z957">
        <v>4.6886872088485E-2</v>
      </c>
      <c r="AA957">
        <v>0</v>
      </c>
      <c r="AB957">
        <v>2.5010999292135239E-2</v>
      </c>
      <c r="AC957">
        <v>7.7999997301958501E-5</v>
      </c>
      <c r="AD957">
        <v>5.2530001848936081E-3</v>
      </c>
      <c r="AE957">
        <v>2.5889999233186241E-3</v>
      </c>
      <c r="AF957">
        <f>0.16*X957 + 0.28*Y957 + 0.28*Z957 + 0.28*AA957</f>
        <v>2.501582819272144E-2</v>
      </c>
      <c r="AG957">
        <f t="shared" si="42"/>
        <v>6.2193599162856123E-3</v>
      </c>
      <c r="AH957">
        <f>IF(T957="IT_Admin", 0.25, IF(AND(T957="HR", AA957&gt;0.6), 0.25, IF(AND(T957="General", Z957&gt;0.7), 0.2, 0.1)))</f>
        <v>0.1</v>
      </c>
      <c r="AI957">
        <f>IF(V957&gt;0.7, 0.1,
 IF(F957&gt;0.5, 0.08,
 IF(E957&gt;0.5, 0.05,
 0)))</f>
        <v>0</v>
      </c>
      <c r="AJ957">
        <f t="shared" si="43"/>
        <v>1.185830039921636E-2</v>
      </c>
      <c r="AK957">
        <f t="shared" si="44"/>
        <v>1.3044130439137998E-2</v>
      </c>
      <c r="AL957" t="str">
        <f>IF(MAX(X957, Y957, Z957, AA957)&gt;0.9,
 "Critical",
 IF(AK957&lt;=0.2,"Very Low",
 IF(AK957&lt;=0.4,"Low",
 IF(AK957&lt;=0.6,"Medium",
 IF(AK957&lt;=0.8,"High","Critical")))))</f>
        <v>Very Low</v>
      </c>
      <c r="AM957" t="str">
        <f>IF(MAX(X957:AA957)&gt;0.9,"CRITICAL ALERT",
 IF(AK957&gt;0.8,"CRITICAL ALERT",
 IF(AK957&gt;0.6,"ALERT",
 IF(AK957&gt;=0.4,"REVIEW","NO ACTION"))))</f>
        <v>NO ACTION</v>
      </c>
      <c r="AN957" t="str">
        <f>IF(AM957="NO ACTION","",
 IF(_xlfn.TEXTJOIN(", ", TRUE,
  IF(X957&gt;0.7,"Login anomaly",""),
  IF(Y957&gt;0.7,"File anomaly",""),
  IF(Z957&gt;0.7,"Network anomaly",""),
  IF(AA957&gt;0.7,"USB anomaly","")
 )="",
 "General anomaly detected",
 _xlfn.TEXTJOIN(", ", TRUE,
  IF(X957&gt;0.7,"Login anomaly",""),
  IF(Y957&gt;0.7,"File anomaly",""),
  IF(Z957&gt;0.7,"Network anomaly",""),
  IF(AA957&gt;0.7,"USB anomaly","")
 )))</f>
        <v/>
      </c>
    </row>
    <row r="958" spans="1:40" x14ac:dyDescent="0.3">
      <c r="A958" t="s">
        <v>981</v>
      </c>
      <c r="B958">
        <v>0.12892249527410199</v>
      </c>
      <c r="C958">
        <v>0.36953165208440503</v>
      </c>
      <c r="D958">
        <v>0</v>
      </c>
      <c r="E958">
        <v>0</v>
      </c>
      <c r="F958">
        <v>0</v>
      </c>
      <c r="G958">
        <v>0.99367899576486896</v>
      </c>
      <c r="H958">
        <v>8</v>
      </c>
      <c r="I958">
        <v>8</v>
      </c>
      <c r="J958">
        <v>6.3880540050570103E-2</v>
      </c>
      <c r="K958">
        <v>6.4437194127242997E-2</v>
      </c>
      <c r="L958">
        <v>0.25670124961431601</v>
      </c>
      <c r="M958">
        <v>6.63780663780663E-3</v>
      </c>
      <c r="N958">
        <v>6.25603397924826E-2</v>
      </c>
      <c r="O958">
        <v>640</v>
      </c>
      <c r="P958">
        <v>7.7897025813692497E-2</v>
      </c>
      <c r="Q958">
        <v>7.8053227672779502E-2</v>
      </c>
      <c r="R958">
        <v>0</v>
      </c>
      <c r="S958">
        <v>0</v>
      </c>
      <c r="T958" t="s">
        <v>49</v>
      </c>
      <c r="U958">
        <v>5.5896226415094299E-2</v>
      </c>
      <c r="V958">
        <v>0</v>
      </c>
      <c r="W958">
        <v>0</v>
      </c>
      <c r="X958">
        <v>0</v>
      </c>
      <c r="Y958">
        <v>0.15989483475501701</v>
      </c>
      <c r="Z958">
        <v>7.1762351405208494E-2</v>
      </c>
      <c r="AA958">
        <v>0</v>
      </c>
      <c r="AB958">
        <v>2.4831000715494159E-2</v>
      </c>
      <c r="AC958">
        <v>1.699800044298172E-2</v>
      </c>
      <c r="AD958">
        <v>2.820000052452087E-3</v>
      </c>
      <c r="AE958">
        <v>1.780000049620867E-3</v>
      </c>
      <c r="AF958">
        <f>0.16*X958 + 0.28*Y958 + 0.28*Z958 + 0.28*AA958</f>
        <v>6.4864012124863146E-2</v>
      </c>
      <c r="AG958">
        <f t="shared" si="42"/>
        <v>1.0020400267094375E-2</v>
      </c>
      <c r="AH958">
        <f>IF(T958="IT_Admin", 0.25, IF(AND(T958="HR", AA958&gt;0.6), 0.25, IF(AND(T958="General", Z958&gt;0.7), 0.2, 0.1)))</f>
        <v>0.1</v>
      </c>
      <c r="AI958">
        <f>IF(V958&gt;0.7, 0.1,
 IF(F958&gt;0.5, 0.08,
 IF(E958&gt;0.5, 0.05,
 0)))</f>
        <v>0</v>
      </c>
      <c r="AJ958">
        <f t="shared" si="43"/>
        <v>2.6473483824425006E-2</v>
      </c>
      <c r="AK958">
        <f t="shared" si="44"/>
        <v>2.9120832206867509E-2</v>
      </c>
      <c r="AL958" t="str">
        <f>IF(MAX(X958, Y958, Z958, AA958)&gt;0.9,
 "Critical",
 IF(AK958&lt;=0.2,"Very Low",
 IF(AK958&lt;=0.4,"Low",
 IF(AK958&lt;=0.6,"Medium",
 IF(AK958&lt;=0.8,"High","Critical")))))</f>
        <v>Very Low</v>
      </c>
      <c r="AM958" t="str">
        <f>IF(MAX(X958:AA958)&gt;0.9,"CRITICAL ALERT",
 IF(AK958&gt;0.8,"CRITICAL ALERT",
 IF(AK958&gt;0.6,"ALERT",
 IF(AK958&gt;=0.4,"REVIEW","NO ACTION"))))</f>
        <v>NO ACTION</v>
      </c>
      <c r="AN958" t="str">
        <f>IF(AM958="NO ACTION","",
 IF(_xlfn.TEXTJOIN(", ", TRUE,
  IF(X958&gt;0.7,"Login anomaly",""),
  IF(Y958&gt;0.7,"File anomaly",""),
  IF(Z958&gt;0.7,"Network anomaly",""),
  IF(AA958&gt;0.7,"USB anomaly","")
 )="",
 "General anomaly detected",
 _xlfn.TEXTJOIN(", ", TRUE,
  IF(X958&gt;0.7,"Login anomaly",""),
  IF(Y958&gt;0.7,"File anomaly",""),
  IF(Z958&gt;0.7,"Network anomaly",""),
  IF(AA958&gt;0.7,"USB anomaly","")
 )))</f>
        <v/>
      </c>
    </row>
    <row r="959" spans="1:40" x14ac:dyDescent="0.3">
      <c r="A959" t="s">
        <v>982</v>
      </c>
      <c r="B959">
        <v>0.25633270321361001</v>
      </c>
      <c r="C959">
        <v>0.74827450370757198</v>
      </c>
      <c r="D959">
        <v>0.34008270876563801</v>
      </c>
      <c r="E959">
        <v>0</v>
      </c>
      <c r="F959">
        <v>0</v>
      </c>
      <c r="G959">
        <v>0.428397010173724</v>
      </c>
      <c r="H959">
        <v>8</v>
      </c>
      <c r="I959">
        <v>15</v>
      </c>
      <c r="J959">
        <v>6.3594294165354698E-2</v>
      </c>
      <c r="K959">
        <v>7.34094616639478E-3</v>
      </c>
      <c r="L959">
        <v>2.9375587172757098E-2</v>
      </c>
      <c r="M959">
        <v>1.7316017316017301E-3</v>
      </c>
      <c r="N959">
        <v>1.6393272895514999E-2</v>
      </c>
      <c r="O959">
        <v>720</v>
      </c>
      <c r="P959">
        <v>5.0750561167227801E-2</v>
      </c>
      <c r="Q959">
        <v>5.0913426136961301E-2</v>
      </c>
      <c r="R959">
        <v>0.87758112094395202</v>
      </c>
      <c r="S959">
        <v>1</v>
      </c>
      <c r="T959" t="s">
        <v>49</v>
      </c>
      <c r="U959">
        <v>2.1832884097034998E-2</v>
      </c>
      <c r="V959">
        <v>0</v>
      </c>
      <c r="W959">
        <v>0</v>
      </c>
      <c r="X959">
        <v>0.102024812629691</v>
      </c>
      <c r="Y959">
        <v>3.2324634288103997E-2</v>
      </c>
      <c r="Z959">
        <v>3.7007645858542701E-2</v>
      </c>
      <c r="AA959">
        <v>0.87758112094395202</v>
      </c>
      <c r="AB959">
        <v>4.2045999318361282E-2</v>
      </c>
      <c r="AC959">
        <v>2.280000044265762E-4</v>
      </c>
      <c r="AD959">
        <v>6.2850001268088818E-3</v>
      </c>
      <c r="AE959">
        <v>0.7792239785194397</v>
      </c>
      <c r="AF959">
        <f>0.16*X959 + 0.28*Y959 + 0.28*Z959 + 0.28*AA959</f>
        <v>0.28145972232611821</v>
      </c>
      <c r="AG959">
        <f t="shared" si="42"/>
        <v>0.22673371391312688</v>
      </c>
      <c r="AH959">
        <f>IF(T959="IT_Admin", 0.25, IF(AND(T959="HR", AA959&gt;0.6), 0.25, IF(AND(T959="General", Z959&gt;0.7), 0.2, 0.1)))</f>
        <v>0.1</v>
      </c>
      <c r="AI959">
        <f>IF(V959&gt;0.7, 0.1,
 IF(F959&gt;0.5, 0.08,
 IF(E959&gt;0.5, 0.05,
 0)))</f>
        <v>0</v>
      </c>
      <c r="AJ959">
        <f t="shared" si="43"/>
        <v>0.24315151643702426</v>
      </c>
      <c r="AK959">
        <f t="shared" si="44"/>
        <v>0.26746666808072672</v>
      </c>
      <c r="AL959" t="str">
        <f>IF(MAX(X959, Y959, Z959, AA959)&gt;0.9,
 "Critical",
 IF(AK959&lt;=0.2,"Very Low",
 IF(AK959&lt;=0.4,"Low",
 IF(AK959&lt;=0.6,"Medium",
 IF(AK959&lt;=0.8,"High","Critical")))))</f>
        <v>Low</v>
      </c>
      <c r="AM959" t="str">
        <f>IF(MAX(X959:AA959)&gt;0.9,"CRITICAL ALERT",
 IF(AK959&gt;0.8,"CRITICAL ALERT",
 IF(AK959&gt;0.6,"ALERT",
 IF(AK959&gt;=0.4,"REVIEW","NO ACTION"))))</f>
        <v>NO ACTION</v>
      </c>
      <c r="AN959" t="str">
        <f>IF(AM959="NO ACTION","",
 IF(_xlfn.TEXTJOIN(", ", TRUE,
  IF(X959&gt;0.7,"Login anomaly",""),
  IF(Y959&gt;0.7,"File anomaly",""),
  IF(Z959&gt;0.7,"Network anomaly",""),
  IF(AA959&gt;0.7,"USB anomaly","")
 )="",
 "General anomaly detected",
 _xlfn.TEXTJOIN(", ", TRUE,
  IF(X959&gt;0.7,"Login anomaly",""),
  IF(Y959&gt;0.7,"File anomaly",""),
  IF(Z959&gt;0.7,"Network anomaly",""),
  IF(AA959&gt;0.7,"USB anomaly","")
 )))</f>
        <v/>
      </c>
    </row>
    <row r="960" spans="1:40" x14ac:dyDescent="0.3">
      <c r="A960" t="s">
        <v>983</v>
      </c>
      <c r="B960">
        <v>0.12892249527410199</v>
      </c>
      <c r="C960">
        <v>0.18476582604220201</v>
      </c>
      <c r="D960">
        <v>0</v>
      </c>
      <c r="E960">
        <v>0</v>
      </c>
      <c r="F960">
        <v>0</v>
      </c>
      <c r="G960">
        <v>0.99366631024562302</v>
      </c>
      <c r="H960">
        <v>7</v>
      </c>
      <c r="I960">
        <v>7</v>
      </c>
      <c r="J960">
        <v>8.1580077286388997E-2</v>
      </c>
      <c r="K960">
        <v>7.34094616639478E-3</v>
      </c>
      <c r="L960">
        <v>2.2918096581427998E-2</v>
      </c>
      <c r="M960">
        <v>0</v>
      </c>
      <c r="N960">
        <v>0</v>
      </c>
      <c r="O960">
        <v>471</v>
      </c>
      <c r="P960">
        <v>6.3131313131313094E-2</v>
      </c>
      <c r="Q960">
        <v>6.3291139240506306E-2</v>
      </c>
      <c r="R960">
        <v>0</v>
      </c>
      <c r="S960">
        <v>0</v>
      </c>
      <c r="T960" t="s">
        <v>49</v>
      </c>
      <c r="U960">
        <v>0.152830188679245</v>
      </c>
      <c r="V960">
        <v>0</v>
      </c>
      <c r="W960">
        <v>0</v>
      </c>
      <c r="X960">
        <v>0</v>
      </c>
      <c r="Y960">
        <v>2.77750637479918E-2</v>
      </c>
      <c r="Z960">
        <v>3.7878787878787797E-2</v>
      </c>
      <c r="AA960">
        <v>0</v>
      </c>
      <c r="AB960">
        <v>3.6706998944282532E-2</v>
      </c>
      <c r="AC960">
        <v>4.8770001158118248E-3</v>
      </c>
      <c r="AD960">
        <v>5.9580001980066299E-3</v>
      </c>
      <c r="AE960">
        <v>1.8200000049546361E-3</v>
      </c>
      <c r="AF960">
        <f>0.16*X960 + 0.28*Y960 + 0.28*Z960 + 0.28*AA960</f>
        <v>1.8383078455498289E-2</v>
      </c>
      <c r="AG960">
        <f t="shared" si="42"/>
        <v>9.4165199203416726E-3</v>
      </c>
      <c r="AH960">
        <f>IF(T960="IT_Admin", 0.25, IF(AND(T960="HR", AA960&gt;0.6), 0.25, IF(AND(T960="General", Z960&gt;0.7), 0.2, 0.1)))</f>
        <v>0.1</v>
      </c>
      <c r="AI960">
        <f>IF(V960&gt;0.7, 0.1,
 IF(F960&gt;0.5, 0.08,
 IF(E960&gt;0.5, 0.05,
 0)))</f>
        <v>0</v>
      </c>
      <c r="AJ960">
        <f t="shared" si="43"/>
        <v>1.2106487480888658E-2</v>
      </c>
      <c r="AK960">
        <f t="shared" si="44"/>
        <v>1.3317136228977525E-2</v>
      </c>
      <c r="AL960" t="str">
        <f>IF(MAX(X960, Y960, Z960, AA960)&gt;0.9,
 "Critical",
 IF(AK960&lt;=0.2,"Very Low",
 IF(AK960&lt;=0.4,"Low",
 IF(AK960&lt;=0.6,"Medium",
 IF(AK960&lt;=0.8,"High","Critical")))))</f>
        <v>Very Low</v>
      </c>
      <c r="AM960" t="str">
        <f>IF(MAX(X960:AA960)&gt;0.9,"CRITICAL ALERT",
 IF(AK960&gt;0.8,"CRITICAL ALERT",
 IF(AK960&gt;0.6,"ALERT",
 IF(AK960&gt;=0.4,"REVIEW","NO ACTION"))))</f>
        <v>NO ACTION</v>
      </c>
      <c r="AN960" t="str">
        <f>IF(AM960="NO ACTION","",
 IF(_xlfn.TEXTJOIN(", ", TRUE,
  IF(X960&gt;0.7,"Login anomaly",""),
  IF(Y960&gt;0.7,"File anomaly",""),
  IF(Z960&gt;0.7,"Network anomaly",""),
  IF(AA960&gt;0.7,"USB anomaly","")
 )="",
 "General anomaly detected",
 _xlfn.TEXTJOIN(", ", TRUE,
  IF(X960&gt;0.7,"Login anomaly",""),
  IF(Y960&gt;0.7,"File anomaly",""),
  IF(Z960&gt;0.7,"Network anomaly",""),
  IF(AA960&gt;0.7,"USB anomaly","")
 )))</f>
        <v/>
      </c>
    </row>
    <row r="961" spans="1:40" x14ac:dyDescent="0.3">
      <c r="A961" t="s">
        <v>984</v>
      </c>
      <c r="B961">
        <v>0.109640831758034</v>
      </c>
      <c r="C961">
        <v>0.62468445947601803</v>
      </c>
      <c r="D961">
        <v>0.39837359024565999</v>
      </c>
      <c r="E961">
        <v>0</v>
      </c>
      <c r="F961">
        <v>0</v>
      </c>
      <c r="G961">
        <v>0.43030293426065802</v>
      </c>
      <c r="H961">
        <v>7</v>
      </c>
      <c r="I961">
        <v>16</v>
      </c>
      <c r="J961">
        <v>1.4026048375554601E-2</v>
      </c>
      <c r="K961">
        <v>1.6313213703099501E-3</v>
      </c>
      <c r="L961">
        <v>2.9211843654514302E-2</v>
      </c>
      <c r="M961">
        <v>1.1544011544011501E-3</v>
      </c>
      <c r="N961">
        <v>4.8905683688292297E-2</v>
      </c>
      <c r="O961">
        <v>173</v>
      </c>
      <c r="P961">
        <v>1.1574074074074001E-2</v>
      </c>
      <c r="Q961">
        <v>1.17465549282934E-2</v>
      </c>
      <c r="R961">
        <v>0</v>
      </c>
      <c r="S961">
        <v>0</v>
      </c>
      <c r="T961" t="s">
        <v>49</v>
      </c>
      <c r="U961">
        <v>6.7924528301886696E-3</v>
      </c>
      <c r="V961">
        <v>0</v>
      </c>
      <c r="W961">
        <v>0</v>
      </c>
      <c r="X961">
        <v>0.119512077073698</v>
      </c>
      <c r="Y961">
        <v>3.2082836608855698E-2</v>
      </c>
      <c r="Z961">
        <v>2.6506717919761301E-2</v>
      </c>
      <c r="AA961">
        <v>0</v>
      </c>
      <c r="AB961">
        <v>3.5590998828411102E-2</v>
      </c>
      <c r="AC961">
        <v>7.6000002445653081E-4</v>
      </c>
      <c r="AD961">
        <v>1.271099969744682E-2</v>
      </c>
      <c r="AE961">
        <v>7.8130001202225685E-3</v>
      </c>
      <c r="AF961">
        <f>0.16*X961 + 0.28*Y961 + 0.28*Z961 + 0.28*AA961</f>
        <v>3.5527007599804449E-2</v>
      </c>
      <c r="AG961">
        <f t="shared" si="42"/>
        <v>1.1654079768341034E-2</v>
      </c>
      <c r="AH961">
        <f>IF(T961="IT_Admin", 0.25, IF(AND(T961="HR", AA961&gt;0.6), 0.25, IF(AND(T961="General", Z961&gt;0.7), 0.2, 0.1)))</f>
        <v>0.1</v>
      </c>
      <c r="AI961">
        <f>IF(V961&gt;0.7, 0.1,
 IF(F961&gt;0.5, 0.08,
 IF(E961&gt;0.5, 0.05,
 0)))</f>
        <v>0</v>
      </c>
      <c r="AJ961">
        <f t="shared" si="43"/>
        <v>1.8815958117780057E-2</v>
      </c>
      <c r="AK961">
        <f t="shared" si="44"/>
        <v>2.0697553929558063E-2</v>
      </c>
      <c r="AL961" t="str">
        <f>IF(MAX(X961, Y961, Z961, AA961)&gt;0.9,
 "Critical",
 IF(AK961&lt;=0.2,"Very Low",
 IF(AK961&lt;=0.4,"Low",
 IF(AK961&lt;=0.6,"Medium",
 IF(AK961&lt;=0.8,"High","Critical")))))</f>
        <v>Very Low</v>
      </c>
      <c r="AM961" t="str">
        <f>IF(MAX(X961:AA961)&gt;0.9,"CRITICAL ALERT",
 IF(AK961&gt;0.8,"CRITICAL ALERT",
 IF(AK961&gt;0.6,"ALERT",
 IF(AK961&gt;=0.4,"REVIEW","NO ACTION"))))</f>
        <v>NO ACTION</v>
      </c>
      <c r="AN961" t="str">
        <f>IF(AM961="NO ACTION","",
 IF(_xlfn.TEXTJOIN(", ", TRUE,
  IF(X961&gt;0.7,"Login anomaly",""),
  IF(Y961&gt;0.7,"File anomaly",""),
  IF(Z961&gt;0.7,"Network anomaly",""),
  IF(AA961&gt;0.7,"USB anomaly","")
 )="",
 "General anomaly detected",
 _xlfn.TEXTJOIN(", ", TRUE,
  IF(X961&gt;0.7,"Login anomaly",""),
  IF(Y961&gt;0.7,"File anomaly",""),
  IF(Z961&gt;0.7,"Network anomaly",""),
  IF(AA961&gt;0.7,"USB anomaly","")
 )))</f>
        <v/>
      </c>
    </row>
    <row r="962" spans="1:40" x14ac:dyDescent="0.3">
      <c r="A962" t="s">
        <v>985</v>
      </c>
      <c r="B962">
        <v>0.12892249527410199</v>
      </c>
      <c r="C962">
        <v>0.18476582604220201</v>
      </c>
      <c r="D962">
        <v>0</v>
      </c>
      <c r="E962">
        <v>0</v>
      </c>
      <c r="F962">
        <v>0</v>
      </c>
      <c r="G962">
        <v>0.99366245641699202</v>
      </c>
      <c r="H962">
        <v>7</v>
      </c>
      <c r="I962">
        <v>7</v>
      </c>
      <c r="J962">
        <v>8.4585659081150705E-2</v>
      </c>
      <c r="K962">
        <v>8.1566068515497494E-3</v>
      </c>
      <c r="L962">
        <v>2.4562264490156801E-2</v>
      </c>
      <c r="M962">
        <v>2.59740259740259E-3</v>
      </c>
      <c r="N962">
        <v>1.8504667436051E-2</v>
      </c>
      <c r="O962">
        <v>803</v>
      </c>
      <c r="P962">
        <v>6.6954264870931507E-2</v>
      </c>
      <c r="Q962">
        <v>6.7113152635085299E-2</v>
      </c>
      <c r="R962">
        <v>0</v>
      </c>
      <c r="S962">
        <v>0</v>
      </c>
      <c r="T962" t="s">
        <v>49</v>
      </c>
      <c r="U962">
        <v>1.6981132075471601E-2</v>
      </c>
      <c r="V962">
        <v>0</v>
      </c>
      <c r="W962">
        <v>0</v>
      </c>
      <c r="X962">
        <v>0</v>
      </c>
      <c r="Y962">
        <v>3.4749664292123797E-2</v>
      </c>
      <c r="Z962">
        <v>4.75744258969793E-2</v>
      </c>
      <c r="AA962">
        <v>0</v>
      </c>
      <c r="AB962">
        <v>3.6660000681877143E-2</v>
      </c>
      <c r="AC962">
        <v>2.899999963119626E-4</v>
      </c>
      <c r="AD962">
        <v>4.9149999395012864E-3</v>
      </c>
      <c r="AE962">
        <v>1.6769999638199811E-3</v>
      </c>
      <c r="AF962">
        <f>0.16*X962 + 0.28*Y962 + 0.28*Z962 + 0.28*AA962</f>
        <v>2.3050745252948868E-2</v>
      </c>
      <c r="AG962">
        <f t="shared" si="42"/>
        <v>7.7925600809976474E-3</v>
      </c>
      <c r="AH962">
        <f>IF(T962="IT_Admin", 0.25, IF(AND(T962="HR", AA962&gt;0.6), 0.25, IF(AND(T962="General", Z962&gt;0.7), 0.2, 0.1)))</f>
        <v>0.1</v>
      </c>
      <c r="AI962">
        <f>IF(V962&gt;0.7, 0.1,
 IF(F962&gt;0.5, 0.08,
 IF(E962&gt;0.5, 0.05,
 0)))</f>
        <v>0</v>
      </c>
      <c r="AJ962">
        <f t="shared" si="43"/>
        <v>1.2370015632583012E-2</v>
      </c>
      <c r="AK962">
        <f t="shared" si="44"/>
        <v>1.3607017195841314E-2</v>
      </c>
      <c r="AL962" t="str">
        <f>IF(MAX(X962, Y962, Z962, AA962)&gt;0.9,
 "Critical",
 IF(AK962&lt;=0.2,"Very Low",
 IF(AK962&lt;=0.4,"Low",
 IF(AK962&lt;=0.6,"Medium",
 IF(AK962&lt;=0.8,"High","Critical")))))</f>
        <v>Very Low</v>
      </c>
      <c r="AM962" t="str">
        <f>IF(MAX(X962:AA962)&gt;0.9,"CRITICAL ALERT",
 IF(AK962&gt;0.8,"CRITICAL ALERT",
 IF(AK962&gt;0.6,"ALERT",
 IF(AK962&gt;=0.4,"REVIEW","NO ACTION"))))</f>
        <v>NO ACTION</v>
      </c>
      <c r="AN962" t="str">
        <f>IF(AM962="NO ACTION","",
 IF(_xlfn.TEXTJOIN(", ", TRUE,
  IF(X962&gt;0.7,"Login anomaly",""),
  IF(Y962&gt;0.7,"File anomaly",""),
  IF(Z962&gt;0.7,"Network anomaly",""),
  IF(AA962&gt;0.7,"USB anomaly","")
 )="",
 "General anomaly detected",
 _xlfn.TEXTJOIN(", ", TRUE,
  IF(X962&gt;0.7,"Login anomaly",""),
  IF(Y962&gt;0.7,"File anomaly",""),
  IF(Z962&gt;0.7,"Network anomaly",""),
  IF(AA962&gt;0.7,"USB anomaly","")
 )))</f>
        <v/>
      </c>
    </row>
    <row r="963" spans="1:40" x14ac:dyDescent="0.3">
      <c r="A963" t="s">
        <v>986</v>
      </c>
      <c r="B963">
        <v>0.2351606805293</v>
      </c>
      <c r="C963">
        <v>0.92884673251567396</v>
      </c>
      <c r="D963">
        <v>0.34699839225239698</v>
      </c>
      <c r="E963">
        <v>0</v>
      </c>
      <c r="F963">
        <v>0</v>
      </c>
      <c r="G963">
        <v>0.480297153669279</v>
      </c>
      <c r="H963">
        <v>9</v>
      </c>
      <c r="I963">
        <v>15</v>
      </c>
      <c r="J963">
        <v>6.4166785935785495E-2</v>
      </c>
      <c r="K963">
        <v>7.34094616639478E-3</v>
      </c>
      <c r="L963">
        <v>2.9114470842332599E-2</v>
      </c>
      <c r="M963">
        <v>8.6580086580086504E-4</v>
      </c>
      <c r="N963">
        <v>8.1237774571107802E-3</v>
      </c>
      <c r="O963">
        <v>719</v>
      </c>
      <c r="P963">
        <v>5.0750561167227801E-2</v>
      </c>
      <c r="Q963">
        <v>5.0913426136961301E-2</v>
      </c>
      <c r="R963">
        <v>0.27876106194690198</v>
      </c>
      <c r="S963">
        <v>1</v>
      </c>
      <c r="T963" t="s">
        <v>49</v>
      </c>
      <c r="U963">
        <v>3.8207547169811298E-2</v>
      </c>
      <c r="V963">
        <v>0</v>
      </c>
      <c r="W963">
        <v>0</v>
      </c>
      <c r="X963">
        <v>0.104099517675719</v>
      </c>
      <c r="Y963">
        <v>2.98277258454566E-2</v>
      </c>
      <c r="Z963">
        <v>3.3699847683181003E-2</v>
      </c>
      <c r="AA963">
        <v>0.27876106194690198</v>
      </c>
      <c r="AB963">
        <v>6.6460996866226196E-2</v>
      </c>
      <c r="AC963">
        <v>2.119999990100041E-4</v>
      </c>
      <c r="AD963">
        <v>6.8529997952282429E-3</v>
      </c>
      <c r="AE963">
        <v>9.43790003657341E-2</v>
      </c>
      <c r="AF963">
        <f>0.16*X963 + 0.28*Y963 + 0.28*Z963 + 0.28*AA963</f>
        <v>0.11249674076126613</v>
      </c>
      <c r="AG963">
        <f t="shared" ref="AG963:AG1001" si="45">0.16*AB963 + 0.28*AC963 + 0.28*AD963 + 0.28*AE963</f>
        <v>3.9038079543388449E-2</v>
      </c>
      <c r="AH963">
        <f>IF(T963="IT_Admin", 0.25, IF(AND(T963="HR", AA963&gt;0.6), 0.25, IF(AND(T963="General", Z963&gt;0.7), 0.2, 0.1)))</f>
        <v>0.1</v>
      </c>
      <c r="AI963">
        <f>IF(V963&gt;0.7, 0.1,
 IF(F963&gt;0.5, 0.08,
 IF(E963&gt;0.5, 0.05,
 0)))</f>
        <v>0</v>
      </c>
      <c r="AJ963">
        <f t="shared" ref="AJ963:AJ1001" si="46">0.3*AF963+0.7*AG963</f>
        <v>6.1075677908751749E-2</v>
      </c>
      <c r="AK963">
        <f t="shared" ref="AK963:AK1001" si="47">MIN(1,AJ963*(1+AH963+AI963))</f>
        <v>6.7183245699626928E-2</v>
      </c>
      <c r="AL963" t="str">
        <f>IF(MAX(X963, Y963, Z963, AA963)&gt;0.9,
 "Critical",
 IF(AK963&lt;=0.2,"Very Low",
 IF(AK963&lt;=0.4,"Low",
 IF(AK963&lt;=0.6,"Medium",
 IF(AK963&lt;=0.8,"High","Critical")))))</f>
        <v>Very Low</v>
      </c>
      <c r="AM963" t="str">
        <f>IF(MAX(X963:AA963)&gt;0.9,"CRITICAL ALERT",
 IF(AK963&gt;0.8,"CRITICAL ALERT",
 IF(AK963&gt;0.6,"ALERT",
 IF(AK963&gt;=0.4,"REVIEW","NO ACTION"))))</f>
        <v>NO ACTION</v>
      </c>
      <c r="AN963" t="str">
        <f>IF(AM963="NO ACTION","",
 IF(_xlfn.TEXTJOIN(", ", TRUE,
  IF(X963&gt;0.7,"Login anomaly",""),
  IF(Y963&gt;0.7,"File anomaly",""),
  IF(Z963&gt;0.7,"Network anomaly",""),
  IF(AA963&gt;0.7,"USB anomaly","")
 )="",
 "General anomaly detected",
 _xlfn.TEXTJOIN(", ", TRUE,
  IF(X963&gt;0.7,"Login anomaly",""),
  IF(Y963&gt;0.7,"File anomaly",""),
  IF(Z963&gt;0.7,"Network anomaly",""),
  IF(AA963&gt;0.7,"USB anomaly","")
 )))</f>
        <v/>
      </c>
    </row>
    <row r="964" spans="1:40" x14ac:dyDescent="0.3">
      <c r="A964" t="s">
        <v>987</v>
      </c>
      <c r="B964">
        <v>0.12892249527410199</v>
      </c>
      <c r="C964">
        <v>0.27420319690900702</v>
      </c>
      <c r="D964">
        <v>7.50946055673926E-2</v>
      </c>
      <c r="E964">
        <v>0</v>
      </c>
      <c r="F964">
        <v>0</v>
      </c>
      <c r="G964">
        <v>0.99366384807733099</v>
      </c>
      <c r="H964">
        <v>7</v>
      </c>
      <c r="I964">
        <v>8</v>
      </c>
      <c r="J964">
        <v>6.3928247698105997E-2</v>
      </c>
      <c r="K964">
        <v>8.9722675367047301E-3</v>
      </c>
      <c r="L964">
        <v>3.5716637092824299E-2</v>
      </c>
      <c r="M964">
        <v>5.7720057720057698E-4</v>
      </c>
      <c r="N964">
        <v>5.4359849155388102E-3</v>
      </c>
      <c r="O964">
        <v>434</v>
      </c>
      <c r="P964">
        <v>5.1136363636363598E-2</v>
      </c>
      <c r="Q964">
        <v>5.1299133910726102E-2</v>
      </c>
      <c r="R964">
        <v>0</v>
      </c>
      <c r="S964">
        <v>0</v>
      </c>
      <c r="T964" t="s">
        <v>49</v>
      </c>
      <c r="U964">
        <v>6.2264150943396199E-2</v>
      </c>
      <c r="V964">
        <v>0</v>
      </c>
      <c r="W964">
        <v>0</v>
      </c>
      <c r="X964">
        <v>2.2528381670217701E-2</v>
      </c>
      <c r="Y964">
        <v>3.2274763560695002E-2</v>
      </c>
      <c r="Z964">
        <v>3.2856212148033699E-2</v>
      </c>
      <c r="AA964">
        <v>0</v>
      </c>
      <c r="AB964">
        <v>1.8796000629663471E-2</v>
      </c>
      <c r="AC964">
        <v>3.8499999209307129E-4</v>
      </c>
      <c r="AD964">
        <v>7.5059998780488968E-3</v>
      </c>
      <c r="AE964">
        <v>2.5100000202655788E-3</v>
      </c>
      <c r="AF964">
        <f>0.16*X964 + 0.28*Y964 + 0.28*Z964 + 0.28*AA964</f>
        <v>2.1841214265678869E-2</v>
      </c>
      <c r="AG964">
        <f t="shared" si="45"/>
        <v>5.9196400700602687E-3</v>
      </c>
      <c r="AH964">
        <f>IF(T964="IT_Admin", 0.25, IF(AND(T964="HR", AA964&gt;0.6), 0.25, IF(AND(T964="General", Z964&gt;0.7), 0.2, 0.1)))</f>
        <v>0.1</v>
      </c>
      <c r="AI964">
        <f>IF(V964&gt;0.7, 0.1,
 IF(F964&gt;0.5, 0.08,
 IF(E964&gt;0.5, 0.05,
 0)))</f>
        <v>0</v>
      </c>
      <c r="AJ964">
        <f t="shared" si="46"/>
        <v>1.0696112328745847E-2</v>
      </c>
      <c r="AK964">
        <f t="shared" si="47"/>
        <v>1.1765723561620433E-2</v>
      </c>
      <c r="AL964" t="str">
        <f>IF(MAX(X964, Y964, Z964, AA964)&gt;0.9,
 "Critical",
 IF(AK964&lt;=0.2,"Very Low",
 IF(AK964&lt;=0.4,"Low",
 IF(AK964&lt;=0.6,"Medium",
 IF(AK964&lt;=0.8,"High","Critical")))))</f>
        <v>Very Low</v>
      </c>
      <c r="AM964" t="str">
        <f>IF(MAX(X964:AA964)&gt;0.9,"CRITICAL ALERT",
 IF(AK964&gt;0.8,"CRITICAL ALERT",
 IF(AK964&gt;0.6,"ALERT",
 IF(AK964&gt;=0.4,"REVIEW","NO ACTION"))))</f>
        <v>NO ACTION</v>
      </c>
      <c r="AN964" t="str">
        <f>IF(AM964="NO ACTION","",
 IF(_xlfn.TEXTJOIN(", ", TRUE,
  IF(X964&gt;0.7,"Login anomaly",""),
  IF(Y964&gt;0.7,"File anomaly",""),
  IF(Z964&gt;0.7,"Network anomaly",""),
  IF(AA964&gt;0.7,"USB anomaly","")
 )="",
 "General anomaly detected",
 _xlfn.TEXTJOIN(", ", TRUE,
  IF(X964&gt;0.7,"Login anomaly",""),
  IF(Y964&gt;0.7,"File anomaly",""),
  IF(Z964&gt;0.7,"Network anomaly",""),
  IF(AA964&gt;0.7,"USB anomaly","")
 )))</f>
        <v/>
      </c>
    </row>
    <row r="965" spans="1:40" x14ac:dyDescent="0.3">
      <c r="A965" t="s">
        <v>988</v>
      </c>
      <c r="B965">
        <v>0.22873345935727701</v>
      </c>
      <c r="C965">
        <v>0.91412058105937</v>
      </c>
      <c r="D965">
        <v>0.345002260491658</v>
      </c>
      <c r="E965">
        <v>0</v>
      </c>
      <c r="F965">
        <v>0</v>
      </c>
      <c r="G965">
        <v>0.49769352607237899</v>
      </c>
      <c r="H965">
        <v>9</v>
      </c>
      <c r="I965">
        <v>15</v>
      </c>
      <c r="J965">
        <v>7.8192834311340095E-2</v>
      </c>
      <c r="K965">
        <v>2.4469820554649199E-3</v>
      </c>
      <c r="L965">
        <v>7.9692894641421302E-3</v>
      </c>
      <c r="M965">
        <v>0</v>
      </c>
      <c r="N965">
        <v>0</v>
      </c>
      <c r="O965">
        <v>543</v>
      </c>
      <c r="P965">
        <v>5.85367564534231E-2</v>
      </c>
      <c r="Q965">
        <v>5.8697710298397501E-2</v>
      </c>
      <c r="R965">
        <v>0</v>
      </c>
      <c r="S965">
        <v>0</v>
      </c>
      <c r="T965" t="s">
        <v>49</v>
      </c>
      <c r="U965">
        <v>5.0943396226415097E-2</v>
      </c>
      <c r="V965">
        <v>0</v>
      </c>
      <c r="W965">
        <v>0</v>
      </c>
      <c r="X965">
        <v>0.103500678147497</v>
      </c>
      <c r="Y965">
        <v>1.9623211594339E-2</v>
      </c>
      <c r="Z965">
        <v>3.5122053872053798E-2</v>
      </c>
      <c r="AA965">
        <v>0</v>
      </c>
      <c r="AB965">
        <v>6.2366999685764313E-2</v>
      </c>
      <c r="AC965">
        <v>7.6600001193583012E-4</v>
      </c>
      <c r="AD965">
        <v>6.3370000571012497E-3</v>
      </c>
      <c r="AE965">
        <v>6.6499998793005943E-3</v>
      </c>
      <c r="AF965">
        <f>0.16*X965 + 0.28*Y965 + 0.28*Z965 + 0.28*AA965</f>
        <v>3.1888782834189507E-2</v>
      </c>
      <c r="AG965">
        <f t="shared" si="45"/>
        <v>1.3829559935256841E-2</v>
      </c>
      <c r="AH965">
        <f>IF(T965="IT_Admin", 0.25, IF(AND(T965="HR", AA965&gt;0.6), 0.25, IF(AND(T965="General", Z965&gt;0.7), 0.2, 0.1)))</f>
        <v>0.1</v>
      </c>
      <c r="AI965">
        <f>IF(V965&gt;0.7, 0.1,
 IF(F965&gt;0.5, 0.08,
 IF(E965&gt;0.5, 0.05,
 0)))</f>
        <v>0</v>
      </c>
      <c r="AJ965">
        <f t="shared" si="46"/>
        <v>1.924732680493664E-2</v>
      </c>
      <c r="AK965">
        <f t="shared" si="47"/>
        <v>2.1172059485430307E-2</v>
      </c>
      <c r="AL965" t="str">
        <f>IF(MAX(X965, Y965, Z965, AA965)&gt;0.9,
 "Critical",
 IF(AK965&lt;=0.2,"Very Low",
 IF(AK965&lt;=0.4,"Low",
 IF(AK965&lt;=0.6,"Medium",
 IF(AK965&lt;=0.8,"High","Critical")))))</f>
        <v>Very Low</v>
      </c>
      <c r="AM965" t="str">
        <f>IF(MAX(X965:AA965)&gt;0.9,"CRITICAL ALERT",
 IF(AK965&gt;0.8,"CRITICAL ALERT",
 IF(AK965&gt;0.6,"ALERT",
 IF(AK965&gt;=0.4,"REVIEW","NO ACTION"))))</f>
        <v>NO ACTION</v>
      </c>
      <c r="AN965" t="str">
        <f>IF(AM965="NO ACTION","",
 IF(_xlfn.TEXTJOIN(", ", TRUE,
  IF(X965&gt;0.7,"Login anomaly",""),
  IF(Y965&gt;0.7,"File anomaly",""),
  IF(Z965&gt;0.7,"Network anomaly",""),
  IF(AA965&gt;0.7,"USB anomaly","")
 )="",
 "General anomaly detected",
 _xlfn.TEXTJOIN(", ", TRUE,
  IF(X965&gt;0.7,"Login anomaly",""),
  IF(Y965&gt;0.7,"File anomaly",""),
  IF(Z965&gt;0.7,"Network anomaly",""),
  IF(AA965&gt;0.7,"USB anomaly","")
 )))</f>
        <v/>
      </c>
    </row>
    <row r="966" spans="1:40" x14ac:dyDescent="0.3">
      <c r="A966" t="s">
        <v>989</v>
      </c>
      <c r="B966">
        <v>0.23024574669187101</v>
      </c>
      <c r="C966">
        <v>0.65918900742952202</v>
      </c>
      <c r="D966">
        <v>0.36565569397293002</v>
      </c>
      <c r="E966">
        <v>0</v>
      </c>
      <c r="F966">
        <v>0</v>
      </c>
      <c r="G966">
        <v>0.49366473725703502</v>
      </c>
      <c r="H966">
        <v>7</v>
      </c>
      <c r="I966">
        <v>14</v>
      </c>
      <c r="J966">
        <v>7.5568913696865594E-2</v>
      </c>
      <c r="K966">
        <v>9.7879282218597003E-3</v>
      </c>
      <c r="L966">
        <v>3.2980520777972699E-2</v>
      </c>
      <c r="M966">
        <v>2.3088023088023001E-3</v>
      </c>
      <c r="N966">
        <v>1.8405033886468702E-2</v>
      </c>
      <c r="O966">
        <v>749</v>
      </c>
      <c r="P966">
        <v>6.0886644219977498E-2</v>
      </c>
      <c r="Q966">
        <v>6.1047021284056202E-2</v>
      </c>
      <c r="R966">
        <v>0</v>
      </c>
      <c r="S966">
        <v>0</v>
      </c>
      <c r="T966" t="s">
        <v>49</v>
      </c>
      <c r="U966">
        <v>2.26415094339622E-2</v>
      </c>
      <c r="V966">
        <v>0</v>
      </c>
      <c r="W966">
        <v>0</v>
      </c>
      <c r="X966">
        <v>0.109696708191879</v>
      </c>
      <c r="Y966">
        <v>3.7125553294300097E-2</v>
      </c>
      <c r="Z966">
        <v>4.3894000086574E-2</v>
      </c>
      <c r="AA966">
        <v>0</v>
      </c>
      <c r="AB966">
        <v>2.2683000192046169E-2</v>
      </c>
      <c r="AC966">
        <v>1.460000057704747E-4</v>
      </c>
      <c r="AD966">
        <v>5.4100002162158489E-3</v>
      </c>
      <c r="AE966">
        <v>7.180000189691782E-3</v>
      </c>
      <c r="AF966">
        <f>0.16*X966 + 0.28*Y966 + 0.28*Z966 + 0.28*AA966</f>
        <v>4.023694825734539E-2</v>
      </c>
      <c r="AG966">
        <f t="shared" si="45"/>
        <v>7.1953601459972564E-3</v>
      </c>
      <c r="AH966">
        <f>IF(T966="IT_Admin", 0.25, IF(AND(T966="HR", AA966&gt;0.6), 0.25, IF(AND(T966="General", Z966&gt;0.7), 0.2, 0.1)))</f>
        <v>0.1</v>
      </c>
      <c r="AI966">
        <f>IF(V966&gt;0.7, 0.1,
 IF(F966&gt;0.5, 0.08,
 IF(E966&gt;0.5, 0.05,
 0)))</f>
        <v>0</v>
      </c>
      <c r="AJ966">
        <f t="shared" si="46"/>
        <v>1.7107836579401695E-2</v>
      </c>
      <c r="AK966">
        <f t="shared" si="47"/>
        <v>1.8818620237341866E-2</v>
      </c>
      <c r="AL966" t="str">
        <f>IF(MAX(X966, Y966, Z966, AA966)&gt;0.9,
 "Critical",
 IF(AK966&lt;=0.2,"Very Low",
 IF(AK966&lt;=0.4,"Low",
 IF(AK966&lt;=0.6,"Medium",
 IF(AK966&lt;=0.8,"High","Critical")))))</f>
        <v>Very Low</v>
      </c>
      <c r="AM966" t="str">
        <f>IF(MAX(X966:AA966)&gt;0.9,"CRITICAL ALERT",
 IF(AK966&gt;0.8,"CRITICAL ALERT",
 IF(AK966&gt;0.6,"ALERT",
 IF(AK966&gt;=0.4,"REVIEW","NO ACTION"))))</f>
        <v>NO ACTION</v>
      </c>
      <c r="AN966" t="str">
        <f>IF(AM966="NO ACTION","",
 IF(_xlfn.TEXTJOIN(", ", TRUE,
  IF(X966&gt;0.7,"Login anomaly",""),
  IF(Y966&gt;0.7,"File anomaly",""),
  IF(Z966&gt;0.7,"Network anomaly",""),
  IF(AA966&gt;0.7,"USB anomaly","")
 )="",
 "General anomaly detected",
 _xlfn.TEXTJOIN(", ", TRUE,
  IF(X966&gt;0.7,"Login anomaly",""),
  IF(Y966&gt;0.7,"File anomaly",""),
  IF(Z966&gt;0.7,"Network anomaly",""),
  IF(AA966&gt;0.7,"USB anomaly","")
 )))</f>
        <v/>
      </c>
    </row>
    <row r="967" spans="1:40" x14ac:dyDescent="0.3">
      <c r="A967" t="s">
        <v>990</v>
      </c>
      <c r="B967">
        <v>0.2351606805293</v>
      </c>
      <c r="C967">
        <v>0.66970233113379796</v>
      </c>
      <c r="D967">
        <v>0.371865544851542</v>
      </c>
      <c r="E967">
        <v>0</v>
      </c>
      <c r="F967">
        <v>0</v>
      </c>
      <c r="G967">
        <v>0.48036722518042602</v>
      </c>
      <c r="H967">
        <v>7</v>
      </c>
      <c r="I967">
        <v>14</v>
      </c>
      <c r="J967">
        <v>6.4739277706216306E-2</v>
      </c>
      <c r="K967">
        <v>8.1566068515497494E-3</v>
      </c>
      <c r="L967">
        <v>3.2064395200806797E-2</v>
      </c>
      <c r="M967">
        <v>2.3088023088023001E-3</v>
      </c>
      <c r="N967">
        <v>2.1472539534213499E-2</v>
      </c>
      <c r="O967">
        <v>771</v>
      </c>
      <c r="P967">
        <v>5.2223625140291802E-2</v>
      </c>
      <c r="Q967">
        <v>5.2386128545881601E-2</v>
      </c>
      <c r="R967">
        <v>0.58259587020648895</v>
      </c>
      <c r="S967">
        <v>1</v>
      </c>
      <c r="T967" t="s">
        <v>49</v>
      </c>
      <c r="U967">
        <v>1.8867924528301799E-2</v>
      </c>
      <c r="V967">
        <v>0</v>
      </c>
      <c r="W967">
        <v>0</v>
      </c>
      <c r="X967">
        <v>0.111559663455462</v>
      </c>
      <c r="Y967">
        <v>3.5421815001910703E-2</v>
      </c>
      <c r="Z967">
        <v>3.9923190897860499E-2</v>
      </c>
      <c r="AA967">
        <v>0.58259587020648895</v>
      </c>
      <c r="AB967">
        <v>2.441399917006493E-2</v>
      </c>
      <c r="AC967">
        <v>2.1499999274965381E-4</v>
      </c>
      <c r="AD967">
        <v>6.0359998606145382E-3</v>
      </c>
      <c r="AE967">
        <v>0.33112698793411249</v>
      </c>
      <c r="AF967">
        <f>0.16*X967 + 0.28*Y967 + 0.28*Z967 + 0.28*AA967</f>
        <v>0.20207299146262681</v>
      </c>
      <c r="AG967">
        <f t="shared" si="45"/>
        <v>9.8372076447703877E-2</v>
      </c>
      <c r="AH967">
        <f>IF(T967="IT_Admin", 0.25, IF(AND(T967="HR", AA967&gt;0.6), 0.25, IF(AND(T967="General", Z967&gt;0.7), 0.2, 0.1)))</f>
        <v>0.1</v>
      </c>
      <c r="AI967">
        <f>IF(V967&gt;0.7, 0.1,
 IF(F967&gt;0.5, 0.08,
 IF(E967&gt;0.5, 0.05,
 0)))</f>
        <v>0</v>
      </c>
      <c r="AJ967">
        <f t="shared" si="46"/>
        <v>0.12948235095218075</v>
      </c>
      <c r="AK967">
        <f t="shared" si="47"/>
        <v>0.14243058604739883</v>
      </c>
      <c r="AL967" t="str">
        <f>IF(MAX(X967, Y967, Z967, AA967)&gt;0.9,
 "Critical",
 IF(AK967&lt;=0.2,"Very Low",
 IF(AK967&lt;=0.4,"Low",
 IF(AK967&lt;=0.6,"Medium",
 IF(AK967&lt;=0.8,"High","Critical")))))</f>
        <v>Very Low</v>
      </c>
      <c r="AM967" t="str">
        <f>IF(MAX(X967:AA967)&gt;0.9,"CRITICAL ALERT",
 IF(AK967&gt;0.8,"CRITICAL ALERT",
 IF(AK967&gt;0.6,"ALERT",
 IF(AK967&gt;=0.4,"REVIEW","NO ACTION"))))</f>
        <v>NO ACTION</v>
      </c>
      <c r="AN967" t="str">
        <f>IF(AM967="NO ACTION","",
 IF(_xlfn.TEXTJOIN(", ", TRUE,
  IF(X967&gt;0.7,"Login anomaly",""),
  IF(Y967&gt;0.7,"File anomaly",""),
  IF(Z967&gt;0.7,"Network anomaly",""),
  IF(AA967&gt;0.7,"USB anomaly","")
 )="",
 "General anomaly detected",
 _xlfn.TEXTJOIN(", ", TRUE,
  IF(X967&gt;0.7,"Login anomaly",""),
  IF(Y967&gt;0.7,"File anomaly",""),
  IF(Z967&gt;0.7,"Network anomaly",""),
  IF(AA967&gt;0.7,"USB anomaly","")
 )))</f>
        <v/>
      </c>
    </row>
    <row r="968" spans="1:40" x14ac:dyDescent="0.3">
      <c r="A968" t="s">
        <v>991</v>
      </c>
      <c r="B968">
        <v>0.23705103969754199</v>
      </c>
      <c r="C968">
        <v>0.78591359286413898</v>
      </c>
      <c r="D968">
        <v>0.37937872275123002</v>
      </c>
      <c r="E968">
        <v>0</v>
      </c>
      <c r="F968">
        <v>0</v>
      </c>
      <c r="G968">
        <v>0.47511710567494603</v>
      </c>
      <c r="H968">
        <v>8</v>
      </c>
      <c r="I968">
        <v>14</v>
      </c>
      <c r="J968">
        <v>7.3422069557750103E-2</v>
      </c>
      <c r="K968">
        <v>1.4681892332789499E-2</v>
      </c>
      <c r="L968">
        <v>5.0912610928949498E-2</v>
      </c>
      <c r="M968">
        <v>9.8124098124098107E-3</v>
      </c>
      <c r="N968">
        <v>8.0501162625514905E-2</v>
      </c>
      <c r="O968">
        <v>621</v>
      </c>
      <c r="P968">
        <v>6.5060325476992101E-2</v>
      </c>
      <c r="Q968">
        <v>6.5219678109330603E-2</v>
      </c>
      <c r="R968">
        <v>0</v>
      </c>
      <c r="S968">
        <v>0</v>
      </c>
      <c r="T968" t="s">
        <v>49</v>
      </c>
      <c r="U968">
        <v>8.7331536388140108E-3</v>
      </c>
      <c r="V968">
        <v>0</v>
      </c>
      <c r="W968">
        <v>0</v>
      </c>
      <c r="X968">
        <v>0.113813616825369</v>
      </c>
      <c r="Y968">
        <v>6.4291068163679202E-2</v>
      </c>
      <c r="Z968">
        <v>7.1236660336401206E-2</v>
      </c>
      <c r="AA968">
        <v>0</v>
      </c>
      <c r="AB968">
        <v>4.0858998894691467E-2</v>
      </c>
      <c r="AC968">
        <v>1.444999943487346E-3</v>
      </c>
      <c r="AD968">
        <v>3.655999898910522E-3</v>
      </c>
      <c r="AE968">
        <v>7.0210001431405544E-3</v>
      </c>
      <c r="AF968">
        <f>0.16*X968 + 0.28*Y968 + 0.28*Z968 + 0.28*AA968</f>
        <v>5.6157942672081559E-2</v>
      </c>
      <c r="AG968">
        <f t="shared" si="45"/>
        <v>9.9315998191013936E-3</v>
      </c>
      <c r="AH968">
        <f>IF(T968="IT_Admin", 0.25, IF(AND(T968="HR", AA968&gt;0.6), 0.25, IF(AND(T968="General", Z968&gt;0.7), 0.2, 0.1)))</f>
        <v>0.1</v>
      </c>
      <c r="AI968">
        <f>IF(V968&gt;0.7, 0.1,
 IF(F968&gt;0.5, 0.08,
 IF(E968&gt;0.5, 0.05,
 0)))</f>
        <v>0</v>
      </c>
      <c r="AJ968">
        <f t="shared" si="46"/>
        <v>2.3799502674995442E-2</v>
      </c>
      <c r="AK968">
        <f t="shared" si="47"/>
        <v>2.6179452942494987E-2</v>
      </c>
      <c r="AL968" t="str">
        <f>IF(MAX(X968, Y968, Z968, AA968)&gt;0.9,
 "Critical",
 IF(AK968&lt;=0.2,"Very Low",
 IF(AK968&lt;=0.4,"Low",
 IF(AK968&lt;=0.6,"Medium",
 IF(AK968&lt;=0.8,"High","Critical")))))</f>
        <v>Very Low</v>
      </c>
      <c r="AM968" t="str">
        <f>IF(MAX(X968:AA968)&gt;0.9,"CRITICAL ALERT",
 IF(AK968&gt;0.8,"CRITICAL ALERT",
 IF(AK968&gt;0.6,"ALERT",
 IF(AK968&gt;=0.4,"REVIEW","NO ACTION"))))</f>
        <v>NO ACTION</v>
      </c>
      <c r="AN968" t="str">
        <f>IF(AM968="NO ACTION","",
 IF(_xlfn.TEXTJOIN(", ", TRUE,
  IF(X968&gt;0.7,"Login anomaly",""),
  IF(Y968&gt;0.7,"File anomaly",""),
  IF(Z968&gt;0.7,"Network anomaly",""),
  IF(AA968&gt;0.7,"USB anomaly","")
 )="",
 "General anomaly detected",
 _xlfn.TEXTJOIN(", ", TRUE,
  IF(X968&gt;0.7,"Login anomaly",""),
  IF(Y968&gt;0.7,"File anomaly",""),
  IF(Z968&gt;0.7,"Network anomaly",""),
  IF(AA968&gt;0.7,"USB anomaly","")
 )))</f>
        <v/>
      </c>
    </row>
    <row r="969" spans="1:40" x14ac:dyDescent="0.3">
      <c r="A969" t="s">
        <v>992</v>
      </c>
      <c r="B969">
        <v>0.27183364839319402</v>
      </c>
      <c r="C969">
        <v>0.64680816834414201</v>
      </c>
      <c r="D969">
        <v>0.49333299451134299</v>
      </c>
      <c r="E969">
        <v>0</v>
      </c>
      <c r="F969">
        <v>4.4260027662517201E-2</v>
      </c>
      <c r="G969">
        <v>0.39581735085532999</v>
      </c>
      <c r="H969">
        <v>0</v>
      </c>
      <c r="I969">
        <v>23</v>
      </c>
      <c r="J969">
        <v>6.6075091837221503E-2</v>
      </c>
      <c r="K969">
        <v>5.7096247960848204E-3</v>
      </c>
      <c r="L969">
        <v>2.19929456003231E-2</v>
      </c>
      <c r="M969">
        <v>3.1746031746031698E-3</v>
      </c>
      <c r="N969">
        <v>2.8929998858056399E-2</v>
      </c>
      <c r="O969">
        <v>576</v>
      </c>
      <c r="P969">
        <v>5.2574354657687901E-2</v>
      </c>
      <c r="Q969">
        <v>5.2736771976577002E-2</v>
      </c>
      <c r="R969">
        <v>0.50442477876106195</v>
      </c>
      <c r="S969">
        <v>1</v>
      </c>
      <c r="T969" t="s">
        <v>49</v>
      </c>
      <c r="U969">
        <v>9.9056603773584901E-3</v>
      </c>
      <c r="V969">
        <v>0</v>
      </c>
      <c r="W969">
        <v>3.1765771515397903E-2</v>
      </c>
      <c r="X969">
        <v>0.16570390941841001</v>
      </c>
      <c r="Y969">
        <v>3.2890490825022801E-2</v>
      </c>
      <c r="Z969">
        <v>4.31166123378353E-2</v>
      </c>
      <c r="AA969">
        <v>0.50442477876106195</v>
      </c>
      <c r="AB969">
        <v>0.15352100133895871</v>
      </c>
      <c r="AC969">
        <v>4.2699999175965791E-4</v>
      </c>
      <c r="AD969">
        <v>5.4419999942183486E-3</v>
      </c>
      <c r="AE969">
        <v>0.23611399531364441</v>
      </c>
      <c r="AF969">
        <f>0.16*X969 + 0.28*Y969 + 0.28*Z969 + 0.28*AA969</f>
        <v>0.18903355244564324</v>
      </c>
      <c r="AG969">
        <f t="shared" si="45"/>
        <v>9.2318598898127685E-2</v>
      </c>
      <c r="AH969">
        <f>IF(T969="IT_Admin", 0.25, IF(AND(T969="HR", AA969&gt;0.6), 0.25, IF(AND(T969="General", Z969&gt;0.7), 0.2, 0.1)))</f>
        <v>0.1</v>
      </c>
      <c r="AI969">
        <f>IF(V969&gt;0.7, 0.1,
 IF(F969&gt;0.5, 0.08,
 IF(E969&gt;0.5, 0.05,
 0)))</f>
        <v>0</v>
      </c>
      <c r="AJ969">
        <f t="shared" si="46"/>
        <v>0.12133308496238235</v>
      </c>
      <c r="AK969">
        <f t="shared" si="47"/>
        <v>0.1334663934586206</v>
      </c>
      <c r="AL969" t="str">
        <f>IF(MAX(X969, Y969, Z969, AA969)&gt;0.9,
 "Critical",
 IF(AK969&lt;=0.2,"Very Low",
 IF(AK969&lt;=0.4,"Low",
 IF(AK969&lt;=0.6,"Medium",
 IF(AK969&lt;=0.8,"High","Critical")))))</f>
        <v>Very Low</v>
      </c>
      <c r="AM969" t="str">
        <f>IF(MAX(X969:AA969)&gt;0.9,"CRITICAL ALERT",
 IF(AK969&gt;0.8,"CRITICAL ALERT",
 IF(AK969&gt;0.6,"ALERT",
 IF(AK969&gt;=0.4,"REVIEW","NO ACTION"))))</f>
        <v>NO ACTION</v>
      </c>
      <c r="AN969" t="str">
        <f>IF(AM969="NO ACTION","",
 IF(_xlfn.TEXTJOIN(", ", TRUE,
  IF(X969&gt;0.7,"Login anomaly",""),
  IF(Y969&gt;0.7,"File anomaly",""),
  IF(Z969&gt;0.7,"Network anomaly",""),
  IF(AA969&gt;0.7,"USB anomaly","")
 )="",
 "General anomaly detected",
 _xlfn.TEXTJOIN(", ", TRUE,
  IF(X969&gt;0.7,"Login anomaly",""),
  IF(Y969&gt;0.7,"File anomaly",""),
  IF(Z969&gt;0.7,"Network anomaly",""),
  IF(AA969&gt;0.7,"USB anomaly","")
 )))</f>
        <v/>
      </c>
    </row>
    <row r="970" spans="1:40" x14ac:dyDescent="0.3">
      <c r="A970" t="s">
        <v>993</v>
      </c>
      <c r="B970">
        <v>0.12892249527410199</v>
      </c>
      <c r="C970">
        <v>0.46164678854602498</v>
      </c>
      <c r="D970">
        <v>7.5132489407342906E-2</v>
      </c>
      <c r="E970">
        <v>0</v>
      </c>
      <c r="F970">
        <v>0</v>
      </c>
      <c r="G970">
        <v>0.99367848727359098</v>
      </c>
      <c r="H970">
        <v>8</v>
      </c>
      <c r="I970">
        <v>9</v>
      </c>
      <c r="J970">
        <v>7.4280807213396305E-2</v>
      </c>
      <c r="K970">
        <v>2.77324632952691E-2</v>
      </c>
      <c r="L970">
        <v>9.5060052046028298E-2</v>
      </c>
      <c r="M970">
        <v>1.24098124098124E-2</v>
      </c>
      <c r="N970">
        <v>0.100637063889304</v>
      </c>
      <c r="O970">
        <v>634</v>
      </c>
      <c r="P970">
        <v>7.2565937149270496E-2</v>
      </c>
      <c r="Q970">
        <v>7.2723447526210599E-2</v>
      </c>
      <c r="R970">
        <v>0</v>
      </c>
      <c r="S970">
        <v>0</v>
      </c>
      <c r="T970" t="s">
        <v>49</v>
      </c>
      <c r="U970">
        <v>1.31217838765008E-2</v>
      </c>
      <c r="V970">
        <v>0</v>
      </c>
      <c r="W970">
        <v>0</v>
      </c>
      <c r="X970">
        <v>2.2539746822202798E-2</v>
      </c>
      <c r="Y970">
        <v>9.2577306632484799E-2</v>
      </c>
      <c r="Z970">
        <v>8.3794387845284105E-2</v>
      </c>
      <c r="AA970">
        <v>0</v>
      </c>
      <c r="AB970">
        <v>1.339900027960539E-2</v>
      </c>
      <c r="AC970">
        <v>3.5389999393373732E-3</v>
      </c>
      <c r="AD970">
        <v>2.9760000761598349E-3</v>
      </c>
      <c r="AE970">
        <v>2.4679999332875009E-3</v>
      </c>
      <c r="AF970">
        <f>0.16*X970 + 0.28*Y970 + 0.28*Z970 + 0.28*AA970</f>
        <v>5.2990433945327743E-2</v>
      </c>
      <c r="AG970">
        <f t="shared" si="45"/>
        <v>4.6590800303965814E-3</v>
      </c>
      <c r="AH970">
        <f>IF(T970="IT_Admin", 0.25, IF(AND(T970="HR", AA970&gt;0.6), 0.25, IF(AND(T970="General", Z970&gt;0.7), 0.2, 0.1)))</f>
        <v>0.1</v>
      </c>
      <c r="AI970">
        <f>IF(V970&gt;0.7, 0.1,
 IF(F970&gt;0.5, 0.08,
 IF(E970&gt;0.5, 0.05,
 0)))</f>
        <v>0</v>
      </c>
      <c r="AJ970">
        <f t="shared" si="46"/>
        <v>1.9158486204875931E-2</v>
      </c>
      <c r="AK970">
        <f t="shared" si="47"/>
        <v>2.1074334825363524E-2</v>
      </c>
      <c r="AL970" t="str">
        <f>IF(MAX(X970, Y970, Z970, AA970)&gt;0.9,
 "Critical",
 IF(AK970&lt;=0.2,"Very Low",
 IF(AK970&lt;=0.4,"Low",
 IF(AK970&lt;=0.6,"Medium",
 IF(AK970&lt;=0.8,"High","Critical")))))</f>
        <v>Very Low</v>
      </c>
      <c r="AM970" t="str">
        <f>IF(MAX(X970:AA970)&gt;0.9,"CRITICAL ALERT",
 IF(AK970&gt;0.8,"CRITICAL ALERT",
 IF(AK970&gt;0.6,"ALERT",
 IF(AK970&gt;=0.4,"REVIEW","NO ACTION"))))</f>
        <v>NO ACTION</v>
      </c>
      <c r="AN970" t="str">
        <f>IF(AM970="NO ACTION","",
 IF(_xlfn.TEXTJOIN(", ", TRUE,
  IF(X970&gt;0.7,"Login anomaly",""),
  IF(Y970&gt;0.7,"File anomaly",""),
  IF(Z970&gt;0.7,"Network anomaly",""),
  IF(AA970&gt;0.7,"USB anomaly","")
 )="",
 "General anomaly detected",
 _xlfn.TEXTJOIN(", ", TRUE,
  IF(X970&gt;0.7,"Login anomaly",""),
  IF(Y970&gt;0.7,"File anomaly",""),
  IF(Z970&gt;0.7,"Network anomaly",""),
  IF(AA970&gt;0.7,"USB anomaly","")
 )))</f>
        <v/>
      </c>
    </row>
    <row r="971" spans="1:40" x14ac:dyDescent="0.3">
      <c r="A971" t="s">
        <v>994</v>
      </c>
      <c r="B971">
        <v>0.2351606805293</v>
      </c>
      <c r="C971">
        <v>0.74053906955253401</v>
      </c>
      <c r="D971">
        <v>0.342211879236195</v>
      </c>
      <c r="E971">
        <v>0</v>
      </c>
      <c r="F971">
        <v>0</v>
      </c>
      <c r="G971">
        <v>0.48032385950272599</v>
      </c>
      <c r="H971">
        <v>8</v>
      </c>
      <c r="I971">
        <v>14</v>
      </c>
      <c r="J971">
        <v>6.2687848862172602E-2</v>
      </c>
      <c r="K971">
        <v>9.7879282218597003E-3</v>
      </c>
      <c r="L971">
        <v>3.9731650884153598E-2</v>
      </c>
      <c r="M971">
        <v>2.3088023088023001E-3</v>
      </c>
      <c r="N971">
        <v>2.2172554090673799E-2</v>
      </c>
      <c r="O971">
        <v>634</v>
      </c>
      <c r="P971">
        <v>5.1416947250280502E-2</v>
      </c>
      <c r="Q971">
        <v>5.1579648655282397E-2</v>
      </c>
      <c r="R971">
        <v>0</v>
      </c>
      <c r="S971">
        <v>0</v>
      </c>
      <c r="T971" t="s">
        <v>49</v>
      </c>
      <c r="U971">
        <v>2.26415094339622E-2</v>
      </c>
      <c r="V971">
        <v>0</v>
      </c>
      <c r="W971">
        <v>0</v>
      </c>
      <c r="X971">
        <v>0.102663563770858</v>
      </c>
      <c r="Y971">
        <v>3.9055161441713497E-2</v>
      </c>
      <c r="Z971">
        <v>3.9719189986437899E-2</v>
      </c>
      <c r="AA971">
        <v>0</v>
      </c>
      <c r="AB971">
        <v>3.2706998288631439E-2</v>
      </c>
      <c r="AC971">
        <v>1.2399999832268799E-4</v>
      </c>
      <c r="AD971">
        <v>6.6530001349747181E-3</v>
      </c>
      <c r="AE971">
        <v>6.9530000910162926E-3</v>
      </c>
      <c r="AF971">
        <f>0.16*X971 + 0.28*Y971 + 0.28*Z971 + 0.28*AA971</f>
        <v>3.8482988603219671E-2</v>
      </c>
      <c r="AG971">
        <f t="shared" si="45"/>
        <v>9.0775197889888665E-3</v>
      </c>
      <c r="AH971">
        <f>IF(T971="IT_Admin", 0.25, IF(AND(T971="HR", AA971&gt;0.6), 0.25, IF(AND(T971="General", Z971&gt;0.7), 0.2, 0.1)))</f>
        <v>0.1</v>
      </c>
      <c r="AI971">
        <f>IF(V971&gt;0.7, 0.1,
 IF(F971&gt;0.5, 0.08,
 IF(E971&gt;0.5, 0.05,
 0)))</f>
        <v>0</v>
      </c>
      <c r="AJ971">
        <f t="shared" si="46"/>
        <v>1.7899160433258107E-2</v>
      </c>
      <c r="AK971">
        <f t="shared" si="47"/>
        <v>1.9689076476583918E-2</v>
      </c>
      <c r="AL971" t="str">
        <f>IF(MAX(X971, Y971, Z971, AA971)&gt;0.9,
 "Critical",
 IF(AK971&lt;=0.2,"Very Low",
 IF(AK971&lt;=0.4,"Low",
 IF(AK971&lt;=0.6,"Medium",
 IF(AK971&lt;=0.8,"High","Critical")))))</f>
        <v>Very Low</v>
      </c>
      <c r="AM971" t="str">
        <f>IF(MAX(X971:AA971)&gt;0.9,"CRITICAL ALERT",
 IF(AK971&gt;0.8,"CRITICAL ALERT",
 IF(AK971&gt;0.6,"ALERT",
 IF(AK971&gt;=0.4,"REVIEW","NO ACTION"))))</f>
        <v>NO ACTION</v>
      </c>
      <c r="AN971" t="str">
        <f>IF(AM971="NO ACTION","",
 IF(_xlfn.TEXTJOIN(", ", TRUE,
  IF(X971&gt;0.7,"Login anomaly",""),
  IF(Y971&gt;0.7,"File anomaly",""),
  IF(Z971&gt;0.7,"Network anomaly",""),
  IF(AA971&gt;0.7,"USB anomaly","")
 )="",
 "General anomaly detected",
 _xlfn.TEXTJOIN(", ", TRUE,
  IF(X971&gt;0.7,"Login anomaly",""),
  IF(Y971&gt;0.7,"File anomaly",""),
  IF(Z971&gt;0.7,"Network anomaly",""),
  IF(AA971&gt;0.7,"USB anomaly","")
 )))</f>
        <v/>
      </c>
    </row>
    <row r="972" spans="1:40" x14ac:dyDescent="0.3">
      <c r="A972" t="s">
        <v>995</v>
      </c>
      <c r="B972">
        <v>0.14139886578449901</v>
      </c>
      <c r="C972">
        <v>0.244399240796564</v>
      </c>
      <c r="D972">
        <v>0.43307846968152103</v>
      </c>
      <c r="E972">
        <v>0.843621399176954</v>
      </c>
      <c r="F972">
        <v>7.4074074074074001E-2</v>
      </c>
      <c r="G972">
        <v>0.89368382927425105</v>
      </c>
      <c r="H972">
        <v>0</v>
      </c>
      <c r="I972">
        <v>23</v>
      </c>
      <c r="J972">
        <v>6.7267783025619005E-2</v>
      </c>
      <c r="K972">
        <v>1.0603588907014599E-2</v>
      </c>
      <c r="L972">
        <v>4.0122415648444203E-2</v>
      </c>
      <c r="M972">
        <v>1.1544011544011501E-3</v>
      </c>
      <c r="N972">
        <v>1.03341338677027E-2</v>
      </c>
      <c r="O972">
        <v>716</v>
      </c>
      <c r="P972">
        <v>5.45735129068462E-2</v>
      </c>
      <c r="Q972">
        <v>5.4735439531540302E-2</v>
      </c>
      <c r="R972">
        <v>9.5870206489675494E-2</v>
      </c>
      <c r="S972">
        <v>1</v>
      </c>
      <c r="T972" t="s">
        <v>49</v>
      </c>
      <c r="U972">
        <v>4.4150943396226397E-2</v>
      </c>
      <c r="V972">
        <v>0</v>
      </c>
      <c r="W972">
        <v>9.6987916736259103E-2</v>
      </c>
      <c r="X972">
        <v>0.41263959028717201</v>
      </c>
      <c r="Y972">
        <v>3.6615004589656698E-2</v>
      </c>
      <c r="Z972">
        <v>3.6877761291188797E-2</v>
      </c>
      <c r="AA972">
        <v>9.5870206489675494E-2</v>
      </c>
      <c r="AB972">
        <v>0.59711402654647827</v>
      </c>
      <c r="AC972">
        <v>1.189999966300093E-4</v>
      </c>
      <c r="AD972">
        <v>5.5350000038743019E-3</v>
      </c>
      <c r="AE972">
        <v>5.3679998964071267E-2</v>
      </c>
      <c r="AF972">
        <f>0.16*X972 + 0.28*Y972 + 0.28*Z972 + 0.28*AA972</f>
        <v>0.11344396670969339</v>
      </c>
      <c r="AG972">
        <f t="shared" si="45"/>
        <v>0.11215176395751768</v>
      </c>
      <c r="AH972">
        <f>IF(T972="IT_Admin", 0.25, IF(AND(T972="HR", AA972&gt;0.6), 0.25, IF(AND(T972="General", Z972&gt;0.7), 0.2, 0.1)))</f>
        <v>0.1</v>
      </c>
      <c r="AI972">
        <f>IF(V972&gt;0.7, 0.1,
 IF(F972&gt;0.5, 0.08,
 IF(E972&gt;0.5, 0.05,
 0)))</f>
        <v>0.05</v>
      </c>
      <c r="AJ972">
        <f t="shared" si="46"/>
        <v>0.11253942478317039</v>
      </c>
      <c r="AK972">
        <f t="shared" si="47"/>
        <v>0.12942033850064597</v>
      </c>
      <c r="AL972" t="str">
        <f>IF(MAX(X972, Y972, Z972, AA972)&gt;0.9,
 "Critical",
 IF(AK972&lt;=0.2,"Very Low",
 IF(AK972&lt;=0.4,"Low",
 IF(AK972&lt;=0.6,"Medium",
 IF(AK972&lt;=0.8,"High","Critical")))))</f>
        <v>Very Low</v>
      </c>
      <c r="AM972" t="str">
        <f>IF(MAX(X972:AA972)&gt;0.9,"CRITICAL ALERT",
 IF(AK972&gt;0.8,"CRITICAL ALERT",
 IF(AK972&gt;0.6,"ALERT",
 IF(AK972&gt;=0.4,"REVIEW","NO ACTION"))))</f>
        <v>NO ACTION</v>
      </c>
      <c r="AN972" t="str">
        <f>IF(AM972="NO ACTION","",
 IF(_xlfn.TEXTJOIN(", ", TRUE,
  IF(X972&gt;0.7,"Login anomaly",""),
  IF(Y972&gt;0.7,"File anomaly",""),
  IF(Z972&gt;0.7,"Network anomaly",""),
  IF(AA972&gt;0.7,"USB anomaly","")
 )="",
 "General anomaly detected",
 _xlfn.TEXTJOIN(", ", TRUE,
  IF(X972&gt;0.7,"Login anomaly",""),
  IF(Y972&gt;0.7,"File anomaly",""),
  IF(Z972&gt;0.7,"Network anomaly",""),
  IF(AA972&gt;0.7,"USB anomaly","")
 )))</f>
        <v/>
      </c>
    </row>
    <row r="973" spans="1:40" x14ac:dyDescent="0.3">
      <c r="A973" t="s">
        <v>996</v>
      </c>
      <c r="B973">
        <v>0.12892249527410199</v>
      </c>
      <c r="C973">
        <v>0.45843346983224698</v>
      </c>
      <c r="D973">
        <v>7.5079446679057096E-2</v>
      </c>
      <c r="E973">
        <v>0</v>
      </c>
      <c r="F973">
        <v>0</v>
      </c>
      <c r="G973">
        <v>0.99366218879000301</v>
      </c>
      <c r="H973">
        <v>8</v>
      </c>
      <c r="I973">
        <v>9</v>
      </c>
      <c r="J973">
        <v>7.1370640713706399E-2</v>
      </c>
      <c r="K973">
        <v>1.71288743882544E-2</v>
      </c>
      <c r="L973">
        <v>6.1099655665121697E-2</v>
      </c>
      <c r="M973">
        <v>1.44300144300144E-3</v>
      </c>
      <c r="N973">
        <v>1.21775478204525E-2</v>
      </c>
      <c r="O973">
        <v>755</v>
      </c>
      <c r="P973">
        <v>6.0535914702581302E-2</v>
      </c>
      <c r="Q973">
        <v>6.0696377853360899E-2</v>
      </c>
      <c r="R973">
        <v>0</v>
      </c>
      <c r="S973">
        <v>0</v>
      </c>
      <c r="T973" t="s">
        <v>49</v>
      </c>
      <c r="U973">
        <v>5.9433962264150902E-2</v>
      </c>
      <c r="V973">
        <v>0</v>
      </c>
      <c r="W973">
        <v>0</v>
      </c>
      <c r="X973">
        <v>2.2523834003717099E-2</v>
      </c>
      <c r="Y973">
        <v>4.8477220321437899E-2</v>
      </c>
      <c r="Z973">
        <v>4.1192567949729801E-2</v>
      </c>
      <c r="AA973">
        <v>0</v>
      </c>
      <c r="AB973">
        <v>1.3229000382125379E-2</v>
      </c>
      <c r="AC973">
        <v>2.6900001103058457E-4</v>
      </c>
      <c r="AD973">
        <v>5.950000137090683E-3</v>
      </c>
      <c r="AE973">
        <v>2.2030000109225512E-3</v>
      </c>
      <c r="AF973">
        <f>0.16*X973 + 0.28*Y973 + 0.28*Z973 + 0.28*AA973</f>
        <v>2.8711354156521696E-2</v>
      </c>
      <c r="AG973">
        <f t="shared" si="45"/>
        <v>4.4748001056723304E-3</v>
      </c>
      <c r="AH973">
        <f>IF(T973="IT_Admin", 0.25, IF(AND(T973="HR", AA973&gt;0.6), 0.25, IF(AND(T973="General", Z973&gt;0.7), 0.2, 0.1)))</f>
        <v>0.1</v>
      </c>
      <c r="AI973">
        <f>IF(V973&gt;0.7, 0.1,
 IF(F973&gt;0.5, 0.08,
 IF(E973&gt;0.5, 0.05,
 0)))</f>
        <v>0</v>
      </c>
      <c r="AJ973">
        <f t="shared" si="46"/>
        <v>1.1745766320927139E-2</v>
      </c>
      <c r="AK973">
        <f t="shared" si="47"/>
        <v>1.2920342953019854E-2</v>
      </c>
      <c r="AL973" t="str">
        <f>IF(MAX(X973, Y973, Z973, AA973)&gt;0.9,
 "Critical",
 IF(AK973&lt;=0.2,"Very Low",
 IF(AK973&lt;=0.4,"Low",
 IF(AK973&lt;=0.6,"Medium",
 IF(AK973&lt;=0.8,"High","Critical")))))</f>
        <v>Very Low</v>
      </c>
      <c r="AM973" t="str">
        <f>IF(MAX(X973:AA973)&gt;0.9,"CRITICAL ALERT",
 IF(AK973&gt;0.8,"CRITICAL ALERT",
 IF(AK973&gt;0.6,"ALERT",
 IF(AK973&gt;=0.4,"REVIEW","NO ACTION"))))</f>
        <v>NO ACTION</v>
      </c>
      <c r="AN973" t="str">
        <f>IF(AM973="NO ACTION","",
 IF(_xlfn.TEXTJOIN(", ", TRUE,
  IF(X973&gt;0.7,"Login anomaly",""),
  IF(Y973&gt;0.7,"File anomaly",""),
  IF(Z973&gt;0.7,"Network anomaly",""),
  IF(AA973&gt;0.7,"USB anomaly","")
 )="",
 "General anomaly detected",
 _xlfn.TEXTJOIN(", ", TRUE,
  IF(X973&gt;0.7,"Login anomaly",""),
  IF(Y973&gt;0.7,"File anomaly",""),
  IF(Z973&gt;0.7,"Network anomaly",""),
  IF(AA973&gt;0.7,"USB anomaly","")
 )))</f>
        <v/>
      </c>
    </row>
    <row r="974" spans="1:40" x14ac:dyDescent="0.3">
      <c r="A974" t="s">
        <v>997</v>
      </c>
      <c r="B974">
        <v>0.152362948960302</v>
      </c>
      <c r="C974">
        <v>0.32095685260893603</v>
      </c>
      <c r="D974">
        <v>0.37625353322944299</v>
      </c>
      <c r="E974">
        <v>0.111930111930111</v>
      </c>
      <c r="F974">
        <v>2.2113022113022102E-2</v>
      </c>
      <c r="G974">
        <v>0.81922682424815296</v>
      </c>
      <c r="H974">
        <v>0</v>
      </c>
      <c r="I974">
        <v>23</v>
      </c>
      <c r="J974">
        <v>7.7763465483516994E-2</v>
      </c>
      <c r="K974">
        <v>3.4257748776508903E-2</v>
      </c>
      <c r="L974">
        <v>0.11218419957596</v>
      </c>
      <c r="M974">
        <v>3.1746031746031698E-3</v>
      </c>
      <c r="N974">
        <v>2.4594922576573901E-2</v>
      </c>
      <c r="O974">
        <v>735</v>
      </c>
      <c r="P974">
        <v>7.3442760942760907E-2</v>
      </c>
      <c r="Q974">
        <v>7.3600056102948896E-2</v>
      </c>
      <c r="R974">
        <v>0</v>
      </c>
      <c r="S974">
        <v>0</v>
      </c>
      <c r="T974" t="s">
        <v>49</v>
      </c>
      <c r="U974">
        <v>5.9433962264150902E-2</v>
      </c>
      <c r="V974">
        <v>0</v>
      </c>
      <c r="W974">
        <v>0</v>
      </c>
      <c r="X974">
        <v>0.15530030239307499</v>
      </c>
      <c r="Y974">
        <v>7.9023269657655798E-2</v>
      </c>
      <c r="Z974">
        <v>5.3903625596286101E-2</v>
      </c>
      <c r="AA974">
        <v>0</v>
      </c>
      <c r="AB974">
        <v>0.1167490035295486</v>
      </c>
      <c r="AC974">
        <v>2.0270000677555799E-3</v>
      </c>
      <c r="AD974">
        <v>3.4250000026077032E-3</v>
      </c>
      <c r="AE974">
        <v>1.410999987274408E-2</v>
      </c>
      <c r="AF974">
        <f>0.16*X974 + 0.28*Y974 + 0.28*Z974 + 0.28*AA974</f>
        <v>6.2067579053995736E-2</v>
      </c>
      <c r="AG974">
        <f t="shared" si="45"/>
        <v>2.4157200548797841E-2</v>
      </c>
      <c r="AH974">
        <f>IF(T974="IT_Admin", 0.25, IF(AND(T974="HR", AA974&gt;0.6), 0.25, IF(AND(T974="General", Z974&gt;0.7), 0.2, 0.1)))</f>
        <v>0.1</v>
      </c>
      <c r="AI974">
        <f>IF(V974&gt;0.7, 0.1,
 IF(F974&gt;0.5, 0.08,
 IF(E974&gt;0.5, 0.05,
 0)))</f>
        <v>0</v>
      </c>
      <c r="AJ974">
        <f t="shared" si="46"/>
        <v>3.5530314100357209E-2</v>
      </c>
      <c r="AK974">
        <f t="shared" si="47"/>
        <v>3.9083345510392935E-2</v>
      </c>
      <c r="AL974" t="str">
        <f>IF(MAX(X974, Y974, Z974, AA974)&gt;0.9,
 "Critical",
 IF(AK974&lt;=0.2,"Very Low",
 IF(AK974&lt;=0.4,"Low",
 IF(AK974&lt;=0.6,"Medium",
 IF(AK974&lt;=0.8,"High","Critical")))))</f>
        <v>Very Low</v>
      </c>
      <c r="AM974" t="str">
        <f>IF(MAX(X974:AA974)&gt;0.9,"CRITICAL ALERT",
 IF(AK974&gt;0.8,"CRITICAL ALERT",
 IF(AK974&gt;0.6,"ALERT",
 IF(AK974&gt;=0.4,"REVIEW","NO ACTION"))))</f>
        <v>NO ACTION</v>
      </c>
      <c r="AN974" t="str">
        <f>IF(AM974="NO ACTION","",
 IF(_xlfn.TEXTJOIN(", ", TRUE,
  IF(X974&gt;0.7,"Login anomaly",""),
  IF(Y974&gt;0.7,"File anomaly",""),
  IF(Z974&gt;0.7,"Network anomaly",""),
  IF(AA974&gt;0.7,"USB anomaly","")
 )="",
 "General anomaly detected",
 _xlfn.TEXTJOIN(", ", TRUE,
  IF(X974&gt;0.7,"Login anomaly",""),
  IF(Y974&gt;0.7,"File anomaly",""),
  IF(Z974&gt;0.7,"Network anomaly",""),
  IF(AA974&gt;0.7,"USB anomaly","")
 )))</f>
        <v/>
      </c>
    </row>
    <row r="975" spans="1:40" x14ac:dyDescent="0.3">
      <c r="A975" t="s">
        <v>998</v>
      </c>
      <c r="B975">
        <v>0.12892249527410199</v>
      </c>
      <c r="C975">
        <v>0.36953165208440503</v>
      </c>
      <c r="D975">
        <v>0</v>
      </c>
      <c r="E975">
        <v>0</v>
      </c>
      <c r="F975">
        <v>0</v>
      </c>
      <c r="G975">
        <v>0.99366350016224603</v>
      </c>
      <c r="H975">
        <v>8</v>
      </c>
      <c r="I975">
        <v>8</v>
      </c>
      <c r="J975">
        <v>7.8860741376842694E-2</v>
      </c>
      <c r="K975">
        <v>1.4681892332789499E-2</v>
      </c>
      <c r="L975">
        <v>4.7411985087031303E-2</v>
      </c>
      <c r="M975">
        <v>3.1746031746031698E-3</v>
      </c>
      <c r="N975">
        <v>2.4253738487755298E-2</v>
      </c>
      <c r="O975">
        <v>887</v>
      </c>
      <c r="P975">
        <v>6.5831930415263695E-2</v>
      </c>
      <c r="Q975">
        <v>6.5991093656860303E-2</v>
      </c>
      <c r="R975">
        <v>0</v>
      </c>
      <c r="S975">
        <v>0</v>
      </c>
      <c r="T975" t="s">
        <v>49</v>
      </c>
      <c r="U975">
        <v>2.54716981132075E-2</v>
      </c>
      <c r="V975">
        <v>0</v>
      </c>
      <c r="W975">
        <v>0</v>
      </c>
      <c r="X975">
        <v>0</v>
      </c>
      <c r="Y975">
        <v>4.6754262365210797E-2</v>
      </c>
      <c r="Z975">
        <v>4.9200653644260399E-2</v>
      </c>
      <c r="AA975">
        <v>0</v>
      </c>
      <c r="AB975">
        <v>2.465599961578846E-2</v>
      </c>
      <c r="AC975">
        <v>4.9999998736893758E-5</v>
      </c>
      <c r="AD975">
        <v>4.9100001342594624E-3</v>
      </c>
      <c r="AE975">
        <v>1.77800003439188E-3</v>
      </c>
      <c r="AF975">
        <f>0.16*X975 + 0.28*Y975 + 0.28*Z975 + 0.28*AA975</f>
        <v>2.6867376482651938E-2</v>
      </c>
      <c r="AG975">
        <f t="shared" si="45"/>
        <v>5.8315999853948593E-3</v>
      </c>
      <c r="AH975">
        <f>IF(T975="IT_Admin", 0.25, IF(AND(T975="HR", AA975&gt;0.6), 0.25, IF(AND(T975="General", Z975&gt;0.7), 0.2, 0.1)))</f>
        <v>0.1</v>
      </c>
      <c r="AI975">
        <f>IF(V975&gt;0.7, 0.1,
 IF(F975&gt;0.5, 0.08,
 IF(E975&gt;0.5, 0.05,
 0)))</f>
        <v>0</v>
      </c>
      <c r="AJ975">
        <f t="shared" si="46"/>
        <v>1.2142332934571981E-2</v>
      </c>
      <c r="AK975">
        <f t="shared" si="47"/>
        <v>1.3356566228029181E-2</v>
      </c>
      <c r="AL975" t="str">
        <f>IF(MAX(X975, Y975, Z975, AA975)&gt;0.9,
 "Critical",
 IF(AK975&lt;=0.2,"Very Low",
 IF(AK975&lt;=0.4,"Low",
 IF(AK975&lt;=0.6,"Medium",
 IF(AK975&lt;=0.8,"High","Critical")))))</f>
        <v>Very Low</v>
      </c>
      <c r="AM975" t="str">
        <f>IF(MAX(X975:AA975)&gt;0.9,"CRITICAL ALERT",
 IF(AK975&gt;0.8,"CRITICAL ALERT",
 IF(AK975&gt;0.6,"ALERT",
 IF(AK975&gt;=0.4,"REVIEW","NO ACTION"))))</f>
        <v>NO ACTION</v>
      </c>
      <c r="AN975" t="str">
        <f>IF(AM975="NO ACTION","",
 IF(_xlfn.TEXTJOIN(", ", TRUE,
  IF(X975&gt;0.7,"Login anomaly",""),
  IF(Y975&gt;0.7,"File anomaly",""),
  IF(Z975&gt;0.7,"Network anomaly",""),
  IF(AA975&gt;0.7,"USB anomaly","")
 )="",
 "General anomaly detected",
 _xlfn.TEXTJOIN(", ", TRUE,
  IF(X975&gt;0.7,"Login anomaly",""),
  IF(Y975&gt;0.7,"File anomaly",""),
  IF(Z975&gt;0.7,"Network anomaly",""),
  IF(AA975&gt;0.7,"USB anomaly","")
 )))</f>
        <v/>
      </c>
    </row>
    <row r="976" spans="1:40" x14ac:dyDescent="0.3">
      <c r="A976" t="s">
        <v>999</v>
      </c>
      <c r="B976">
        <v>0.12892249527410199</v>
      </c>
      <c r="C976">
        <v>0</v>
      </c>
      <c r="D976">
        <v>0</v>
      </c>
      <c r="E976">
        <v>0</v>
      </c>
      <c r="F976">
        <v>1</v>
      </c>
      <c r="G976">
        <v>0.99366047597727802</v>
      </c>
      <c r="H976">
        <v>6</v>
      </c>
      <c r="I976">
        <v>6</v>
      </c>
      <c r="J976">
        <v>7.8956156671914496E-2</v>
      </c>
      <c r="K976">
        <v>8.9722675367047301E-3</v>
      </c>
      <c r="L976">
        <v>2.8939082463764299E-2</v>
      </c>
      <c r="M976">
        <v>1.7316017316017301E-3</v>
      </c>
      <c r="N976">
        <v>1.32133729724091E-2</v>
      </c>
      <c r="O976">
        <v>871</v>
      </c>
      <c r="P976">
        <v>6.2745510662177303E-2</v>
      </c>
      <c r="Q976">
        <v>6.2905431466741393E-2</v>
      </c>
      <c r="R976">
        <v>0</v>
      </c>
      <c r="S976">
        <v>0</v>
      </c>
      <c r="T976" t="s">
        <v>49</v>
      </c>
      <c r="U976">
        <v>2.6684636118598299E-2</v>
      </c>
      <c r="V976">
        <v>0</v>
      </c>
      <c r="W976">
        <v>0</v>
      </c>
      <c r="X976">
        <v>0.4</v>
      </c>
      <c r="Y976">
        <v>3.4224784457987802E-2</v>
      </c>
      <c r="Z976">
        <v>4.2932655586269998E-2</v>
      </c>
      <c r="AA976">
        <v>0</v>
      </c>
      <c r="AB976">
        <v>0.1190579980611801</v>
      </c>
      <c r="AC976">
        <v>1.7299999308306721E-4</v>
      </c>
      <c r="AD976">
        <v>5.7029998861253262E-3</v>
      </c>
      <c r="AE976">
        <v>4.400000034365803E-5</v>
      </c>
      <c r="AF976">
        <f>0.16*X976 + 0.28*Y976 + 0.28*Z976 + 0.28*AA976</f>
        <v>8.5604083212392185E-2</v>
      </c>
      <c r="AG976">
        <f t="shared" si="45"/>
        <v>2.0706879656063389E-2</v>
      </c>
      <c r="AH976">
        <f>IF(T976="IT_Admin", 0.25, IF(AND(T976="HR", AA976&gt;0.6), 0.25, IF(AND(T976="General", Z976&gt;0.7), 0.2, 0.1)))</f>
        <v>0.1</v>
      </c>
      <c r="AI976">
        <f>IF(V976&gt;0.7, 0.1,
 IF(F976&gt;0.5, 0.08,
 IF(E976&gt;0.5, 0.05,
 0)))</f>
        <v>0.08</v>
      </c>
      <c r="AJ976">
        <f t="shared" si="46"/>
        <v>4.0176040722962027E-2</v>
      </c>
      <c r="AK976">
        <f t="shared" si="47"/>
        <v>4.7407728053095198E-2</v>
      </c>
      <c r="AL976" t="str">
        <f>IF(MAX(X976, Y976, Z976, AA976)&gt;0.9,
 "Critical",
 IF(AK976&lt;=0.2,"Very Low",
 IF(AK976&lt;=0.4,"Low",
 IF(AK976&lt;=0.6,"Medium",
 IF(AK976&lt;=0.8,"High","Critical")))))</f>
        <v>Very Low</v>
      </c>
      <c r="AM976" t="str">
        <f>IF(MAX(X976:AA976)&gt;0.9,"CRITICAL ALERT",
 IF(AK976&gt;0.8,"CRITICAL ALERT",
 IF(AK976&gt;0.6,"ALERT",
 IF(AK976&gt;=0.4,"REVIEW","NO ACTION"))))</f>
        <v>NO ACTION</v>
      </c>
      <c r="AN976" t="str">
        <f>IF(AM976="NO ACTION","",
 IF(_xlfn.TEXTJOIN(", ", TRUE,
  IF(X976&gt;0.7,"Login anomaly",""),
  IF(Y976&gt;0.7,"File anomaly",""),
  IF(Z976&gt;0.7,"Network anomaly",""),
  IF(AA976&gt;0.7,"USB anomaly","")
 )="",
 "General anomaly detected",
 _xlfn.TEXTJOIN(", ", TRUE,
  IF(X976&gt;0.7,"Login anomaly",""),
  IF(Y976&gt;0.7,"File anomaly",""),
  IF(Z976&gt;0.7,"Network anomaly",""),
  IF(AA976&gt;0.7,"USB anomaly","")
 )))</f>
        <v/>
      </c>
    </row>
    <row r="977" spans="1:40" x14ac:dyDescent="0.3">
      <c r="A977" t="s">
        <v>1000</v>
      </c>
      <c r="B977">
        <v>0.134593572778827</v>
      </c>
      <c r="C977">
        <v>0.28690026877108699</v>
      </c>
      <c r="D977">
        <v>0.29086239512074902</v>
      </c>
      <c r="E977">
        <v>0.50617283950617198</v>
      </c>
      <c r="F977">
        <v>4.1666666666666602E-2</v>
      </c>
      <c r="G977">
        <v>0.94594539851988901</v>
      </c>
      <c r="H977">
        <v>0</v>
      </c>
      <c r="I977">
        <v>23</v>
      </c>
      <c r="J977">
        <v>9.24097132770383E-2</v>
      </c>
      <c r="K977">
        <v>6.5252854812398002E-3</v>
      </c>
      <c r="L977">
        <v>1.7990404228011899E-2</v>
      </c>
      <c r="M977">
        <v>1.44300144300144E-3</v>
      </c>
      <c r="N977">
        <v>9.4122035419666704E-3</v>
      </c>
      <c r="O977">
        <v>401</v>
      </c>
      <c r="P977">
        <v>7.1443602693602698E-2</v>
      </c>
      <c r="Q977">
        <v>7.1601388547985506E-2</v>
      </c>
      <c r="R977">
        <v>0</v>
      </c>
      <c r="S977">
        <v>0</v>
      </c>
      <c r="T977" t="s">
        <v>49</v>
      </c>
      <c r="U977">
        <v>2.26415094339622E-2</v>
      </c>
      <c r="V977">
        <v>0</v>
      </c>
      <c r="W977">
        <v>0</v>
      </c>
      <c r="X977">
        <v>0.25577723705474298</v>
      </c>
      <c r="Y977">
        <v>3.0300805832003602E-2</v>
      </c>
      <c r="Z977">
        <v>4.6631043032948197E-2</v>
      </c>
      <c r="AA977">
        <v>0</v>
      </c>
      <c r="AB977">
        <v>0.26558300852775568</v>
      </c>
      <c r="AC977">
        <v>3.4699999378062779E-4</v>
      </c>
      <c r="AD977">
        <v>3.7680000532418489E-3</v>
      </c>
      <c r="AE977">
        <v>1.8435999751091E-2</v>
      </c>
      <c r="AF977">
        <f>0.16*X977 + 0.28*Y977 + 0.28*Z977 + 0.28*AA977</f>
        <v>6.2465275610945378E-2</v>
      </c>
      <c r="AG977">
        <f t="shared" si="45"/>
        <v>4.8807561307912681E-2</v>
      </c>
      <c r="AH977">
        <f>IF(T977="IT_Admin", 0.25, IF(AND(T977="HR", AA977&gt;0.6), 0.25, IF(AND(T977="General", Z977&gt;0.7), 0.2, 0.1)))</f>
        <v>0.1</v>
      </c>
      <c r="AI977">
        <f>IF(V977&gt;0.7, 0.1,
 IF(F977&gt;0.5, 0.08,
 IF(E977&gt;0.5, 0.05,
 0)))</f>
        <v>0.05</v>
      </c>
      <c r="AJ977">
        <f t="shared" si="46"/>
        <v>5.2904875598822482E-2</v>
      </c>
      <c r="AK977">
        <f t="shared" si="47"/>
        <v>6.0840606938645861E-2</v>
      </c>
      <c r="AL977" t="str">
        <f>IF(MAX(X977, Y977, Z977, AA977)&gt;0.9,
 "Critical",
 IF(AK977&lt;=0.2,"Very Low",
 IF(AK977&lt;=0.4,"Low",
 IF(AK977&lt;=0.6,"Medium",
 IF(AK977&lt;=0.8,"High","Critical")))))</f>
        <v>Very Low</v>
      </c>
      <c r="AM977" t="str">
        <f>IF(MAX(X977:AA977)&gt;0.9,"CRITICAL ALERT",
 IF(AK977&gt;0.8,"CRITICAL ALERT",
 IF(AK977&gt;0.6,"ALERT",
 IF(AK977&gt;=0.4,"REVIEW","NO ACTION"))))</f>
        <v>NO ACTION</v>
      </c>
      <c r="AN977" t="str">
        <f>IF(AM977="NO ACTION","",
 IF(_xlfn.TEXTJOIN(", ", TRUE,
  IF(X977&gt;0.7,"Login anomaly",""),
  IF(Y977&gt;0.7,"File anomaly",""),
  IF(Z977&gt;0.7,"Network anomaly",""),
  IF(AA977&gt;0.7,"USB anomaly","")
 )="",
 "General anomaly detected",
 _xlfn.TEXTJOIN(", ", TRUE,
  IF(X977&gt;0.7,"Login anomaly",""),
  IF(Y977&gt;0.7,"File anomaly",""),
  IF(Z977&gt;0.7,"Network anomaly",""),
  IF(AA977&gt;0.7,"USB anomaly","")
 )))</f>
        <v/>
      </c>
    </row>
    <row r="978" spans="1:40" x14ac:dyDescent="0.3">
      <c r="A978" t="s">
        <v>1001</v>
      </c>
      <c r="B978">
        <v>0.12892249527410199</v>
      </c>
      <c r="C978">
        <v>0.27902317497967399</v>
      </c>
      <c r="D978">
        <v>7.51173381640724E-2</v>
      </c>
      <c r="E978">
        <v>0</v>
      </c>
      <c r="F978">
        <v>0</v>
      </c>
      <c r="G978">
        <v>0.99367203746317301</v>
      </c>
      <c r="H978">
        <v>7</v>
      </c>
      <c r="I978">
        <v>8</v>
      </c>
      <c r="J978">
        <v>8.8879347359381702E-2</v>
      </c>
      <c r="K978">
        <v>3.9967373572593799E-2</v>
      </c>
      <c r="L978">
        <v>0.114556402939584</v>
      </c>
      <c r="M978">
        <v>8.6580086580086504E-4</v>
      </c>
      <c r="N978">
        <v>5.8710383121518004E-3</v>
      </c>
      <c r="O978">
        <v>657</v>
      </c>
      <c r="P978">
        <v>8.2947530864197497E-2</v>
      </c>
      <c r="Q978">
        <v>8.31024930747922E-2</v>
      </c>
      <c r="R978">
        <v>0.57079646017699104</v>
      </c>
      <c r="S978">
        <v>1</v>
      </c>
      <c r="T978" t="s">
        <v>49</v>
      </c>
      <c r="U978">
        <v>0.20801886792452801</v>
      </c>
      <c r="V978">
        <v>0</v>
      </c>
      <c r="W978">
        <v>0</v>
      </c>
      <c r="X978">
        <v>2.2535201449221699E-2</v>
      </c>
      <c r="Y978">
        <v>7.68153824353143E-2</v>
      </c>
      <c r="Z978">
        <v>5.2116933843379197E-2</v>
      </c>
      <c r="AA978">
        <v>0.57079646017699104</v>
      </c>
      <c r="AB978">
        <v>2.0105000585317612E-2</v>
      </c>
      <c r="AC978">
        <v>1.173599995672703E-2</v>
      </c>
      <c r="AD978">
        <v>3.114999970421195E-3</v>
      </c>
      <c r="AE978">
        <v>0.34087499976158142</v>
      </c>
      <c r="AF978">
        <f>0.16*X978 + 0.28*Y978 + 0.28*Z978 + 0.28*AA978</f>
        <v>0.19952968963946716</v>
      </c>
      <c r="AG978">
        <f t="shared" si="45"/>
        <v>0.10282008000649513</v>
      </c>
      <c r="AH978">
        <f>IF(T978="IT_Admin", 0.25, IF(AND(T978="HR", AA978&gt;0.6), 0.25, IF(AND(T978="General", Z978&gt;0.7), 0.2, 0.1)))</f>
        <v>0.1</v>
      </c>
      <c r="AI978">
        <f>IF(V978&gt;0.7, 0.1,
 IF(F978&gt;0.5, 0.08,
 IF(E978&gt;0.5, 0.05,
 0)))</f>
        <v>0</v>
      </c>
      <c r="AJ978">
        <f t="shared" si="46"/>
        <v>0.13183296289638674</v>
      </c>
      <c r="AK978">
        <f t="shared" si="47"/>
        <v>0.14501625918602543</v>
      </c>
      <c r="AL978" t="str">
        <f>IF(MAX(X978, Y978, Z978, AA978)&gt;0.9,
 "Critical",
 IF(AK978&lt;=0.2,"Very Low",
 IF(AK978&lt;=0.4,"Low",
 IF(AK978&lt;=0.6,"Medium",
 IF(AK978&lt;=0.8,"High","Critical")))))</f>
        <v>Very Low</v>
      </c>
      <c r="AM978" t="str">
        <f>IF(MAX(X978:AA978)&gt;0.9,"CRITICAL ALERT",
 IF(AK978&gt;0.8,"CRITICAL ALERT",
 IF(AK978&gt;0.6,"ALERT",
 IF(AK978&gt;=0.4,"REVIEW","NO ACTION"))))</f>
        <v>NO ACTION</v>
      </c>
      <c r="AN978" t="str">
        <f>IF(AM978="NO ACTION","",
 IF(_xlfn.TEXTJOIN(", ", TRUE,
  IF(X978&gt;0.7,"Login anomaly",""),
  IF(Y978&gt;0.7,"File anomaly",""),
  IF(Z978&gt;0.7,"Network anomaly",""),
  IF(AA978&gt;0.7,"USB anomaly","")
 )="",
 "General anomaly detected",
 _xlfn.TEXTJOIN(", ", TRUE,
  IF(X978&gt;0.7,"Login anomaly",""),
  IF(Y978&gt;0.7,"File anomaly",""),
  IF(Z978&gt;0.7,"Network anomaly",""),
  IF(AA978&gt;0.7,"USB anomaly","")
 )))</f>
        <v/>
      </c>
    </row>
    <row r="979" spans="1:40" x14ac:dyDescent="0.3">
      <c r="A979" t="s">
        <v>1002</v>
      </c>
      <c r="B979">
        <v>0.26918714555765599</v>
      </c>
      <c r="C979">
        <v>0.88692757556850599</v>
      </c>
      <c r="D979">
        <v>0.36798718537610298</v>
      </c>
      <c r="E979">
        <v>0</v>
      </c>
      <c r="F979">
        <v>0</v>
      </c>
      <c r="G979">
        <v>0.40097919781188002</v>
      </c>
      <c r="H979">
        <v>8</v>
      </c>
      <c r="I979">
        <v>16</v>
      </c>
      <c r="J979">
        <v>6.1781403558990498E-2</v>
      </c>
      <c r="K979">
        <v>1.2234910277324601E-2</v>
      </c>
      <c r="L979">
        <v>5.0390430304037198E-2</v>
      </c>
      <c r="M979">
        <v>1.7316017316017301E-3</v>
      </c>
      <c r="N979">
        <v>1.68724608724608E-2</v>
      </c>
      <c r="O979">
        <v>634</v>
      </c>
      <c r="P979">
        <v>5.1522166105499402E-2</v>
      </c>
      <c r="Q979">
        <v>5.1684841684491001E-2</v>
      </c>
      <c r="R979">
        <v>0.50147492625368695</v>
      </c>
      <c r="S979">
        <v>1</v>
      </c>
      <c r="T979" t="s">
        <v>49</v>
      </c>
      <c r="U979">
        <v>3.6388140161725001E-2</v>
      </c>
      <c r="V979">
        <v>0</v>
      </c>
      <c r="W979">
        <v>0</v>
      </c>
      <c r="X979">
        <v>0.110396155612831</v>
      </c>
      <c r="Y979">
        <v>4.26132341255549E-2</v>
      </c>
      <c r="Z979">
        <v>3.7662284012283997E-2</v>
      </c>
      <c r="AA979">
        <v>0.50147492625368695</v>
      </c>
      <c r="AB979">
        <v>6.8627998232841492E-2</v>
      </c>
      <c r="AC979">
        <v>7.4000003223773092E-5</v>
      </c>
      <c r="AD979">
        <v>6.2719997949898243E-3</v>
      </c>
      <c r="AE979">
        <v>0.24377900362014771</v>
      </c>
      <c r="AF979">
        <f>0.16*X979 + 0.28*Y979 + 0.28*Z979 + 0.28*AA979</f>
        <v>0.18055350932768022</v>
      </c>
      <c r="AG979">
        <f t="shared" si="45"/>
        <v>8.1015480674395818E-2</v>
      </c>
      <c r="AH979">
        <f>IF(T979="IT_Admin", 0.25, IF(AND(T979="HR", AA979&gt;0.6), 0.25, IF(AND(T979="General", Z979&gt;0.7), 0.2, 0.1)))</f>
        <v>0.1</v>
      </c>
      <c r="AI979">
        <f>IF(V979&gt;0.7, 0.1,
 IF(F979&gt;0.5, 0.08,
 IF(E979&gt;0.5, 0.05,
 0)))</f>
        <v>0</v>
      </c>
      <c r="AJ979">
        <f t="shared" si="46"/>
        <v>0.11087688927038113</v>
      </c>
      <c r="AK979">
        <f t="shared" si="47"/>
        <v>0.12196457819741925</v>
      </c>
      <c r="AL979" t="str">
        <f>IF(MAX(X979, Y979, Z979, AA979)&gt;0.9,
 "Critical",
 IF(AK979&lt;=0.2,"Very Low",
 IF(AK979&lt;=0.4,"Low",
 IF(AK979&lt;=0.6,"Medium",
 IF(AK979&lt;=0.8,"High","Critical")))))</f>
        <v>Very Low</v>
      </c>
      <c r="AM979" t="str">
        <f>IF(MAX(X979:AA979)&gt;0.9,"CRITICAL ALERT",
 IF(AK979&gt;0.8,"CRITICAL ALERT",
 IF(AK979&gt;0.6,"ALERT",
 IF(AK979&gt;=0.4,"REVIEW","NO ACTION"))))</f>
        <v>NO ACTION</v>
      </c>
      <c r="AN979" t="str">
        <f>IF(AM979="NO ACTION","",
 IF(_xlfn.TEXTJOIN(", ", TRUE,
  IF(X979&gt;0.7,"Login anomaly",""),
  IF(Y979&gt;0.7,"File anomaly",""),
  IF(Z979&gt;0.7,"Network anomaly",""),
  IF(AA979&gt;0.7,"USB anomaly","")
 )="",
 "General anomaly detected",
 _xlfn.TEXTJOIN(", ", TRUE,
  IF(X979&gt;0.7,"Login anomaly",""),
  IF(Y979&gt;0.7,"File anomaly",""),
  IF(Z979&gt;0.7,"Network anomaly",""),
  IF(AA979&gt;0.7,"USB anomaly","")
 )))</f>
        <v/>
      </c>
    </row>
    <row r="980" spans="1:40" x14ac:dyDescent="0.3">
      <c r="A980" t="s">
        <v>1003</v>
      </c>
      <c r="B980">
        <v>0.12892249527410199</v>
      </c>
      <c r="C980">
        <v>0.452542385523655</v>
      </c>
      <c r="D980">
        <v>7.4745173332315298E-2</v>
      </c>
      <c r="E980">
        <v>0</v>
      </c>
      <c r="F980">
        <v>0</v>
      </c>
      <c r="G980">
        <v>0.99368830918406104</v>
      </c>
      <c r="H980">
        <v>8</v>
      </c>
      <c r="I980">
        <v>9</v>
      </c>
      <c r="J980">
        <v>7.9958017270168394E-2</v>
      </c>
      <c r="K980">
        <v>1.2234910277324601E-2</v>
      </c>
      <c r="L980">
        <v>3.8969398807405298E-2</v>
      </c>
      <c r="M980">
        <v>3.7518037518037501E-3</v>
      </c>
      <c r="N980">
        <v>2.82713254753706E-2</v>
      </c>
      <c r="O980">
        <v>881</v>
      </c>
      <c r="P980">
        <v>6.5867003367003296E-2</v>
      </c>
      <c r="Q980">
        <v>6.6026157999929794E-2</v>
      </c>
      <c r="R980">
        <v>0</v>
      </c>
      <c r="S980">
        <v>0</v>
      </c>
      <c r="T980" t="s">
        <v>49</v>
      </c>
      <c r="U980">
        <v>1.81940700808625E-2</v>
      </c>
      <c r="V980">
        <v>0</v>
      </c>
      <c r="W980">
        <v>0</v>
      </c>
      <c r="X980">
        <v>2.2423551999694601E-2</v>
      </c>
      <c r="Y980">
        <v>4.3957700500347502E-2</v>
      </c>
      <c r="Z980">
        <v>5.0828732210350197E-2</v>
      </c>
      <c r="AA980">
        <v>0</v>
      </c>
      <c r="AB980">
        <v>1.3492000289261339E-2</v>
      </c>
      <c r="AC980">
        <v>1.4099999680183831E-4</v>
      </c>
      <c r="AD980">
        <v>4.7519998624920854E-3</v>
      </c>
      <c r="AE980">
        <v>2.461000112816691E-3</v>
      </c>
      <c r="AF980">
        <f>0.16*X980 + 0.28*Y980 + 0.28*Z980 + 0.28*AA980</f>
        <v>3.0127969478946498E-2</v>
      </c>
      <c r="AG980">
        <f t="shared" si="45"/>
        <v>4.2178400384727862E-3</v>
      </c>
      <c r="AH980">
        <f>IF(T980="IT_Admin", 0.25, IF(AND(T980="HR", AA980&gt;0.6), 0.25, IF(AND(T980="General", Z980&gt;0.7), 0.2, 0.1)))</f>
        <v>0.1</v>
      </c>
      <c r="AI980">
        <f>IF(V980&gt;0.7, 0.1,
 IF(F980&gt;0.5, 0.08,
 IF(E980&gt;0.5, 0.05,
 0)))</f>
        <v>0</v>
      </c>
      <c r="AJ980">
        <f t="shared" si="46"/>
        <v>1.19908788706149E-2</v>
      </c>
      <c r="AK980">
        <f t="shared" si="47"/>
        <v>1.3189966757676391E-2</v>
      </c>
      <c r="AL980" t="str">
        <f>IF(MAX(X980, Y980, Z980, AA980)&gt;0.9,
 "Critical",
 IF(AK980&lt;=0.2,"Very Low",
 IF(AK980&lt;=0.4,"Low",
 IF(AK980&lt;=0.6,"Medium",
 IF(AK980&lt;=0.8,"High","Critical")))))</f>
        <v>Very Low</v>
      </c>
      <c r="AM980" t="str">
        <f>IF(MAX(X980:AA980)&gt;0.9,"CRITICAL ALERT",
 IF(AK980&gt;0.8,"CRITICAL ALERT",
 IF(AK980&gt;0.6,"ALERT",
 IF(AK980&gt;=0.4,"REVIEW","NO ACTION"))))</f>
        <v>NO ACTION</v>
      </c>
      <c r="AN980" t="str">
        <f>IF(AM980="NO ACTION","",
 IF(_xlfn.TEXTJOIN(", ", TRUE,
  IF(X980&gt;0.7,"Login anomaly",""),
  IF(Y980&gt;0.7,"File anomaly",""),
  IF(Z980&gt;0.7,"Network anomaly",""),
  IF(AA980&gt;0.7,"USB anomaly","")
 )="",
 "General anomaly detected",
 _xlfn.TEXTJOIN(", ", TRUE,
  IF(X980&gt;0.7,"Login anomaly",""),
  IF(Y980&gt;0.7,"File anomaly",""),
  IF(Z980&gt;0.7,"Network anomaly",""),
  IF(AA980&gt;0.7,"USB anomaly","")
 )))</f>
        <v/>
      </c>
    </row>
    <row r="981" spans="1:40" x14ac:dyDescent="0.3">
      <c r="A981" t="s">
        <v>1004</v>
      </c>
      <c r="B981">
        <v>0.12892249527410199</v>
      </c>
      <c r="C981">
        <v>0.18476582604220201</v>
      </c>
      <c r="D981">
        <v>0</v>
      </c>
      <c r="E981">
        <v>0</v>
      </c>
      <c r="F981">
        <v>0</v>
      </c>
      <c r="G981">
        <v>0.99367166278538899</v>
      </c>
      <c r="H981">
        <v>7</v>
      </c>
      <c r="I981">
        <v>7</v>
      </c>
      <c r="J981">
        <v>8.2009446114212098E-2</v>
      </c>
      <c r="K981">
        <v>2.4469820554649199E-3</v>
      </c>
      <c r="L981">
        <v>7.5994848486367001E-3</v>
      </c>
      <c r="M981">
        <v>4.6176046176046098E-3</v>
      </c>
      <c r="N981">
        <v>3.3927608869604199E-2</v>
      </c>
      <c r="O981">
        <v>304</v>
      </c>
      <c r="P981">
        <v>6.35872615039281E-2</v>
      </c>
      <c r="Q981">
        <v>6.3746975700410199E-2</v>
      </c>
      <c r="R981">
        <v>0</v>
      </c>
      <c r="S981">
        <v>0</v>
      </c>
      <c r="T981" t="s">
        <v>49</v>
      </c>
      <c r="U981">
        <v>2.99667036625971E-3</v>
      </c>
      <c r="V981">
        <v>0</v>
      </c>
      <c r="W981">
        <v>0</v>
      </c>
      <c r="X981">
        <v>0</v>
      </c>
      <c r="Y981">
        <v>3.0379914308041999E-2</v>
      </c>
      <c r="Z981">
        <v>5.1723400450198603E-2</v>
      </c>
      <c r="AA981">
        <v>0</v>
      </c>
      <c r="AB981">
        <v>3.7268999963998788E-2</v>
      </c>
      <c r="AC981">
        <v>8.8200002210214734E-4</v>
      </c>
      <c r="AD981">
        <v>4.8630000092089176E-3</v>
      </c>
      <c r="AE981">
        <v>3.044999903067946E-3</v>
      </c>
      <c r="AF981">
        <f>0.16*X981 + 0.28*Y981 + 0.28*Z981 + 0.28*AA981</f>
        <v>2.2988928132307372E-2</v>
      </c>
      <c r="AG981">
        <f t="shared" si="45"/>
        <v>8.4242399758659298E-3</v>
      </c>
      <c r="AH981">
        <f>IF(T981="IT_Admin", 0.25, IF(AND(T981="HR", AA981&gt;0.6), 0.25, IF(AND(T981="General", Z981&gt;0.7), 0.2, 0.1)))</f>
        <v>0.1</v>
      </c>
      <c r="AI981">
        <f>IF(V981&gt;0.7, 0.1,
 IF(F981&gt;0.5, 0.08,
 IF(E981&gt;0.5, 0.05,
 0)))</f>
        <v>0</v>
      </c>
      <c r="AJ981">
        <f t="shared" si="46"/>
        <v>1.2793646422798361E-2</v>
      </c>
      <c r="AK981">
        <f t="shared" si="47"/>
        <v>1.4073011065078198E-2</v>
      </c>
      <c r="AL981" t="str">
        <f>IF(MAX(X981, Y981, Z981, AA981)&gt;0.9,
 "Critical",
 IF(AK981&lt;=0.2,"Very Low",
 IF(AK981&lt;=0.4,"Low",
 IF(AK981&lt;=0.6,"Medium",
 IF(AK981&lt;=0.8,"High","Critical")))))</f>
        <v>Very Low</v>
      </c>
      <c r="AM981" t="str">
        <f>IF(MAX(X981:AA981)&gt;0.9,"CRITICAL ALERT",
 IF(AK981&gt;0.8,"CRITICAL ALERT",
 IF(AK981&gt;0.6,"ALERT",
 IF(AK981&gt;=0.4,"REVIEW","NO ACTION"))))</f>
        <v>NO ACTION</v>
      </c>
      <c r="AN981" t="str">
        <f>IF(AM981="NO ACTION","",
 IF(_xlfn.TEXTJOIN(", ", TRUE,
  IF(X981&gt;0.7,"Login anomaly",""),
  IF(Y981&gt;0.7,"File anomaly",""),
  IF(Z981&gt;0.7,"Network anomaly",""),
  IF(AA981&gt;0.7,"USB anomaly","")
 )="",
 "General anomaly detected",
 _xlfn.TEXTJOIN(", ", TRUE,
  IF(X981&gt;0.7,"Login anomaly",""),
  IF(Y981&gt;0.7,"File anomaly",""),
  IF(Z981&gt;0.7,"Network anomaly",""),
  IF(AA981&gt;0.7,"USB anomaly","")
 )))</f>
        <v/>
      </c>
    </row>
    <row r="982" spans="1:40" x14ac:dyDescent="0.3">
      <c r="A982" t="s">
        <v>1005</v>
      </c>
      <c r="B982">
        <v>0.23478260869565201</v>
      </c>
      <c r="C982">
        <v>0.59272876994338597</v>
      </c>
      <c r="D982">
        <v>0.37612585128053699</v>
      </c>
      <c r="E982">
        <v>0</v>
      </c>
      <c r="F982">
        <v>0</v>
      </c>
      <c r="G982">
        <v>0.48133127760111</v>
      </c>
      <c r="H982">
        <v>7</v>
      </c>
      <c r="I982">
        <v>13</v>
      </c>
      <c r="J982">
        <v>7.3040408377462895E-2</v>
      </c>
      <c r="K982">
        <v>5.7096247960848204E-3</v>
      </c>
      <c r="L982">
        <v>1.99024703023758E-2</v>
      </c>
      <c r="M982">
        <v>1.1544011544011501E-3</v>
      </c>
      <c r="N982">
        <v>9.5200517075516994E-3</v>
      </c>
      <c r="O982">
        <v>511</v>
      </c>
      <c r="P982">
        <v>5.6712962962962903E-2</v>
      </c>
      <c r="Q982">
        <v>5.6874364458781801E-2</v>
      </c>
      <c r="R982">
        <v>0.96755162241887904</v>
      </c>
      <c r="S982">
        <v>1</v>
      </c>
      <c r="T982" t="s">
        <v>49</v>
      </c>
      <c r="U982">
        <v>2.3773584905660301E-2</v>
      </c>
      <c r="V982">
        <v>0</v>
      </c>
      <c r="W982">
        <v>0</v>
      </c>
      <c r="X982">
        <v>0.11283775538416101</v>
      </c>
      <c r="Y982">
        <v>2.74153323389459E-2</v>
      </c>
      <c r="Z982">
        <v>3.7835798460798403E-2</v>
      </c>
      <c r="AA982">
        <v>0.96755162241887904</v>
      </c>
      <c r="AB982">
        <v>1.8724000081419941E-2</v>
      </c>
      <c r="AC982">
        <v>3.6899998667649919E-4</v>
      </c>
      <c r="AD982">
        <v>5.6199999526143074E-3</v>
      </c>
      <c r="AE982">
        <v>0.95790201425552368</v>
      </c>
      <c r="AF982">
        <f>0.16*X982 + 0.28*Y982 + 0.28*Z982 + 0.28*AA982</f>
        <v>0.30723881176268031</v>
      </c>
      <c r="AG982">
        <f t="shared" si="45"/>
        <v>0.27288532398757526</v>
      </c>
      <c r="AH982">
        <f>IF(T982="IT_Admin", 0.25, IF(AND(T982="HR", AA982&gt;0.6), 0.25, IF(AND(T982="General", Z982&gt;0.7), 0.2, 0.1)))</f>
        <v>0.1</v>
      </c>
      <c r="AI982">
        <f>IF(V982&gt;0.7, 0.1,
 IF(F982&gt;0.5, 0.08,
 IF(E982&gt;0.5, 0.05,
 0)))</f>
        <v>0</v>
      </c>
      <c r="AJ982">
        <f t="shared" si="46"/>
        <v>0.28319137032010677</v>
      </c>
      <c r="AK982">
        <f t="shared" si="47"/>
        <v>0.31151050735211749</v>
      </c>
      <c r="AL982" t="str">
        <f>IF(MAX(X982, Y982, Z982, AA982)&gt;0.9,
 "Critical",
 IF(AK982&lt;=0.2,"Very Low",
 IF(AK982&lt;=0.4,"Low",
 IF(AK982&lt;=0.6,"Medium",
 IF(AK982&lt;=0.8,"High","Critical")))))</f>
        <v>Critical</v>
      </c>
      <c r="AM982" t="str">
        <f>IF(MAX(X982:AA982)&gt;0.9,"CRITICAL ALERT",
 IF(AK982&gt;0.8,"CRITICAL ALERT",
 IF(AK982&gt;0.6,"ALERT",
 IF(AK982&gt;=0.4,"REVIEW","NO ACTION"))))</f>
        <v>CRITICAL ALERT</v>
      </c>
      <c r="AN982" t="str">
        <f>IF(AM982="NO ACTION","",
 IF(_xlfn.TEXTJOIN(", ", TRUE,
  IF(X982&gt;0.7,"Login anomaly",""),
  IF(Y982&gt;0.7,"File anomaly",""),
  IF(Z982&gt;0.7,"Network anomaly",""),
  IF(AA982&gt;0.7,"USB anomaly","")
 )="",
 "General anomaly detected",
 _xlfn.TEXTJOIN(", ", TRUE,
  IF(X982&gt;0.7,"Login anomaly",""),
  IF(Y982&gt;0.7,"File anomaly",""),
  IF(Z982&gt;0.7,"Network anomaly",""),
  IF(AA982&gt;0.7,"USB anomaly","")
 )))</f>
        <v>USB anomaly</v>
      </c>
    </row>
    <row r="983" spans="1:40" x14ac:dyDescent="0.3">
      <c r="A983" t="s">
        <v>1006</v>
      </c>
      <c r="B983">
        <v>0.12892249527410199</v>
      </c>
      <c r="C983">
        <v>0.18476582604220201</v>
      </c>
      <c r="D983">
        <v>0</v>
      </c>
      <c r="E983">
        <v>0</v>
      </c>
      <c r="F983">
        <v>0</v>
      </c>
      <c r="G983">
        <v>0.99367771115532499</v>
      </c>
      <c r="H983">
        <v>7</v>
      </c>
      <c r="I983">
        <v>7</v>
      </c>
      <c r="J983">
        <v>7.5998282524688696E-2</v>
      </c>
      <c r="K983">
        <v>9.7879282218597003E-3</v>
      </c>
      <c r="L983">
        <v>3.2794773164079201E-2</v>
      </c>
      <c r="M983">
        <v>1.7316017316017301E-3</v>
      </c>
      <c r="N983">
        <v>1.3726031998873E-2</v>
      </c>
      <c r="O983">
        <v>845</v>
      </c>
      <c r="P983">
        <v>6.0921717171717099E-2</v>
      </c>
      <c r="Q983">
        <v>6.10820856271257E-2</v>
      </c>
      <c r="R983">
        <v>0</v>
      </c>
      <c r="S983">
        <v>0</v>
      </c>
      <c r="T983" t="s">
        <v>49</v>
      </c>
      <c r="U983">
        <v>2.9110512129380001E-2</v>
      </c>
      <c r="V983">
        <v>0</v>
      </c>
      <c r="W983">
        <v>0</v>
      </c>
      <c r="X983">
        <v>0</v>
      </c>
      <c r="Y983">
        <v>3.5714852686639299E-2</v>
      </c>
      <c r="Z983">
        <v>4.20434431025795E-2</v>
      </c>
      <c r="AA983">
        <v>0</v>
      </c>
      <c r="AB983">
        <v>3.6639999598264687E-2</v>
      </c>
      <c r="AC983">
        <v>1.209999973070808E-4</v>
      </c>
      <c r="AD983">
        <v>5.853000096976757E-3</v>
      </c>
      <c r="AE983">
        <v>1.609000028111041E-3</v>
      </c>
      <c r="AF983">
        <f>0.16*X983 + 0.28*Y983 + 0.28*Z983 + 0.28*AA983</f>
        <v>2.1772322820981266E-2</v>
      </c>
      <c r="AG983">
        <f t="shared" si="45"/>
        <v>7.9856399699929168E-3</v>
      </c>
      <c r="AH983">
        <f>IF(T983="IT_Admin", 0.25, IF(AND(T983="HR", AA983&gt;0.6), 0.25, IF(AND(T983="General", Z983&gt;0.7), 0.2, 0.1)))</f>
        <v>0.1</v>
      </c>
      <c r="AI983">
        <f>IF(V983&gt;0.7, 0.1,
 IF(F983&gt;0.5, 0.08,
 IF(E983&gt;0.5, 0.05,
 0)))</f>
        <v>0</v>
      </c>
      <c r="AJ983">
        <f t="shared" si="46"/>
        <v>1.2121644825289421E-2</v>
      </c>
      <c r="AK983">
        <f t="shared" si="47"/>
        <v>1.3333809307818365E-2</v>
      </c>
      <c r="AL983" t="str">
        <f>IF(MAX(X983, Y983, Z983, AA983)&gt;0.9,
 "Critical",
 IF(AK983&lt;=0.2,"Very Low",
 IF(AK983&lt;=0.4,"Low",
 IF(AK983&lt;=0.6,"Medium",
 IF(AK983&lt;=0.8,"High","Critical")))))</f>
        <v>Very Low</v>
      </c>
      <c r="AM983" t="str">
        <f>IF(MAX(X983:AA983)&gt;0.9,"CRITICAL ALERT",
 IF(AK983&gt;0.8,"CRITICAL ALERT",
 IF(AK983&gt;0.6,"ALERT",
 IF(AK983&gt;=0.4,"REVIEW","NO ACTION"))))</f>
        <v>NO ACTION</v>
      </c>
      <c r="AN983" t="str">
        <f>IF(AM983="NO ACTION","",
 IF(_xlfn.TEXTJOIN(", ", TRUE,
  IF(X983&gt;0.7,"Login anomaly",""),
  IF(Y983&gt;0.7,"File anomaly",""),
  IF(Z983&gt;0.7,"Network anomaly",""),
  IF(AA983&gt;0.7,"USB anomaly","")
 )="",
 "General anomaly detected",
 _xlfn.TEXTJOIN(", ", TRUE,
  IF(X983&gt;0.7,"Login anomaly",""),
  IF(Y983&gt;0.7,"File anomaly",""),
  IF(Z983&gt;0.7,"Network anomaly",""),
  IF(AA983&gt;0.7,"USB anomaly","")
 )))</f>
        <v/>
      </c>
    </row>
    <row r="984" spans="1:40" x14ac:dyDescent="0.3">
      <c r="A984" t="s">
        <v>1007</v>
      </c>
      <c r="B984">
        <v>0.12892249527410199</v>
      </c>
      <c r="C984">
        <v>8.4081839677176307E-2</v>
      </c>
      <c r="D984">
        <v>7.4828881661874E-2</v>
      </c>
      <c r="E984">
        <v>0</v>
      </c>
      <c r="F984">
        <v>0.54492753623188395</v>
      </c>
      <c r="G984">
        <v>0.99368635550704598</v>
      </c>
      <c r="H984">
        <v>6</v>
      </c>
      <c r="I984">
        <v>7</v>
      </c>
      <c r="J984">
        <v>8.0387386097991495E-2</v>
      </c>
      <c r="K984">
        <v>8.9722675367047301E-3</v>
      </c>
      <c r="L984">
        <v>2.8425370940738898E-2</v>
      </c>
      <c r="M984">
        <v>2.3088023088023001E-3</v>
      </c>
      <c r="N984">
        <v>1.7305088074318801E-2</v>
      </c>
      <c r="O984">
        <v>900</v>
      </c>
      <c r="P984">
        <v>6.4078282828282804E-2</v>
      </c>
      <c r="Q984">
        <v>6.4237876503383695E-2</v>
      </c>
      <c r="R984">
        <v>0</v>
      </c>
      <c r="S984">
        <v>0</v>
      </c>
      <c r="T984" t="s">
        <v>49</v>
      </c>
      <c r="U984">
        <v>2.0754716981132001E-2</v>
      </c>
      <c r="V984">
        <v>0</v>
      </c>
      <c r="W984">
        <v>0</v>
      </c>
      <c r="X984">
        <v>0.240419678991315</v>
      </c>
      <c r="Y984">
        <v>3.5481689112263397E-2</v>
      </c>
      <c r="Z984">
        <v>4.5369004926697203E-2</v>
      </c>
      <c r="AA984">
        <v>0</v>
      </c>
      <c r="AB984">
        <v>4.9809999763965607E-2</v>
      </c>
      <c r="AC984">
        <v>1.9900000188499689E-4</v>
      </c>
      <c r="AD984">
        <v>5.3480002097785473E-3</v>
      </c>
      <c r="AE984">
        <v>6.9900002563372254E-4</v>
      </c>
      <c r="AF984">
        <f>0.16*X984 + 0.28*Y984 + 0.28*Z984 + 0.28*AA984</f>
        <v>6.1105342969519374E-2</v>
      </c>
      <c r="AG984">
        <f t="shared" si="45"/>
        <v>9.7184800286777319E-3</v>
      </c>
      <c r="AH984">
        <f>IF(T984="IT_Admin", 0.25, IF(AND(T984="HR", AA984&gt;0.6), 0.25, IF(AND(T984="General", Z984&gt;0.7), 0.2, 0.1)))</f>
        <v>0.1</v>
      </c>
      <c r="AI984">
        <f>IF(V984&gt;0.7, 0.1,
 IF(F984&gt;0.5, 0.08,
 IF(E984&gt;0.5, 0.05,
 0)))</f>
        <v>0.08</v>
      </c>
      <c r="AJ984">
        <f t="shared" si="46"/>
        <v>2.5134538910930225E-2</v>
      </c>
      <c r="AK984">
        <f t="shared" si="47"/>
        <v>2.965875591489767E-2</v>
      </c>
      <c r="AL984" t="str">
        <f>IF(MAX(X984, Y984, Z984, AA984)&gt;0.9,
 "Critical",
 IF(AK984&lt;=0.2,"Very Low",
 IF(AK984&lt;=0.4,"Low",
 IF(AK984&lt;=0.6,"Medium",
 IF(AK984&lt;=0.8,"High","Critical")))))</f>
        <v>Very Low</v>
      </c>
      <c r="AM984" t="str">
        <f>IF(MAX(X984:AA984)&gt;0.9,"CRITICAL ALERT",
 IF(AK984&gt;0.8,"CRITICAL ALERT",
 IF(AK984&gt;0.6,"ALERT",
 IF(AK984&gt;=0.4,"REVIEW","NO ACTION"))))</f>
        <v>NO ACTION</v>
      </c>
      <c r="AN984" t="str">
        <f>IF(AM984="NO ACTION","",
 IF(_xlfn.TEXTJOIN(", ", TRUE,
  IF(X984&gt;0.7,"Login anomaly",""),
  IF(Y984&gt;0.7,"File anomaly",""),
  IF(Z984&gt;0.7,"Network anomaly",""),
  IF(AA984&gt;0.7,"USB anomaly","")
 )="",
 "General anomaly detected",
 _xlfn.TEXTJOIN(", ", TRUE,
  IF(X984&gt;0.7,"Login anomaly",""),
  IF(Y984&gt;0.7,"File anomaly",""),
  IF(Z984&gt;0.7,"Network anomaly",""),
  IF(AA984&gt;0.7,"USB anomaly","")
 )))</f>
        <v/>
      </c>
    </row>
    <row r="985" spans="1:40" x14ac:dyDescent="0.3">
      <c r="A985" t="s">
        <v>1008</v>
      </c>
      <c r="B985">
        <v>0.12892249527410199</v>
      </c>
      <c r="C985">
        <v>0.27580985626589599</v>
      </c>
      <c r="D985">
        <v>7.5124914167671697E-2</v>
      </c>
      <c r="E985">
        <v>0</v>
      </c>
      <c r="F985">
        <v>0</v>
      </c>
      <c r="G985">
        <v>0.99367548985132204</v>
      </c>
      <c r="H985">
        <v>7</v>
      </c>
      <c r="I985">
        <v>8</v>
      </c>
      <c r="J985">
        <v>5.3432565240208001E-2</v>
      </c>
      <c r="K985">
        <v>5.7096247960848204E-3</v>
      </c>
      <c r="L985">
        <v>2.7173506119510402E-2</v>
      </c>
      <c r="M985">
        <v>5.7720057720057698E-4</v>
      </c>
      <c r="N985">
        <v>6.4990219656886304E-3</v>
      </c>
      <c r="O985">
        <v>479</v>
      </c>
      <c r="P985">
        <v>4.2017396184062798E-2</v>
      </c>
      <c r="Q985">
        <v>4.2182404712647698E-2</v>
      </c>
      <c r="R985">
        <v>0</v>
      </c>
      <c r="S985">
        <v>0</v>
      </c>
      <c r="T985" t="s">
        <v>49</v>
      </c>
      <c r="U985">
        <v>3.9622641509433898E-2</v>
      </c>
      <c r="V985">
        <v>0</v>
      </c>
      <c r="W985">
        <v>0</v>
      </c>
      <c r="X985">
        <v>2.25374742503015E-2</v>
      </c>
      <c r="Y985">
        <v>2.6222972697503399E-2</v>
      </c>
      <c r="Z985">
        <v>2.7810046496713099E-2</v>
      </c>
      <c r="AA985">
        <v>0</v>
      </c>
      <c r="AB985">
        <v>1.866799965500832E-2</v>
      </c>
      <c r="AC985">
        <v>3.2500000088475639E-4</v>
      </c>
      <c r="AD985">
        <v>8.9760003611445427E-3</v>
      </c>
      <c r="AE985">
        <v>2.4250000715255742E-3</v>
      </c>
      <c r="AF985">
        <f>0.16*X985 + 0.28*Y985 + 0.28*Z985 + 0.28*AA985</f>
        <v>1.873524125442886E-2</v>
      </c>
      <c r="AG985">
        <f t="shared" si="45"/>
        <v>6.270160066196696E-3</v>
      </c>
      <c r="AH985">
        <f>IF(T985="IT_Admin", 0.25, IF(AND(T985="HR", AA985&gt;0.6), 0.25, IF(AND(T985="General", Z985&gt;0.7), 0.2, 0.1)))</f>
        <v>0.1</v>
      </c>
      <c r="AI985">
        <f>IF(V985&gt;0.7, 0.1,
 IF(F985&gt;0.5, 0.08,
 IF(E985&gt;0.5, 0.05,
 0)))</f>
        <v>0</v>
      </c>
      <c r="AJ985">
        <f t="shared" si="46"/>
        <v>1.0009684422666344E-2</v>
      </c>
      <c r="AK985">
        <f t="shared" si="47"/>
        <v>1.101065286493298E-2</v>
      </c>
      <c r="AL985" t="str">
        <f>IF(MAX(X985, Y985, Z985, AA985)&gt;0.9,
 "Critical",
 IF(AK985&lt;=0.2,"Very Low",
 IF(AK985&lt;=0.4,"Low",
 IF(AK985&lt;=0.6,"Medium",
 IF(AK985&lt;=0.8,"High","Critical")))))</f>
        <v>Very Low</v>
      </c>
      <c r="AM985" t="str">
        <f>IF(MAX(X985:AA985)&gt;0.9,"CRITICAL ALERT",
 IF(AK985&gt;0.8,"CRITICAL ALERT",
 IF(AK985&gt;0.6,"ALERT",
 IF(AK985&gt;=0.4,"REVIEW","NO ACTION"))))</f>
        <v>NO ACTION</v>
      </c>
      <c r="AN985" t="str">
        <f>IF(AM985="NO ACTION","",
 IF(_xlfn.TEXTJOIN(", ", TRUE,
  IF(X985&gt;0.7,"Login anomaly",""),
  IF(Y985&gt;0.7,"File anomaly",""),
  IF(Z985&gt;0.7,"Network anomaly",""),
  IF(AA985&gt;0.7,"USB anomaly","")
 )="",
 "General anomaly detected",
 _xlfn.TEXTJOIN(", ", TRUE,
  IF(X985&gt;0.7,"Login anomaly",""),
  IF(Y985&gt;0.7,"File anomaly",""),
  IF(Z985&gt;0.7,"Network anomaly",""),
  IF(AA985&gt;0.7,"USB anomaly","")
 )))</f>
        <v/>
      </c>
    </row>
    <row r="986" spans="1:40" x14ac:dyDescent="0.3">
      <c r="A986" t="s">
        <v>1009</v>
      </c>
      <c r="B986">
        <v>0.12892249527410199</v>
      </c>
      <c r="C986">
        <v>0.27366764379004499</v>
      </c>
      <c r="D986">
        <v>7.5079446679057096E-2</v>
      </c>
      <c r="E986">
        <v>0</v>
      </c>
      <c r="F986">
        <v>0</v>
      </c>
      <c r="G986">
        <v>0.99365870963915504</v>
      </c>
      <c r="H986">
        <v>7</v>
      </c>
      <c r="I986">
        <v>8</v>
      </c>
      <c r="J986">
        <v>7.2372501311960297E-2</v>
      </c>
      <c r="K986">
        <v>1.30505709624796E-2</v>
      </c>
      <c r="L986">
        <v>4.5909809475425903E-2</v>
      </c>
      <c r="M986">
        <v>2.0202020202020202E-3</v>
      </c>
      <c r="N986">
        <v>1.6813337049867899E-2</v>
      </c>
      <c r="O986">
        <v>814</v>
      </c>
      <c r="P986">
        <v>5.9799382716049301E-2</v>
      </c>
      <c r="Q986">
        <v>5.9960026648900697E-2</v>
      </c>
      <c r="R986">
        <v>0.30383480825958697</v>
      </c>
      <c r="S986">
        <v>1</v>
      </c>
      <c r="T986" t="s">
        <v>49</v>
      </c>
      <c r="U986">
        <v>3.3962264150943298E-2</v>
      </c>
      <c r="V986">
        <v>0</v>
      </c>
      <c r="W986">
        <v>0</v>
      </c>
      <c r="X986">
        <v>2.2523834003717099E-2</v>
      </c>
      <c r="Y986">
        <v>4.24734061150654E-2</v>
      </c>
      <c r="Z986">
        <v>4.2604964449576802E-2</v>
      </c>
      <c r="AA986">
        <v>0.30383480825958697</v>
      </c>
      <c r="AB986">
        <v>2.029800042510033E-2</v>
      </c>
      <c r="AC986">
        <v>3.600000127335079E-5</v>
      </c>
      <c r="AD986">
        <v>5.6130001321434966E-3</v>
      </c>
      <c r="AE986">
        <v>0.1176680028438568</v>
      </c>
      <c r="AF986">
        <f>0.16*X986 + 0.28*Y986 + 0.28*Z986 + 0.28*AA986</f>
        <v>0.11249950351137891</v>
      </c>
      <c r="AG986">
        <f t="shared" si="45"/>
        <v>3.7776440901652678E-2</v>
      </c>
      <c r="AH986">
        <f>IF(T986="IT_Admin", 0.25, IF(AND(T986="HR", AA986&gt;0.6), 0.25, IF(AND(T986="General", Z986&gt;0.7), 0.2, 0.1)))</f>
        <v>0.1</v>
      </c>
      <c r="AI986">
        <f>IF(V986&gt;0.7, 0.1,
 IF(F986&gt;0.5, 0.08,
 IF(E986&gt;0.5, 0.05,
 0)))</f>
        <v>0</v>
      </c>
      <c r="AJ986">
        <f t="shared" si="46"/>
        <v>6.0193359684570548E-2</v>
      </c>
      <c r="AK986">
        <f t="shared" si="47"/>
        <v>6.6212695653027606E-2</v>
      </c>
      <c r="AL986" t="str">
        <f>IF(MAX(X986, Y986, Z986, AA986)&gt;0.9,
 "Critical",
 IF(AK986&lt;=0.2,"Very Low",
 IF(AK986&lt;=0.4,"Low",
 IF(AK986&lt;=0.6,"Medium",
 IF(AK986&lt;=0.8,"High","Critical")))))</f>
        <v>Very Low</v>
      </c>
      <c r="AM986" t="str">
        <f>IF(MAX(X986:AA986)&gt;0.9,"CRITICAL ALERT",
 IF(AK986&gt;0.8,"CRITICAL ALERT",
 IF(AK986&gt;0.6,"ALERT",
 IF(AK986&gt;=0.4,"REVIEW","NO ACTION"))))</f>
        <v>NO ACTION</v>
      </c>
      <c r="AN986" t="str">
        <f>IF(AM986="NO ACTION","",
 IF(_xlfn.TEXTJOIN(", ", TRUE,
  IF(X986&gt;0.7,"Login anomaly",""),
  IF(Y986&gt;0.7,"File anomaly",""),
  IF(Z986&gt;0.7,"Network anomaly",""),
  IF(AA986&gt;0.7,"USB anomaly","")
 )="",
 "General anomaly detected",
 _xlfn.TEXTJOIN(", ", TRUE,
  IF(X986&gt;0.7,"Login anomaly",""),
  IF(Y986&gt;0.7,"File anomaly",""),
  IF(Z986&gt;0.7,"Network anomaly",""),
  IF(AA986&gt;0.7,"USB anomaly","")
 )))</f>
        <v/>
      </c>
    </row>
    <row r="987" spans="1:40" x14ac:dyDescent="0.3">
      <c r="A987" t="s">
        <v>1010</v>
      </c>
      <c r="B987">
        <v>0.16143667296786299</v>
      </c>
      <c r="C987">
        <v>0.33652244418359401</v>
      </c>
      <c r="D987">
        <v>0.30263572536120598</v>
      </c>
      <c r="E987">
        <v>0</v>
      </c>
      <c r="F987">
        <v>0</v>
      </c>
      <c r="G987">
        <v>0.76522611662752604</v>
      </c>
      <c r="H987">
        <v>7</v>
      </c>
      <c r="I987">
        <v>16</v>
      </c>
      <c r="J987">
        <v>5.63427317398979E-2</v>
      </c>
      <c r="K987">
        <v>8.1566068515497494E-3</v>
      </c>
      <c r="L987">
        <v>3.6822686562815198E-2</v>
      </c>
      <c r="M987">
        <v>8.6580086580086504E-4</v>
      </c>
      <c r="N987">
        <v>9.2471328559018198E-3</v>
      </c>
      <c r="O987">
        <v>463</v>
      </c>
      <c r="P987">
        <v>4.5349326599326598E-2</v>
      </c>
      <c r="Q987">
        <v>4.55135173042533E-2</v>
      </c>
      <c r="R987">
        <v>0</v>
      </c>
      <c r="S987">
        <v>0</v>
      </c>
      <c r="T987" t="s">
        <v>49</v>
      </c>
      <c r="U987">
        <v>4.2452830188679201E-2</v>
      </c>
      <c r="V987">
        <v>0</v>
      </c>
      <c r="W987">
        <v>0</v>
      </c>
      <c r="X987">
        <v>9.0790717608361896E-2</v>
      </c>
      <c r="Y987">
        <v>3.24540294861577E-2</v>
      </c>
      <c r="Z987">
        <v>3.09084491019566E-2</v>
      </c>
      <c r="AA987">
        <v>0</v>
      </c>
      <c r="AB987">
        <v>8.150000125169754E-3</v>
      </c>
      <c r="AC987">
        <v>1.5999999595806E-4</v>
      </c>
      <c r="AD987">
        <v>8.1190001219511032E-3</v>
      </c>
      <c r="AE987">
        <v>5.4959999397397041E-3</v>
      </c>
      <c r="AF987">
        <f>0.16*X987 + 0.28*Y987 + 0.28*Z987 + 0.28*AA987</f>
        <v>3.2268008822009905E-2</v>
      </c>
      <c r="AG987">
        <f t="shared" si="45"/>
        <v>5.1610000361688438E-3</v>
      </c>
      <c r="AH987">
        <f>IF(T987="IT_Admin", 0.25, IF(AND(T987="HR", AA987&gt;0.6), 0.25, IF(AND(T987="General", Z987&gt;0.7), 0.2, 0.1)))</f>
        <v>0.1</v>
      </c>
      <c r="AI987">
        <f>IF(V987&gt;0.7, 0.1,
 IF(F987&gt;0.5, 0.08,
 IF(E987&gt;0.5, 0.05,
 0)))</f>
        <v>0</v>
      </c>
      <c r="AJ987">
        <f t="shared" si="46"/>
        <v>1.3293102671921162E-2</v>
      </c>
      <c r="AK987">
        <f t="shared" si="47"/>
        <v>1.462241293911328E-2</v>
      </c>
      <c r="AL987" t="str">
        <f>IF(MAX(X987, Y987, Z987, AA987)&gt;0.9,
 "Critical",
 IF(AK987&lt;=0.2,"Very Low",
 IF(AK987&lt;=0.4,"Low",
 IF(AK987&lt;=0.6,"Medium",
 IF(AK987&lt;=0.8,"High","Critical")))))</f>
        <v>Very Low</v>
      </c>
      <c r="AM987" t="str">
        <f>IF(MAX(X987:AA987)&gt;0.9,"CRITICAL ALERT",
 IF(AK987&gt;0.8,"CRITICAL ALERT",
 IF(AK987&gt;0.6,"ALERT",
 IF(AK987&gt;=0.4,"REVIEW","NO ACTION"))))</f>
        <v>NO ACTION</v>
      </c>
      <c r="AN987" t="str">
        <f>IF(AM987="NO ACTION","",
 IF(_xlfn.TEXTJOIN(", ", TRUE,
  IF(X987&gt;0.7,"Login anomaly",""),
  IF(Y987&gt;0.7,"File anomaly",""),
  IF(Z987&gt;0.7,"Network anomaly",""),
  IF(AA987&gt;0.7,"USB anomaly","")
 )="",
 "General anomaly detected",
 _xlfn.TEXTJOIN(", ", TRUE,
  IF(X987&gt;0.7,"Login anomaly",""),
  IF(Y987&gt;0.7,"File anomaly",""),
  IF(Z987&gt;0.7,"Network anomaly",""),
  IF(AA987&gt;0.7,"USB anomaly","")
 )))</f>
        <v/>
      </c>
    </row>
    <row r="988" spans="1:40" x14ac:dyDescent="0.3">
      <c r="A988" t="s">
        <v>1011</v>
      </c>
      <c r="B988">
        <v>0.12892249527410199</v>
      </c>
      <c r="C988">
        <v>0.36953165208440503</v>
      </c>
      <c r="D988">
        <v>0</v>
      </c>
      <c r="E988">
        <v>0</v>
      </c>
      <c r="F988">
        <v>0</v>
      </c>
      <c r="G988">
        <v>0.99368697104911996</v>
      </c>
      <c r="H988">
        <v>8</v>
      </c>
      <c r="I988">
        <v>8</v>
      </c>
      <c r="J988">
        <v>7.8908449024378602E-2</v>
      </c>
      <c r="K988">
        <v>1.38662316476345E-2</v>
      </c>
      <c r="L988">
        <v>4.4750994965610698E-2</v>
      </c>
      <c r="M988">
        <v>1.44300144300144E-3</v>
      </c>
      <c r="N988">
        <v>1.1017781361361801E-2</v>
      </c>
      <c r="O988">
        <v>505</v>
      </c>
      <c r="P988">
        <v>6.4674523007856297E-2</v>
      </c>
      <c r="Q988">
        <v>6.4833970335565705E-2</v>
      </c>
      <c r="R988">
        <v>0</v>
      </c>
      <c r="S988">
        <v>0</v>
      </c>
      <c r="T988" t="s">
        <v>49</v>
      </c>
      <c r="U988">
        <v>4.8113207547169801E-2</v>
      </c>
      <c r="V988">
        <v>0</v>
      </c>
      <c r="W988">
        <v>0</v>
      </c>
      <c r="X988">
        <v>0</v>
      </c>
      <c r="Y988">
        <v>4.1462521696089598E-2</v>
      </c>
      <c r="Z988">
        <v>4.3211826349258499E-2</v>
      </c>
      <c r="AA988">
        <v>0</v>
      </c>
      <c r="AB988">
        <v>2.48039998114109E-2</v>
      </c>
      <c r="AC988">
        <v>7.7999997301958501E-5</v>
      </c>
      <c r="AD988">
        <v>5.3969998843967906E-3</v>
      </c>
      <c r="AE988">
        <v>2.221999922767282E-3</v>
      </c>
      <c r="AF988">
        <f>0.16*X988 + 0.28*Y988 + 0.28*Z988 + 0.28*AA988</f>
        <v>2.370881745269747E-2</v>
      </c>
      <c r="AG988">
        <f t="shared" si="45"/>
        <v>6.1237999150762336E-3</v>
      </c>
      <c r="AH988">
        <f>IF(T988="IT_Admin", 0.25, IF(AND(T988="HR", AA988&gt;0.6), 0.25, IF(AND(T988="General", Z988&gt;0.7), 0.2, 0.1)))</f>
        <v>0.1</v>
      </c>
      <c r="AI988">
        <f>IF(V988&gt;0.7, 0.1,
 IF(F988&gt;0.5, 0.08,
 IF(E988&gt;0.5, 0.05,
 0)))</f>
        <v>0</v>
      </c>
      <c r="AJ988">
        <f t="shared" si="46"/>
        <v>1.1399305176362604E-2</v>
      </c>
      <c r="AK988">
        <f t="shared" si="47"/>
        <v>1.2539235693998865E-2</v>
      </c>
      <c r="AL988" t="str">
        <f>IF(MAX(X988, Y988, Z988, AA988)&gt;0.9,
 "Critical",
 IF(AK988&lt;=0.2,"Very Low",
 IF(AK988&lt;=0.4,"Low",
 IF(AK988&lt;=0.6,"Medium",
 IF(AK988&lt;=0.8,"High","Critical")))))</f>
        <v>Very Low</v>
      </c>
      <c r="AM988" t="str">
        <f>IF(MAX(X988:AA988)&gt;0.9,"CRITICAL ALERT",
 IF(AK988&gt;0.8,"CRITICAL ALERT",
 IF(AK988&gt;0.6,"ALERT",
 IF(AK988&gt;=0.4,"REVIEW","NO ACTION"))))</f>
        <v>NO ACTION</v>
      </c>
      <c r="AN988" t="str">
        <f>IF(AM988="NO ACTION","",
 IF(_xlfn.TEXTJOIN(", ", TRUE,
  IF(X988&gt;0.7,"Login anomaly",""),
  IF(Y988&gt;0.7,"File anomaly",""),
  IF(Z988&gt;0.7,"Network anomaly",""),
  IF(AA988&gt;0.7,"USB anomaly","")
 )="",
 "General anomaly detected",
 _xlfn.TEXTJOIN(", ", TRUE,
  IF(X988&gt;0.7,"Login anomaly",""),
  IF(Y988&gt;0.7,"File anomaly",""),
  IF(Z988&gt;0.7,"Network anomaly",""),
  IF(AA988&gt;0.7,"USB anomaly","")
 )))</f>
        <v/>
      </c>
    </row>
    <row r="989" spans="1:40" x14ac:dyDescent="0.3">
      <c r="A989" t="s">
        <v>1012</v>
      </c>
      <c r="B989">
        <v>0.26011342155009398</v>
      </c>
      <c r="C989">
        <v>0.52492718785978298</v>
      </c>
      <c r="D989">
        <v>0.38564485536395599</v>
      </c>
      <c r="E989">
        <v>0</v>
      </c>
      <c r="F989">
        <v>0.260115606936416</v>
      </c>
      <c r="G989">
        <v>0.42041393722139703</v>
      </c>
      <c r="H989">
        <v>6</v>
      </c>
      <c r="I989">
        <v>15</v>
      </c>
      <c r="J989">
        <v>7.8288249606411897E-2</v>
      </c>
      <c r="K989">
        <v>6.5252854812398002E-3</v>
      </c>
      <c r="L989">
        <v>2.1225616652976301E-2</v>
      </c>
      <c r="M989">
        <v>5.7720057720057698E-4</v>
      </c>
      <c r="N989">
        <v>4.4419196302549801E-3</v>
      </c>
      <c r="O989">
        <v>310</v>
      </c>
      <c r="P989">
        <v>6.0641133557800202E-2</v>
      </c>
      <c r="Q989">
        <v>6.0801570882569503E-2</v>
      </c>
      <c r="R989">
        <v>0.38938053097345099</v>
      </c>
      <c r="S989">
        <v>1</v>
      </c>
      <c r="T989" t="s">
        <v>49</v>
      </c>
      <c r="U989">
        <v>4.5283018867924497E-2</v>
      </c>
      <c r="V989">
        <v>0</v>
      </c>
      <c r="W989">
        <v>0.18017355752106301</v>
      </c>
      <c r="X989">
        <v>0.21973969938375301</v>
      </c>
      <c r="Y989">
        <v>2.7603034136847001E-2</v>
      </c>
      <c r="Z989">
        <v>3.8161447986782102E-2</v>
      </c>
      <c r="AA989">
        <v>0.38938053097345099</v>
      </c>
      <c r="AB989">
        <v>3.9577998220920563E-2</v>
      </c>
      <c r="AC989">
        <v>3.3000000985339279E-4</v>
      </c>
      <c r="AD989">
        <v>5.2970000542700291E-3</v>
      </c>
      <c r="AE989">
        <v>0.1473349928855896</v>
      </c>
      <c r="AF989">
        <f>0.16*X989 + 0.28*Y989 + 0.28*Z989 + 0.28*AA989</f>
        <v>0.16259895556858289</v>
      </c>
      <c r="AG989">
        <f t="shared" si="45"/>
        <v>4.9161837741266944E-2</v>
      </c>
      <c r="AH989">
        <f>IF(T989="IT_Admin", 0.25, IF(AND(T989="HR", AA989&gt;0.6), 0.25, IF(AND(T989="General", Z989&gt;0.7), 0.2, 0.1)))</f>
        <v>0.1</v>
      </c>
      <c r="AI989">
        <f>IF(V989&gt;0.7, 0.1,
 IF(F989&gt;0.5, 0.08,
 IF(E989&gt;0.5, 0.05,
 0)))</f>
        <v>0</v>
      </c>
      <c r="AJ989">
        <f t="shared" si="46"/>
        <v>8.3192973089461719E-2</v>
      </c>
      <c r="AK989">
        <f t="shared" si="47"/>
        <v>9.1512270398407897E-2</v>
      </c>
      <c r="AL989" t="str">
        <f>IF(MAX(X989, Y989, Z989, AA989)&gt;0.9,
 "Critical",
 IF(AK989&lt;=0.2,"Very Low",
 IF(AK989&lt;=0.4,"Low",
 IF(AK989&lt;=0.6,"Medium",
 IF(AK989&lt;=0.8,"High","Critical")))))</f>
        <v>Very Low</v>
      </c>
      <c r="AM989" t="str">
        <f>IF(MAX(X989:AA989)&gt;0.9,"CRITICAL ALERT",
 IF(AK989&gt;0.8,"CRITICAL ALERT",
 IF(AK989&gt;0.6,"ALERT",
 IF(AK989&gt;=0.4,"REVIEW","NO ACTION"))))</f>
        <v>NO ACTION</v>
      </c>
      <c r="AN989" t="str">
        <f>IF(AM989="NO ACTION","",
 IF(_xlfn.TEXTJOIN(", ", TRUE,
  IF(X989&gt;0.7,"Login anomaly",""),
  IF(Y989&gt;0.7,"File anomaly",""),
  IF(Z989&gt;0.7,"Network anomaly",""),
  IF(AA989&gt;0.7,"USB anomaly","")
 )="",
 "General anomaly detected",
 _xlfn.TEXTJOIN(", ", TRUE,
  IF(X989&gt;0.7,"Login anomaly",""),
  IF(Y989&gt;0.7,"File anomaly",""),
  IF(Z989&gt;0.7,"Network anomaly",""),
  IF(AA989&gt;0.7,"USB anomaly","")
 )))</f>
        <v/>
      </c>
    </row>
    <row r="990" spans="1:40" x14ac:dyDescent="0.3">
      <c r="A990" t="s">
        <v>1013</v>
      </c>
      <c r="B990">
        <v>0.12892249527410199</v>
      </c>
      <c r="C990">
        <v>0.28277204681241402</v>
      </c>
      <c r="D990">
        <v>7.4993488433305694E-2</v>
      </c>
      <c r="E990">
        <v>0</v>
      </c>
      <c r="F990">
        <v>0</v>
      </c>
      <c r="G990">
        <v>0.993676774460866</v>
      </c>
      <c r="H990">
        <v>7</v>
      </c>
      <c r="I990">
        <v>8</v>
      </c>
      <c r="J990">
        <v>7.9290110204665795E-2</v>
      </c>
      <c r="K990">
        <v>1.8760195758564399E-2</v>
      </c>
      <c r="L990">
        <v>6.0254903662895903E-2</v>
      </c>
      <c r="M990">
        <v>1.7316017316017301E-3</v>
      </c>
      <c r="N990">
        <v>1.31578879029388E-2</v>
      </c>
      <c r="O990">
        <v>869</v>
      </c>
      <c r="P990">
        <v>6.7199775533108796E-2</v>
      </c>
      <c r="Q990">
        <v>6.7358603036572096E-2</v>
      </c>
      <c r="R990">
        <v>0</v>
      </c>
      <c r="S990">
        <v>0</v>
      </c>
      <c r="T990" t="s">
        <v>49</v>
      </c>
      <c r="U990">
        <v>5.5795148247978398E-2</v>
      </c>
      <c r="V990">
        <v>0</v>
      </c>
      <c r="W990">
        <v>0</v>
      </c>
      <c r="X990">
        <v>2.2498046529991701E-2</v>
      </c>
      <c r="Y990">
        <v>4.9932840243262701E-2</v>
      </c>
      <c r="Z990">
        <v>4.5583020481040799E-2</v>
      </c>
      <c r="AA990">
        <v>0</v>
      </c>
      <c r="AB990">
        <v>1.8019000068306919E-2</v>
      </c>
      <c r="AC990">
        <v>2.119999990100041E-4</v>
      </c>
      <c r="AD990">
        <v>5.0249998457729816E-3</v>
      </c>
      <c r="AE990">
        <v>1.9079999765381219E-3</v>
      </c>
      <c r="AF990">
        <f>0.16*X990 + 0.28*Y990 + 0.28*Z990 + 0.28*AA990</f>
        <v>3.0344128447603654E-2</v>
      </c>
      <c r="AG990">
        <f t="shared" si="45"/>
        <v>4.8836399608990179E-3</v>
      </c>
      <c r="AH990">
        <f>IF(T990="IT_Admin", 0.25, IF(AND(T990="HR", AA990&gt;0.6), 0.25, IF(AND(T990="General", Z990&gt;0.7), 0.2, 0.1)))</f>
        <v>0.1</v>
      </c>
      <c r="AI990">
        <f>IF(V990&gt;0.7, 0.1,
 IF(F990&gt;0.5, 0.08,
 IF(E990&gt;0.5, 0.05,
 0)))</f>
        <v>0</v>
      </c>
      <c r="AJ990">
        <f t="shared" si="46"/>
        <v>1.252178650691041E-2</v>
      </c>
      <c r="AK990">
        <f t="shared" si="47"/>
        <v>1.3773965157601452E-2</v>
      </c>
      <c r="AL990" t="str">
        <f>IF(MAX(X990, Y990, Z990, AA990)&gt;0.9,
 "Critical",
 IF(AK990&lt;=0.2,"Very Low",
 IF(AK990&lt;=0.4,"Low",
 IF(AK990&lt;=0.6,"Medium",
 IF(AK990&lt;=0.8,"High","Critical")))))</f>
        <v>Very Low</v>
      </c>
      <c r="AM990" t="str">
        <f>IF(MAX(X990:AA990)&gt;0.9,"CRITICAL ALERT",
 IF(AK990&gt;0.8,"CRITICAL ALERT",
 IF(AK990&gt;0.6,"ALERT",
 IF(AK990&gt;=0.4,"REVIEW","NO ACTION"))))</f>
        <v>NO ACTION</v>
      </c>
      <c r="AN990" t="str">
        <f>IF(AM990="NO ACTION","",
 IF(_xlfn.TEXTJOIN(", ", TRUE,
  IF(X990&gt;0.7,"Login anomaly",""),
  IF(Y990&gt;0.7,"File anomaly",""),
  IF(Z990&gt;0.7,"Network anomaly",""),
  IF(AA990&gt;0.7,"USB anomaly","")
 )="",
 "General anomaly detected",
 _xlfn.TEXTJOIN(", ", TRUE,
  IF(X990&gt;0.7,"Login anomaly",""),
  IF(Y990&gt;0.7,"File anomaly",""),
  IF(Z990&gt;0.7,"Network anomaly",""),
  IF(AA990&gt;0.7,"USB anomaly","")
 )))</f>
        <v/>
      </c>
    </row>
    <row r="991" spans="1:40" x14ac:dyDescent="0.3">
      <c r="A991" t="s">
        <v>1014</v>
      </c>
      <c r="B991">
        <v>0.27069943289224901</v>
      </c>
      <c r="C991">
        <v>0.70108366214902396</v>
      </c>
      <c r="D991">
        <v>0.36701069264613201</v>
      </c>
      <c r="E991">
        <v>0</v>
      </c>
      <c r="F991">
        <v>0</v>
      </c>
      <c r="G991">
        <v>0.398181959540647</v>
      </c>
      <c r="H991">
        <v>7</v>
      </c>
      <c r="I991">
        <v>15</v>
      </c>
      <c r="J991">
        <v>6.0588712370592997E-2</v>
      </c>
      <c r="K991">
        <v>8.1566068515497494E-3</v>
      </c>
      <c r="L991">
        <v>3.42523186380383E-2</v>
      </c>
      <c r="M991">
        <v>1.1544011544011501E-3</v>
      </c>
      <c r="N991">
        <v>1.1468862292391699E-2</v>
      </c>
      <c r="O991">
        <v>417</v>
      </c>
      <c r="P991">
        <v>4.8611111111111098E-2</v>
      </c>
      <c r="Q991">
        <v>4.8774501209719802E-2</v>
      </c>
      <c r="R991">
        <v>0</v>
      </c>
      <c r="S991">
        <v>0</v>
      </c>
      <c r="T991" t="s">
        <v>49</v>
      </c>
      <c r="U991">
        <v>3.3962264150943298E-2</v>
      </c>
      <c r="V991">
        <v>0</v>
      </c>
      <c r="W991">
        <v>0</v>
      </c>
      <c r="X991">
        <v>0.110103207793839</v>
      </c>
      <c r="Y991">
        <v>3.2684560480855301E-2</v>
      </c>
      <c r="Z991">
        <v>3.3754211583623302E-2</v>
      </c>
      <c r="AA991">
        <v>0</v>
      </c>
      <c r="AB991">
        <v>4.1372999548912048E-2</v>
      </c>
      <c r="AC991">
        <v>1.4800000644754621E-4</v>
      </c>
      <c r="AD991">
        <v>7.259999867528677E-3</v>
      </c>
      <c r="AE991">
        <v>9.6230003982782364E-3</v>
      </c>
      <c r="AF991">
        <f>0.16*X991 + 0.28*Y991 + 0.28*Z991 + 0.28*AA991</f>
        <v>3.6219369425068246E-2</v>
      </c>
      <c r="AG991">
        <f t="shared" si="45"/>
        <v>1.1388360004057178E-2</v>
      </c>
      <c r="AH991">
        <f>IF(T991="IT_Admin", 0.25, IF(AND(T991="HR", AA991&gt;0.6), 0.25, IF(AND(T991="General", Z991&gt;0.7), 0.2, 0.1)))</f>
        <v>0.1</v>
      </c>
      <c r="AI991">
        <f>IF(V991&gt;0.7, 0.1,
 IF(F991&gt;0.5, 0.08,
 IF(E991&gt;0.5, 0.05,
 0)))</f>
        <v>0</v>
      </c>
      <c r="AJ991">
        <f t="shared" si="46"/>
        <v>1.8837662830360501E-2</v>
      </c>
      <c r="AK991">
        <f t="shared" si="47"/>
        <v>2.0721429113396552E-2</v>
      </c>
      <c r="AL991" t="str">
        <f>IF(MAX(X991, Y991, Z991, AA991)&gt;0.9,
 "Critical",
 IF(AK991&lt;=0.2,"Very Low",
 IF(AK991&lt;=0.4,"Low",
 IF(AK991&lt;=0.6,"Medium",
 IF(AK991&lt;=0.8,"High","Critical")))))</f>
        <v>Very Low</v>
      </c>
      <c r="AM991" t="str">
        <f>IF(MAX(X991:AA991)&gt;0.9,"CRITICAL ALERT",
 IF(AK991&gt;0.8,"CRITICAL ALERT",
 IF(AK991&gt;0.6,"ALERT",
 IF(AK991&gt;=0.4,"REVIEW","NO ACTION"))))</f>
        <v>NO ACTION</v>
      </c>
      <c r="AN991" t="str">
        <f>IF(AM991="NO ACTION","",
 IF(_xlfn.TEXTJOIN(", ", TRUE,
  IF(X991&gt;0.7,"Login anomaly",""),
  IF(Y991&gt;0.7,"File anomaly",""),
  IF(Z991&gt;0.7,"Network anomaly",""),
  IF(AA991&gt;0.7,"USB anomaly","")
 )="",
 "General anomaly detected",
 _xlfn.TEXTJOIN(", ", TRUE,
  IF(X991&gt;0.7,"Login anomaly",""),
  IF(Y991&gt;0.7,"File anomaly",""),
  IF(Z991&gt;0.7,"Network anomaly",""),
  IF(AA991&gt;0.7,"USB anomaly","")
 )))</f>
        <v/>
      </c>
    </row>
    <row r="992" spans="1:40" x14ac:dyDescent="0.3">
      <c r="A992" t="s">
        <v>1015</v>
      </c>
      <c r="B992">
        <v>0.25141776937618099</v>
      </c>
      <c r="C992">
        <v>0.69874071731954002</v>
      </c>
      <c r="D992">
        <v>0.51273406391816601</v>
      </c>
      <c r="E992">
        <v>0.40857000498256102</v>
      </c>
      <c r="F992">
        <v>6.2780269058295896E-2</v>
      </c>
      <c r="G992">
        <v>0.43963261598999198</v>
      </c>
      <c r="H992">
        <v>0</v>
      </c>
      <c r="I992">
        <v>23</v>
      </c>
      <c r="J992">
        <v>9.2648251514717797E-2</v>
      </c>
      <c r="K992">
        <v>1.71288743882544E-2</v>
      </c>
      <c r="L992">
        <v>4.7103535261092802E-2</v>
      </c>
      <c r="M992">
        <v>5.7720057720057703E-3</v>
      </c>
      <c r="N992">
        <v>3.7552130002052903E-2</v>
      </c>
      <c r="O992">
        <v>987</v>
      </c>
      <c r="P992">
        <v>7.8282828282828204E-2</v>
      </c>
      <c r="Q992">
        <v>7.84389354465444E-2</v>
      </c>
      <c r="R992">
        <v>0.106194690265486</v>
      </c>
      <c r="S992">
        <v>1</v>
      </c>
      <c r="T992" t="s">
        <v>49</v>
      </c>
      <c r="U992">
        <v>1.6981132075471601E-2</v>
      </c>
      <c r="V992">
        <v>0</v>
      </c>
      <c r="W992">
        <v>9.6503041847239304E-2</v>
      </c>
      <c r="X992">
        <v>0.30150332829353599</v>
      </c>
      <c r="Y992">
        <v>5.3347056934105803E-2</v>
      </c>
      <c r="Z992">
        <v>6.1990548970518103E-2</v>
      </c>
      <c r="AA992">
        <v>0.106194690265486</v>
      </c>
      <c r="AB992">
        <v>0.25845000147819519</v>
      </c>
      <c r="AC992">
        <v>2.460000105202198E-4</v>
      </c>
      <c r="AD992">
        <v>2.308000111952424E-3</v>
      </c>
      <c r="AE992">
        <v>5.3952999413013458E-2</v>
      </c>
      <c r="AF992">
        <f>0.16*X992 + 0.28*Y992 + 0.28*Z992 + 0.28*AA992</f>
        <v>0.11026957545459655</v>
      </c>
      <c r="AG992">
        <f t="shared" si="45"/>
        <v>5.7173960106447347E-2</v>
      </c>
      <c r="AH992">
        <f>IF(T992="IT_Admin", 0.25, IF(AND(T992="HR", AA992&gt;0.6), 0.25, IF(AND(T992="General", Z992&gt;0.7), 0.2, 0.1)))</f>
        <v>0.1</v>
      </c>
      <c r="AI992">
        <f>IF(V992&gt;0.7, 0.1,
 IF(F992&gt;0.5, 0.08,
 IF(E992&gt;0.5, 0.05,
 0)))</f>
        <v>0</v>
      </c>
      <c r="AJ992">
        <f t="shared" si="46"/>
        <v>7.3102644710892103E-2</v>
      </c>
      <c r="AK992">
        <f t="shared" si="47"/>
        <v>8.0412909181981324E-2</v>
      </c>
      <c r="AL992" t="str">
        <f>IF(MAX(X992, Y992, Z992, AA992)&gt;0.9,
 "Critical",
 IF(AK992&lt;=0.2,"Very Low",
 IF(AK992&lt;=0.4,"Low",
 IF(AK992&lt;=0.6,"Medium",
 IF(AK992&lt;=0.8,"High","Critical")))))</f>
        <v>Very Low</v>
      </c>
      <c r="AM992" t="str">
        <f>IF(MAX(X992:AA992)&gt;0.9,"CRITICAL ALERT",
 IF(AK992&gt;0.8,"CRITICAL ALERT",
 IF(AK992&gt;0.6,"ALERT",
 IF(AK992&gt;=0.4,"REVIEW","NO ACTION"))))</f>
        <v>NO ACTION</v>
      </c>
      <c r="AN992" t="str">
        <f>IF(AM992="NO ACTION","",
 IF(_xlfn.TEXTJOIN(", ", TRUE,
  IF(X992&gt;0.7,"Login anomaly",""),
  IF(Y992&gt;0.7,"File anomaly",""),
  IF(Z992&gt;0.7,"Network anomaly",""),
  IF(AA992&gt;0.7,"USB anomaly","")
 )="",
 "General anomaly detected",
 _xlfn.TEXTJOIN(", ", TRUE,
  IF(X992&gt;0.7,"Login anomaly",""),
  IF(Y992&gt;0.7,"File anomaly",""),
  IF(Z992&gt;0.7,"Network anomaly",""),
  IF(AA992&gt;0.7,"USB anomaly","")
 )))</f>
        <v/>
      </c>
    </row>
    <row r="993" spans="1:40" x14ac:dyDescent="0.3">
      <c r="A993" t="s">
        <v>1016</v>
      </c>
      <c r="B993">
        <v>0.12892249527410199</v>
      </c>
      <c r="C993">
        <v>0.36953165208440503</v>
      </c>
      <c r="D993">
        <v>0</v>
      </c>
      <c r="E993">
        <v>0</v>
      </c>
      <c r="F993">
        <v>0</v>
      </c>
      <c r="G993">
        <v>0.99367016407425501</v>
      </c>
      <c r="H993">
        <v>8</v>
      </c>
      <c r="I993">
        <v>8</v>
      </c>
      <c r="J993">
        <v>7.36606077954296E-2</v>
      </c>
      <c r="K993">
        <v>2.77324632952691E-2</v>
      </c>
      <c r="L993">
        <v>9.5857844606776099E-2</v>
      </c>
      <c r="M993">
        <v>8.6580086580086504E-4</v>
      </c>
      <c r="N993">
        <v>7.0801159245316696E-3</v>
      </c>
      <c r="O993">
        <v>602</v>
      </c>
      <c r="P993">
        <v>6.6498316498316501E-2</v>
      </c>
      <c r="Q993">
        <v>6.6657316175181405E-2</v>
      </c>
      <c r="R993">
        <v>0</v>
      </c>
      <c r="S993">
        <v>0</v>
      </c>
      <c r="T993" t="s">
        <v>49</v>
      </c>
      <c r="U993">
        <v>0.14433962264150901</v>
      </c>
      <c r="V993">
        <v>0</v>
      </c>
      <c r="W993">
        <v>0</v>
      </c>
      <c r="X993">
        <v>0</v>
      </c>
      <c r="Y993">
        <v>6.4785078639833502E-2</v>
      </c>
      <c r="Z993">
        <v>4.2731036268802501E-2</v>
      </c>
      <c r="AA993">
        <v>0</v>
      </c>
      <c r="AB993">
        <v>2.4740999564528469E-2</v>
      </c>
      <c r="AC993">
        <v>4.7720000147819519E-3</v>
      </c>
      <c r="AD993">
        <v>5.2519999444484711E-3</v>
      </c>
      <c r="AE993">
        <v>1.8639999907463789E-3</v>
      </c>
      <c r="AF993">
        <f>0.16*X993 + 0.28*Y993 + 0.28*Z993 + 0.28*AA993</f>
        <v>3.0104512174418084E-2</v>
      </c>
      <c r="AG993">
        <f t="shared" si="45"/>
        <v>7.287199916318059E-3</v>
      </c>
      <c r="AH993">
        <f>IF(T993="IT_Admin", 0.25, IF(AND(T993="HR", AA993&gt;0.6), 0.25, IF(AND(T993="General", Z993&gt;0.7), 0.2, 0.1)))</f>
        <v>0.1</v>
      </c>
      <c r="AI993">
        <f>IF(V993&gt;0.7, 0.1,
 IF(F993&gt;0.5, 0.08,
 IF(E993&gt;0.5, 0.05,
 0)))</f>
        <v>0</v>
      </c>
      <c r="AJ993">
        <f t="shared" si="46"/>
        <v>1.4132393593748066E-2</v>
      </c>
      <c r="AK993">
        <f t="shared" si="47"/>
        <v>1.5545632953122874E-2</v>
      </c>
      <c r="AL993" t="str">
        <f>IF(MAX(X993, Y993, Z993, AA993)&gt;0.9,
 "Critical",
 IF(AK993&lt;=0.2,"Very Low",
 IF(AK993&lt;=0.4,"Low",
 IF(AK993&lt;=0.6,"Medium",
 IF(AK993&lt;=0.8,"High","Critical")))))</f>
        <v>Very Low</v>
      </c>
      <c r="AM993" t="str">
        <f>IF(MAX(X993:AA993)&gt;0.9,"CRITICAL ALERT",
 IF(AK993&gt;0.8,"CRITICAL ALERT",
 IF(AK993&gt;0.6,"ALERT",
 IF(AK993&gt;=0.4,"REVIEW","NO ACTION"))))</f>
        <v>NO ACTION</v>
      </c>
      <c r="AN993" t="str">
        <f>IF(AM993="NO ACTION","",
 IF(_xlfn.TEXTJOIN(", ", TRUE,
  IF(X993&gt;0.7,"Login anomaly",""),
  IF(Y993&gt;0.7,"File anomaly",""),
  IF(Z993&gt;0.7,"Network anomaly",""),
  IF(AA993&gt;0.7,"USB anomaly","")
 )="",
 "General anomaly detected",
 _xlfn.TEXTJOIN(", ", TRUE,
  IF(X993&gt;0.7,"Login anomaly",""),
  IF(Y993&gt;0.7,"File anomaly",""),
  IF(Z993&gt;0.7,"Network anomaly",""),
  IF(AA993&gt;0.7,"USB anomaly","")
 )))</f>
        <v/>
      </c>
    </row>
    <row r="994" spans="1:40" x14ac:dyDescent="0.3">
      <c r="A994" t="s">
        <v>1017</v>
      </c>
      <c r="B994">
        <v>0.12892249527410199</v>
      </c>
      <c r="C994">
        <v>9.1579583342656895E-2</v>
      </c>
      <c r="D994">
        <v>7.5129964412319103E-2</v>
      </c>
      <c r="E994">
        <v>0</v>
      </c>
      <c r="F994">
        <v>0.50434782608695605</v>
      </c>
      <c r="G994">
        <v>0.99365892374074605</v>
      </c>
      <c r="H994">
        <v>6</v>
      </c>
      <c r="I994">
        <v>7</v>
      </c>
      <c r="J994">
        <v>6.9319211869662695E-2</v>
      </c>
      <c r="K994">
        <v>1.8760195758564399E-2</v>
      </c>
      <c r="L994">
        <v>6.8892266396466006E-2</v>
      </c>
      <c r="M994">
        <v>1.44300144300144E-3</v>
      </c>
      <c r="N994">
        <v>1.25366936066524E-2</v>
      </c>
      <c r="O994">
        <v>613</v>
      </c>
      <c r="P994">
        <v>5.97292368125701E-2</v>
      </c>
      <c r="Q994">
        <v>5.9889897962761597E-2</v>
      </c>
      <c r="R994">
        <v>0</v>
      </c>
      <c r="S994">
        <v>0</v>
      </c>
      <c r="T994" t="s">
        <v>49</v>
      </c>
      <c r="U994">
        <v>6.5094339622641495E-2</v>
      </c>
      <c r="V994">
        <v>0</v>
      </c>
      <c r="W994">
        <v>0</v>
      </c>
      <c r="X994">
        <v>0.224278119758478</v>
      </c>
      <c r="Y994">
        <v>5.2070983654161199E-2</v>
      </c>
      <c r="Z994">
        <v>4.0852219530203002E-2</v>
      </c>
      <c r="AA994">
        <v>0</v>
      </c>
      <c r="AB994">
        <v>4.5935999602079391E-2</v>
      </c>
      <c r="AC994">
        <v>4.6999999904073769E-4</v>
      </c>
      <c r="AD994">
        <v>6.0720001347363004E-3</v>
      </c>
      <c r="AE994">
        <v>9.3300000298768282E-4</v>
      </c>
      <c r="AF994">
        <f>0.16*X994 + 0.28*Y994 + 0.28*Z994 + 0.28*AA994</f>
        <v>6.1902996052978457E-2</v>
      </c>
      <c r="AG994">
        <f t="shared" si="45"/>
        <v>9.4427599746268239E-3</v>
      </c>
      <c r="AH994">
        <f>IF(T994="IT_Admin", 0.25, IF(AND(T994="HR", AA994&gt;0.6), 0.25, IF(AND(T994="General", Z994&gt;0.7), 0.2, 0.1)))</f>
        <v>0.1</v>
      </c>
      <c r="AI994">
        <f>IF(V994&gt;0.7, 0.1,
 IF(F994&gt;0.5, 0.08,
 IF(E994&gt;0.5, 0.05,
 0)))</f>
        <v>0.08</v>
      </c>
      <c r="AJ994">
        <f t="shared" si="46"/>
        <v>2.5180830798132312E-2</v>
      </c>
      <c r="AK994">
        <f t="shared" si="47"/>
        <v>2.9713380341796131E-2</v>
      </c>
      <c r="AL994" t="str">
        <f>IF(MAX(X994, Y994, Z994, AA994)&gt;0.9,
 "Critical",
 IF(AK994&lt;=0.2,"Very Low",
 IF(AK994&lt;=0.4,"Low",
 IF(AK994&lt;=0.6,"Medium",
 IF(AK994&lt;=0.8,"High","Critical")))))</f>
        <v>Very Low</v>
      </c>
      <c r="AM994" t="str">
        <f>IF(MAX(X994:AA994)&gt;0.9,"CRITICAL ALERT",
 IF(AK994&gt;0.8,"CRITICAL ALERT",
 IF(AK994&gt;0.6,"ALERT",
 IF(AK994&gt;=0.4,"REVIEW","NO ACTION"))))</f>
        <v>NO ACTION</v>
      </c>
      <c r="AN994" t="str">
        <f>IF(AM994="NO ACTION","",
 IF(_xlfn.TEXTJOIN(", ", TRUE,
  IF(X994&gt;0.7,"Login anomaly",""),
  IF(Y994&gt;0.7,"File anomaly",""),
  IF(Z994&gt;0.7,"Network anomaly",""),
  IF(AA994&gt;0.7,"USB anomaly","")
 )="",
 "General anomaly detected",
 _xlfn.TEXTJOIN(", ", TRUE,
  IF(X994&gt;0.7,"Login anomaly",""),
  IF(Y994&gt;0.7,"File anomaly",""),
  IF(Z994&gt;0.7,"Network anomaly",""),
  IF(AA994&gt;0.7,"USB anomaly","")
 )))</f>
        <v/>
      </c>
    </row>
    <row r="995" spans="1:40" x14ac:dyDescent="0.3">
      <c r="A995" t="s">
        <v>1018</v>
      </c>
      <c r="B995">
        <v>0.23629489603024501</v>
      </c>
      <c r="C995">
        <v>0.76961282071632897</v>
      </c>
      <c r="D995">
        <v>0.36621147952523098</v>
      </c>
      <c r="E995">
        <v>0</v>
      </c>
      <c r="F995">
        <v>0</v>
      </c>
      <c r="G995">
        <v>0.477389111367509</v>
      </c>
      <c r="H995">
        <v>8</v>
      </c>
      <c r="I995">
        <v>14</v>
      </c>
      <c r="J995">
        <v>6.3546586517818804E-2</v>
      </c>
      <c r="K995">
        <v>7.34094616639478E-3</v>
      </c>
      <c r="L995">
        <v>2.93975584421458E-2</v>
      </c>
      <c r="M995">
        <v>1.7316017316017301E-3</v>
      </c>
      <c r="N995">
        <v>1.64055341317869E-2</v>
      </c>
      <c r="O995">
        <v>677</v>
      </c>
      <c r="P995">
        <v>5.07154882154882E-2</v>
      </c>
      <c r="Q995">
        <v>5.0878361793891699E-2</v>
      </c>
      <c r="R995">
        <v>0</v>
      </c>
      <c r="S995">
        <v>0</v>
      </c>
      <c r="T995" t="s">
        <v>49</v>
      </c>
      <c r="U995">
        <v>2.1832884097034998E-2</v>
      </c>
      <c r="V995">
        <v>0</v>
      </c>
      <c r="W995">
        <v>0</v>
      </c>
      <c r="X995">
        <v>0.10986344385756899</v>
      </c>
      <c r="Y995">
        <v>3.2329756764172699E-2</v>
      </c>
      <c r="Z995">
        <v>3.6991506582007699E-2</v>
      </c>
      <c r="AA995">
        <v>0</v>
      </c>
      <c r="AB995">
        <v>3.7705998867750168E-2</v>
      </c>
      <c r="AC995">
        <v>2.379999932600185E-4</v>
      </c>
      <c r="AD995">
        <v>6.9300001487135887E-3</v>
      </c>
      <c r="AE995">
        <v>7.1149999275803566E-3</v>
      </c>
      <c r="AF995">
        <f>0.16*X995 + 0.28*Y995 + 0.28*Z995 + 0.28*AA995</f>
        <v>3.6988104754141549E-2</v>
      </c>
      <c r="AG995">
        <f t="shared" si="45"/>
        <v>1.0032199838315138E-2</v>
      </c>
      <c r="AH995">
        <f>IF(T995="IT_Admin", 0.25, IF(AND(T995="HR", AA995&gt;0.6), 0.25, IF(AND(T995="General", Z995&gt;0.7), 0.2, 0.1)))</f>
        <v>0.1</v>
      </c>
      <c r="AI995">
        <f>IF(V995&gt;0.7, 0.1,
 IF(F995&gt;0.5, 0.08,
 IF(E995&gt;0.5, 0.05,
 0)))</f>
        <v>0</v>
      </c>
      <c r="AJ995">
        <f t="shared" si="46"/>
        <v>1.8118971313063059E-2</v>
      </c>
      <c r="AK995">
        <f t="shared" si="47"/>
        <v>1.9930868444369365E-2</v>
      </c>
      <c r="AL995" t="str">
        <f>IF(MAX(X995, Y995, Z995, AA995)&gt;0.9,
 "Critical",
 IF(AK995&lt;=0.2,"Very Low",
 IF(AK995&lt;=0.4,"Low",
 IF(AK995&lt;=0.6,"Medium",
 IF(AK995&lt;=0.8,"High","Critical")))))</f>
        <v>Very Low</v>
      </c>
      <c r="AM995" t="str">
        <f>IF(MAX(X995:AA995)&gt;0.9,"CRITICAL ALERT",
 IF(AK995&gt;0.8,"CRITICAL ALERT",
 IF(AK995&gt;0.6,"ALERT",
 IF(AK995&gt;=0.4,"REVIEW","NO ACTION"))))</f>
        <v>NO ACTION</v>
      </c>
      <c r="AN995" t="str">
        <f>IF(AM995="NO ACTION","",
 IF(_xlfn.TEXTJOIN(", ", TRUE,
  IF(X995&gt;0.7,"Login anomaly",""),
  IF(Y995&gt;0.7,"File anomaly",""),
  IF(Z995&gt;0.7,"Network anomaly",""),
  IF(AA995&gt;0.7,"USB anomaly","")
 )="",
 "General anomaly detected",
 _xlfn.TEXTJOIN(", ", TRUE,
  IF(X995&gt;0.7,"Login anomaly",""),
  IF(Y995&gt;0.7,"File anomaly",""),
  IF(Z995&gt;0.7,"Network anomaly",""),
  IF(AA995&gt;0.7,"USB anomaly","")
 )))</f>
        <v/>
      </c>
    </row>
    <row r="996" spans="1:40" x14ac:dyDescent="0.3">
      <c r="A996" t="s">
        <v>1019</v>
      </c>
      <c r="B996">
        <v>0.12892249527410199</v>
      </c>
      <c r="C996">
        <v>0.18476582604220201</v>
      </c>
      <c r="D996">
        <v>0</v>
      </c>
      <c r="E996">
        <v>0</v>
      </c>
      <c r="F996">
        <v>0</v>
      </c>
      <c r="G996">
        <v>0.99368541881258798</v>
      </c>
      <c r="H996">
        <v>7</v>
      </c>
      <c r="I996">
        <v>7</v>
      </c>
      <c r="J996">
        <v>7.1704594246457698E-2</v>
      </c>
      <c r="K996">
        <v>1.4681892332789499E-2</v>
      </c>
      <c r="L996">
        <v>5.2128031349003998E-2</v>
      </c>
      <c r="M996">
        <v>2.0202020202020202E-3</v>
      </c>
      <c r="N996">
        <v>1.6969429038394501E-2</v>
      </c>
      <c r="O996">
        <v>767</v>
      </c>
      <c r="P996">
        <v>6.0009820426486997E-2</v>
      </c>
      <c r="Q996">
        <v>6.0170412707317898E-2</v>
      </c>
      <c r="R996">
        <v>0</v>
      </c>
      <c r="S996">
        <v>0</v>
      </c>
      <c r="T996" t="s">
        <v>49</v>
      </c>
      <c r="U996">
        <v>3.8207547169811298E-2</v>
      </c>
      <c r="V996">
        <v>0</v>
      </c>
      <c r="W996">
        <v>0</v>
      </c>
      <c r="X996">
        <v>0</v>
      </c>
      <c r="Y996">
        <v>4.5495763235311897E-2</v>
      </c>
      <c r="Z996">
        <v>4.2793663871249998E-2</v>
      </c>
      <c r="AA996">
        <v>0</v>
      </c>
      <c r="AB996">
        <v>3.667299821972847E-2</v>
      </c>
      <c r="AC996">
        <v>2.800000038405415E-5</v>
      </c>
      <c r="AD996">
        <v>5.8849998749792576E-3</v>
      </c>
      <c r="AE996">
        <v>1.715000020340085E-3</v>
      </c>
      <c r="AF996">
        <f>0.16*X996 + 0.28*Y996 + 0.28*Z996 + 0.28*AA996</f>
        <v>2.4721039589837332E-2</v>
      </c>
      <c r="AG996">
        <f t="shared" si="45"/>
        <v>8.0035196859535064E-3</v>
      </c>
      <c r="AH996">
        <f>IF(T996="IT_Admin", 0.25, IF(AND(T996="HR", AA996&gt;0.6), 0.25, IF(AND(T996="General", Z996&gt;0.7), 0.2, 0.1)))</f>
        <v>0.1</v>
      </c>
      <c r="AI996">
        <f>IF(V996&gt;0.7, 0.1,
 IF(F996&gt;0.5, 0.08,
 IF(E996&gt;0.5, 0.05,
 0)))</f>
        <v>0</v>
      </c>
      <c r="AJ996">
        <f t="shared" si="46"/>
        <v>1.3018775657118654E-2</v>
      </c>
      <c r="AK996">
        <f t="shared" si="47"/>
        <v>1.4320653222830521E-2</v>
      </c>
      <c r="AL996" t="str">
        <f>IF(MAX(X996, Y996, Z996, AA996)&gt;0.9,
 "Critical",
 IF(AK996&lt;=0.2,"Very Low",
 IF(AK996&lt;=0.4,"Low",
 IF(AK996&lt;=0.6,"Medium",
 IF(AK996&lt;=0.8,"High","Critical")))))</f>
        <v>Very Low</v>
      </c>
      <c r="AM996" t="str">
        <f>IF(MAX(X996:AA996)&gt;0.9,"CRITICAL ALERT",
 IF(AK996&gt;0.8,"CRITICAL ALERT",
 IF(AK996&gt;0.6,"ALERT",
 IF(AK996&gt;=0.4,"REVIEW","NO ACTION"))))</f>
        <v>NO ACTION</v>
      </c>
      <c r="AN996" t="str">
        <f>IF(AM996="NO ACTION","",
 IF(_xlfn.TEXTJOIN(", ", TRUE,
  IF(X996&gt;0.7,"Login anomaly",""),
  IF(Y996&gt;0.7,"File anomaly",""),
  IF(Z996&gt;0.7,"Network anomaly",""),
  IF(AA996&gt;0.7,"USB anomaly","")
 )="",
 "General anomaly detected",
 _xlfn.TEXTJOIN(", ", TRUE,
  IF(X996&gt;0.7,"Login anomaly",""),
  IF(Y996&gt;0.7,"File anomaly",""),
  IF(Z996&gt;0.7,"Network anomaly",""),
  IF(AA996&gt;0.7,"USB anomaly","")
 )))</f>
        <v/>
      </c>
    </row>
    <row r="997" spans="1:40" x14ac:dyDescent="0.3">
      <c r="A997" t="s">
        <v>1020</v>
      </c>
      <c r="B997">
        <v>0.235538752362948</v>
      </c>
      <c r="C997">
        <v>0.78356033723479501</v>
      </c>
      <c r="D997">
        <v>0.380362249774438</v>
      </c>
      <c r="E997">
        <v>0</v>
      </c>
      <c r="F997">
        <v>0</v>
      </c>
      <c r="G997">
        <v>0.47933273421217298</v>
      </c>
      <c r="H997">
        <v>8</v>
      </c>
      <c r="I997">
        <v>14</v>
      </c>
      <c r="J997">
        <v>6.9653165402413994E-2</v>
      </c>
      <c r="K997">
        <v>1.5497553017944501E-2</v>
      </c>
      <c r="L997">
        <v>5.66390729697255E-2</v>
      </c>
      <c r="M997">
        <v>2.88600288600288E-4</v>
      </c>
      <c r="N997">
        <v>2.49535826327635E-3</v>
      </c>
      <c r="O997">
        <v>727</v>
      </c>
      <c r="P997">
        <v>5.8010662177328802E-2</v>
      </c>
      <c r="Q997">
        <v>5.8171745152354501E-2</v>
      </c>
      <c r="R997">
        <v>0</v>
      </c>
      <c r="S997">
        <v>0</v>
      </c>
      <c r="T997" t="s">
        <v>49</v>
      </c>
      <c r="U997">
        <v>0.16132075471698101</v>
      </c>
      <c r="V997">
        <v>0</v>
      </c>
      <c r="W997">
        <v>0</v>
      </c>
      <c r="X997">
        <v>0.114108674932331</v>
      </c>
      <c r="Y997">
        <v>4.2998777044328397E-2</v>
      </c>
      <c r="Z997">
        <v>3.5804540611707798E-2</v>
      </c>
      <c r="AA997">
        <v>0</v>
      </c>
      <c r="AB997">
        <v>4.0633000433444977E-2</v>
      </c>
      <c r="AC997">
        <v>5.303999874740839E-3</v>
      </c>
      <c r="AD997">
        <v>6.451999768614769E-3</v>
      </c>
      <c r="AE997">
        <v>4.6509997919201851E-3</v>
      </c>
      <c r="AF997">
        <f>0.16*X997 + 0.28*Y997 + 0.28*Z997 + 0.28*AA997</f>
        <v>4.0322316932863096E-2</v>
      </c>
      <c r="AG997">
        <f t="shared" si="45"/>
        <v>1.1095239911228419E-2</v>
      </c>
      <c r="AH997">
        <f>IF(T997="IT_Admin", 0.25, IF(AND(T997="HR", AA997&gt;0.6), 0.25, IF(AND(T997="General", Z997&gt;0.7), 0.2, 0.1)))</f>
        <v>0.1</v>
      </c>
      <c r="AI997">
        <f>IF(V997&gt;0.7, 0.1,
 IF(F997&gt;0.5, 0.08,
 IF(E997&gt;0.5, 0.05,
 0)))</f>
        <v>0</v>
      </c>
      <c r="AJ997">
        <f t="shared" si="46"/>
        <v>1.9863363017718821E-2</v>
      </c>
      <c r="AK997">
        <f t="shared" si="47"/>
        <v>2.1849699319490705E-2</v>
      </c>
      <c r="AL997" t="str">
        <f>IF(MAX(X997, Y997, Z997, AA997)&gt;0.9,
 "Critical",
 IF(AK997&lt;=0.2,"Very Low",
 IF(AK997&lt;=0.4,"Low",
 IF(AK997&lt;=0.6,"Medium",
 IF(AK997&lt;=0.8,"High","Critical")))))</f>
        <v>Very Low</v>
      </c>
      <c r="AM997" t="str">
        <f>IF(MAX(X997:AA997)&gt;0.9,"CRITICAL ALERT",
 IF(AK997&gt;0.8,"CRITICAL ALERT",
 IF(AK997&gt;0.6,"ALERT",
 IF(AK997&gt;=0.4,"REVIEW","NO ACTION"))))</f>
        <v>NO ACTION</v>
      </c>
      <c r="AN997" t="str">
        <f>IF(AM997="NO ACTION","",
 IF(_xlfn.TEXTJOIN(", ", TRUE,
  IF(X997&gt;0.7,"Login anomaly",""),
  IF(Y997&gt;0.7,"File anomaly",""),
  IF(Z997&gt;0.7,"Network anomaly",""),
  IF(AA997&gt;0.7,"USB anomaly","")
 )="",
 "General anomaly detected",
 _xlfn.TEXTJOIN(", ", TRUE,
  IF(X997&gt;0.7,"Login anomaly",""),
  IF(Y997&gt;0.7,"File anomaly",""),
  IF(Z997&gt;0.7,"Network anomaly",""),
  IF(AA997&gt;0.7,"USB anomaly","")
 )))</f>
        <v/>
      </c>
    </row>
    <row r="998" spans="1:40" x14ac:dyDescent="0.3">
      <c r="A998" t="s">
        <v>1021</v>
      </c>
      <c r="B998">
        <v>0.23440453686200299</v>
      </c>
      <c r="C998">
        <v>0.58420348522638699</v>
      </c>
      <c r="D998">
        <v>0.37031494554912697</v>
      </c>
      <c r="E998">
        <v>0</v>
      </c>
      <c r="F998">
        <v>0</v>
      </c>
      <c r="G998">
        <v>0.48211883421072999</v>
      </c>
      <c r="H998">
        <v>7</v>
      </c>
      <c r="I998">
        <v>13</v>
      </c>
      <c r="J998">
        <v>9.6798816850341099E-2</v>
      </c>
      <c r="K998">
        <v>8.9722675367047301E-3</v>
      </c>
      <c r="L998">
        <v>2.3617933574163599E-2</v>
      </c>
      <c r="M998">
        <v>2.0202020202020202E-3</v>
      </c>
      <c r="N998">
        <v>1.2581071283136101E-2</v>
      </c>
      <c r="O998">
        <v>988</v>
      </c>
      <c r="P998">
        <v>7.6003086419752994E-2</v>
      </c>
      <c r="Q998">
        <v>7.6159753147024695E-2</v>
      </c>
      <c r="R998">
        <v>0</v>
      </c>
      <c r="S998">
        <v>0</v>
      </c>
      <c r="T998" t="s">
        <v>24</v>
      </c>
      <c r="U998">
        <v>2.33490566037735E-2</v>
      </c>
      <c r="V998">
        <v>0</v>
      </c>
      <c r="W998">
        <v>0</v>
      </c>
      <c r="X998">
        <v>0.11109448366473799</v>
      </c>
      <c r="Y998">
        <v>3.4943051542090799E-2</v>
      </c>
      <c r="Z998">
        <v>5.0634280365106303E-2</v>
      </c>
      <c r="AA998">
        <v>0</v>
      </c>
      <c r="AB998">
        <v>1.856799982488155E-2</v>
      </c>
      <c r="AC998">
        <v>2.229999954579398E-4</v>
      </c>
      <c r="AD998">
        <v>3.726999973878264E-3</v>
      </c>
      <c r="AE998">
        <v>6.785999983549118E-3</v>
      </c>
      <c r="AF998">
        <f>0.16*X998 + 0.28*Y998 + 0.28*Z998 + 0.28*AA998</f>
        <v>4.1736770320373269E-2</v>
      </c>
      <c r="AG998">
        <f t="shared" si="45"/>
        <v>5.9769599587889384E-3</v>
      </c>
      <c r="AH998">
        <f>IF(T998="IT_Admin", 0.25, IF(AND(T998="HR", AA998&gt;0.6), 0.25, IF(AND(T998="General", Z998&gt;0.7), 0.2, 0.1)))</f>
        <v>0.25</v>
      </c>
      <c r="AI998">
        <f>IF(V998&gt;0.7, 0.1,
 IF(F998&gt;0.5, 0.08,
 IF(E998&gt;0.5, 0.05,
 0)))</f>
        <v>0</v>
      </c>
      <c r="AJ998">
        <f t="shared" si="46"/>
        <v>1.6704903067264236E-2</v>
      </c>
      <c r="AK998">
        <f t="shared" si="47"/>
        <v>2.0881128834080297E-2</v>
      </c>
      <c r="AL998" t="str">
        <f>IF(MAX(X998, Y998, Z998, AA998)&gt;0.9,
 "Critical",
 IF(AK998&lt;=0.2,"Very Low",
 IF(AK998&lt;=0.4,"Low",
 IF(AK998&lt;=0.6,"Medium",
 IF(AK998&lt;=0.8,"High","Critical")))))</f>
        <v>Very Low</v>
      </c>
      <c r="AM998" t="str">
        <f>IF(MAX(X998:AA998)&gt;0.9,"CRITICAL ALERT",
 IF(AK998&gt;0.8,"CRITICAL ALERT",
 IF(AK998&gt;0.6,"ALERT",
 IF(AK998&gt;=0.4,"REVIEW","NO ACTION"))))</f>
        <v>NO ACTION</v>
      </c>
      <c r="AN998" t="str">
        <f>IF(AM998="NO ACTION","",
 IF(_xlfn.TEXTJOIN(", ", TRUE,
  IF(X998&gt;0.7,"Login anomaly",""),
  IF(Y998&gt;0.7,"File anomaly",""),
  IF(Z998&gt;0.7,"Network anomaly",""),
  IF(AA998&gt;0.7,"USB anomaly","")
 )="",
 "General anomaly detected",
 _xlfn.TEXTJOIN(", ", TRUE,
  IF(X998&gt;0.7,"Login anomaly",""),
  IF(Y998&gt;0.7,"File anomaly",""),
  IF(Z998&gt;0.7,"Network anomaly",""),
  IF(AA998&gt;0.7,"USB anomaly","")
 )))</f>
        <v/>
      </c>
    </row>
    <row r="999" spans="1:40" x14ac:dyDescent="0.3">
      <c r="A999" t="s">
        <v>1022</v>
      </c>
      <c r="B999">
        <v>0.25330812854442297</v>
      </c>
      <c r="C999">
        <v>0.45506123327901499</v>
      </c>
      <c r="D999">
        <v>0.39936536932404398</v>
      </c>
      <c r="E999">
        <v>0</v>
      </c>
      <c r="F999">
        <v>0.51186943620178005</v>
      </c>
      <c r="G999">
        <v>0.43547116922349</v>
      </c>
      <c r="H999">
        <v>6</v>
      </c>
      <c r="I999">
        <v>16</v>
      </c>
      <c r="J999">
        <v>7.9099279614522205E-2</v>
      </c>
      <c r="K999">
        <v>9.7879282218597003E-3</v>
      </c>
      <c r="L999">
        <v>3.1512957015152498E-2</v>
      </c>
      <c r="M999">
        <v>1.7316017316017301E-3</v>
      </c>
      <c r="N999">
        <v>1.3189536460733E-2</v>
      </c>
      <c r="O999">
        <v>617</v>
      </c>
      <c r="P999">
        <v>6.3201459034792296E-2</v>
      </c>
      <c r="Q999">
        <v>6.3361267926645398E-2</v>
      </c>
      <c r="R999">
        <v>0.3952802359882</v>
      </c>
      <c r="S999">
        <v>1</v>
      </c>
      <c r="T999" t="s">
        <v>49</v>
      </c>
      <c r="U999">
        <v>2.9110512129380001E-2</v>
      </c>
      <c r="V999">
        <v>0</v>
      </c>
      <c r="W999">
        <v>0.52639612348773102</v>
      </c>
      <c r="X999">
        <v>0.32455738527792499</v>
      </c>
      <c r="Y999">
        <v>3.5533195368700601E-2</v>
      </c>
      <c r="Z999">
        <v>4.3196690005168598E-2</v>
      </c>
      <c r="AA999">
        <v>0.3952802359882</v>
      </c>
      <c r="AB999">
        <v>6.6968999803066254E-2</v>
      </c>
      <c r="AC999">
        <v>1.230000052601099E-4</v>
      </c>
      <c r="AD999">
        <v>4.4249999336898327E-3</v>
      </c>
      <c r="AE999">
        <v>0.143656000494957</v>
      </c>
      <c r="AF999">
        <f>0.16*X999 + 0.28*Y999 + 0.28*Z999 + 0.28*AA999</f>
        <v>0.18465201562584738</v>
      </c>
      <c r="AG999">
        <f t="shared" si="45"/>
        <v>5.2212160089984548E-2</v>
      </c>
      <c r="AH999">
        <f>IF(T999="IT_Admin", 0.25, IF(AND(T999="HR", AA999&gt;0.6), 0.25, IF(AND(T999="General", Z999&gt;0.7), 0.2, 0.1)))</f>
        <v>0.1</v>
      </c>
      <c r="AI999">
        <f>IF(V999&gt;0.7, 0.1,
 IF(F999&gt;0.5, 0.08,
 IF(E999&gt;0.5, 0.05,
 0)))</f>
        <v>0.08</v>
      </c>
      <c r="AJ999">
        <f t="shared" si="46"/>
        <v>9.194411675074339E-2</v>
      </c>
      <c r="AK999">
        <f t="shared" si="47"/>
        <v>0.10849405776587721</v>
      </c>
      <c r="AL999" t="str">
        <f>IF(MAX(X999, Y999, Z999, AA999)&gt;0.9,
 "Critical",
 IF(AK999&lt;=0.2,"Very Low",
 IF(AK999&lt;=0.4,"Low",
 IF(AK999&lt;=0.6,"Medium",
 IF(AK999&lt;=0.8,"High","Critical")))))</f>
        <v>Very Low</v>
      </c>
      <c r="AM999" t="str">
        <f>IF(MAX(X999:AA999)&gt;0.9,"CRITICAL ALERT",
 IF(AK999&gt;0.8,"CRITICAL ALERT",
 IF(AK999&gt;0.6,"ALERT",
 IF(AK999&gt;=0.4,"REVIEW","NO ACTION"))))</f>
        <v>NO ACTION</v>
      </c>
      <c r="AN999" t="str">
        <f>IF(AM999="NO ACTION","",
 IF(_xlfn.TEXTJOIN(", ", TRUE,
  IF(X999&gt;0.7,"Login anomaly",""),
  IF(Y999&gt;0.7,"File anomaly",""),
  IF(Z999&gt;0.7,"Network anomaly",""),
  IF(AA999&gt;0.7,"USB anomaly","")
 )="",
 "General anomaly detected",
 _xlfn.TEXTJOIN(", ", TRUE,
  IF(X999&gt;0.7,"Login anomaly",""),
  IF(Y999&gt;0.7,"File anomaly",""),
  IF(Z999&gt;0.7,"Network anomaly",""),
  IF(AA999&gt;0.7,"USB anomaly","")
 )))</f>
        <v/>
      </c>
    </row>
    <row r="1000" spans="1:40" x14ac:dyDescent="0.3">
      <c r="A1000" t="s">
        <v>1023</v>
      </c>
      <c r="B1000">
        <v>0.12892249527410199</v>
      </c>
      <c r="C1000">
        <v>0.36953165208440503</v>
      </c>
      <c r="D1000">
        <v>0</v>
      </c>
      <c r="E1000">
        <v>0</v>
      </c>
      <c r="F1000">
        <v>0</v>
      </c>
      <c r="G1000">
        <v>0.99369331380874204</v>
      </c>
      <c r="H1000">
        <v>8</v>
      </c>
      <c r="I1000">
        <v>8</v>
      </c>
      <c r="J1000">
        <v>8.1961738466676204E-2</v>
      </c>
      <c r="K1000">
        <v>1.30505709624796E-2</v>
      </c>
      <c r="L1000">
        <v>4.0554109124549098E-2</v>
      </c>
      <c r="M1000">
        <v>2.0202020202020202E-3</v>
      </c>
      <c r="N1000">
        <v>1.4851943696981401E-2</v>
      </c>
      <c r="O1000">
        <v>893</v>
      </c>
      <c r="P1000">
        <v>6.6849046015712593E-2</v>
      </c>
      <c r="Q1000">
        <v>6.7007959605876702E-2</v>
      </c>
      <c r="R1000">
        <v>0</v>
      </c>
      <c r="S1000">
        <v>0</v>
      </c>
      <c r="T1000" t="s">
        <v>49</v>
      </c>
      <c r="U1000">
        <v>3.3962264150943298E-2</v>
      </c>
      <c r="V1000">
        <v>0</v>
      </c>
      <c r="W1000">
        <v>0</v>
      </c>
      <c r="X1000">
        <v>0</v>
      </c>
      <c r="Y1000">
        <v>4.11249853647042E-2</v>
      </c>
      <c r="Z1000">
        <v>4.6050205088220102E-2</v>
      </c>
      <c r="AA1000">
        <v>0</v>
      </c>
      <c r="AB1000">
        <v>2.464899979531765E-2</v>
      </c>
      <c r="AC1000">
        <v>2.7000000045518391E-5</v>
      </c>
      <c r="AD1000">
        <v>5.0260000862181187E-3</v>
      </c>
      <c r="AE1000">
        <v>1.735000056214631E-3</v>
      </c>
      <c r="AF1000">
        <f>0.16*X1000 + 0.28*Y1000 + 0.28*Z1000 + 0.28*AA1000</f>
        <v>2.4409053326818808E-2</v>
      </c>
      <c r="AG1000">
        <f t="shared" si="45"/>
        <v>5.8444800071447388E-3</v>
      </c>
      <c r="AH1000">
        <f>IF(T1000="IT_Admin", 0.25, IF(AND(T1000="HR", AA1000&gt;0.6), 0.25, IF(AND(T1000="General", Z1000&gt;0.7), 0.2, 0.1)))</f>
        <v>0.1</v>
      </c>
      <c r="AI1000">
        <f>IF(V1000&gt;0.7, 0.1,
 IF(F1000&gt;0.5, 0.08,
 IF(E1000&gt;0.5, 0.05,
 0)))</f>
        <v>0</v>
      </c>
      <c r="AJ1000">
        <f t="shared" si="46"/>
        <v>1.1413852003046959E-2</v>
      </c>
      <c r="AK1000">
        <f t="shared" si="47"/>
        <v>1.2555237203351655E-2</v>
      </c>
      <c r="AL1000" t="str">
        <f>IF(MAX(X1000, Y1000, Z1000, AA1000)&gt;0.9,
 "Critical",
 IF(AK1000&lt;=0.2,"Very Low",
 IF(AK1000&lt;=0.4,"Low",
 IF(AK1000&lt;=0.6,"Medium",
 IF(AK1000&lt;=0.8,"High","Critical")))))</f>
        <v>Very Low</v>
      </c>
      <c r="AM1000" t="str">
        <f>IF(MAX(X1000:AA1000)&gt;0.9,"CRITICAL ALERT",
 IF(AK1000&gt;0.8,"CRITICAL ALERT",
 IF(AK1000&gt;0.6,"ALERT",
 IF(AK1000&gt;=0.4,"REVIEW","NO ACTION"))))</f>
        <v>NO ACTION</v>
      </c>
      <c r="AN1000" t="str">
        <f>IF(AM1000="NO ACTION","",
 IF(_xlfn.TEXTJOIN(", ", TRUE,
  IF(X1000&gt;0.7,"Login anomaly",""),
  IF(Y1000&gt;0.7,"File anomaly",""),
  IF(Z1000&gt;0.7,"Network anomaly",""),
  IF(AA1000&gt;0.7,"USB anomaly","")
 )="",
 "General anomaly detected",
 _xlfn.TEXTJOIN(", ", TRUE,
  IF(X1000&gt;0.7,"Login anomaly",""),
  IF(Y1000&gt;0.7,"File anomaly",""),
  IF(Z1000&gt;0.7,"Network anomaly",""),
  IF(AA1000&gt;0.7,"USB anomaly","")
 )))</f>
        <v/>
      </c>
    </row>
    <row r="1001" spans="1:40" x14ac:dyDescent="0.3">
      <c r="A1001" t="s">
        <v>1024</v>
      </c>
      <c r="B1001">
        <v>0.12892249527410199</v>
      </c>
      <c r="C1001">
        <v>0.55429747812660801</v>
      </c>
      <c r="D1001">
        <v>0</v>
      </c>
      <c r="E1001">
        <v>0</v>
      </c>
      <c r="F1001">
        <v>0</v>
      </c>
      <c r="G1001">
        <v>0.99366414246701795</v>
      </c>
      <c r="H1001">
        <v>9</v>
      </c>
      <c r="I1001">
        <v>9</v>
      </c>
      <c r="J1001">
        <v>6.7124660083011295E-2</v>
      </c>
      <c r="K1001">
        <v>1.30505709624796E-2</v>
      </c>
      <c r="L1001">
        <v>4.9486352706514303E-2</v>
      </c>
      <c r="M1001">
        <v>1.1544011544011501E-3</v>
      </c>
      <c r="N1001">
        <v>1.0356090242775701E-2</v>
      </c>
      <c r="O1001">
        <v>795</v>
      </c>
      <c r="P1001">
        <v>5.5520482603815903E-2</v>
      </c>
      <c r="Q1001">
        <v>5.5682176794417698E-2</v>
      </c>
      <c r="R1001">
        <v>0</v>
      </c>
      <c r="S1001">
        <v>0</v>
      </c>
      <c r="T1001" t="s">
        <v>49</v>
      </c>
      <c r="U1001">
        <v>5.4339622641509398E-2</v>
      </c>
      <c r="V1001">
        <v>0</v>
      </c>
      <c r="W1001">
        <v>0</v>
      </c>
      <c r="X1001">
        <v>0</v>
      </c>
      <c r="Y1001">
        <v>4.1274935442692097E-2</v>
      </c>
      <c r="Z1001">
        <v>3.74547256593998E-2</v>
      </c>
      <c r="AA1001">
        <v>0</v>
      </c>
      <c r="AB1001">
        <v>2.8914999216794971E-2</v>
      </c>
      <c r="AC1001">
        <v>1.570000022184104E-4</v>
      </c>
      <c r="AD1001">
        <v>6.7340000532567501E-3</v>
      </c>
      <c r="AE1001">
        <v>1.971000107005239E-3</v>
      </c>
      <c r="AF1001">
        <f>0.16*X1001 + 0.28*Y1001 + 0.28*Z1001 + 0.28*AA1001</f>
        <v>2.2044305108585731E-2</v>
      </c>
      <c r="AG1001">
        <f t="shared" si="45"/>
        <v>7.1077599201817077E-3</v>
      </c>
      <c r="AH1001">
        <f>IF(T1001="IT_Admin", 0.25, IF(AND(T1001="HR", AA1001&gt;0.6), 0.25, IF(AND(T1001="General", Z1001&gt;0.7), 0.2, 0.1)))</f>
        <v>0.1</v>
      </c>
      <c r="AI1001">
        <f>IF(V1001&gt;0.7, 0.1,
 IF(F1001&gt;0.5, 0.08,
 IF(E1001&gt;0.5, 0.05,
 0)))</f>
        <v>0</v>
      </c>
      <c r="AJ1001">
        <f t="shared" si="46"/>
        <v>1.1588723476702915E-2</v>
      </c>
      <c r="AK1001">
        <f t="shared" si="47"/>
        <v>1.2747595824373207E-2</v>
      </c>
      <c r="AL1001" t="str">
        <f>IF(MAX(X1001, Y1001, Z1001, AA1001)&gt;0.9,
 "Critical",
 IF(AK1001&lt;=0.2,"Very Low",
 IF(AK1001&lt;=0.4,"Low",
 IF(AK1001&lt;=0.6,"Medium",
 IF(AK1001&lt;=0.8,"High","Critical")))))</f>
        <v>Very Low</v>
      </c>
      <c r="AM1001" t="str">
        <f>IF(MAX(X1001:AA1001)&gt;0.9,"CRITICAL ALERT",
 IF(AK1001&gt;0.8,"CRITICAL ALERT",
 IF(AK1001&gt;0.6,"ALERT",
 IF(AK1001&gt;=0.4,"REVIEW","NO ACTION"))))</f>
        <v>NO ACTION</v>
      </c>
      <c r="AN1001" t="str">
        <f>IF(AM1001="NO ACTION","",
 IF(_xlfn.TEXTJOIN(", ", TRUE,
  IF(X1001&gt;0.7,"Login anomaly",""),
  IF(Y1001&gt;0.7,"File anomaly",""),
  IF(Z1001&gt;0.7,"Network anomaly",""),
  IF(AA1001&gt;0.7,"USB anomaly","")
 )="",
 "General anomaly detected",
 _xlfn.TEXTJOIN(", ", TRUE,
  IF(X1001&gt;0.7,"Login anomaly",""),
  IF(Y1001&gt;0.7,"File anomaly",""),
  IF(Z1001&gt;0.7,"Network anomaly",""),
  IF(AA1001&gt;0.7,"USB anomaly","")
 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behavior_dataset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Manogna Chalasani</cp:lastModifiedBy>
  <dcterms:created xsi:type="dcterms:W3CDTF">2026-04-28T05:50:02Z</dcterms:created>
  <dcterms:modified xsi:type="dcterms:W3CDTF">2026-05-06T18:40:45Z</dcterms:modified>
</cp:coreProperties>
</file>